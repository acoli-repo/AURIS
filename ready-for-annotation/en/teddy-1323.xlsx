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<sst xmlns="http://schemas.openxmlformats.org/spreadsheetml/2006/main" count="12324" uniqueCount="2337">
  <si>
    <t>ID</t>
  </si>
  <si>
    <t>PRED_ID</t>
  </si>
  <si>
    <t>MARKER_AUTO</t>
  </si>
  <si>
    <t>PREDICATE</t>
  </si>
  <si>
    <t>TEXT</t>
  </si>
  <si>
    <t>SENTENCE</t>
  </si>
  <si>
    <t>MARKER</t>
  </si>
  <si>
    <t>TARGET</t>
  </si>
  <si>
    <t>RELATION</t>
  </si>
  <si>
    <t>COMMENT</t>
  </si>
  <si>
    <t>1</t>
  </si>
  <si>
    <t>3</t>
  </si>
  <si>
    <t>and?</t>
  </si>
  <si>
    <t>feel</t>
  </si>
  <si>
    <t>&amp;quot; I felt a Funeral , in my Brain , and Mourners to and fro kept treading treading till [ it seemed ] that Sense was breaking through</t>
  </si>
  <si>
    <t>file://conllu/en/teddy-1323.conllu#s1_0</t>
  </si>
  <si>
    <t>_</t>
  </si>
  <si>
    <t>2</t>
  </si>
  <si>
    <t>15</t>
  </si>
  <si>
    <t>when?</t>
  </si>
  <si>
    <t>keep</t>
  </si>
  <si>
    <t>And when they all were seated , a Service , like a Drum kept beating beating till I [ thought ] my Mind was going numb</t>
  </si>
  <si>
    <t>file://conllu/en/teddy-1323.conllu#s2_0</t>
  </si>
  <si>
    <t>4</t>
  </si>
  <si>
    <t>then?</t>
  </si>
  <si>
    <t>hear</t>
  </si>
  <si>
    <t>And then I heard them lift a Box and creak across my Soul with those same Boots of Lead , again , then Space began to toll , As [ all ] the Heavens were a Bell , and Being , [ but ] an Ear , and I , and Silence , some strange Race , wrecked , solitary , here [ And ] then a Plank in Reason , broke , and I fell down and down and hit a World , at every plunge , and Finished knowing then &amp;quot;</t>
  </si>
  <si>
    <t>file://conllu/en/teddy-1323.conllu#s3_0</t>
  </si>
  <si>
    <t>know</t>
  </si>
  <si>
    <t>We know depression through metaphors .</t>
  </si>
  <si>
    <t>file://conllu/en/teddy-1323.conllu#s4_0</t>
  </si>
  <si>
    <t>5</t>
  </si>
  <si>
    <t>be (be able)</t>
  </si>
  <si>
    <t>Emily Dickinson was able to convey it in language , Goya in an image .</t>
  </si>
  <si>
    <t>file://conllu/en/teddy-1323.conllu#s5_0</t>
  </si>
  <si>
    <t>6</t>
  </si>
  <si>
    <t>be</t>
  </si>
  <si>
    <t>Half the purpose of art is to describe such iconic states .</t>
  </si>
  <si>
    <t>file://conllu/en/teddy-1323.conllu#s6_0</t>
  </si>
  <si>
    <t>7</t>
  </si>
  <si>
    <t>8</t>
  </si>
  <si>
    <t>as?</t>
  </si>
  <si>
    <t>think</t>
  </si>
  <si>
    <t>As for me , I had always thought myself tough , one of the people who could survive if I 'd been sent to a concentration camp .</t>
  </si>
  <si>
    <t>file://conllu/en/teddy-1323.conllu#s7_0</t>
  </si>
  <si>
    <t>have</t>
  </si>
  <si>
    <t>In 1991 , I had a series of losses .</t>
  </si>
  <si>
    <t>file://conllu/en/teddy-1323.conllu#s8_0</t>
  </si>
  <si>
    <t>9</t>
  </si>
  <si>
    <t>die</t>
  </si>
  <si>
    <t>My mother died , a relationship I 'd been in ended , I moved back to the United States from some years abroad , and I got through all of those experiences intact .</t>
  </si>
  <si>
    <t>file://conllu/en/teddy-1323.conllu#s9_0</t>
  </si>
  <si>
    <t>10</t>
  </si>
  <si>
    <t>later?</t>
  </si>
  <si>
    <t>find</t>
  </si>
  <si>
    <t>But in 1994 , three years later , I found myself losing interest in almost everything .</t>
  </si>
  <si>
    <t>file://conllu/en/teddy-1323.conllu#s10_0</t>
  </si>
  <si>
    <t>11</t>
  </si>
  <si>
    <t>22</t>
  </si>
  <si>
    <t>know (know want)</t>
  </si>
  <si>
    <t>I did n't want to do any of the things I had previously wanted to do , and I did n't know why .</t>
  </si>
  <si>
    <t>file://conllu/en/teddy-1323.conllu#s11_0</t>
  </si>
  <si>
    <t>12</t>
  </si>
  <si>
    <t>but?</t>
  </si>
  <si>
    <t>be (be happiness)</t>
  </si>
  <si>
    <t>The opposite of depression is not happiness , but vitality .</t>
  </si>
  <si>
    <t>file://conllu/en/teddy-1323.conllu#s12_0</t>
  </si>
  <si>
    <t>13</t>
  </si>
  <si>
    <t>be (be vitality)</t>
  </si>
  <si>
    <t>And it was vitality that seemed to seep away from me in that moment .</t>
  </si>
  <si>
    <t>file://conllu/en/teddy-1323.conllu#s13_0</t>
  </si>
  <si>
    <t>14</t>
  </si>
  <si>
    <t>everything</t>
  </si>
  <si>
    <t>Everything there was to do seemed like too much work .</t>
  </si>
  <si>
    <t>file://conllu/en/teddy-1323.conllu#s14_0</t>
  </si>
  <si>
    <t>instead?</t>
  </si>
  <si>
    <t>come</t>
  </si>
  <si>
    <t>I would come home and I would see the red light flashing on my answering machine , and instead of being thrilled to hear from my friends , I would think , &amp;quot; What a lot of people that is to have to call back . &amp;quot;</t>
  </si>
  <si>
    <t>file://conllu/en/teddy-1323.conllu#s15_0</t>
  </si>
  <si>
    <t>16</t>
  </si>
  <si>
    <t>think (think decide)</t>
  </si>
  <si>
    <t>Or I would decide I should have lunch , and then I would think , but I 'd have to get the food out and put it on a plate and cut it up and chew it and swallow it , and it felt to me like the Stations of the Cross .</t>
  </si>
  <si>
    <t>file://conllu/en/teddy-1323.conllu#s16_0</t>
  </si>
  <si>
    <t>17</t>
  </si>
  <si>
    <t>And one of the things that often gets lost in discussions of depression is that you know it 's ridiculous .</t>
  </si>
  <si>
    <t>file://conllu/en/teddy-1323.conllu#s17_0</t>
  </si>
  <si>
    <t>18</t>
  </si>
  <si>
    <t>You know it 's ridiculous while you 're experiencing it .</t>
  </si>
  <si>
    <t>file://conllu/en/teddy-1323.conllu#s18_0</t>
  </si>
  <si>
    <t>19</t>
  </si>
  <si>
    <t>You know that most people manage to listen to their messages and eat lunch and organize themselves to take a shower and go out the front door and that it 's not a big deal , and yet you are nonetheless in its grip and you are unable to figure out any way around it .</t>
  </si>
  <si>
    <t>file://conllu/en/teddy-1323.conllu#s19_0</t>
  </si>
  <si>
    <t>20</t>
  </si>
  <si>
    <t>begin</t>
  </si>
  <si>
    <t>And so I began to feel myself doing less and thinking less and feeling less .</t>
  </si>
  <si>
    <t>file://conllu/en/teddy-1323.conllu#s20_0</t>
  </si>
  <si>
    <t>21</t>
  </si>
  <si>
    <t>be (be kind)</t>
  </si>
  <si>
    <t>It was a kind of nullity .</t>
  </si>
  <si>
    <t>file://conllu/en/teddy-1323.conllu#s21_0</t>
  </si>
  <si>
    <t>anxiety</t>
  </si>
  <si>
    <t>And then the anxiety set in .</t>
  </si>
  <si>
    <t>file://conllu/en/teddy-1323.conllu#s22_0</t>
  </si>
  <si>
    <t>23</t>
  </si>
  <si>
    <t>if?</t>
  </si>
  <si>
    <t>tell (tell say)</t>
  </si>
  <si>
    <t>If you told me that I 'd have to be depressed for the next month , I would say , &amp;quot; As long I know it 'll be over in November , I can do it . &amp;quot;</t>
  </si>
  <si>
    <t>file://conllu/en/teddy-1323.conllu#s23_0</t>
  </si>
  <si>
    <t>24</t>
  </si>
  <si>
    <t>rather?</t>
  </si>
  <si>
    <t>But if you said to me , &amp;quot; You have to have acute anxiety for the next month , &amp;quot; I would rather slit my wrist than go through it .</t>
  </si>
  <si>
    <t>file://conllu/en/teddy-1323.conllu#s24_0</t>
  </si>
  <si>
    <t>25</t>
  </si>
  <si>
    <t>be (be feeling)</t>
  </si>
  <si>
    <t>It was the feeling all the time like that feeling you have if you 're walking and you slip or trip and the ground is rushing up at you , but instead of lasting half a second , the way that does , it lasted for six months .</t>
  </si>
  <si>
    <t>file://conllu/en/teddy-1323.conllu#s25_0</t>
  </si>
  <si>
    <t>26</t>
  </si>
  <si>
    <t>be (be sensation)</t>
  </si>
  <si>
    <t>It 's a sensation of being afraid all the time but not even knowing what it is that you 're afraid of .</t>
  </si>
  <si>
    <t>file://conllu/en/teddy-1323.conllu#s26_0</t>
  </si>
  <si>
    <t>27</t>
  </si>
  <si>
    <t>be (be point)</t>
  </si>
  <si>
    <t>And it was at that point that I began to think that it was just too painful to be alive , and that the only reason not to kill oneself was so as not to hurt other people .</t>
  </si>
  <si>
    <t>file://conllu/en/teddy-1323.conllu#s27_0</t>
  </si>
  <si>
    <t>28</t>
  </si>
  <si>
    <t>finally?</t>
  </si>
  <si>
    <t>wake</t>
  </si>
  <si>
    <t>And finally one day , I woke up and I thought perhaps I 'd had a stroke , because I lay in bed completely frozen , looking at the telephone , thinking , &amp;quot; Something is wrong and I should call for help , &amp;quot; and I could n't reach out my arm and pick up the phone and dial .</t>
  </si>
  <si>
    <t>file://conllu/en/teddy-1323.conllu#s28_0</t>
  </si>
  <si>
    <t>29</t>
  </si>
  <si>
    <t>hour</t>
  </si>
  <si>
    <t>And finally , after four full hours of my lying and staring at it , the phone rang , and somehow I managed to pick it up , and it was my father , and I said , &amp;quot; I 'm in serious trouble .</t>
  </si>
  <si>
    <t>file://conllu/en/teddy-1323.conllu#s29_0</t>
  </si>
  <si>
    <t>30</t>
  </si>
  <si>
    <t>need</t>
  </si>
  <si>
    <t>We need to do something . &amp;quot;</t>
  </si>
  <si>
    <t>file://conllu/en/teddy-1323.conllu#s30_0</t>
  </si>
  <si>
    <t>31</t>
  </si>
  <si>
    <t>next?</t>
  </si>
  <si>
    <t>start</t>
  </si>
  <si>
    <t>The next day I started with the medications and the therapy .</t>
  </si>
  <si>
    <t>file://conllu/en/teddy-1323.conllu#s31_0</t>
  </si>
  <si>
    <t>32</t>
  </si>
  <si>
    <t>also?</t>
  </si>
  <si>
    <t>And I also started reckoning with this terrible question :</t>
  </si>
  <si>
    <t>file://conllu/en/teddy-1323.conllu#s32_0</t>
  </si>
  <si>
    <t>33</t>
  </si>
  <si>
    <t>be (be who)</t>
  </si>
  <si>
    <t>If I 'm not the tough person who could have made it through a concentration camp , then who am I ?</t>
  </si>
  <si>
    <t>file://conllu/en/teddy-1323.conllu#s33_0</t>
  </si>
  <si>
    <t>34</t>
  </si>
  <si>
    <t>And if I have to take medication , is that medication making me more fully myself , or is it making me someone else ?</t>
  </si>
  <si>
    <t>file://conllu/en/teddy-1323.conllu#s34_0</t>
  </si>
  <si>
    <t>35</t>
  </si>
  <si>
    <t>And how do I feel about it if it 's making me someone else ?</t>
  </si>
  <si>
    <t>file://conllu/en/teddy-1323.conllu#s35_0</t>
  </si>
  <si>
    <t>36</t>
  </si>
  <si>
    <t>I had two advantages as I went into the fight .</t>
  </si>
  <si>
    <t>file://conllu/en/teddy-1323.conllu#s36_0</t>
  </si>
  <si>
    <t>37</t>
  </si>
  <si>
    <t>The first is that I knew that , objectively speaking , I had a nice life , and that if I could only get well , there was something at the other end that was worth living for .</t>
  </si>
  <si>
    <t>file://conllu/en/teddy-1323.conllu#s37_0</t>
  </si>
  <si>
    <t>38</t>
  </si>
  <si>
    <t>And the other was that I had access to good treatment .</t>
  </si>
  <si>
    <t>file://conllu/en/teddy-1323.conllu#s38_0</t>
  </si>
  <si>
    <t>39</t>
  </si>
  <si>
    <t>nonetheless?</t>
  </si>
  <si>
    <t>emerge</t>
  </si>
  <si>
    <t>But I nonetheless emerged and relapsed , and emerged and relapsed , and finally understood I would have to be on medication and in therapy forever .</t>
  </si>
  <si>
    <t>file://conllu/en/teddy-1323.conllu#s39_0</t>
  </si>
  <si>
    <t>40</t>
  </si>
  <si>
    <t>And I thought , &amp;quot; But is it a chemical problem or a psychological problem ?</t>
  </si>
  <si>
    <t>file://conllu/en/teddy-1323.conllu#s40_0</t>
  </si>
  <si>
    <t>41</t>
  </si>
  <si>
    <t>And does it need a chemical cure or a philosophical cure ? &amp;quot;</t>
  </si>
  <si>
    <t>file://conllu/en/teddy-1323.conllu#s41_0</t>
  </si>
  <si>
    <t>42</t>
  </si>
  <si>
    <t>figure</t>
  </si>
  <si>
    <t>And I could n't figure out which it was .</t>
  </si>
  <si>
    <t>file://conllu/en/teddy-1323.conllu#s42_0</t>
  </si>
  <si>
    <t>43</t>
  </si>
  <si>
    <t>understand</t>
  </si>
  <si>
    <t>And then I understood that actually , we are n't advanced enough in either area for it to explain things fully .</t>
  </si>
  <si>
    <t>file://conllu/en/teddy-1323.conllu#s43_0</t>
  </si>
  <si>
    <t>44</t>
  </si>
  <si>
    <t>The chemical cure and the psychological cure both have a role to play , and I also figured out that depression was something that was braided so deep into us that there was no separating it from our character and personality .</t>
  </si>
  <si>
    <t>file://conllu/en/teddy-1323.conllu#s44_0</t>
  </si>
  <si>
    <t>45</t>
  </si>
  <si>
    <t>say (say want)</t>
  </si>
  <si>
    <t>I want to say that the treatments we have for depression are appalling .</t>
  </si>
  <si>
    <t>file://conllu/en/teddy-1323.conllu#s45_0</t>
  </si>
  <si>
    <t>46</t>
  </si>
  <si>
    <t>be (be effective)</t>
  </si>
  <si>
    <t>They 're not very effective .</t>
  </si>
  <si>
    <t>file://conllu/en/teddy-1323.conllu#s46_0</t>
  </si>
  <si>
    <t>47</t>
  </si>
  <si>
    <t>be (be costly)</t>
  </si>
  <si>
    <t>They 're extremely costly .</t>
  </si>
  <si>
    <t>file://conllu/en/teddy-1323.conllu#s47_0</t>
  </si>
  <si>
    <t>48</t>
  </si>
  <si>
    <t>They come with innumerable side effects .</t>
  </si>
  <si>
    <t>file://conllu/en/teddy-1323.conllu#s48_0</t>
  </si>
  <si>
    <t>49</t>
  </si>
  <si>
    <t>be (be disaster)</t>
  </si>
  <si>
    <t>They 're a disaster .</t>
  </si>
  <si>
    <t>file://conllu/en/teddy-1323.conllu#s49_0</t>
  </si>
  <si>
    <t>50</t>
  </si>
  <si>
    <t>be (be grateful)</t>
  </si>
  <si>
    <t>But I am so grateful that I live now and not 50 years ago , when there would have been almost nothing to be done .</t>
  </si>
  <si>
    <t>file://conllu/en/teddy-1323.conllu#s50_0</t>
  </si>
  <si>
    <t>51</t>
  </si>
  <si>
    <t>hence?</t>
  </si>
  <si>
    <t>hope</t>
  </si>
  <si>
    <t>I hope that 50 years hence , people will hear about my treatments and be appalled that anyone endured such primitive science .</t>
  </si>
  <si>
    <t>file://conllu/en/teddy-1323.conllu#s51_0</t>
  </si>
  <si>
    <t>52</t>
  </si>
  <si>
    <t>be (be flaw)</t>
  </si>
  <si>
    <t>Depression is the flaw in love .</t>
  </si>
  <si>
    <t>file://conllu/en/teddy-1323.conllu#s52_0</t>
  </si>
  <si>
    <t>53</t>
  </si>
  <si>
    <t>If you were married to someone and thought , &amp;quot; Well , if my wife dies , I 'll find another one , &amp;quot; it would n't be love as we know it .</t>
  </si>
  <si>
    <t>file://conllu/en/teddy-1323.conllu#s53_0</t>
  </si>
  <si>
    <t>54</t>
  </si>
  <si>
    <t>There 's no such thing as love without the anticipation of loss , and that specter of despair can be the engine of intimacy .</t>
  </si>
  <si>
    <t>file://conllu/en/teddy-1323.conllu#s54_0</t>
  </si>
  <si>
    <t>55</t>
  </si>
  <si>
    <t>There are three things people tend to confuse : depression , grief and sadness .</t>
  </si>
  <si>
    <t>file://conllu/en/teddy-1323.conllu#s55_0</t>
  </si>
  <si>
    <t>56</t>
  </si>
  <si>
    <t>be (be reactive)</t>
  </si>
  <si>
    <t>Grief is explicitly reactive .</t>
  </si>
  <si>
    <t>file://conllu/en/teddy-1323.conllu#s56_0</t>
  </si>
  <si>
    <t>57</t>
  </si>
  <si>
    <t>ultimately?</t>
  </si>
  <si>
    <t>be (be grief)</t>
  </si>
  <si>
    <t>If you have a loss and you feel incredibly unhappy , and then , six months later , you are still deeply sad , but you 're functioning a little better , it 's probably grief , and it will probably ultimately resolve itself in some measure .</t>
  </si>
  <si>
    <t>file://conllu/en/teddy-1323.conllu#s57_0</t>
  </si>
  <si>
    <t>58</t>
  </si>
  <si>
    <t>be (be depression)</t>
  </si>
  <si>
    <t>If you experience a catastrophic loss , and you feel terrible , and six months later you can barely function at all , then it 's probably a depression that was triggered by the catastrophic circumstances .</t>
  </si>
  <si>
    <t>file://conllu/en/teddy-1323.conllu#s58_0</t>
  </si>
  <si>
    <t>59</t>
  </si>
  <si>
    <t>tell</t>
  </si>
  <si>
    <t>The trajectory tells us a great deal .</t>
  </si>
  <si>
    <t>file://conllu/en/teddy-1323.conllu#s59_0</t>
  </si>
  <si>
    <t>60</t>
  </si>
  <si>
    <t>People think of depression as being just sadness .</t>
  </si>
  <si>
    <t>file://conllu/en/teddy-1323.conllu#s60_0</t>
  </si>
  <si>
    <t>61</t>
  </si>
  <si>
    <t>be (be much)</t>
  </si>
  <si>
    <t>It 's much , much too much sadness , much too much grief at far too slight a cause .</t>
  </si>
  <si>
    <t>file://conllu/en/teddy-1323.conllu#s61_0</t>
  </si>
  <si>
    <t>62</t>
  </si>
  <si>
    <t>out (out set find)</t>
  </si>
  <si>
    <t>As I set out to understand depression , and to interview people who had experienced it , I found that there were people who seemed , on the surface , to have what sounded like relatively mild depression who were nonetheless utterly disabled by it .</t>
  </si>
  <si>
    <t>file://conllu/en/teddy-1323.conllu#s62_0</t>
  </si>
  <si>
    <t>63</t>
  </si>
  <si>
    <t>And there were other people who had what sounded as they described it like terribly severe depression who nonetheless had good lives in the interstices between their depressive episodes .</t>
  </si>
  <si>
    <t>file://conllu/en/teddy-1323.conllu#s63_0</t>
  </si>
  <si>
    <t>64</t>
  </si>
  <si>
    <t>out (out set)</t>
  </si>
  <si>
    <t>And I set out to find out what it is that causes some people to be more resilient than other people .</t>
  </si>
  <si>
    <t>file://conllu/en/teddy-1323.conllu#s64_0</t>
  </si>
  <si>
    <t>65</t>
  </si>
  <si>
    <t>be (be what)</t>
  </si>
  <si>
    <t>What are the mechanisms that allow people to survive ?</t>
  </si>
  <si>
    <t>file://conllu/en/teddy-1323.conllu#s65_0</t>
  </si>
  <si>
    <t>66</t>
  </si>
  <si>
    <t>go</t>
  </si>
  <si>
    <t>And I went out and I interviewed person after person who was suffering with depression .</t>
  </si>
  <si>
    <t>file://conllu/en/teddy-1323.conllu#s66_0</t>
  </si>
  <si>
    <t>67</t>
  </si>
  <si>
    <t>one</t>
  </si>
  <si>
    <t>One of the first people I interviewed described depression as a slower way of being dead , and that was a good thing for me to hear early on because it reminded me that that slow way of being dead can lead to actual deadness , that this is a serious business .</t>
  </si>
  <si>
    <t>file://conllu/en/teddy-1323.conllu#s67_0</t>
  </si>
  <si>
    <t>68</t>
  </si>
  <si>
    <t>be (be disability)</t>
  </si>
  <si>
    <t>It 's the leading disability worldwide , and people die of it every day .</t>
  </si>
  <si>
    <t>file://conllu/en/teddy-1323.conllu#s68_0</t>
  </si>
  <si>
    <t>69</t>
  </si>
  <si>
    <t>One of the people I talked to when I was trying to understand this was a beloved friend who I had known for many years , and who had had a psychotic episode in her freshman year of college , and then plummeted into a horrific depression .</t>
  </si>
  <si>
    <t>file://conllu/en/teddy-1323.conllu#s69_0</t>
  </si>
  <si>
    <t>70</t>
  </si>
  <si>
    <t>She had bipolar illness , or manic depression , as it was then known .</t>
  </si>
  <si>
    <t>file://conllu/en/teddy-1323.conllu#s70_0</t>
  </si>
  <si>
    <t>71</t>
  </si>
  <si>
    <t>do</t>
  </si>
  <si>
    <t>And then she did very well for many years on lithium , and then eventually , she was taken off her lithium to see how she would do without it , and she had another psychosis , and then plunged into the worst depression that I had ever seen in which she sat in her parents ' apartment , more or less catatonic , essentially without moving , day after day after day .</t>
  </si>
  <si>
    <t>file://conllu/en/teddy-1323.conllu#s71_0</t>
  </si>
  <si>
    <t>72</t>
  </si>
  <si>
    <t>say</t>
  </si>
  <si>
    <t>And when I interviewed her about that experience some years later she 's a poet and psychotherapist named Maggie Robbins when I interviewed her , she said , &amp;quot; I was singing ' Where Have All The Flowers Gone , ' over and over , to occupy my mind .</t>
  </si>
  <si>
    <t>file://conllu/en/teddy-1323.conllu#s72_0</t>
  </si>
  <si>
    <t>73</t>
  </si>
  <si>
    <t>singe</t>
  </si>
  <si>
    <t>I was singing to blot out the things my mind was saying , which were , ' You are nothing .</t>
  </si>
  <si>
    <t>file://conllu/en/teddy-1323.conllu#s73_0</t>
  </si>
  <si>
    <t>74</t>
  </si>
  <si>
    <t>be (be nobody)</t>
  </si>
  <si>
    <t>You are nobody .</t>
  </si>
  <si>
    <t>file://conllu/en/teddy-1323.conllu#s74_0</t>
  </si>
  <si>
    <t>75</t>
  </si>
  <si>
    <t>deserve</t>
  </si>
  <si>
    <t>You do n't even deserve to live . '</t>
  </si>
  <si>
    <t>file://conllu/en/teddy-1323.conllu#s75_0</t>
  </si>
  <si>
    <t>76</t>
  </si>
  <si>
    <t>And that was when I really started thinking about killing myself . &amp;quot;</t>
  </si>
  <si>
    <t>file://conllu/en/teddy-1323.conllu#s76_0</t>
  </si>
  <si>
    <t>77</t>
  </si>
  <si>
    <t>see (see think)</t>
  </si>
  <si>
    <t>You do n't think in depression that you 've put on a gray veil and are seeing the world through the haze of a bad mood .</t>
  </si>
  <si>
    <t>file://conllu/en/teddy-1323.conllu#s77_0</t>
  </si>
  <si>
    <t>78</t>
  </si>
  <si>
    <t>You think that the veil has been taken away , the veil of happiness , and that now you 're seeing truly .</t>
  </si>
  <si>
    <t>file://conllu/en/teddy-1323.conllu#s78_0</t>
  </si>
  <si>
    <t>79</t>
  </si>
  <si>
    <t>be (be easier)</t>
  </si>
  <si>
    <t>It 's easier to help schizophrenics who perceive that there 's something foreign inside of them that needs to be exorcised , but it 's difficult with depressives , because we believe we are seeing the truth .</t>
  </si>
  <si>
    <t>file://conllu/en/teddy-1323.conllu#s79_0</t>
  </si>
  <si>
    <t>80</t>
  </si>
  <si>
    <t>lie</t>
  </si>
  <si>
    <t>But the truth lies .</t>
  </si>
  <si>
    <t>file://conllu/en/teddy-1323.conllu#s80_0</t>
  </si>
  <si>
    <t>81</t>
  </si>
  <si>
    <t>become</t>
  </si>
  <si>
    <t>I became obsessed with that sentence : &amp;quot; But the truth lies . &amp;quot;</t>
  </si>
  <si>
    <t>file://conllu/en/teddy-1323.conllu#s81_0</t>
  </si>
  <si>
    <t>82</t>
  </si>
  <si>
    <t>discover</t>
  </si>
  <si>
    <t>And I discovered , as I talked to depressive people , that they have many delusional perceptions .</t>
  </si>
  <si>
    <t>file://conllu/en/teddy-1323.conllu#s82_0</t>
  </si>
  <si>
    <t>83</t>
  </si>
  <si>
    <t>People will say , &amp;quot; No one loves me . &amp;quot;</t>
  </si>
  <si>
    <t>file://conllu/en/teddy-1323.conllu#s83_0</t>
  </si>
  <si>
    <t>84</t>
  </si>
  <si>
    <t>And you say , &amp;quot; I love you , your wife loves you , your mother loves you . &amp;quot;</t>
  </si>
  <si>
    <t>file://conllu/en/teddy-1323.conllu#s84_0</t>
  </si>
  <si>
    <t>85</t>
  </si>
  <si>
    <t>for?</t>
  </si>
  <si>
    <t>answer</t>
  </si>
  <si>
    <t>You can answer that one pretty readily , at least for most people .</t>
  </si>
  <si>
    <t>file://conllu/en/teddy-1323.conllu#s85_0</t>
  </si>
  <si>
    <t>86</t>
  </si>
  <si>
    <t>But people who are depressed will also say , &amp;quot; No matter what we do , we 're all just going to die in the end . &amp;quot;</t>
  </si>
  <si>
    <t>file://conllu/en/teddy-1323.conllu#s86_0</t>
  </si>
  <si>
    <t>87</t>
  </si>
  <si>
    <t>or?</t>
  </si>
  <si>
    <t>Or they 'll say , &amp;quot; There can be no true communion between two human beings .</t>
  </si>
  <si>
    <t>file://conllu/en/teddy-1323.conllu#s87_0</t>
  </si>
  <si>
    <t>88</t>
  </si>
  <si>
    <t>trap</t>
  </si>
  <si>
    <t>Each of us is trapped in his own body . &amp;quot;</t>
  </si>
  <si>
    <t>file://conllu/en/teddy-1323.conllu#s88_0</t>
  </si>
  <si>
    <t>89</t>
  </si>
  <si>
    <t>To which you have to say , &amp;quot; That 's true , but I think we should focus right now on what to have for breakfast . &amp;quot;</t>
  </si>
  <si>
    <t>file://conllu/en/teddy-1323.conllu#s89_0</t>
  </si>
  <si>
    <t>90</t>
  </si>
  <si>
    <t>laughter</t>
  </si>
  <si>
    <t>( Laughter )</t>
  </si>
  <si>
    <t>file://conllu/en/teddy-1323.conllu#s90_0</t>
  </si>
  <si>
    <t>91</t>
  </si>
  <si>
    <t>be (be illness)</t>
  </si>
  <si>
    <t>A lot of the time , what they are expressing is not illness , but insight , and one comes to think what 's really extraordinary is that most of us know about those existential questions and they do n't distract us very much .</t>
  </si>
  <si>
    <t>file://conllu/en/teddy-1323.conllu#s91_0</t>
  </si>
  <si>
    <t>92</t>
  </si>
  <si>
    <t>There was a study I particularly liked in which a group of depressed and a group of non-depressed people were asked to play a video game for an hour , and at the end of the hour , they were asked how many little monsters they thought they had killed .</t>
  </si>
  <si>
    <t>file://conllu/en/teddy-1323.conllu#s92_0</t>
  </si>
  <si>
    <t>93</t>
  </si>
  <si>
    <t>be (be accurate)</t>
  </si>
  <si>
    <t>The depressive group was usually accurate to within about 10 percent , and the non-depressed people guessed between 15 and 20 times as many little monsters as they had actually killed .</t>
  </si>
  <si>
    <t>file://conllu/en/teddy-1323.conllu#s93_0</t>
  </si>
  <si>
    <t>94</t>
  </si>
  <si>
    <t>know (know say)</t>
  </si>
  <si>
    <t>A lot of people said , when I chose to write about my depression , that it must be very difficult to be out of that closet , to have people know .</t>
  </si>
  <si>
    <t>file://conllu/en/teddy-1323.conllu#s94_0</t>
  </si>
  <si>
    <t>95</t>
  </si>
  <si>
    <t>talk (talk say)</t>
  </si>
  <si>
    <t>They said , &amp;quot; Do people talk to you differently ? &amp;quot;</t>
  </si>
  <si>
    <t>file://conllu/en/teddy-1323.conllu#s95_0</t>
  </si>
  <si>
    <t>96</t>
  </si>
  <si>
    <t>I said , &amp;quot; Yes , people talk to me differently .</t>
  </si>
  <si>
    <t>file://conllu/en/teddy-1323.conllu#s96_0</t>
  </si>
  <si>
    <t>97</t>
  </si>
  <si>
    <t>Insofar as?</t>
  </si>
  <si>
    <t>talk</t>
  </si>
  <si>
    <t>They talk to me differently insofar as they start telling me about their experience , or their sister 's experience , or their friend 's experience .</t>
  </si>
  <si>
    <t>file://conllu/en/teddy-1323.conllu#s97_0</t>
  </si>
  <si>
    <t>98</t>
  </si>
  <si>
    <t>because?</t>
  </si>
  <si>
    <t>be (be different)</t>
  </si>
  <si>
    <t>Things are different because now I know that depression is the family secret that everyone has .</t>
  </si>
  <si>
    <t>file://conllu/en/teddy-1323.conllu#s98_0</t>
  </si>
  <si>
    <t>99</t>
  </si>
  <si>
    <t>I went a few years ago to a conference , and on Friday of the three day conference , one of the participants took me aside , and she said , &amp;quot; I suffer from depression and I 'm a little embarrassed about it , but I 've been taking this medication , and I just wanted to ask you what you think ? &amp;quot;</t>
  </si>
  <si>
    <t>file://conllu/en/teddy-1323.conllu#s99_0</t>
  </si>
  <si>
    <t>100</t>
  </si>
  <si>
    <t>best</t>
  </si>
  <si>
    <t>And so I did my best to give her such advice as I could .</t>
  </si>
  <si>
    <t>file://conllu/en/teddy-1323.conllu#s100_0</t>
  </si>
  <si>
    <t>101</t>
  </si>
  <si>
    <t>know (know understand say)</t>
  </si>
  <si>
    <t>And then she said , &amp;quot; You know , my husband would never understand this .</t>
  </si>
  <si>
    <t>file://conllu/en/teddy-1323.conllu#s101_0</t>
  </si>
  <si>
    <t>102</t>
  </si>
  <si>
    <t>so?</t>
  </si>
  <si>
    <t>He 's really the kind of guy to whom this would n't make any sense , so , you know , it 's just between us . &amp;quot;</t>
  </si>
  <si>
    <t>file://conllu/en/teddy-1323.conllu#s102_0</t>
  </si>
  <si>
    <t>103</t>
  </si>
  <si>
    <t>And I said ,</t>
  </si>
  <si>
    <t>file://conllu/en/teddy-1323.conllu#s103_0</t>
  </si>
  <si>
    <t>104</t>
  </si>
  <si>
    <t>be (be fine)</t>
  </si>
  <si>
    <t>&amp;quot; Yes , that 's fine . &amp;quot;</t>
  </si>
  <si>
    <t>file://conllu/en/teddy-1323.conllu#s104_0</t>
  </si>
  <si>
    <t>105</t>
  </si>
  <si>
    <t>take</t>
  </si>
  <si>
    <t>On Sunday of the same conference , her husband took me aside , and he said , &amp;quot; My wife would n't think that I was really much of a guy if she knew this , but I 've been dealing with this depression and I 'm taking some medication , and I wondered what you think ? &amp;quot;</t>
  </si>
  <si>
    <t>file://conllu/en/teddy-1323.conllu#s105_0</t>
  </si>
  <si>
    <t>106</t>
  </si>
  <si>
    <t>hide</t>
  </si>
  <si>
    <t>They were hiding the same medication in two different places in the same bedroom .</t>
  </si>
  <si>
    <t>file://conllu/en/teddy-1323.conllu#s106_0</t>
  </si>
  <si>
    <t>107</t>
  </si>
  <si>
    <t>think (think say)</t>
  </si>
  <si>
    <t>And I said that I thought communication within the marriage might be triggering some of their problems .</t>
  </si>
  <si>
    <t>file://conllu/en/teddy-1323.conllu#s107_0</t>
  </si>
  <si>
    <t>108</t>
  </si>
  <si>
    <t>strike</t>
  </si>
  <si>
    <t>But I was also struck by the burdensome nature of such mutual secrecy .</t>
  </si>
  <si>
    <t>file://conllu/en/teddy-1323.conllu#s108_0</t>
  </si>
  <si>
    <t>109</t>
  </si>
  <si>
    <t>be (be exhausting)</t>
  </si>
  <si>
    <t>Depression is so exhausting .</t>
  </si>
  <si>
    <t>file://conllu/en/teddy-1323.conllu#s109_0</t>
  </si>
  <si>
    <t>110</t>
  </si>
  <si>
    <t>It takes up so much of your time and energy , and silence about it , it really does make the depression worse .</t>
  </si>
  <si>
    <t>file://conllu/en/teddy-1323.conllu#s110_0</t>
  </si>
  <si>
    <t>111</t>
  </si>
  <si>
    <t>And then I began thinking about all the ways people make themselves better .</t>
  </si>
  <si>
    <t>file://conllu/en/teddy-1323.conllu#s111_0</t>
  </si>
  <si>
    <t>112</t>
  </si>
  <si>
    <t>I 'd started off as a medical conservative .</t>
  </si>
  <si>
    <t>file://conllu/en/teddy-1323.conllu#s112_0</t>
  </si>
  <si>
    <t>113</t>
  </si>
  <si>
    <t>I thought there were a few kinds of therapy that worked , it was clear what they were there was medication , there were certain psychotherapies , there was possibly electroconvulsive treatment , and that everything else was nonsense .</t>
  </si>
  <si>
    <t>file://conllu/en/teddy-1323.conllu#s113_0</t>
  </si>
  <si>
    <t>114</t>
  </si>
  <si>
    <t>But then I discovered something .</t>
  </si>
  <si>
    <t>file://conllu/en/teddy-1323.conllu#s114_0</t>
  </si>
  <si>
    <t>115</t>
  </si>
  <si>
    <t>still?</t>
  </si>
  <si>
    <t>make</t>
  </si>
  <si>
    <t>If you have brain cancer , and you say that standing on your head for 20 minutes every morning makes you feel better , it may make you feel better , but you still have brain cancer , and you 'll still probably die from it .</t>
  </si>
  <si>
    <t>file://conllu/en/teddy-1323.conllu#s115_0</t>
  </si>
  <si>
    <t>116</t>
  </si>
  <si>
    <t>work</t>
  </si>
  <si>
    <t>But if you say that you have depression , and standing on your head for 20 minutes every day makes you feel better , then it 's worked , because depression is an illness of how you feel , and if you feel better , then you are effectively not depressed anymore .</t>
  </si>
  <si>
    <t>file://conllu/en/teddy-1323.conllu#s116_0</t>
  </si>
  <si>
    <t>117</t>
  </si>
  <si>
    <t>So I became much more tolerant of the vast world of alternative treatments .</t>
  </si>
  <si>
    <t>file://conllu/en/teddy-1323.conllu#s117_0</t>
  </si>
  <si>
    <t>118</t>
  </si>
  <si>
    <t>get</t>
  </si>
  <si>
    <t>And I get letters , I get hundreds of letters from people writing to tell me about what 's worked for them .</t>
  </si>
  <si>
    <t>file://conllu/en/teddy-1323.conllu#s118_0</t>
  </si>
  <si>
    <t>119</t>
  </si>
  <si>
    <t>ask</t>
  </si>
  <si>
    <t>Someone was asking me backstage today about meditation .</t>
  </si>
  <si>
    <t>file://conllu/en/teddy-1323.conllu#s119_0</t>
  </si>
  <si>
    <t>120</t>
  </si>
  <si>
    <t>be (be one)</t>
  </si>
  <si>
    <t>My favorite of the letters that I got was the one that came from a woman who wrote and said that she had tried therapy , medication , she had tried pretty much everything , and she had found a solution and hoped I would tell the world , and that was making little things from yarn .</t>
  </si>
  <si>
    <t>file://conllu/en/teddy-1323.conllu#s120_0</t>
  </si>
  <si>
    <t>121</t>
  </si>
  <si>
    <t>send</t>
  </si>
  <si>
    <t>She sent me some of them .</t>
  </si>
  <si>
    <t>file://conllu/en/teddy-1323.conllu#s121_0</t>
  </si>
  <si>
    <t>122</t>
  </si>
  <si>
    <t>wear</t>
  </si>
  <si>
    <t>And I 'm not wearing them right now .</t>
  </si>
  <si>
    <t>file://conllu/en/teddy-1323.conllu#s122_0</t>
  </si>
  <si>
    <t>123</t>
  </si>
  <si>
    <t>suggest</t>
  </si>
  <si>
    <t>I suggested to her that she also should look up obsessive compulsive disorder in the DSM .</t>
  </si>
  <si>
    <t>file://conllu/en/teddy-1323.conllu#s123_0</t>
  </si>
  <si>
    <t>124</t>
  </si>
  <si>
    <t>gain</t>
  </si>
  <si>
    <t>And yet , when I went to look at alternative treatments , I also gained perspective on other treatments .</t>
  </si>
  <si>
    <t>file://conllu/en/teddy-1323.conllu#s124_0</t>
  </si>
  <si>
    <t>125</t>
  </si>
  <si>
    <t>I went through a tribal exorcism in Senegal that involved a great deal of ram 's blood and that I 'm not going to detail right now , but a few years afterwards I was in Rwanda , working on a different project , and I happened to describe my experience to someone , and he said , &amp;quot; Well , that 's West Africa , and we 're in East Africa , and our rituals are in some ways very different , but we do have some rituals that have something in common with what you 're describing . &amp;quot;</t>
  </si>
  <si>
    <t>file://conllu/en/teddy-1323.conllu#s125_0</t>
  </si>
  <si>
    <t>126</t>
  </si>
  <si>
    <t>And he said , &amp;quot; But we 've had a lot of trouble with Western mental health workers , especially the ones who came right after the genocide . &amp;quot;</t>
  </si>
  <si>
    <t>file://conllu/en/teddy-1323.conllu#s126_0</t>
  </si>
  <si>
    <t>127</t>
  </si>
  <si>
    <t>I said , &amp;quot; What kind of trouble did you have ? &amp;quot;</t>
  </si>
  <si>
    <t>file://conllu/en/teddy-1323.conllu#s127_0</t>
  </si>
  <si>
    <t>128</t>
  </si>
  <si>
    <t>And he said , &amp;quot; Well , they would do this bizarre thing .</t>
  </si>
  <si>
    <t>file://conllu/en/teddy-1323.conllu#s128_0</t>
  </si>
  <si>
    <t>129</t>
  </si>
  <si>
    <t>They did n't take people out in the sunshine where you begin to feel better .</t>
  </si>
  <si>
    <t>file://conllu/en/teddy-1323.conllu#s129_0</t>
  </si>
  <si>
    <t>130</t>
  </si>
  <si>
    <t>include</t>
  </si>
  <si>
    <t>They did n't include drumming or music to get people 's blood going .</t>
  </si>
  <si>
    <t>file://conllu/en/teddy-1323.conllu#s130_0</t>
  </si>
  <si>
    <t>131</t>
  </si>
  <si>
    <t>involve</t>
  </si>
  <si>
    <t>They did n't involve the whole community .</t>
  </si>
  <si>
    <t>file://conllu/en/teddy-1323.conllu#s131_0</t>
  </si>
  <si>
    <t>132</t>
  </si>
  <si>
    <t>externalize</t>
  </si>
  <si>
    <t>They did n't externalize the depression as an invasive spirit .</t>
  </si>
  <si>
    <t>file://conllu/en/teddy-1323.conllu#s132_0</t>
  </si>
  <si>
    <t>133</t>
  </si>
  <si>
    <t>Instead what they did was they took people one at a time into dingy little rooms and had them talk for an hour about bad things that had happened to them . &amp;quot;</t>
  </si>
  <si>
    <t>file://conllu/en/teddy-1323.conllu#s133_0</t>
  </si>
  <si>
    <t>134</t>
  </si>
  <si>
    <t>Applause</t>
  </si>
  <si>
    <t>( Applause )</t>
  </si>
  <si>
    <t>file://conllu/en/teddy-1323.conllu#s134_0</t>
  </si>
  <si>
    <t>135</t>
  </si>
  <si>
    <t>He said , &amp;quot; We had to ask them to leave the country . &amp;quot;</t>
  </si>
  <si>
    <t>file://conllu/en/teddy-1323.conllu#s135_0</t>
  </si>
  <si>
    <t>136</t>
  </si>
  <si>
    <t>let</t>
  </si>
  <si>
    <t>Now at the other end of alternative treatments , let me tell you about Frank Russakoff .</t>
  </si>
  <si>
    <t>file://conllu/en/teddy-1323.conllu#s136_0</t>
  </si>
  <si>
    <t>137</t>
  </si>
  <si>
    <t>Frank Russakoff had the worst depression perhaps that I 've ever seen in a man .</t>
  </si>
  <si>
    <t>file://conllu/en/teddy-1323.conllu#s137_0</t>
  </si>
  <si>
    <t>138</t>
  </si>
  <si>
    <t>be (be depresse)</t>
  </si>
  <si>
    <t>He was constantly depressed .</t>
  </si>
  <si>
    <t>file://conllu/en/teddy-1323.conllu#s138_0</t>
  </si>
  <si>
    <t>139</t>
  </si>
  <si>
    <t>He was , when I met him , at a point at which every month , he would have electroshock treatment .</t>
  </si>
  <si>
    <t>file://conllu/en/teddy-1323.conllu#s139_0</t>
  </si>
  <si>
    <t>140</t>
  </si>
  <si>
    <t>Then he would feel sort of disoriented for a week .</t>
  </si>
  <si>
    <t>file://conllu/en/teddy-1323.conllu#s140_0</t>
  </si>
  <si>
    <t>141</t>
  </si>
  <si>
    <t>Then he would feel okay for a week .</t>
  </si>
  <si>
    <t>file://conllu/en/teddy-1323.conllu#s141_0</t>
  </si>
  <si>
    <t>142</t>
  </si>
  <si>
    <t>Then he would have a week of going downhill .</t>
  </si>
  <si>
    <t>file://conllu/en/teddy-1323.conllu#s142_0</t>
  </si>
  <si>
    <t>143</t>
  </si>
  <si>
    <t>And then he would have another electroshock treatment .</t>
  </si>
  <si>
    <t>file://conllu/en/teddy-1323.conllu#s143_0</t>
  </si>
  <si>
    <t>144</t>
  </si>
  <si>
    <t>And he said to me when I met him , &amp;quot; It 's unbearable to go through my weeks this way .</t>
  </si>
  <si>
    <t>file://conllu/en/teddy-1323.conllu#s144_0</t>
  </si>
  <si>
    <t>145</t>
  </si>
  <si>
    <t>I ca n't go on this way , and I 've figured out how I 'm going to end it if I do n't get better . &amp;quot;</t>
  </si>
  <si>
    <t>file://conllu/en/teddy-1323.conllu#s145_0</t>
  </si>
  <si>
    <t>146</t>
  </si>
  <si>
    <t>&amp;quot; But , &amp;quot; he said to me , &amp;quot; I heard about a protocol at Mass General for a procedure called a cingulotomy , which is a brain surgery , and I think I 'm going to give that a try . &amp;quot;</t>
  </si>
  <si>
    <t>file://conllu/en/teddy-1323.conllu#s146_0</t>
  </si>
  <si>
    <t>147</t>
  </si>
  <si>
    <t>remember</t>
  </si>
  <si>
    <t>And I remember being amazed at that point to think that someone who clearly had so many bad experiences with so many different treatments still had buried in him , somewhere , enough optimism to reach out for one more .</t>
  </si>
  <si>
    <t>file://conllu/en/teddy-1323.conllu#s147_0</t>
  </si>
  <si>
    <t>148</t>
  </si>
  <si>
    <t>And he had the cingulotomy , and it was incredibly successful .</t>
  </si>
  <si>
    <t>file://conllu/en/teddy-1323.conllu#s148_0</t>
  </si>
  <si>
    <t>149</t>
  </si>
  <si>
    <t>be (be friend)</t>
  </si>
  <si>
    <t>He 's now a friend of mine .</t>
  </si>
  <si>
    <t>file://conllu/en/teddy-1323.conllu#s149_0</t>
  </si>
  <si>
    <t>150</t>
  </si>
  <si>
    <t>He has a lovely wife and two beautiful children .</t>
  </si>
  <si>
    <t>file://conllu/en/teddy-1323.conllu#s150_0</t>
  </si>
  <si>
    <t>151</t>
  </si>
  <si>
    <t>know (know write)</t>
  </si>
  <si>
    <t>He wrote me a letter the Christmas after the surgery , &amp;quot; My father sent me two presents this year , First , a motorized CD rack from The Sharper Image that I did n't really need , but I knew he was giving it to me to celebrate the fact that I 'm living on my own and have a job I seem to love .</t>
  </si>
  <si>
    <t>file://conllu/en/teddy-1323.conllu#s151_0</t>
  </si>
  <si>
    <t>152</t>
  </si>
  <si>
    <t>be (be photo)</t>
  </si>
  <si>
    <t>And the other present was a photo of my grandmother , who committed suicide .</t>
  </si>
  <si>
    <t>file://conllu/en/teddy-1323.conllu#s152_0</t>
  </si>
  <si>
    <t>153</t>
  </si>
  <si>
    <t>As I unwrapped it , I began to cry , and my mother came over and said , ' Are you crying because of the relatives you never knew ? '</t>
  </si>
  <si>
    <t>file://conllu/en/teddy-1323.conllu#s153_0</t>
  </si>
  <si>
    <t>154</t>
  </si>
  <si>
    <t>And I said , ' She had the same disease I have . '</t>
  </si>
  <si>
    <t>file://conllu/en/teddy-1323.conllu#s154_0</t>
  </si>
  <si>
    <t>155</t>
  </si>
  <si>
    <t>write (write cry)</t>
  </si>
  <si>
    <t>I 'm crying now as I write to you .</t>
  </si>
  <si>
    <t>file://conllu/en/teddy-1323.conllu#s155_0</t>
  </si>
  <si>
    <t>156</t>
  </si>
  <si>
    <t>be (be sad)</t>
  </si>
  <si>
    <t>It 's not that I 'm so sad , but I get overwhelmed , I think , because I could have killed myself , but my parents kept me going , and so did the doctors , and I had the surgery .</t>
  </si>
  <si>
    <t>file://conllu/en/teddy-1323.conllu#s156_0</t>
  </si>
  <si>
    <t>157</t>
  </si>
  <si>
    <t>be (be alive)</t>
  </si>
  <si>
    <t>I 'm alive and grateful .</t>
  </si>
  <si>
    <t>file://conllu/en/teddy-1323.conllu#s157_0</t>
  </si>
  <si>
    <t>158</t>
  </si>
  <si>
    <t>live</t>
  </si>
  <si>
    <t>We live in the right time , even if it does n't always feel like it . &amp;quot;</t>
  </si>
  <si>
    <t>file://conllu/en/teddy-1323.conllu#s158_0</t>
  </si>
  <si>
    <t>159</t>
  </si>
  <si>
    <t>I was struck by the fact that depression is broadly perceived to be a modern , Western , middle class thing , and I went to look at how it operated in a variety of other contexts , and one of the things I was most interested in was depression among the indigent .</t>
  </si>
  <si>
    <t>file://conllu/en/teddy-1323.conllu#s159_0</t>
  </si>
  <si>
    <t>160</t>
  </si>
  <si>
    <t>And so I went out to try to look at what was being done for poor people with depression .</t>
  </si>
  <si>
    <t>file://conllu/en/teddy-1323.conllu#s160_0</t>
  </si>
  <si>
    <t>161</t>
  </si>
  <si>
    <t>And what I discovered is that poor people are mostly not being treated for depression .</t>
  </si>
  <si>
    <t>file://conllu/en/teddy-1323.conllu#s161_0</t>
  </si>
  <si>
    <t>162</t>
  </si>
  <si>
    <t>be (be result)</t>
  </si>
  <si>
    <t>Depression is the result of a genetic vulnerability , which is presumably evenly distributed in the population , and triggering circumstances , which are likely to be more severe for people who are impoverished .</t>
  </si>
  <si>
    <t>file://conllu/en/teddy-1323.conllu#s162_0</t>
  </si>
  <si>
    <t>163</t>
  </si>
  <si>
    <t>yet?</t>
  </si>
  <si>
    <t>turn</t>
  </si>
  <si>
    <t>And yet it turns out that if you have a really lovely life but feel miserable all the time , you think , &amp;quot; Why do I feel like this ?</t>
  </si>
  <si>
    <t>file://conllu/en/teddy-1323.conllu#s163_0</t>
  </si>
  <si>
    <t>164</t>
  </si>
  <si>
    <t>I must have depression . &amp;quot;</t>
  </si>
  <si>
    <t>file://conllu/en/teddy-1323.conllu#s164_0</t>
  </si>
  <si>
    <t>165</t>
  </si>
  <si>
    <t>And you set out to find treatment for it .</t>
  </si>
  <si>
    <t>file://conllu/en/teddy-1323.conllu#s165_0</t>
  </si>
  <si>
    <t>166</t>
  </si>
  <si>
    <t>be (be commensurate)</t>
  </si>
  <si>
    <t>But if you have a perfectly awful life , and you feel miserable all the time , the way you feel is commensurate with your life , and it does n't occur to you to think , &amp;quot; Maybe this is treatable . &amp;quot;</t>
  </si>
  <si>
    <t>file://conllu/en/teddy-1323.conllu#s166_0</t>
  </si>
  <si>
    <t>167</t>
  </si>
  <si>
    <t>And so we have an epidemic in this country of depression among impoverished people that 's not being picked up and that 's not being treated and that 's not being addressed , and it 's a tragedy of a grand order .</t>
  </si>
  <si>
    <t>file://conllu/en/teddy-1323.conllu#s167_0</t>
  </si>
  <si>
    <t>168</t>
  </si>
  <si>
    <t>And so I found an academic who was doing a research project in slums outside of D.C. , where she picked up women who had come in for other health problems and diagnosed them with depression , and then provided six months of the experimental protocol .</t>
  </si>
  <si>
    <t>file://conllu/en/teddy-1323.conllu#s168_0</t>
  </si>
  <si>
    <t>169</t>
  </si>
  <si>
    <t>One of them , Lolly , came in , and this is what she said the day she came in .</t>
  </si>
  <si>
    <t>file://conllu/en/teddy-1323.conllu#s169_0</t>
  </si>
  <si>
    <t>170</t>
  </si>
  <si>
    <t>She said , and she was a woman , by the way , who had seven children .</t>
  </si>
  <si>
    <t>file://conllu/en/teddy-1323.conllu#s170_0</t>
  </si>
  <si>
    <t>171</t>
  </si>
  <si>
    <t>use (use say)</t>
  </si>
  <si>
    <t>She said , &amp;quot; I used to have a job but I had to give it up because I could n't go out of the house .</t>
  </si>
  <si>
    <t>file://conllu/en/teddy-1323.conllu#s171_0</t>
  </si>
  <si>
    <t>172</t>
  </si>
  <si>
    <t>I have nothing to say to my children .</t>
  </si>
  <si>
    <t>file://conllu/en/teddy-1323.conllu#s172_0</t>
  </si>
  <si>
    <t>173</t>
  </si>
  <si>
    <t>wait</t>
  </si>
  <si>
    <t>In the morning , I ca n't wait for them to leave , and then I climb in bed and pull the covers over my head , and three o'clock when they come home , it just comes so fast . &amp;quot;</t>
  </si>
  <si>
    <t>file://conllu/en/teddy-1323.conllu#s173_0</t>
  </si>
  <si>
    <t>174</t>
  </si>
  <si>
    <t>She said , &amp;quot; I 've been taking a lot of Tylenol , anything I can take so that I can sleep more .</t>
  </si>
  <si>
    <t>file://conllu/en/teddy-1323.conllu#s174_0</t>
  </si>
  <si>
    <t>175</t>
  </si>
  <si>
    <t>My husband has been telling me I 'm stupid , I 'm ugly .</t>
  </si>
  <si>
    <t>file://conllu/en/teddy-1323.conllu#s175_0</t>
  </si>
  <si>
    <t>176</t>
  </si>
  <si>
    <t>wish</t>
  </si>
  <si>
    <t>I wish I could stop the pain . &amp;quot;</t>
  </si>
  <si>
    <t>file://conllu/en/teddy-1323.conllu#s176_0</t>
  </si>
  <si>
    <t>177</t>
  </si>
  <si>
    <t>brotch</t>
  </si>
  <si>
    <t>Well , she was brought into this experimental protocol , and when I interviewed her six months later , she had taken a job working in childcare for the U.S. Navy , she had left the abusive husband , and she said to me , &amp;quot; My kids are so much happier now . &amp;quot;</t>
  </si>
  <si>
    <t>file://conllu/en/teddy-1323.conllu#s177_0</t>
  </si>
  <si>
    <t>178</t>
  </si>
  <si>
    <t>She said , &amp;quot; There 's one room in my new place for the boys and one room for the girls , but at night , they 're just all up on my bed , and we 're doing homework all together and everything .</t>
  </si>
  <si>
    <t>file://conllu/en/teddy-1323.conllu#s178_0</t>
  </si>
  <si>
    <t>179</t>
  </si>
  <si>
    <t>say (say want want)</t>
  </si>
  <si>
    <t>One of them wants to be a preacher , one of them wants to be a firefighter , and one of the girls says she 's going to be a lawyer .</t>
  </si>
  <si>
    <t>file://conllu/en/teddy-1323.conllu#s179_0</t>
  </si>
  <si>
    <t>180</t>
  </si>
  <si>
    <t>use (use cry)</t>
  </si>
  <si>
    <t>They do n't cry like they used to , and they do n't fight like they did .</t>
  </si>
  <si>
    <t>file://conllu/en/teddy-1323.conllu#s180_0</t>
  </si>
  <si>
    <t>181</t>
  </si>
  <si>
    <t>be (be all)</t>
  </si>
  <si>
    <t>That 's all I need now , is my kids .</t>
  </si>
  <si>
    <t>file://conllu/en/teddy-1323.conllu#s181_0</t>
  </si>
  <si>
    <t>182</t>
  </si>
  <si>
    <t>Things keep on changing , the way I dress , the way I feel , the way I act .</t>
  </si>
  <si>
    <t>file://conllu/en/teddy-1323.conllu#s182_0</t>
  </si>
  <si>
    <t>183</t>
  </si>
  <si>
    <t>I can go outside not being afraid anymore , and I do n't think those bad feelings are coming back , and if it were n't for Dr. Miranda and that , I would still be at home with the covers pulled over my head , if I were still alive at all .</t>
  </si>
  <si>
    <t>file://conllu/en/teddy-1323.conllu#s183_0</t>
  </si>
  <si>
    <t>184</t>
  </si>
  <si>
    <t>hear (hear ask)</t>
  </si>
  <si>
    <t>I asked the Lord to send me an angel , and He heard my prayers . &amp;quot;</t>
  </si>
  <si>
    <t>file://conllu/en/teddy-1323.conllu#s184_0</t>
  </si>
  <si>
    <t>185</t>
  </si>
  <si>
    <t>move</t>
  </si>
  <si>
    <t>I was really moved by these experiences , and I decided that I wanted to write about them not only in a book I was working on , but also in an article , and I got a commission from The New York Times Magazine to write about depression among the indigent .</t>
  </si>
  <si>
    <t>file://conllu/en/teddy-1323.conllu#s185_0</t>
  </si>
  <si>
    <t>186</t>
  </si>
  <si>
    <t>And I turned in my story , and my editor called me and said , &amp;quot; We really ca n't publish this . &amp;quot;</t>
  </si>
  <si>
    <t>file://conllu/en/teddy-1323.conllu#s186_0</t>
  </si>
  <si>
    <t>187</t>
  </si>
  <si>
    <t>And I said , &amp;quot; Why not ? &amp;quot;</t>
  </si>
  <si>
    <t>file://conllu/en/teddy-1323.conllu#s187_0</t>
  </si>
  <si>
    <t>188</t>
  </si>
  <si>
    <t>And she said , &amp;quot; It just is too far- fetched .</t>
  </si>
  <si>
    <t>file://conllu/en/teddy-1323.conllu#s188_0</t>
  </si>
  <si>
    <t>189</t>
  </si>
  <si>
    <t>people</t>
  </si>
  <si>
    <t>These people who are sort of at the very bottom rung of society and then they get a few months of treatment and they 're virtually ready to run Morgan Stanley ?</t>
  </si>
  <si>
    <t>file://conllu/en/teddy-1323.conllu#s189_0</t>
  </si>
  <si>
    <t>190</t>
  </si>
  <si>
    <t>be (be implausible)</t>
  </si>
  <si>
    <t>It 's just too implausible . &amp;quot;</t>
  </si>
  <si>
    <t>file://conllu/en/teddy-1323.conllu#s190_0</t>
  </si>
  <si>
    <t>191</t>
  </si>
  <si>
    <t>hear (hear say)</t>
  </si>
  <si>
    <t>She said , &amp;quot; I 've never even heard of anything like it . &amp;quot;</t>
  </si>
  <si>
    <t>file://conllu/en/teddy-1323.conllu#s191_0</t>
  </si>
  <si>
    <t>192</t>
  </si>
  <si>
    <t>And I said , &amp;quot; The fact that you 've never heard of it is an indication that it is news . &amp;quot;</t>
  </si>
  <si>
    <t>file://conllu/en/teddy-1323.conllu#s192_0</t>
  </si>
  <si>
    <t>193</t>
  </si>
  <si>
    <t>be (be magazine)</t>
  </si>
  <si>
    <t>&amp;quot; And you are a news magazine . &amp;quot;</t>
  </si>
  <si>
    <t>file://conllu/en/teddy-1323.conllu#s193_0</t>
  </si>
  <si>
    <t>194</t>
  </si>
  <si>
    <t>after?</t>
  </si>
  <si>
    <t>agree</t>
  </si>
  <si>
    <t>So after a certain amount of negotiation , they agreed to it .</t>
  </si>
  <si>
    <t>file://conllu/en/teddy-1323.conllu#s194_0</t>
  </si>
  <si>
    <t>195</t>
  </si>
  <si>
    <t>But I think a lot of what they said was connected in some strange way to this distaste that people still have for the idea of treatment , the notion that somehow if we went out and treated a lot of people in indigent communities , that would be exploitative , because we would be changing them .</t>
  </si>
  <si>
    <t>file://conllu/en/teddy-1323.conllu#s195_0</t>
  </si>
  <si>
    <t>196</t>
  </si>
  <si>
    <t>There is this false moral imperative that seems to be all around us , that treatment of depression , the medications and so on , are an artifice , and that it 's not natural .</t>
  </si>
  <si>
    <t>file://conllu/en/teddy-1323.conllu#s196_0</t>
  </si>
  <si>
    <t>197</t>
  </si>
  <si>
    <t>And I think that 's very misguided .</t>
  </si>
  <si>
    <t>file://conllu/en/teddy-1323.conllu#s197_0</t>
  </si>
  <si>
    <t>198</t>
  </si>
  <si>
    <t>be (be natural)</t>
  </si>
  <si>
    <t>It would be natural for people 's teeth to fall out , but there is nobody militating against toothpaste , at least not in my circles .</t>
  </si>
  <si>
    <t>file://conllu/en/teddy-1323.conllu#s198_0</t>
  </si>
  <si>
    <t>199</t>
  </si>
  <si>
    <t>People then say , &amp;quot; But is n't depression part of what people are supposed to experience ?</t>
  </si>
  <si>
    <t>file://conllu/en/teddy-1323.conllu#s199_0</t>
  </si>
  <si>
    <t>200</t>
  </si>
  <si>
    <t>we</t>
  </si>
  <si>
    <t>Did n't we evolve to have depression ?</t>
  </si>
  <si>
    <t>file://conllu/en/teddy-1323.conllu#s200_0</t>
  </si>
  <si>
    <t>201</t>
  </si>
  <si>
    <t>be (be part)</t>
  </si>
  <si>
    <t>Is n't it part of your personality ? &amp;quot;</t>
  </si>
  <si>
    <t>file://conllu/en/teddy-1323.conllu#s201_0</t>
  </si>
  <si>
    <t>202</t>
  </si>
  <si>
    <t>To which I would say , mood is adaptive .</t>
  </si>
  <si>
    <t>file://conllu/en/teddy-1323.conllu#s202_0</t>
  </si>
  <si>
    <t>203</t>
  </si>
  <si>
    <t>Being able to have sadness and fear and joy and pleasure and all of the other moods that we have , that 's incredibly valuable .</t>
  </si>
  <si>
    <t>file://conllu/en/teddy-1323.conllu#s203_0</t>
  </si>
  <si>
    <t>204</t>
  </si>
  <si>
    <t>be (be something)</t>
  </si>
  <si>
    <t>And major depression is something that happens when that system gets broken .</t>
  </si>
  <si>
    <t>file://conllu/en/teddy-1323.conllu#s204_0</t>
  </si>
  <si>
    <t>205</t>
  </si>
  <si>
    <t>be (be maladaptive)</t>
  </si>
  <si>
    <t>It 's maladaptive .</t>
  </si>
  <si>
    <t>file://conllu/en/teddy-1323.conllu#s205_0</t>
  </si>
  <si>
    <t>206</t>
  </si>
  <si>
    <t>though?</t>
  </si>
  <si>
    <t>People will come to me and say , &amp;quot; I think , though , if I just stick it out for another year , I think I can just get through this . &amp;quot;</t>
  </si>
  <si>
    <t>file://conllu/en/teddy-1323.conllu#s206_0</t>
  </si>
  <si>
    <t>207</t>
  </si>
  <si>
    <t>And I always say to them , &amp;quot; You may get through it , but you 'll never be 37 again .</t>
  </si>
  <si>
    <t>file://conllu/en/teddy-1323.conllu#s207_0</t>
  </si>
  <si>
    <t>208</t>
  </si>
  <si>
    <t>be (be short)</t>
  </si>
  <si>
    <t>Life is short , and that 's a whole year you 're talking about giving up .</t>
  </si>
  <si>
    <t>file://conllu/en/teddy-1323.conllu#s208_0</t>
  </si>
  <si>
    <t>209</t>
  </si>
  <si>
    <t>Think it through . &amp;quot;</t>
  </si>
  <si>
    <t>file://conllu/en/teddy-1323.conllu#s209_0</t>
  </si>
  <si>
    <t>210</t>
  </si>
  <si>
    <t>indeed?</t>
  </si>
  <si>
    <t>be (be poverty)</t>
  </si>
  <si>
    <t>It 's a strange poverty of the English language , and indeed of many other languages , that we use this same word , depression , to describe how a kid feels when it rains on his birthday , and to describe how somebody feels the minute before they commit suicide .</t>
  </si>
  <si>
    <t>file://conllu/en/teddy-1323.conllu#s210_0</t>
  </si>
  <si>
    <t>211</t>
  </si>
  <si>
    <t>People say to me , &amp;quot; Well , is it continuous with normal sadness ? &amp;quot;</t>
  </si>
  <si>
    <t>file://conllu/en/teddy-1323.conllu#s211_0</t>
  </si>
  <si>
    <t>212</t>
  </si>
  <si>
    <t>And I say , in a way it 's continuous with normal sadness .</t>
  </si>
  <si>
    <t>file://conllu/en/teddy-1323.conllu#s212_0</t>
  </si>
  <si>
    <t>213</t>
  </si>
  <si>
    <t>There is a certain amount of continuity , but it 's the same way there 's continuity between having an iron fence outside your house that gets a little rust spot that you have to sand off and do a little repainting , and what happens if you leave the house for 100 years and it rusts through until it 's only a pile of orange dust .</t>
  </si>
  <si>
    <t>file://conllu/en/teddy-1323.conllu#s213_0</t>
  </si>
  <si>
    <t>214</t>
  </si>
  <si>
    <t>And it 's that orange dust spot , that orange dust problem , that 's the one we 're setting out to address .</t>
  </si>
  <si>
    <t>file://conllu/en/teddy-1323.conllu#s214_0</t>
  </si>
  <si>
    <t>215</t>
  </si>
  <si>
    <t>So now people say , &amp;quot; You take these happy pills , and do you feel happy ? &amp;quot;</t>
  </si>
  <si>
    <t>file://conllu/en/teddy-1323.conllu#s215_0</t>
  </si>
  <si>
    <t>216</t>
  </si>
  <si>
    <t>And I do n't .</t>
  </si>
  <si>
    <t>file://conllu/en/teddy-1323.conllu#s216_0</t>
  </si>
  <si>
    <t>217</t>
  </si>
  <si>
    <t>But I do n't feel sad about having to eat lunch , and I do n't feel sad about my answering machine , about taking a shower .</t>
  </si>
  <si>
    <t>file://conllu/en/teddy-1323.conllu#s217_0</t>
  </si>
  <si>
    <t>218</t>
  </si>
  <si>
    <t>I feel more , in fact , I think , because I can feel sadness without nullity .</t>
  </si>
  <si>
    <t>file://conllu/en/teddy-1323.conllu#s218_0</t>
  </si>
  <si>
    <t>219</t>
  </si>
  <si>
    <t>I feel sad about professional disappointments , about damaged relationships , about global warming .</t>
  </si>
  <si>
    <t>file://conllu/en/teddy-1323.conllu#s219_0</t>
  </si>
  <si>
    <t>220</t>
  </si>
  <si>
    <t>be (be thing)</t>
  </si>
  <si>
    <t>Those are the things that I feel sad about now .</t>
  </si>
  <si>
    <t>file://conllu/en/teddy-1323.conllu#s220_0</t>
  </si>
  <si>
    <t>221</t>
  </si>
  <si>
    <t>And I said to myself , well , what is the conclusion ?</t>
  </si>
  <si>
    <t>file://conllu/en/teddy-1323.conllu#s221_0</t>
  </si>
  <si>
    <t>222</t>
  </si>
  <si>
    <t>How did those people who have better lives even with bigger depression manage to get through ?</t>
  </si>
  <si>
    <t>file://conllu/en/teddy-1323.conllu#s222_0</t>
  </si>
  <si>
    <t>223</t>
  </si>
  <si>
    <t>What is the mechanism of resilience ?</t>
  </si>
  <si>
    <t>file://conllu/en/teddy-1323.conllu#s223_0</t>
  </si>
  <si>
    <t>224</t>
  </si>
  <si>
    <t>And what I came up with over time was that the people who deny their experience , and say , &amp;quot; I was depressed a long time ago , I never want to think about it again , I 'm not going to look at it and I 'm just going to get on with my life , &amp;quot; ironically , those are the people who are most enslaved by what they have .</t>
  </si>
  <si>
    <t>file://conllu/en/teddy-1323.conllu#s224_0</t>
  </si>
  <si>
    <t>225</t>
  </si>
  <si>
    <t>Shutt</t>
  </si>
  <si>
    <t>Shutting out the depression strengthens it .</t>
  </si>
  <si>
    <t>file://conllu/en/teddy-1323.conllu#s225_0</t>
  </si>
  <si>
    <t>226</t>
  </si>
  <si>
    <t>while?</t>
  </si>
  <si>
    <t>grow</t>
  </si>
  <si>
    <t>While you hide from it , it grows .</t>
  </si>
  <si>
    <t>file://conllu/en/teddy-1323.conllu#s226_0</t>
  </si>
  <si>
    <t>227</t>
  </si>
  <si>
    <t>And the people who do better are the ones who are able to tolerate the fact that they have this condition .</t>
  </si>
  <si>
    <t>file://conllu/en/teddy-1323.conllu#s227_0</t>
  </si>
  <si>
    <t>228</t>
  </si>
  <si>
    <t>Those who can tolerate their depression are the ones who achieve resilience .</t>
  </si>
  <si>
    <t>file://conllu/en/teddy-1323.conllu#s228_0</t>
  </si>
  <si>
    <t>229</t>
  </si>
  <si>
    <t>suppose (suppose say)</t>
  </si>
  <si>
    <t>So Frank Russakoff said to me , &amp;quot; If I had a do over , I suppose I would n't do it this way , but in a strange way , I 'm grateful for what I 've experienced .</t>
  </si>
  <si>
    <t>file://conllu/en/teddy-1323.conllu#s229_0</t>
  </si>
  <si>
    <t>230</t>
  </si>
  <si>
    <t>be (be glad)</t>
  </si>
  <si>
    <t>I 'm glad to have been in the hospital 40 times .</t>
  </si>
  <si>
    <t>file://conllu/en/teddy-1323.conllu#s230_0</t>
  </si>
  <si>
    <t>231</t>
  </si>
  <si>
    <t>teach</t>
  </si>
  <si>
    <t>It taught me so much about love , and my relationship with my parents and my doctors has been so precious to me , and will be always . &amp;quot;</t>
  </si>
  <si>
    <t>file://conllu/en/teddy-1323.conllu#s231_0</t>
  </si>
  <si>
    <t>232</t>
  </si>
  <si>
    <t>talk (talk talk talk use say)</t>
  </si>
  <si>
    <t>And Maggie Robbins said , &amp;quot; I used to volunteer in an AIDS clinic , and I would just talk and talk and talk , and the people I was dealing with were n't very responsive , and I thought , ' That 's not very friendly or helpful of them . ' &amp;quot;</t>
  </si>
  <si>
    <t>file://conllu/en/teddy-1323.conllu#s232_0</t>
  </si>
  <si>
    <t>233</t>
  </si>
  <si>
    <t>realize (realize realize)</t>
  </si>
  <si>
    <t>&amp;quot; And then I realized , I realized that they were n't going to do more than make those first few minutes of small talk .</t>
  </si>
  <si>
    <t>file://conllu/en/teddy-1323.conllu#s233_0</t>
  </si>
  <si>
    <t>234</t>
  </si>
  <si>
    <t>It was simply going to be an occasion where I did n't have AIDS and I was n't dying , but could tolerate the fact that they did and they were .</t>
  </si>
  <si>
    <t>file://conllu/en/teddy-1323.conllu#s234_0</t>
  </si>
  <si>
    <t>235</t>
  </si>
  <si>
    <t>be (be asset)</t>
  </si>
  <si>
    <t>Our needs are our greatest assets .</t>
  </si>
  <si>
    <t>file://conllu/en/teddy-1323.conllu#s235_0</t>
  </si>
  <si>
    <t>236</t>
  </si>
  <si>
    <t>It turns out I 've learned to give all the things I need . &amp;quot;</t>
  </si>
  <si>
    <t>file://conllu/en/teddy-1323.conllu#s236_0</t>
  </si>
  <si>
    <t>237</t>
  </si>
  <si>
    <t>prevent</t>
  </si>
  <si>
    <t>Valuing one 's depression does not prevent a relapse , but it may make the prospect of relapse and even relapse itself easier to tolerate .</t>
  </si>
  <si>
    <t>file://conllu/en/teddy-1323.conllu#s237_0</t>
  </si>
  <si>
    <t>238</t>
  </si>
  <si>
    <t>The question is not so much of finding great meaning and deciding your depression has been very meaningful .</t>
  </si>
  <si>
    <t>file://conllu/en/teddy-1323.conllu#s238_0</t>
  </si>
  <si>
    <t>239</t>
  </si>
  <si>
    <t>seek</t>
  </si>
  <si>
    <t>It 's of seeking that meaning and thinking , when it comes again , &amp;quot; This will be hellish , but I will learn something from it . &amp;quot;</t>
  </si>
  <si>
    <t>file://conllu/en/teddy-1323.conllu#s239_0</t>
  </si>
  <si>
    <t>240</t>
  </si>
  <si>
    <t>allow (allow find learn)</t>
  </si>
  <si>
    <t>I have learned in my own depression how big an emotion can be , how it can be more real than facts , and I have found that that experience has allowed me to experience positive emotion in a more intense and more focused way .</t>
  </si>
  <si>
    <t>file://conllu/en/teddy-1323.conllu#s240_0</t>
  </si>
  <si>
    <t>241</t>
  </si>
  <si>
    <t>is not happiness , but vitality , and these days , my life is vital , even on the days when I 'm sad .</t>
  </si>
  <si>
    <t>file://conllu/en/teddy-1323.conllu#s241_0</t>
  </si>
  <si>
    <t>242</t>
  </si>
  <si>
    <t>I felt that funeral in my brain , and I sat next to the colossus at the edge of the world , and I have discovered something inside of myself that I would have to call a soul that I had never formulated until that day 20 years ago when hell came to pay me a surprise visit .</t>
  </si>
  <si>
    <t>file://conllu/en/teddy-1323.conllu#s242_0</t>
  </si>
  <si>
    <t>243</t>
  </si>
  <si>
    <t>find (find think)</t>
  </si>
  <si>
    <t>I think that while I hated being depressed and would hate to be depressed again , I 've found a way to love my depression .</t>
  </si>
  <si>
    <t>file://conllu/en/teddy-1323.conllu#s243_0</t>
  </si>
  <si>
    <t>244</t>
  </si>
  <si>
    <t>love</t>
  </si>
  <si>
    <t>I love it because it has forced me to find and cling to joy .</t>
  </si>
  <si>
    <t>file://conllu/en/teddy-1323.conllu#s244_0</t>
  </si>
  <si>
    <t>245</t>
  </si>
  <si>
    <t>I love it because each day I decide , sometimes gamely , and sometimes against the moment 's reason , to cleave to the reasons for living .</t>
  </si>
  <si>
    <t>file://conllu/en/teddy-1323.conllu#s245_0</t>
  </si>
  <si>
    <t>246</t>
  </si>
  <si>
    <t>And that , I think , is a highly privileged rapture .</t>
  </si>
  <si>
    <t>file://conllu/en/teddy-1323.conllu#s246_0</t>
  </si>
  <si>
    <t>247</t>
  </si>
  <si>
    <t>thank</t>
  </si>
  <si>
    <t>Thank you .</t>
  </si>
  <si>
    <t>file://conllu/en/teddy-1323.conllu#s247_0</t>
  </si>
  <si>
    <t>WORD</t>
  </si>
  <si>
    <t>GR</t>
  </si>
  <si>
    <t>NP_TYPE</t>
  </si>
  <si>
    <t>REF_AUTO</t>
  </si>
  <si>
    <t>COREF</t>
  </si>
  <si>
    <t>REF</t>
  </si>
  <si>
    <t>IS</t>
  </si>
  <si>
    <t>CB</t>
  </si>
  <si>
    <t>GR_ANTE</t>
  </si>
  <si>
    <t>REF_DIST</t>
  </si>
  <si>
    <t>REF_DIST_ANTE</t>
  </si>
  <si>
    <t># text = \"I felt a Funeral, in my Brain, and Mourners to and fro kept treading -- treading -- till [it seemed] that Sense was breaking through --</t>
  </si>
  <si>
    <t>&amp;quot;</t>
  </si>
  <si>
    <t>I</t>
  </si>
  <si>
    <t>SBJ</t>
  </si>
  <si>
    <t>pron.pper</t>
  </si>
  <si>
    <t>?OLD</t>
  </si>
  <si>
    <t>felt</t>
  </si>
  <si>
    <t>a</t>
  </si>
  <si>
    <t>Funeral</t>
  </si>
  <si>
    <t>,</t>
  </si>
  <si>
    <t>in</t>
  </si>
  <si>
    <t>my</t>
  </si>
  <si>
    <t>other_2</t>
  </si>
  <si>
    <t>pron.ppos</t>
  </si>
  <si>
    <t>Brain</t>
  </si>
  <si>
    <t>other</t>
  </si>
  <si>
    <t>ne</t>
  </si>
  <si>
    <t>and</t>
  </si>
  <si>
    <t>Mourners</t>
  </si>
  <si>
    <t>indef-np.bare</t>
  </si>
  <si>
    <t>to</t>
  </si>
  <si>
    <t>fro</t>
  </si>
  <si>
    <t>other_3</t>
  </si>
  <si>
    <t>kept</t>
  </si>
  <si>
    <t>treading</t>
  </si>
  <si>
    <t>till</t>
  </si>
  <si>
    <t>[</t>
  </si>
  <si>
    <t>it</t>
  </si>
  <si>
    <t>SBJ_4</t>
  </si>
  <si>
    <t>seemed</t>
  </si>
  <si>
    <t>]</t>
  </si>
  <si>
    <t>that</t>
  </si>
  <si>
    <t>Sense</t>
  </si>
  <si>
    <t>SBJ_5</t>
  </si>
  <si>
    <t>was</t>
  </si>
  <si>
    <t>breaking</t>
  </si>
  <si>
    <t>through</t>
  </si>
  <si>
    <t># text = And when they all were seated, a Service, like a Drum -- kept beating -- beating -- till I [thought] my Mind was going numb --</t>
  </si>
  <si>
    <t>And</t>
  </si>
  <si>
    <t>when</t>
  </si>
  <si>
    <t>they</t>
  </si>
  <si>
    <t>SBJ_2</t>
  </si>
  <si>
    <t>all</t>
  </si>
  <si>
    <t>were</t>
  </si>
  <si>
    <t>seated</t>
  </si>
  <si>
    <t>Service</t>
  </si>
  <si>
    <t>indef-np.a</t>
  </si>
  <si>
    <t>like</t>
  </si>
  <si>
    <t>Drum</t>
  </si>
  <si>
    <t>beating</t>
  </si>
  <si>
    <t>thought</t>
  </si>
  <si>
    <t>other_6</t>
  </si>
  <si>
    <t>Mind</t>
  </si>
  <si>
    <t>going</t>
  </si>
  <si>
    <t>numb</t>
  </si>
  <si>
    <t>OBJ_5</t>
  </si>
  <si>
    <t>--</t>
  </si>
  <si>
    <t># text = And then I heard them lift a Box and creak across my Soul with those same Boots of Lead, again, then Space -- began to toll, As [all] the Heavens were a Bell, and Being, [but] an Ear, and I, and Silence, some strange Race, wrecked, solitary, here -- [And] then a Plank in Reason, broke, and I fell down and down -- and hit a World, at every plunge, and Finished knowing -- then --\"</t>
  </si>
  <si>
    <t>then</t>
  </si>
  <si>
    <t>heard</t>
  </si>
  <si>
    <t>them</t>
  </si>
  <si>
    <t>OBJ</t>
  </si>
  <si>
    <t>lift</t>
  </si>
  <si>
    <t>Box</t>
  </si>
  <si>
    <t>OBJ_2</t>
  </si>
  <si>
    <t>creak</t>
  </si>
  <si>
    <t>across</t>
  </si>
  <si>
    <t>Soul</t>
  </si>
  <si>
    <t>with</t>
  </si>
  <si>
    <t>those</t>
  </si>
  <si>
    <t>same</t>
  </si>
  <si>
    <t>Boots</t>
  </si>
  <si>
    <t>def-np.dem</t>
  </si>
  <si>
    <t>of</t>
  </si>
  <si>
    <t>Lead</t>
  </si>
  <si>
    <t>again</t>
  </si>
  <si>
    <t>Space</t>
  </si>
  <si>
    <t>began</t>
  </si>
  <si>
    <t>toll</t>
  </si>
  <si>
    <t>As</t>
  </si>
  <si>
    <t>the</t>
  </si>
  <si>
    <t>Heavens</t>
  </si>
  <si>
    <t>SBJ_3</t>
  </si>
  <si>
    <t>Bell</t>
  </si>
  <si>
    <t>Being</t>
  </si>
  <si>
    <t>but</t>
  </si>
  <si>
    <t>an</t>
  </si>
  <si>
    <t>Ear</t>
  </si>
  <si>
    <t>Silence</t>
  </si>
  <si>
    <t>some</t>
  </si>
  <si>
    <t>strange</t>
  </si>
  <si>
    <t>Race</t>
  </si>
  <si>
    <t>wrecked</t>
  </si>
  <si>
    <t>solitary</t>
  </si>
  <si>
    <t>here</t>
  </si>
  <si>
    <t>pron.padv</t>
  </si>
  <si>
    <t>Plank</t>
  </si>
  <si>
    <t>Reason</t>
  </si>
  <si>
    <t>other_4</t>
  </si>
  <si>
    <t>broke</t>
  </si>
  <si>
    <t>fell</t>
  </si>
  <si>
    <t>down</t>
  </si>
  <si>
    <t>hit</t>
  </si>
  <si>
    <t>World</t>
  </si>
  <si>
    <t>OBJ_4</t>
  </si>
  <si>
    <t>at</t>
  </si>
  <si>
    <t>every</t>
  </si>
  <si>
    <t>plunge</t>
  </si>
  <si>
    <t>indef-np</t>
  </si>
  <si>
    <t>Finished</t>
  </si>
  <si>
    <t>knowing</t>
  </si>
  <si>
    <t># text = We know depression through metaphors.</t>
  </si>
  <si>
    <t>We</t>
  </si>
  <si>
    <t>depression</t>
  </si>
  <si>
    <t>metaphors</t>
  </si>
  <si>
    <t>.</t>
  </si>
  <si>
    <t># text = Emily Dickinson was able to convey it in language, Goya in an image.</t>
  </si>
  <si>
    <t>Emily</t>
  </si>
  <si>
    <t>Dickinson</t>
  </si>
  <si>
    <t>able</t>
  </si>
  <si>
    <t>convey</t>
  </si>
  <si>
    <t>language</t>
  </si>
  <si>
    <t>Goya</t>
  </si>
  <si>
    <t>image</t>
  </si>
  <si>
    <t># text = Half the purpose of art is to describe such iconic states.</t>
  </si>
  <si>
    <t>Half</t>
  </si>
  <si>
    <t>purpose</t>
  </si>
  <si>
    <t>def-np.the</t>
  </si>
  <si>
    <t>art</t>
  </si>
  <si>
    <t>is</t>
  </si>
  <si>
    <t>describe</t>
  </si>
  <si>
    <t>such</t>
  </si>
  <si>
    <t>iconic</t>
  </si>
  <si>
    <t>states</t>
  </si>
  <si>
    <t>pron.pds</t>
  </si>
  <si>
    <t># text = As for me, I had always thought myself tough, one of the people who could survive if I'd been sent to a concentration camp.</t>
  </si>
  <si>
    <t>for</t>
  </si>
  <si>
    <t>me</t>
  </si>
  <si>
    <t>had</t>
  </si>
  <si>
    <t>always</t>
  </si>
  <si>
    <t>myself</t>
  </si>
  <si>
    <t>tough</t>
  </si>
  <si>
    <t>who</t>
  </si>
  <si>
    <t>could</t>
  </si>
  <si>
    <t>survive</t>
  </si>
  <si>
    <t>if</t>
  </si>
  <si>
    <t>'d</t>
  </si>
  <si>
    <t>been</t>
  </si>
  <si>
    <t>sent</t>
  </si>
  <si>
    <t>concentration</t>
  </si>
  <si>
    <t>camp</t>
  </si>
  <si>
    <t>other_5</t>
  </si>
  <si>
    <t># text = In 1991, I had a series of losses.</t>
  </si>
  <si>
    <t>In</t>
  </si>
  <si>
    <t>1991</t>
  </si>
  <si>
    <t>series</t>
  </si>
  <si>
    <t>losses</t>
  </si>
  <si>
    <t># text = My mother died, a relationship I'd been in ended, I moved back to the United States from some years abroad, and I got through all of those experiences intact.</t>
  </si>
  <si>
    <t>My</t>
  </si>
  <si>
    <t>mother</t>
  </si>
  <si>
    <t>def-np.poss</t>
  </si>
  <si>
    <t>died</t>
  </si>
  <si>
    <t>relationship</t>
  </si>
  <si>
    <t>ended</t>
  </si>
  <si>
    <t>moved</t>
  </si>
  <si>
    <t>back</t>
  </si>
  <si>
    <t>United</t>
  </si>
  <si>
    <t>States</t>
  </si>
  <si>
    <t>from</t>
  </si>
  <si>
    <t>years</t>
  </si>
  <si>
    <t>indef-np.quant</t>
  </si>
  <si>
    <t>abroad</t>
  </si>
  <si>
    <t>got</t>
  </si>
  <si>
    <t>experiences</t>
  </si>
  <si>
    <t>intact</t>
  </si>
  <si>
    <t># text = But in 1994, three years later, I found myself losing interest in almost everything.</t>
  </si>
  <si>
    <t>But</t>
  </si>
  <si>
    <t>1994</t>
  </si>
  <si>
    <t>three</t>
  </si>
  <si>
    <t>later</t>
  </si>
  <si>
    <t>found</t>
  </si>
  <si>
    <t>losing</t>
  </si>
  <si>
    <t>interest</t>
  </si>
  <si>
    <t>almost</t>
  </si>
  <si>
    <t>pron</t>
  </si>
  <si>
    <t># text = I didn't want to do any of the things I had previously wanted to do, and I didn't know why.</t>
  </si>
  <si>
    <t>did</t>
  </si>
  <si>
    <t>n't</t>
  </si>
  <si>
    <t>want</t>
  </si>
  <si>
    <t>any</t>
  </si>
  <si>
    <t>things</t>
  </si>
  <si>
    <t>previously</t>
  </si>
  <si>
    <t>wanted</t>
  </si>
  <si>
    <t>why</t>
  </si>
  <si>
    <t>pron.pint</t>
  </si>
  <si>
    <t># text = The opposite of depression is not happiness, but vitality.</t>
  </si>
  <si>
    <t>The</t>
  </si>
  <si>
    <t>opposite</t>
  </si>
  <si>
    <t>not</t>
  </si>
  <si>
    <t>happiness</t>
  </si>
  <si>
    <t>vitality</t>
  </si>
  <si>
    <t># text = And it was vitality that seemed to seep away from me in that moment.</t>
  </si>
  <si>
    <t>seep</t>
  </si>
  <si>
    <t>away</t>
  </si>
  <si>
    <t>moment</t>
  </si>
  <si>
    <t># text = Everything there was to do seemed like too much work.</t>
  </si>
  <si>
    <t>Everything</t>
  </si>
  <si>
    <t>there</t>
  </si>
  <si>
    <t>too</t>
  </si>
  <si>
    <t>much</t>
  </si>
  <si>
    <t># text = I would come home and I would see the red light flashing on my answering machine, and instead of being thrilled to hear from my friends, I would think, \"What a lot of people that is to have to call back.\"</t>
  </si>
  <si>
    <t>would</t>
  </si>
  <si>
    <t>home</t>
  </si>
  <si>
    <t>see</t>
  </si>
  <si>
    <t>red</t>
  </si>
  <si>
    <t>light</t>
  </si>
  <si>
    <t>flashing</t>
  </si>
  <si>
    <t>on</t>
  </si>
  <si>
    <t>answering</t>
  </si>
  <si>
    <t>machine</t>
  </si>
  <si>
    <t>instead</t>
  </si>
  <si>
    <t>being</t>
  </si>
  <si>
    <t>thrilled</t>
  </si>
  <si>
    <t>friends</t>
  </si>
  <si>
    <t>What</t>
  </si>
  <si>
    <t>lot</t>
  </si>
  <si>
    <t>call</t>
  </si>
  <si>
    <t># text = Or I would decide I should have lunch, and then I would think, but I'd have to get the food out and put it on a plate and cut it up and chew it and swallow it, and it felt to me like the Stations of the Cross.</t>
  </si>
  <si>
    <t>Or</t>
  </si>
  <si>
    <t>decide</t>
  </si>
  <si>
    <t>should</t>
  </si>
  <si>
    <t>lunch</t>
  </si>
  <si>
    <t>food</t>
  </si>
  <si>
    <t>out</t>
  </si>
  <si>
    <t>put</t>
  </si>
  <si>
    <t>plate</t>
  </si>
  <si>
    <t>cut</t>
  </si>
  <si>
    <t>up</t>
  </si>
  <si>
    <t>chew</t>
  </si>
  <si>
    <t>swallow</t>
  </si>
  <si>
    <t>OBJ_6</t>
  </si>
  <si>
    <t>Stations</t>
  </si>
  <si>
    <t>Cross</t>
  </si>
  <si>
    <t># text = And one of the things that often gets lost in discussions of depression is that you know it's ridiculous.</t>
  </si>
  <si>
    <t>often</t>
  </si>
  <si>
    <t>gets</t>
  </si>
  <si>
    <t>lost</t>
  </si>
  <si>
    <t>discussions</t>
  </si>
  <si>
    <t>you</t>
  </si>
  <si>
    <t>'s</t>
  </si>
  <si>
    <t>ridiculous</t>
  </si>
  <si>
    <t># text = You know it's ridiculous while you're experiencing it.</t>
  </si>
  <si>
    <t>You</t>
  </si>
  <si>
    <t>while</t>
  </si>
  <si>
    <t>'re</t>
  </si>
  <si>
    <t>experiencing</t>
  </si>
  <si>
    <t>OBJ_3</t>
  </si>
  <si>
    <t># text = You know that most people manage to listen to their messages and eat lunch and organize themselves to take a shower and go out the front door and that it's not a big deal, and yet you are nonetheless in its grip and you are unable to figure out any way around it.</t>
  </si>
  <si>
    <t>most</t>
  </si>
  <si>
    <t>manage</t>
  </si>
  <si>
    <t>listen</t>
  </si>
  <si>
    <t>their</t>
  </si>
  <si>
    <t>messages</t>
  </si>
  <si>
    <t>eat</t>
  </si>
  <si>
    <t>organize</t>
  </si>
  <si>
    <t>themselves</t>
  </si>
  <si>
    <t>shower</t>
  </si>
  <si>
    <t>front</t>
  </si>
  <si>
    <t>door</t>
  </si>
  <si>
    <t>SBJ_7</t>
  </si>
  <si>
    <t>big</t>
  </si>
  <si>
    <t>deal</t>
  </si>
  <si>
    <t>yet</t>
  </si>
  <si>
    <t>SBJ_6</t>
  </si>
  <si>
    <t>are</t>
  </si>
  <si>
    <t>nonetheless</t>
  </si>
  <si>
    <t>its</t>
  </si>
  <si>
    <t>grip</t>
  </si>
  <si>
    <t>unable</t>
  </si>
  <si>
    <t>way</t>
  </si>
  <si>
    <t>around</t>
  </si>
  <si>
    <t># text = And so I began to feel myself doing less and thinking less and feeling less.</t>
  </si>
  <si>
    <t>so</t>
  </si>
  <si>
    <t>doing</t>
  </si>
  <si>
    <t>less</t>
  </si>
  <si>
    <t>thinking</t>
  </si>
  <si>
    <t>feeling</t>
  </si>
  <si>
    <t># text = It was a kind of nullity.</t>
  </si>
  <si>
    <t>It</t>
  </si>
  <si>
    <t>kind</t>
  </si>
  <si>
    <t>nullity</t>
  </si>
  <si>
    <t># text = And then the anxiety set in.</t>
  </si>
  <si>
    <t>set</t>
  </si>
  <si>
    <t># text = If you told me that I'd have to be depressed for the next month, I would say, \"As long I know it'll be over in November, I can do it.\"</t>
  </si>
  <si>
    <t>If</t>
  </si>
  <si>
    <t>told</t>
  </si>
  <si>
    <t>depressed</t>
  </si>
  <si>
    <t>next</t>
  </si>
  <si>
    <t>month</t>
  </si>
  <si>
    <t>long</t>
  </si>
  <si>
    <t>'ll</t>
  </si>
  <si>
    <t>over</t>
  </si>
  <si>
    <t>November</t>
  </si>
  <si>
    <t>can</t>
  </si>
  <si>
    <t># text = But if you said to me, \"You have to have acute anxiety for the next month,\" I would rather slit my wrist than go through it.</t>
  </si>
  <si>
    <t>said</t>
  </si>
  <si>
    <t>acute</t>
  </si>
  <si>
    <t>rather</t>
  </si>
  <si>
    <t>slit</t>
  </si>
  <si>
    <t>wrist</t>
  </si>
  <si>
    <t>than</t>
  </si>
  <si>
    <t># text = It was the feeling all the time like that feeling you have if you're walking and you slip or trip and the ground is rushing up at you, but instead of lasting half a second, the way that does, it lasted for six months.</t>
  </si>
  <si>
    <t>time</t>
  </si>
  <si>
    <t>walking</t>
  </si>
  <si>
    <t>slip</t>
  </si>
  <si>
    <t>or</t>
  </si>
  <si>
    <t>trip</t>
  </si>
  <si>
    <t>ground</t>
  </si>
  <si>
    <t>rushing</t>
  </si>
  <si>
    <t>other_7</t>
  </si>
  <si>
    <t>lasting</t>
  </si>
  <si>
    <t>half</t>
  </si>
  <si>
    <t>second</t>
  </si>
  <si>
    <t>OBJ_8</t>
  </si>
  <si>
    <t>SBJ_8</t>
  </si>
  <si>
    <t>does</t>
  </si>
  <si>
    <t>lasted</t>
  </si>
  <si>
    <t>six</t>
  </si>
  <si>
    <t>months</t>
  </si>
  <si>
    <t>other_8</t>
  </si>
  <si>
    <t># text = It's a sensation of being afraid all the time but not even knowing what it is that you're afraid of.</t>
  </si>
  <si>
    <t>sensation</t>
  </si>
  <si>
    <t>afraid</t>
  </si>
  <si>
    <t>even</t>
  </si>
  <si>
    <t>what</t>
  </si>
  <si>
    <t># text = And it was at that point that I began to think that it was just too painful to be alive, and that the only reason not to kill oneself was so as not to hurt other people.</t>
  </si>
  <si>
    <t>point</t>
  </si>
  <si>
    <t>just</t>
  </si>
  <si>
    <t>painful</t>
  </si>
  <si>
    <t>alive</t>
  </si>
  <si>
    <t>only</t>
  </si>
  <si>
    <t>reason</t>
  </si>
  <si>
    <t>kill</t>
  </si>
  <si>
    <t>oneself</t>
  </si>
  <si>
    <t>as</t>
  </si>
  <si>
    <t>hurt</t>
  </si>
  <si>
    <t># text = And finally one day, I woke up and I thought perhaps I'd had a stroke, because I lay in bed completely frozen, looking at the telephone, thinking, \"Something is wrong and I should call for help,\" and I couldn't reach out my arm and pick up the phone and dial.</t>
  </si>
  <si>
    <t>finally</t>
  </si>
  <si>
    <t>day</t>
  </si>
  <si>
    <t>woke</t>
  </si>
  <si>
    <t>perhaps</t>
  </si>
  <si>
    <t>stroke</t>
  </si>
  <si>
    <t>because</t>
  </si>
  <si>
    <t>lay</t>
  </si>
  <si>
    <t>bed</t>
  </si>
  <si>
    <t>completely</t>
  </si>
  <si>
    <t>frozen</t>
  </si>
  <si>
    <t>looking</t>
  </si>
  <si>
    <t>telephone</t>
  </si>
  <si>
    <t>Something</t>
  </si>
  <si>
    <t>wrong</t>
  </si>
  <si>
    <t>help</t>
  </si>
  <si>
    <t>reach</t>
  </si>
  <si>
    <t>arm</t>
  </si>
  <si>
    <t>pick</t>
  </si>
  <si>
    <t>phone</t>
  </si>
  <si>
    <t>dial</t>
  </si>
  <si>
    <t># text = And finally, after four full hours of my lying and staring at it, the phone rang, and somehow I managed to pick it up, and it was my father, and I said, \"I'm in serious trouble.</t>
  </si>
  <si>
    <t>after</t>
  </si>
  <si>
    <t>four</t>
  </si>
  <si>
    <t>full</t>
  </si>
  <si>
    <t>hours</t>
  </si>
  <si>
    <t>lying</t>
  </si>
  <si>
    <t>staring</t>
  </si>
  <si>
    <t>rang</t>
  </si>
  <si>
    <t>somehow</t>
  </si>
  <si>
    <t>managed</t>
  </si>
  <si>
    <t>father</t>
  </si>
  <si>
    <t>'m</t>
  </si>
  <si>
    <t>serious</t>
  </si>
  <si>
    <t>trouble</t>
  </si>
  <si>
    <t># text = We need to do something."</t>
  </si>
  <si>
    <t>something</t>
  </si>
  <si>
    <t># text = The next day I started with the medications and the therapy.</t>
  </si>
  <si>
    <t>started</t>
  </si>
  <si>
    <t>medications</t>
  </si>
  <si>
    <t>therapy</t>
  </si>
  <si>
    <t># text = And I also started reckoning with this terrible question:</t>
  </si>
  <si>
    <t>also</t>
  </si>
  <si>
    <t>reckoning</t>
  </si>
  <si>
    <t>this</t>
  </si>
  <si>
    <t>terrible</t>
  </si>
  <si>
    <t>question</t>
  </si>
  <si>
    <t>:</t>
  </si>
  <si>
    <t># text = If I'm not the tough person who could have made it through a concentration camp, then who am I?</t>
  </si>
  <si>
    <t>person</t>
  </si>
  <si>
    <t>made</t>
  </si>
  <si>
    <t>am</t>
  </si>
  <si>
    <t>?</t>
  </si>
  <si>
    <t># text = And if I have to take medication, is that medication making me more fully myself, or is it making me someone else?</t>
  </si>
  <si>
    <t>medication</t>
  </si>
  <si>
    <t>making</t>
  </si>
  <si>
    <t>more</t>
  </si>
  <si>
    <t>fully</t>
  </si>
  <si>
    <t>someone</t>
  </si>
  <si>
    <t>pron.pind</t>
  </si>
  <si>
    <t>else</t>
  </si>
  <si>
    <t># text = And how do I feel about it if it's making me someone else?</t>
  </si>
  <si>
    <t>how</t>
  </si>
  <si>
    <t>about</t>
  </si>
  <si>
    <t># text = I had two advantages as I went into the fight.</t>
  </si>
  <si>
    <t>two</t>
  </si>
  <si>
    <t>advantages</t>
  </si>
  <si>
    <t>went</t>
  </si>
  <si>
    <t>into</t>
  </si>
  <si>
    <t>fight</t>
  </si>
  <si>
    <t># text = The first is that I knew that, objectively speaking, I had a nice life, and that if I could only get well, there was something at the other end that was worth living for.</t>
  </si>
  <si>
    <t>first</t>
  </si>
  <si>
    <t>knew</t>
  </si>
  <si>
    <t>objectively</t>
  </si>
  <si>
    <t>speaking</t>
  </si>
  <si>
    <t>nice</t>
  </si>
  <si>
    <t>life</t>
  </si>
  <si>
    <t>well</t>
  </si>
  <si>
    <t>end</t>
  </si>
  <si>
    <t>def-np.the.other</t>
  </si>
  <si>
    <t>worth</t>
  </si>
  <si>
    <t>living</t>
  </si>
  <si>
    <t># text = And the other was that I had access to good treatment.</t>
  </si>
  <si>
    <t>access</t>
  </si>
  <si>
    <t>good</t>
  </si>
  <si>
    <t>treatment</t>
  </si>
  <si>
    <t># text = But I nonetheless emerged and relapsed, and emerged and relapsed, and finally understood I would have to be on medication and in therapy forever.</t>
  </si>
  <si>
    <t>emerged</t>
  </si>
  <si>
    <t>relapsed</t>
  </si>
  <si>
    <t>understood</t>
  </si>
  <si>
    <t>forever</t>
  </si>
  <si>
    <t># text = And I thought, "But is it a chemical problem or a psychological problem?</t>
  </si>
  <si>
    <t>chemical</t>
  </si>
  <si>
    <t>problem</t>
  </si>
  <si>
    <t>psychological</t>
  </si>
  <si>
    <t># text = And does it need a chemical cure or a philosophical cure?"</t>
  </si>
  <si>
    <t>cure</t>
  </si>
  <si>
    <t>philosophical</t>
  </si>
  <si>
    <t># text = And I couldn't figure out which it was.</t>
  </si>
  <si>
    <t>which</t>
  </si>
  <si>
    <t># text = And then I understood that actually, we aren't advanced enough in either area for it to explain things fully.</t>
  </si>
  <si>
    <t>actually</t>
  </si>
  <si>
    <t>advanced</t>
  </si>
  <si>
    <t>enough</t>
  </si>
  <si>
    <t>either</t>
  </si>
  <si>
    <t>area</t>
  </si>
  <si>
    <t>explain</t>
  </si>
  <si>
    <t># text = The chemical cure and the psychological cure both have a role to play, and I also figured out that depression was something that was braided so deep into us that there was no separating it from our character and personality.</t>
  </si>
  <si>
    <t>both</t>
  </si>
  <si>
    <t>role</t>
  </si>
  <si>
    <t>play</t>
  </si>
  <si>
    <t>figured</t>
  </si>
  <si>
    <t>braided</t>
  </si>
  <si>
    <t>deep</t>
  </si>
  <si>
    <t>us</t>
  </si>
  <si>
    <t>no</t>
  </si>
  <si>
    <t>separating</t>
  </si>
  <si>
    <t>OBJ_7</t>
  </si>
  <si>
    <t>our</t>
  </si>
  <si>
    <t>character</t>
  </si>
  <si>
    <t>personality</t>
  </si>
  <si>
    <t># text = I want to say that the treatments we have for depression are appalling.</t>
  </si>
  <si>
    <t>treatments</t>
  </si>
  <si>
    <t>appalling</t>
  </si>
  <si>
    <t># text = They're not very effective.</t>
  </si>
  <si>
    <t>They</t>
  </si>
  <si>
    <t>very</t>
  </si>
  <si>
    <t>effective</t>
  </si>
  <si>
    <t># text = They're extremely costly.</t>
  </si>
  <si>
    <t>extremely</t>
  </si>
  <si>
    <t>costly</t>
  </si>
  <si>
    <t># text = They come with innumerable side effects.</t>
  </si>
  <si>
    <t>innumerable</t>
  </si>
  <si>
    <t>side</t>
  </si>
  <si>
    <t>effects</t>
  </si>
  <si>
    <t># text = They're a disaster.</t>
  </si>
  <si>
    <t>disaster</t>
  </si>
  <si>
    <t># text = But I am so grateful that I live now and not 50 years ago, when there would have been almost nothing to be done.</t>
  </si>
  <si>
    <t>grateful</t>
  </si>
  <si>
    <t>now</t>
  </si>
  <si>
    <t>ago</t>
  </si>
  <si>
    <t>nothing</t>
  </si>
  <si>
    <t>done</t>
  </si>
  <si>
    <t># text = I hope that 50 years hence, people will hear about my treatments and be appalled that anyone endured such primitive science.</t>
  </si>
  <si>
    <t>hence</t>
  </si>
  <si>
    <t>will</t>
  </si>
  <si>
    <t>appalled</t>
  </si>
  <si>
    <t>anyone</t>
  </si>
  <si>
    <t>endured</t>
  </si>
  <si>
    <t>primitive</t>
  </si>
  <si>
    <t>science</t>
  </si>
  <si>
    <t># text = Depression is the flaw in love.</t>
  </si>
  <si>
    <t>Depression</t>
  </si>
  <si>
    <t>flaw</t>
  </si>
  <si>
    <t># text = If you were married to someone and thought, \"Well, if my wife dies, I'll find another one,\" it wouldn't be love as we know it.</t>
  </si>
  <si>
    <t>married</t>
  </si>
  <si>
    <t>Well</t>
  </si>
  <si>
    <t>wife</t>
  </si>
  <si>
    <t>dies</t>
  </si>
  <si>
    <t>another</t>
  </si>
  <si>
    <t># text = There's no such thing as love without the anticipation of loss, and that specter of despair can be the engine of intimacy.</t>
  </si>
  <si>
    <t>There</t>
  </si>
  <si>
    <t>thing</t>
  </si>
  <si>
    <t>without</t>
  </si>
  <si>
    <t>anticipation</t>
  </si>
  <si>
    <t>loss</t>
  </si>
  <si>
    <t>specter</t>
  </si>
  <si>
    <t>despair</t>
  </si>
  <si>
    <t>engine</t>
  </si>
  <si>
    <t>intimacy</t>
  </si>
  <si>
    <t># text = There are three things people tend to confuse: depression, grief and sadness.</t>
  </si>
  <si>
    <t>tend</t>
  </si>
  <si>
    <t>confuse</t>
  </si>
  <si>
    <t>grief</t>
  </si>
  <si>
    <t>sadness</t>
  </si>
  <si>
    <t># text = Grief is explicitly reactive.</t>
  </si>
  <si>
    <t>Grief</t>
  </si>
  <si>
    <t>explicitly</t>
  </si>
  <si>
    <t>reactive</t>
  </si>
  <si>
    <t># text = If you have a loss and you feel incredibly unhappy, and then, six months later, you are still deeply sad, but you're functioning a little better, it's probably grief, and it will probably ultimately resolve itself in some measure.</t>
  </si>
  <si>
    <t>incredibly</t>
  </si>
  <si>
    <t>unhappy</t>
  </si>
  <si>
    <t>still</t>
  </si>
  <si>
    <t>deeply</t>
  </si>
  <si>
    <t>sad</t>
  </si>
  <si>
    <t>functioning</t>
  </si>
  <si>
    <t>little</t>
  </si>
  <si>
    <t>better</t>
  </si>
  <si>
    <t>probably</t>
  </si>
  <si>
    <t>ultimately</t>
  </si>
  <si>
    <t>resolve</t>
  </si>
  <si>
    <t>itself</t>
  </si>
  <si>
    <t>measure</t>
  </si>
  <si>
    <t># text = If you experience a catastrophic loss, and you feel terrible, and six months later you can barely function at all, then it's probably a depression that was triggered by the catastrophic circumstances.</t>
  </si>
  <si>
    <t>experience</t>
  </si>
  <si>
    <t>catastrophic</t>
  </si>
  <si>
    <t>barely</t>
  </si>
  <si>
    <t>function</t>
  </si>
  <si>
    <t>triggered</t>
  </si>
  <si>
    <t>by</t>
  </si>
  <si>
    <t>circumstances</t>
  </si>
  <si>
    <t># text = The trajectory tells us a great deal.</t>
  </si>
  <si>
    <t>trajectory</t>
  </si>
  <si>
    <t>tells</t>
  </si>
  <si>
    <t>great</t>
  </si>
  <si>
    <t># text = People think of depression as being just sadness.</t>
  </si>
  <si>
    <t>People</t>
  </si>
  <si>
    <t># text = It's much, much too much sadness, much too much grief at far too slight a cause.</t>
  </si>
  <si>
    <t>far</t>
  </si>
  <si>
    <t>slight</t>
  </si>
  <si>
    <t>cause</t>
  </si>
  <si>
    <t># text = As I set out to understand depression, and to interview people who had experienced it, I found that there were people who seemed, on the surface, to have what sounded like relatively mild depression who were nonetheless utterly disabled by it.</t>
  </si>
  <si>
    <t>interview</t>
  </si>
  <si>
    <t>experienced</t>
  </si>
  <si>
    <t>surface</t>
  </si>
  <si>
    <t>sounded</t>
  </si>
  <si>
    <t>relatively</t>
  </si>
  <si>
    <t>mild</t>
  </si>
  <si>
    <t>SBJ_9</t>
  </si>
  <si>
    <t>utterly</t>
  </si>
  <si>
    <t>disabled</t>
  </si>
  <si>
    <t>other_9</t>
  </si>
  <si>
    <t># text = And there were other people who had what sounded as they described it like terribly severe depression who nonetheless had good lives in the interstices between their depressive episodes.</t>
  </si>
  <si>
    <t>described</t>
  </si>
  <si>
    <t>terribly</t>
  </si>
  <si>
    <t>severe</t>
  </si>
  <si>
    <t>lives</t>
  </si>
  <si>
    <t>interstices</t>
  </si>
  <si>
    <t>between</t>
  </si>
  <si>
    <t>depressive</t>
  </si>
  <si>
    <t>episodes</t>
  </si>
  <si>
    <t># text = And I set out to find out what it is that causes some people to be more resilient than other people.</t>
  </si>
  <si>
    <t>causes</t>
  </si>
  <si>
    <t>resilient</t>
  </si>
  <si>
    <t># text = What are the mechanisms that allow people to survive?</t>
  </si>
  <si>
    <t>mechanisms</t>
  </si>
  <si>
    <t>allow</t>
  </si>
  <si>
    <t># text = And I went out and I interviewed person after person who was suffering with depression.</t>
  </si>
  <si>
    <t>interviewed</t>
  </si>
  <si>
    <t>suffering</t>
  </si>
  <si>
    <t># text = One of the first people I interviewed described depression as a slower way of being dead, and that was a good thing for me to hear early on because it reminded me that that slow way of being dead can lead to actual deadness, that this is a serious business.</t>
  </si>
  <si>
    <t>One</t>
  </si>
  <si>
    <t>slower</t>
  </si>
  <si>
    <t>dead</t>
  </si>
  <si>
    <t>early</t>
  </si>
  <si>
    <t>reminded</t>
  </si>
  <si>
    <t>slow</t>
  </si>
  <si>
    <t>lead</t>
  </si>
  <si>
    <t>actual</t>
  </si>
  <si>
    <t>deadness</t>
  </si>
  <si>
    <t>business</t>
  </si>
  <si>
    <t># text = It's the leading disability worldwide, and people die of it every day.</t>
  </si>
  <si>
    <t>leading</t>
  </si>
  <si>
    <t>disability</t>
  </si>
  <si>
    <t>worldwide</t>
  </si>
  <si>
    <t># text = One of the people I talked to when I was trying to understand this was a beloved friend who I had known for many years, and who had had a psychotic episode in her freshman year of college, and then plummeted into a horrific depression.</t>
  </si>
  <si>
    <t>talked</t>
  </si>
  <si>
    <t>trying</t>
  </si>
  <si>
    <t>beloved</t>
  </si>
  <si>
    <t>friend</t>
  </si>
  <si>
    <t>known</t>
  </si>
  <si>
    <t>many</t>
  </si>
  <si>
    <t>psychotic</t>
  </si>
  <si>
    <t>episode</t>
  </si>
  <si>
    <t>her</t>
  </si>
  <si>
    <t>freshman</t>
  </si>
  <si>
    <t>year</t>
  </si>
  <si>
    <t>college</t>
  </si>
  <si>
    <t>plummeted</t>
  </si>
  <si>
    <t>horrific</t>
  </si>
  <si>
    <t># text = She had bipolar illness, or manic depression, as it was then known.</t>
  </si>
  <si>
    <t>She</t>
  </si>
  <si>
    <t>bipolar</t>
  </si>
  <si>
    <t>illness</t>
  </si>
  <si>
    <t>manic</t>
  </si>
  <si>
    <t># text = And then she did very well for many years on lithium, and then eventually, she was taken off her lithium to see how she would do without it, and she had another psychosis, and then plunged into the worst depression that I had ever seen in which she sat in her parents' apartment, more or less catatonic, essentially without moving, day after day after day.</t>
  </si>
  <si>
    <t>she</t>
  </si>
  <si>
    <t>lithium</t>
  </si>
  <si>
    <t>eventually</t>
  </si>
  <si>
    <t>taken</t>
  </si>
  <si>
    <t>off</t>
  </si>
  <si>
    <t>psychosis</t>
  </si>
  <si>
    <t>plunged</t>
  </si>
  <si>
    <t>worst</t>
  </si>
  <si>
    <t>ever</t>
  </si>
  <si>
    <t>seen</t>
  </si>
  <si>
    <t>sat</t>
  </si>
  <si>
    <t>parents</t>
  </si>
  <si>
    <t>'</t>
  </si>
  <si>
    <t>apartment</t>
  </si>
  <si>
    <t>catatonic</t>
  </si>
  <si>
    <t>essentially</t>
  </si>
  <si>
    <t>moving</t>
  </si>
  <si>
    <t># text = And when I interviewed her about that experience some years later -- she's a poet and psychotherapist named Maggie Robbins -- when I interviewed her, she said, \"I was singing 'Where Have All The Flowers Gone,' over and over, to occupy my mind.</t>
  </si>
  <si>
    <t>poet</t>
  </si>
  <si>
    <t>psychotherapist</t>
  </si>
  <si>
    <t>named</t>
  </si>
  <si>
    <t>Maggie</t>
  </si>
  <si>
    <t>Robbins</t>
  </si>
  <si>
    <t>singing</t>
  </si>
  <si>
    <t>Where</t>
  </si>
  <si>
    <t>Have</t>
  </si>
  <si>
    <t>All</t>
  </si>
  <si>
    <t>Flowers</t>
  </si>
  <si>
    <t>Gone</t>
  </si>
  <si>
    <t>occupy</t>
  </si>
  <si>
    <t>mind</t>
  </si>
  <si>
    <t># text = I was singing to blot out the things my mind was saying, which were, 'You are nothing.</t>
  </si>
  <si>
    <t>blot</t>
  </si>
  <si>
    <t>saying</t>
  </si>
  <si>
    <t># text = You are nobody.</t>
  </si>
  <si>
    <t>nobody</t>
  </si>
  <si>
    <t># text = You don't even deserve to live.'</t>
  </si>
  <si>
    <t># text = And that was when I really started thinking about killing myself.\"</t>
  </si>
  <si>
    <t>really</t>
  </si>
  <si>
    <t>killing</t>
  </si>
  <si>
    <t># text = You don't think in depression that you've put on a gray veil and are seeing the world through the haze of a bad mood.</t>
  </si>
  <si>
    <t>'ve</t>
  </si>
  <si>
    <t>gray</t>
  </si>
  <si>
    <t>veil</t>
  </si>
  <si>
    <t>seeing</t>
  </si>
  <si>
    <t>world</t>
  </si>
  <si>
    <t>haze</t>
  </si>
  <si>
    <t>bad</t>
  </si>
  <si>
    <t>mood</t>
  </si>
  <si>
    <t># text = You think that the veil has been taken away, the veil of happiness, and that now you're seeing truly.</t>
  </si>
  <si>
    <t>has</t>
  </si>
  <si>
    <t>truly</t>
  </si>
  <si>
    <t># text = It's easier to help schizophrenics who perceive that there's something foreign inside of them that needs to be exorcised, but it's difficult with depressives, because we believe we are seeing the truth.</t>
  </si>
  <si>
    <t>easier</t>
  </si>
  <si>
    <t>schizophrenics</t>
  </si>
  <si>
    <t>perceive</t>
  </si>
  <si>
    <t>foreign</t>
  </si>
  <si>
    <t>inside</t>
  </si>
  <si>
    <t>needs</t>
  </si>
  <si>
    <t>exorcised</t>
  </si>
  <si>
    <t>difficult</t>
  </si>
  <si>
    <t>depressives</t>
  </si>
  <si>
    <t>believe</t>
  </si>
  <si>
    <t>truth</t>
  </si>
  <si>
    <t># text = But the truth lies.</t>
  </si>
  <si>
    <t>lies</t>
  </si>
  <si>
    <t># text = I became obsessed with that sentence: "But the truth lies."</t>
  </si>
  <si>
    <t>became</t>
  </si>
  <si>
    <t>obsessed</t>
  </si>
  <si>
    <t>sentence</t>
  </si>
  <si>
    <t># text = And I discovered, as I talked to depressive people, that they have many delusional perceptions.</t>
  </si>
  <si>
    <t>discovered</t>
  </si>
  <si>
    <t>delusional</t>
  </si>
  <si>
    <t>perceptions</t>
  </si>
  <si>
    <t># text = People will say, \"No one loves me.\"</t>
  </si>
  <si>
    <t>No</t>
  </si>
  <si>
    <t>loves</t>
  </si>
  <si>
    <t># text = And you say, \"I love you, your wife loves you, your mother loves you.\"</t>
  </si>
  <si>
    <t>your</t>
  </si>
  <si>
    <t># text = You can answer that one pretty readily, at least for most people.</t>
  </si>
  <si>
    <t>pretty</t>
  </si>
  <si>
    <t>readily</t>
  </si>
  <si>
    <t>least</t>
  </si>
  <si>
    <t># text = But people who are depressed will also say, \"No matter what we do, we're all just going to die in the end.\"</t>
  </si>
  <si>
    <t>matter</t>
  </si>
  <si>
    <t># text = Or they'll say, "There can be no true communion between two human beings.</t>
  </si>
  <si>
    <t>true</t>
  </si>
  <si>
    <t>communion</t>
  </si>
  <si>
    <t>human</t>
  </si>
  <si>
    <t>beings</t>
  </si>
  <si>
    <t># text = Each of us is trapped in his own body."</t>
  </si>
  <si>
    <t>Each</t>
  </si>
  <si>
    <t>trapped</t>
  </si>
  <si>
    <t>his</t>
  </si>
  <si>
    <t>own</t>
  </si>
  <si>
    <t>body</t>
  </si>
  <si>
    <t># text = To which you have to say, "That's true, but I think we should focus right now on what to have for breakfast."</t>
  </si>
  <si>
    <t>To</t>
  </si>
  <si>
    <t>That</t>
  </si>
  <si>
    <t>focus</t>
  </si>
  <si>
    <t>right</t>
  </si>
  <si>
    <t>breakfast</t>
  </si>
  <si>
    <t># text = (Laughter)</t>
  </si>
  <si>
    <t>(</t>
  </si>
  <si>
    <t>Laughter</t>
  </si>
  <si>
    <t>)</t>
  </si>
  <si>
    <t># text = A lot of the time, what they are expressing is not illness, but insight, and one comes to think what's really extraordinary is that most of us know about those existential questions and they don't distract us very much.</t>
  </si>
  <si>
    <t>A</t>
  </si>
  <si>
    <t>expressing</t>
  </si>
  <si>
    <t>insight</t>
  </si>
  <si>
    <t>comes</t>
  </si>
  <si>
    <t>extraordinary</t>
  </si>
  <si>
    <t>existential</t>
  </si>
  <si>
    <t>questions</t>
  </si>
  <si>
    <t>distract</t>
  </si>
  <si>
    <t># text = There was a study I particularly liked in which a group of depressed and a group of non-depressed people were asked to play a video game for an hour, and at the end of the hour, they were asked how many little monsters they thought they had killed.</t>
  </si>
  <si>
    <t>study</t>
  </si>
  <si>
    <t>particularly</t>
  </si>
  <si>
    <t>liked</t>
  </si>
  <si>
    <t>group</t>
  </si>
  <si>
    <t>non-depressed</t>
  </si>
  <si>
    <t>asked</t>
  </si>
  <si>
    <t>video</t>
  </si>
  <si>
    <t>game</t>
  </si>
  <si>
    <t>monsters</t>
  </si>
  <si>
    <t>killed</t>
  </si>
  <si>
    <t># text = The depressive group was usually accurate to within about 10 percent, and the non-depressed people guessed between 15 and 20 times as many little monsters -- as they had actually killed.</t>
  </si>
  <si>
    <t>usually</t>
  </si>
  <si>
    <t>accurate</t>
  </si>
  <si>
    <t>within</t>
  </si>
  <si>
    <t>percent</t>
  </si>
  <si>
    <t>guessed</t>
  </si>
  <si>
    <t>times</t>
  </si>
  <si>
    <t># text = A lot of people said, when I chose to write about my depression, that it must be very difficult to be out of that closet, to have people know.</t>
  </si>
  <si>
    <t>chose</t>
  </si>
  <si>
    <t>write</t>
  </si>
  <si>
    <t>must</t>
  </si>
  <si>
    <t>closet</t>
  </si>
  <si>
    <t># text = They said, "Do people talk to you differently?"</t>
  </si>
  <si>
    <t>Do</t>
  </si>
  <si>
    <t>differently</t>
  </si>
  <si>
    <t># text = I said, "Yes, people talk to me differently.</t>
  </si>
  <si>
    <t>Yes</t>
  </si>
  <si>
    <t># text = They talk to me differently insofar as they start telling me about their experience, or their sister's experience, or their friend's experience.</t>
  </si>
  <si>
    <t>insofar</t>
  </si>
  <si>
    <t>telling</t>
  </si>
  <si>
    <t>sister</t>
  </si>
  <si>
    <t># text = Things are different because now I know that depression is the family secret that everyone has.</t>
  </si>
  <si>
    <t>Things</t>
  </si>
  <si>
    <t>different</t>
  </si>
  <si>
    <t>family</t>
  </si>
  <si>
    <t>secret</t>
  </si>
  <si>
    <t>everyone</t>
  </si>
  <si>
    <t># text = I went a few years ago to a conference, and on Friday of the three-day conference, one of the participants took me aside, and she said, "I suffer from depression and I'm a little embarrassed about it, but I've been taking this medication, and I just wanted to ask you what you think?"</t>
  </si>
  <si>
    <t>few</t>
  </si>
  <si>
    <t>conference</t>
  </si>
  <si>
    <t>Friday</t>
  </si>
  <si>
    <t>participants</t>
  </si>
  <si>
    <t>took</t>
  </si>
  <si>
    <t>aside</t>
  </si>
  <si>
    <t>suffer</t>
  </si>
  <si>
    <t>embarrassed</t>
  </si>
  <si>
    <t>taking</t>
  </si>
  <si>
    <t># text = And so I did my best to give her such advice as I could.</t>
  </si>
  <si>
    <t>give</t>
  </si>
  <si>
    <t>advice</t>
  </si>
  <si>
    <t># text = And then she said, "You know, my husband would never understand this.</t>
  </si>
  <si>
    <t>husband</t>
  </si>
  <si>
    <t>never</t>
  </si>
  <si>
    <t># text = He's really the kind of guy to whom this wouldn't make any sense, so, you know, it's just between us."</t>
  </si>
  <si>
    <t>He</t>
  </si>
  <si>
    <t>guy</t>
  </si>
  <si>
    <t>whom</t>
  </si>
  <si>
    <t>sense</t>
  </si>
  <si>
    <t># text = And I said,</t>
  </si>
  <si>
    <t># text = "Yes, that's fine."</t>
  </si>
  <si>
    <t>fine</t>
  </si>
  <si>
    <t># text = On Sunday of the same conference, her husband took me aside, and he said, "My wife wouldn't think that I was really much of a guy if she knew this, but I've been dealing with this depression and I'm taking some medication, and I wondered what you think?"</t>
  </si>
  <si>
    <t>On</t>
  </si>
  <si>
    <t>Sunday</t>
  </si>
  <si>
    <t>he</t>
  </si>
  <si>
    <t>dealing</t>
  </si>
  <si>
    <t>wondered</t>
  </si>
  <si>
    <t># text = They were hiding the same medication in two different places in the same bedroom.</t>
  </si>
  <si>
    <t>hiding</t>
  </si>
  <si>
    <t>places</t>
  </si>
  <si>
    <t>bedroom</t>
  </si>
  <si>
    <t># text = And I said that I thought communication within the marriage might be triggering some of their problems.</t>
  </si>
  <si>
    <t>communication</t>
  </si>
  <si>
    <t>marriage</t>
  </si>
  <si>
    <t>might</t>
  </si>
  <si>
    <t>triggering</t>
  </si>
  <si>
    <t>problems</t>
  </si>
  <si>
    <t># text = But I was also struck by the burdensome nature of such mutual secrecy.</t>
  </si>
  <si>
    <t>struck</t>
  </si>
  <si>
    <t>burdensome</t>
  </si>
  <si>
    <t>nature</t>
  </si>
  <si>
    <t>mutual</t>
  </si>
  <si>
    <t>secrecy</t>
  </si>
  <si>
    <t># text = Depression is so exhausting.</t>
  </si>
  <si>
    <t>exhausting</t>
  </si>
  <si>
    <t># text = It takes up so much of your time and energy, and silence about it, it really does make the depression worse.</t>
  </si>
  <si>
    <t>takes</t>
  </si>
  <si>
    <t>energy</t>
  </si>
  <si>
    <t>silence</t>
  </si>
  <si>
    <t>worse</t>
  </si>
  <si>
    <t># text = And then I began thinking about all the ways people make themselves better.</t>
  </si>
  <si>
    <t>ways</t>
  </si>
  <si>
    <t># text = I'd started off as a medical conservative.</t>
  </si>
  <si>
    <t>medical</t>
  </si>
  <si>
    <t>conservative</t>
  </si>
  <si>
    <t># text = I thought there were a few kinds of therapy that worked, it was clear what they were -- there was medication, there were certain psychotherapies, there was possibly electroconvulsive treatment, and that everything else was nonsense.</t>
  </si>
  <si>
    <t>kinds</t>
  </si>
  <si>
    <t>worked</t>
  </si>
  <si>
    <t>clear</t>
  </si>
  <si>
    <t>certain</t>
  </si>
  <si>
    <t>psychotherapies</t>
  </si>
  <si>
    <t>possibly</t>
  </si>
  <si>
    <t>electroconvulsive</t>
  </si>
  <si>
    <t>nonsense</t>
  </si>
  <si>
    <t># text = But then I discovered something.</t>
  </si>
  <si>
    <t># text = If you have brain cancer, and you say that standing on your head for 20 minutes every morning makes you feel better, it may make you feel better, but you still have brain cancer, and you'll still probably die from it.</t>
  </si>
  <si>
    <t>brain</t>
  </si>
  <si>
    <t>cancer</t>
  </si>
  <si>
    <t>standing</t>
  </si>
  <si>
    <t>head</t>
  </si>
  <si>
    <t>minutes</t>
  </si>
  <si>
    <t>morning</t>
  </si>
  <si>
    <t>makes</t>
  </si>
  <si>
    <t>may</t>
  </si>
  <si>
    <t># text = But if you say that you have depression, and standing on your head for 20 minutes every day makes you feel better, then it's worked, because depression is an illness of how you feel, and if you feel better, then you are effectively not depressed anymore.</t>
  </si>
  <si>
    <t>effectively</t>
  </si>
  <si>
    <t>anymore</t>
  </si>
  <si>
    <t># text = So I became much more tolerant of the vast world of alternative treatments.</t>
  </si>
  <si>
    <t>So</t>
  </si>
  <si>
    <t>tolerant</t>
  </si>
  <si>
    <t>vast</t>
  </si>
  <si>
    <t>alternative</t>
  </si>
  <si>
    <t># text = And I get letters, I get hundreds of letters from people writing to tell me about what's worked for them.</t>
  </si>
  <si>
    <t>letters</t>
  </si>
  <si>
    <t>hundreds</t>
  </si>
  <si>
    <t>writing</t>
  </si>
  <si>
    <t># text = Someone was asking me backstage today about meditation.</t>
  </si>
  <si>
    <t>Someone</t>
  </si>
  <si>
    <t>asking</t>
  </si>
  <si>
    <t>backstage</t>
  </si>
  <si>
    <t>today</t>
  </si>
  <si>
    <t>meditation</t>
  </si>
  <si>
    <t># text = My favorite of the letters that I got was the one that came from a woman who wrote and said that she had tried therapy, medication, she had tried pretty much everything, and she had found a solution and hoped I would tell the world, and that was making little things from yarn.</t>
  </si>
  <si>
    <t>favorite</t>
  </si>
  <si>
    <t>came</t>
  </si>
  <si>
    <t>woman</t>
  </si>
  <si>
    <t>wrote</t>
  </si>
  <si>
    <t>tried</t>
  </si>
  <si>
    <t>solution</t>
  </si>
  <si>
    <t>hoped</t>
  </si>
  <si>
    <t>yarn</t>
  </si>
  <si>
    <t># text = She sent me some of them.</t>
  </si>
  <si>
    <t># text = And I'm not wearing them right now.</t>
  </si>
  <si>
    <t>wearing</t>
  </si>
  <si>
    <t># text = I suggested to her that she also should look up obsessive compulsive disorder in the DSM.</t>
  </si>
  <si>
    <t>suggested</t>
  </si>
  <si>
    <t>look</t>
  </si>
  <si>
    <t>obsessive</t>
  </si>
  <si>
    <t>compulsive</t>
  </si>
  <si>
    <t>disorder</t>
  </si>
  <si>
    <t>DSM</t>
  </si>
  <si>
    <t># text = And yet, when I went to look at alternative treatments, I also gained perspective on other treatments.</t>
  </si>
  <si>
    <t>gained</t>
  </si>
  <si>
    <t>perspective</t>
  </si>
  <si>
    <t># text = I went through a tribal exorcism in Senegal that involved a great deal of ram's blood and that I'm not going to detail right now, but a few years afterwards I was in Rwanda, working on a different project, and I happened to describe my experience to someone, and he said, \"Well, that's West Africa, and we're in East Africa, and our rituals are in some ways very different, but we do have some rituals that have something in common with what you're describing.\"</t>
  </si>
  <si>
    <t>tribal</t>
  </si>
  <si>
    <t>exorcism</t>
  </si>
  <si>
    <t>Senegal</t>
  </si>
  <si>
    <t>involved</t>
  </si>
  <si>
    <t>ram</t>
  </si>
  <si>
    <t>blood</t>
  </si>
  <si>
    <t>detail</t>
  </si>
  <si>
    <t>afterwards</t>
  </si>
  <si>
    <t>Rwanda</t>
  </si>
  <si>
    <t>working</t>
  </si>
  <si>
    <t>project</t>
  </si>
  <si>
    <t>happened</t>
  </si>
  <si>
    <t>West</t>
  </si>
  <si>
    <t>Africa</t>
  </si>
  <si>
    <t>SBJ_10</t>
  </si>
  <si>
    <t>East</t>
  </si>
  <si>
    <t>other_11</t>
  </si>
  <si>
    <t>rituals</t>
  </si>
  <si>
    <t>OBJ_10</t>
  </si>
  <si>
    <t>SBJ_12</t>
  </si>
  <si>
    <t>OBJ_12</t>
  </si>
  <si>
    <t>common</t>
  </si>
  <si>
    <t>other_14</t>
  </si>
  <si>
    <t>SBJ_16</t>
  </si>
  <si>
    <t>describing</t>
  </si>
  <si>
    <t># text = And he said, \"But we've had a lot of trouble with Western mental health workers, especially the ones who came right after the genocide.\"</t>
  </si>
  <si>
    <t>Western</t>
  </si>
  <si>
    <t>mental</t>
  </si>
  <si>
    <t>health</t>
  </si>
  <si>
    <t>workers</t>
  </si>
  <si>
    <t>especially</t>
  </si>
  <si>
    <t>ones</t>
  </si>
  <si>
    <t>genocide</t>
  </si>
  <si>
    <t># text = I said, \"What kind of trouble did you have?\"</t>
  </si>
  <si>
    <t># text = And he said, "Well, they would do this bizarre thing.</t>
  </si>
  <si>
    <t>bizarre</t>
  </si>
  <si>
    <t># text = They didn't take people out in the sunshine where you begin to feel better.</t>
  </si>
  <si>
    <t>sunshine</t>
  </si>
  <si>
    <t>where</t>
  </si>
  <si>
    <t># text = They didn't include drumming or music to get people's blood going.</t>
  </si>
  <si>
    <t>drumming</t>
  </si>
  <si>
    <t>music</t>
  </si>
  <si>
    <t># text = They didn't involve the whole community.</t>
  </si>
  <si>
    <t>whole</t>
  </si>
  <si>
    <t>community</t>
  </si>
  <si>
    <t># text = They didn't externalize the depression as an invasive spirit.</t>
  </si>
  <si>
    <t>invasive</t>
  </si>
  <si>
    <t>spirit</t>
  </si>
  <si>
    <t># text = Instead what they did was they took people one at a time into dingy little rooms and had them talk for an hour about bad things that had happened to them.\"</t>
  </si>
  <si>
    <t>Instead</t>
  </si>
  <si>
    <t>dingy</t>
  </si>
  <si>
    <t>rooms</t>
  </si>
  <si>
    <t># text = (Applause)</t>
  </si>
  <si>
    <t># text = He said, \"We had to ask them to leave the country.\"</t>
  </si>
  <si>
    <t>leave</t>
  </si>
  <si>
    <t>country</t>
  </si>
  <si>
    <t># text = Now at the other end of alternative treatments, let me tell you about Frank Russakoff.</t>
  </si>
  <si>
    <t>Now</t>
  </si>
  <si>
    <t>Frank</t>
  </si>
  <si>
    <t>Russakoff</t>
  </si>
  <si>
    <t># text = Frank Russakoff had the worst depression perhaps that I've ever seen in a man.</t>
  </si>
  <si>
    <t>man</t>
  </si>
  <si>
    <t># text = He was constantly depressed.</t>
  </si>
  <si>
    <t>constantly</t>
  </si>
  <si>
    <t># text = He was, when I met him, at a point at which every month, he would have electroshock treatment.</t>
  </si>
  <si>
    <t>met</t>
  </si>
  <si>
    <t>him</t>
  </si>
  <si>
    <t>electroshock</t>
  </si>
  <si>
    <t># text = Then he would feel sort of disoriented for a week.</t>
  </si>
  <si>
    <t>Then</t>
  </si>
  <si>
    <t>sort</t>
  </si>
  <si>
    <t>disoriented</t>
  </si>
  <si>
    <t>week</t>
  </si>
  <si>
    <t># text = Then he would feel okay for a week.</t>
  </si>
  <si>
    <t>okay</t>
  </si>
  <si>
    <t># text = Then he would have a week of going downhill.</t>
  </si>
  <si>
    <t>downhill</t>
  </si>
  <si>
    <t># text = And then he would have another electroshock treatment.</t>
  </si>
  <si>
    <t># text = And he said to me when I met him, \"It's unbearable to go through my weeks this way.</t>
  </si>
  <si>
    <t>unbearable</t>
  </si>
  <si>
    <t>weeks</t>
  </si>
  <si>
    <t># text = I can't go on this way, and I've figured out how I'm going to end it if I don't get better.\"</t>
  </si>
  <si>
    <t>ca</t>
  </si>
  <si>
    <t># text = \"But,\" he said to me, \"I heard about a protocol at Mass General for a procedure called a cingulotomy, which is a brain surgery, and I think I'm going to give that a try.\"</t>
  </si>
  <si>
    <t>protocol</t>
  </si>
  <si>
    <t>Mass</t>
  </si>
  <si>
    <t>General</t>
  </si>
  <si>
    <t>procedure</t>
  </si>
  <si>
    <t>called</t>
  </si>
  <si>
    <t>cingulotomy</t>
  </si>
  <si>
    <t>surgery</t>
  </si>
  <si>
    <t>try</t>
  </si>
  <si>
    <t># text = And I remember being amazed at that point to think that someone who clearly had so many bad experiences with so many different treatments still had buried in him, somewhere, enough optimism to reach out for one more.</t>
  </si>
  <si>
    <t>amazed</t>
  </si>
  <si>
    <t>clearly</t>
  </si>
  <si>
    <t>buried</t>
  </si>
  <si>
    <t>somewhere</t>
  </si>
  <si>
    <t>optimism</t>
  </si>
  <si>
    <t># text = And he had the cingulotomy, and it was incredibly successful.</t>
  </si>
  <si>
    <t>successful</t>
  </si>
  <si>
    <t># text = He's now a friend of mine.</t>
  </si>
  <si>
    <t>mine</t>
  </si>
  <si>
    <t># text = He has a lovely wife and two beautiful children.</t>
  </si>
  <si>
    <t>lovely</t>
  </si>
  <si>
    <t>beautiful</t>
  </si>
  <si>
    <t>children</t>
  </si>
  <si>
    <t># text = He wrote me a letter the Christmas after the surgery, \"My father sent me two presents this year, First, a motorized CD rack from The Sharper Image that I didn't really need, but I knew he was giving it to me to celebrate the fact that I'm living on my own and have a job I seem to love.</t>
  </si>
  <si>
    <t>letter</t>
  </si>
  <si>
    <t>Christmas</t>
  </si>
  <si>
    <t>presents</t>
  </si>
  <si>
    <t>First</t>
  </si>
  <si>
    <t>motorized</t>
  </si>
  <si>
    <t>CD</t>
  </si>
  <si>
    <t>rack</t>
  </si>
  <si>
    <t>Sharper</t>
  </si>
  <si>
    <t>Image</t>
  </si>
  <si>
    <t>giving</t>
  </si>
  <si>
    <t>celebrate</t>
  </si>
  <si>
    <t>fact</t>
  </si>
  <si>
    <t>job</t>
  </si>
  <si>
    <t>seem</t>
  </si>
  <si>
    <t># text = And the other present was a photo of my grandmother, who committed suicide.</t>
  </si>
  <si>
    <t>present</t>
  </si>
  <si>
    <t>photo</t>
  </si>
  <si>
    <t>grandmother</t>
  </si>
  <si>
    <t>committed</t>
  </si>
  <si>
    <t>suicide</t>
  </si>
  <si>
    <t># text = As I unwrapped it, I began to cry, and my mother came over and said, 'Are you crying because of the relatives you never knew?'</t>
  </si>
  <si>
    <t>unwrapped</t>
  </si>
  <si>
    <t>cry</t>
  </si>
  <si>
    <t>Are</t>
  </si>
  <si>
    <t>crying</t>
  </si>
  <si>
    <t>relatives</t>
  </si>
  <si>
    <t># text = And I said, 'She had the same disease I have.'</t>
  </si>
  <si>
    <t>disease</t>
  </si>
  <si>
    <t># text = I'm crying now as I write to you.</t>
  </si>
  <si>
    <t># text = It's not that I'm so sad, but I get overwhelmed, I think, because I could have killed myself, but my parents kept me going, and so did the doctors, and I had the surgery.</t>
  </si>
  <si>
    <t>overwhelmed</t>
  </si>
  <si>
    <t>doctors</t>
  </si>
  <si>
    <t># text = I'm alive and grateful.</t>
  </si>
  <si>
    <t># text = We live in the right time, even if it doesn't always feel like it.\"</t>
  </si>
  <si>
    <t># text = I was struck by the fact that depression is broadly perceived to be a modern, Western, middle-class thing, and I went to look at how it operated in a variety of other contexts, and one of the things I was most interested in was depression among the indigent.</t>
  </si>
  <si>
    <t>broadly</t>
  </si>
  <si>
    <t>perceived</t>
  </si>
  <si>
    <t>modern</t>
  </si>
  <si>
    <t>middle</t>
  </si>
  <si>
    <t>class</t>
  </si>
  <si>
    <t>operated</t>
  </si>
  <si>
    <t>variety</t>
  </si>
  <si>
    <t>contexts</t>
  </si>
  <si>
    <t>interested</t>
  </si>
  <si>
    <t>among</t>
  </si>
  <si>
    <t>indigent</t>
  </si>
  <si>
    <t># text = And so I went out to try to look at what was being done for poor people with depression.</t>
  </si>
  <si>
    <t>poor</t>
  </si>
  <si>
    <t># text = And what I discovered is that poor people are mostly not being treated for depression.</t>
  </si>
  <si>
    <t>mostly</t>
  </si>
  <si>
    <t>treated</t>
  </si>
  <si>
    <t># text = Depression is the result of a genetic vulnerability, which is presumably evenly distributed in the population, and triggering circumstances, which are likely to be more severe for people who are impoverished.</t>
  </si>
  <si>
    <t>result</t>
  </si>
  <si>
    <t>genetic</t>
  </si>
  <si>
    <t>vulnerability</t>
  </si>
  <si>
    <t>presumably</t>
  </si>
  <si>
    <t>evenly</t>
  </si>
  <si>
    <t>distributed</t>
  </si>
  <si>
    <t>population</t>
  </si>
  <si>
    <t>likely</t>
  </si>
  <si>
    <t>impoverished</t>
  </si>
  <si>
    <t># text = And yet it turns out that if you have a really lovely life but feel miserable all the time, you think, \"Why do I feel like this?</t>
  </si>
  <si>
    <t>turns</t>
  </si>
  <si>
    <t>miserable</t>
  </si>
  <si>
    <t>Why</t>
  </si>
  <si>
    <t># text = I must have depression."</t>
  </si>
  <si>
    <t># text = And you set out to find treatment for it.</t>
  </si>
  <si>
    <t># text = But if you have a perfectly awful life, and you feel miserable all the time, the way you feel is commensurate with your life, and it doesn't occur to you to think, \"Maybe this is treatable.\"</t>
  </si>
  <si>
    <t>perfectly</t>
  </si>
  <si>
    <t>awful</t>
  </si>
  <si>
    <t>commensurate</t>
  </si>
  <si>
    <t>occur</t>
  </si>
  <si>
    <t>Maybe</t>
  </si>
  <si>
    <t>treatable</t>
  </si>
  <si>
    <t># text = And so we have an epidemic in this country of depression among impoverished people that's not being picked up and that's not being treated and that's not being addressed, and it's a tragedy of a grand order.</t>
  </si>
  <si>
    <t>epidemic</t>
  </si>
  <si>
    <t>picked</t>
  </si>
  <si>
    <t>addressed</t>
  </si>
  <si>
    <t>tragedy</t>
  </si>
  <si>
    <t>grand</t>
  </si>
  <si>
    <t>order</t>
  </si>
  <si>
    <t># text = And so I found an academic who was doing a research project in slums outside of D.C., where she picked up women who had come in for other health problems and diagnosed them with depression, and then provided six months of the experimental protocol.</t>
  </si>
  <si>
    <t>academic</t>
  </si>
  <si>
    <t>research</t>
  </si>
  <si>
    <t>slums</t>
  </si>
  <si>
    <t>outside</t>
  </si>
  <si>
    <t>D.C.</t>
  </si>
  <si>
    <t>women</t>
  </si>
  <si>
    <t>diagnosed</t>
  </si>
  <si>
    <t>provided</t>
  </si>
  <si>
    <t>experimental</t>
  </si>
  <si>
    <t># text = One of them, Lolly, came in, and this is what she said the day she came in.</t>
  </si>
  <si>
    <t>Lolly</t>
  </si>
  <si>
    <t># text = She said, and she was a woman, by the way, who had seven children.</t>
  </si>
  <si>
    <t>seven</t>
  </si>
  <si>
    <t># text = She said, \"I used to have a job but I had to give it up because I couldn't go out of the house.</t>
  </si>
  <si>
    <t>used</t>
  </si>
  <si>
    <t>house</t>
  </si>
  <si>
    <t># text = I have nothing to say to my children.</t>
  </si>
  <si>
    <t># text = In the morning, I can't wait for them to leave, and then I climb in bed and pull the covers over my head, and three o'clock when they come home, it just comes so fast."</t>
  </si>
  <si>
    <t>climb</t>
  </si>
  <si>
    <t>pull</t>
  </si>
  <si>
    <t>covers</t>
  </si>
  <si>
    <t>o'clock</t>
  </si>
  <si>
    <t>fast</t>
  </si>
  <si>
    <t># text = She said, "I've been taking a lot of Tylenol, anything I can take so that I can sleep more.</t>
  </si>
  <si>
    <t>Tylenol</t>
  </si>
  <si>
    <t>anything</t>
  </si>
  <si>
    <t>sleep</t>
  </si>
  <si>
    <t># text = My husband has been telling me I'm stupid, I'm ugly.</t>
  </si>
  <si>
    <t>stupid</t>
  </si>
  <si>
    <t>ugly</t>
  </si>
  <si>
    <t># text = I wish I could stop the pain."</t>
  </si>
  <si>
    <t>stop</t>
  </si>
  <si>
    <t>pain</t>
  </si>
  <si>
    <t># text = Well, she was brought into this experimental protocol, and when I interviewed her six months later, she had taken a job working in childcare for the U.S. Navy, she had left the abusive husband, and she said to me, "My kids are so much happier now."</t>
  </si>
  <si>
    <t>brought</t>
  </si>
  <si>
    <t>childcare</t>
  </si>
  <si>
    <t>U.S.</t>
  </si>
  <si>
    <t>Navy</t>
  </si>
  <si>
    <t>left</t>
  </si>
  <si>
    <t>abusive</t>
  </si>
  <si>
    <t>kids</t>
  </si>
  <si>
    <t>happier</t>
  </si>
  <si>
    <t># text = She said, "There's one room in my new place for the boys and one room for the girls, but at night, they're just all up on my bed, and we're doing homework all together and everything.</t>
  </si>
  <si>
    <t>room</t>
  </si>
  <si>
    <t>new</t>
  </si>
  <si>
    <t>place</t>
  </si>
  <si>
    <t>boys</t>
  </si>
  <si>
    <t>girls</t>
  </si>
  <si>
    <t>night</t>
  </si>
  <si>
    <t>homework</t>
  </si>
  <si>
    <t>together</t>
  </si>
  <si>
    <t># text = One of them wants to be a preacher, one of them wants to be a firefighter, and one of the girls says she's going to be a lawyer.</t>
  </si>
  <si>
    <t>wants</t>
  </si>
  <si>
    <t>preacher</t>
  </si>
  <si>
    <t>firefighter</t>
  </si>
  <si>
    <t>says</t>
  </si>
  <si>
    <t>lawyer</t>
  </si>
  <si>
    <t># text = They don't cry like they used to, and they don't fight like they did.</t>
  </si>
  <si>
    <t># text = That's all I need now, is my kids.</t>
  </si>
  <si>
    <t># text = Things keep on changing, the way I dress, the way I feel, the way I act.</t>
  </si>
  <si>
    <t>changing</t>
  </si>
  <si>
    <t>dress</t>
  </si>
  <si>
    <t>act</t>
  </si>
  <si>
    <t># text = I can go outside not being afraid anymore, and I don't think those bad feelings are coming back, and if it weren't for Dr. Miranda and that, I would still be at home with the covers pulled over my head, if I were still alive at all.</t>
  </si>
  <si>
    <t>feelings</t>
  </si>
  <si>
    <t>coming</t>
  </si>
  <si>
    <t>Dr.</t>
  </si>
  <si>
    <t>Miranda</t>
  </si>
  <si>
    <t>pulled</t>
  </si>
  <si>
    <t># text = I asked the Lord to send me an angel, and He heard my prayers.\"</t>
  </si>
  <si>
    <t>Lord</t>
  </si>
  <si>
    <t>angel</t>
  </si>
  <si>
    <t>prayers</t>
  </si>
  <si>
    <t># text = I was really moved by these experiences, and I decided that I wanted to write about them not only in a book I was working on, but also in an article, and I got a commission from The New York Times Magazine to write about depression among the indigent.</t>
  </si>
  <si>
    <t>these</t>
  </si>
  <si>
    <t>decided</t>
  </si>
  <si>
    <t>book</t>
  </si>
  <si>
    <t>article</t>
  </si>
  <si>
    <t>commission</t>
  </si>
  <si>
    <t>New</t>
  </si>
  <si>
    <t>York</t>
  </si>
  <si>
    <t>Times</t>
  </si>
  <si>
    <t>Magazine</t>
  </si>
  <si>
    <t># text = And I turned in my story, and my editor called me and said, \"We really can't publish this.\"</t>
  </si>
  <si>
    <t>turned</t>
  </si>
  <si>
    <t>story</t>
  </si>
  <si>
    <t>editor</t>
  </si>
  <si>
    <t>publish</t>
  </si>
  <si>
    <t># text = And I said, \"Why not?\"</t>
  </si>
  <si>
    <t># text = And she said, "It just is too far-fetched.</t>
  </si>
  <si>
    <t>far-</t>
  </si>
  <si>
    <t>fetched</t>
  </si>
  <si>
    <t># text = These people who are sort of at the very bottom rung of society and then they get a few months of treatment and they're virtually ready to run Morgan Stanley?</t>
  </si>
  <si>
    <t>These</t>
  </si>
  <si>
    <t>bottom</t>
  </si>
  <si>
    <t>rung</t>
  </si>
  <si>
    <t>society</t>
  </si>
  <si>
    <t>virtually</t>
  </si>
  <si>
    <t>ready</t>
  </si>
  <si>
    <t>run</t>
  </si>
  <si>
    <t>Morgan</t>
  </si>
  <si>
    <t>Stanley</t>
  </si>
  <si>
    <t># text = It's just too implausible."</t>
  </si>
  <si>
    <t>implausible</t>
  </si>
  <si>
    <t># text = She said, \"I've never even heard of anything like it.\"</t>
  </si>
  <si>
    <t># text = And I said, \"The fact that you've never heard of it is an indication that it is news.\"</t>
  </si>
  <si>
    <t>indication</t>
  </si>
  <si>
    <t>news</t>
  </si>
  <si>
    <t># text = "And you are a news magazine."</t>
  </si>
  <si>
    <t>magazine</t>
  </si>
  <si>
    <t># text = So after a certain amount of negotiation, they agreed to it.</t>
  </si>
  <si>
    <t>amount</t>
  </si>
  <si>
    <t>negotiation</t>
  </si>
  <si>
    <t>agreed</t>
  </si>
  <si>
    <t># text = But I think a lot of what they said was connected in some strange way to this distaste that people still have for the idea of treatment, the notion that somehow if we went out and treated a lot of people in indigent communities, that would be exploitative, because we would be changing them.</t>
  </si>
  <si>
    <t>connected</t>
  </si>
  <si>
    <t>distaste</t>
  </si>
  <si>
    <t>idea</t>
  </si>
  <si>
    <t>notion</t>
  </si>
  <si>
    <t>communities</t>
  </si>
  <si>
    <t>exploitative</t>
  </si>
  <si>
    <t># text = There is this false moral imperative that seems to be all around us, that treatment of depression, the medications and so on, are an artifice, and that it's not natural.</t>
  </si>
  <si>
    <t>false</t>
  </si>
  <si>
    <t>moral</t>
  </si>
  <si>
    <t>imperative</t>
  </si>
  <si>
    <t>seems</t>
  </si>
  <si>
    <t>artifice</t>
  </si>
  <si>
    <t>natural</t>
  </si>
  <si>
    <t># text = And I think that's very misguided.</t>
  </si>
  <si>
    <t>misguided</t>
  </si>
  <si>
    <t># text = It would be natural for people's teeth to fall out, but there is nobody militating against toothpaste, at least not in my circles.</t>
  </si>
  <si>
    <t>teeth</t>
  </si>
  <si>
    <t>fall</t>
  </si>
  <si>
    <t>militating</t>
  </si>
  <si>
    <t>against</t>
  </si>
  <si>
    <t>toothpaste</t>
  </si>
  <si>
    <t>circles</t>
  </si>
  <si>
    <t># text = People then say, \"But isn't depression part of what people are supposed to experience?</t>
  </si>
  <si>
    <t>part</t>
  </si>
  <si>
    <t>supposed</t>
  </si>
  <si>
    <t># text = Didn't we evolve to have depression?</t>
  </si>
  <si>
    <t>Did</t>
  </si>
  <si>
    <t>evolve</t>
  </si>
  <si>
    <t># text = Isn't it part of your personality?"</t>
  </si>
  <si>
    <t>Is</t>
  </si>
  <si>
    <t># text = To which I would say, mood is adaptive.</t>
  </si>
  <si>
    <t>adaptive</t>
  </si>
  <si>
    <t># text = Being able to have sadness and fear and joy and pleasure and all of the other moods that we have, that's incredibly valuable.</t>
  </si>
  <si>
    <t>fear</t>
  </si>
  <si>
    <t>joy</t>
  </si>
  <si>
    <t>pleasure</t>
  </si>
  <si>
    <t>moods</t>
  </si>
  <si>
    <t>valuable</t>
  </si>
  <si>
    <t># text = And major depression is something that happens when that system gets broken.</t>
  </si>
  <si>
    <t>major</t>
  </si>
  <si>
    <t>happens</t>
  </si>
  <si>
    <t>system</t>
  </si>
  <si>
    <t>broken</t>
  </si>
  <si>
    <t># text = It's maladaptive.</t>
  </si>
  <si>
    <t>maladaptive</t>
  </si>
  <si>
    <t># text = People will come to me and say, "I think, though, if I just stick it out for another year, I think I can just get through this."</t>
  </si>
  <si>
    <t>though</t>
  </si>
  <si>
    <t>stick</t>
  </si>
  <si>
    <t># text = And I always say to them, \"You may get through it, but you'll never be 37 again.</t>
  </si>
  <si>
    <t># text = Life is short, and that's a whole year you're talking about giving up.</t>
  </si>
  <si>
    <t>Life</t>
  </si>
  <si>
    <t>short</t>
  </si>
  <si>
    <t>talking</t>
  </si>
  <si>
    <t># text = Think it through.\"</t>
  </si>
  <si>
    <t>Think</t>
  </si>
  <si>
    <t># text = It's a strange poverty of the English language, and indeed of many other languages, that we use this same word, depression, to describe how a kid feels when it rains on his birthday, and to describe how somebody feels the minute before they commit suicide.</t>
  </si>
  <si>
    <t>poverty</t>
  </si>
  <si>
    <t>English</t>
  </si>
  <si>
    <t>indeed</t>
  </si>
  <si>
    <t>languages</t>
  </si>
  <si>
    <t>use</t>
  </si>
  <si>
    <t>word</t>
  </si>
  <si>
    <t>kid</t>
  </si>
  <si>
    <t>feels</t>
  </si>
  <si>
    <t>rains</t>
  </si>
  <si>
    <t>birthday</t>
  </si>
  <si>
    <t>somebody</t>
  </si>
  <si>
    <t>minute</t>
  </si>
  <si>
    <t>before</t>
  </si>
  <si>
    <t>commit</t>
  </si>
  <si>
    <t># text = People say to me, "Well, is it continuous with normal sadness?"</t>
  </si>
  <si>
    <t>continuous</t>
  </si>
  <si>
    <t>normal</t>
  </si>
  <si>
    <t># text = And I say, in a way it's continuous with normal sadness.</t>
  </si>
  <si>
    <t># text = There is a certain amount of continuity, but it's the same way there's continuity between having an iron fence outside your house that gets a little rust spot that you have to sand off and do a little repainting, and what happens if you leave the house for 100 years and it rusts through until it's only a pile of orange dust.</t>
  </si>
  <si>
    <t>continuity</t>
  </si>
  <si>
    <t>having</t>
  </si>
  <si>
    <t>iron</t>
  </si>
  <si>
    <t>fence</t>
  </si>
  <si>
    <t>rust</t>
  </si>
  <si>
    <t>spot</t>
  </si>
  <si>
    <t>OBJ_9</t>
  </si>
  <si>
    <t>sand</t>
  </si>
  <si>
    <t>repainting</t>
  </si>
  <si>
    <t>OBJ_11</t>
  </si>
  <si>
    <t>rusts</t>
  </si>
  <si>
    <t>until</t>
  </si>
  <si>
    <t>pile</t>
  </si>
  <si>
    <t>orange</t>
  </si>
  <si>
    <t>dust</t>
  </si>
  <si>
    <t># text = And it's that orange dust spot, that orange dust problem, that's the one we're setting out to address.</t>
  </si>
  <si>
    <t>setting</t>
  </si>
  <si>
    <t>address</t>
  </si>
  <si>
    <t># text = So now people say, \"You take these happy pills, and do you feel happy?\"</t>
  </si>
  <si>
    <t>happy</t>
  </si>
  <si>
    <t>pills</t>
  </si>
  <si>
    <t># text = And I don't.</t>
  </si>
  <si>
    <t># text = But I don't feel sad about having to eat lunch, and I don't feel sad about my answering machine, about taking a shower.</t>
  </si>
  <si>
    <t># text = I feel more, in fact, I think, because I can feel sadness without nullity.</t>
  </si>
  <si>
    <t># text = I feel sad about professional disappointments, about damaged relationships, about global warming.</t>
  </si>
  <si>
    <t>professional</t>
  </si>
  <si>
    <t>disappointments</t>
  </si>
  <si>
    <t>damaged</t>
  </si>
  <si>
    <t>relationships</t>
  </si>
  <si>
    <t>global</t>
  </si>
  <si>
    <t>warming</t>
  </si>
  <si>
    <t># text = Those are the things that I feel sad about now.</t>
  </si>
  <si>
    <t>Those</t>
  </si>
  <si>
    <t># text = And I said to myself, well, what is the conclusion?</t>
  </si>
  <si>
    <t>conclusion</t>
  </si>
  <si>
    <t># text = How did those people who have better lives even with bigger depression manage to get through?</t>
  </si>
  <si>
    <t>How</t>
  </si>
  <si>
    <t>bigger</t>
  </si>
  <si>
    <t># text = What is the mechanism of resilience?</t>
  </si>
  <si>
    <t>mechanism</t>
  </si>
  <si>
    <t>resilience</t>
  </si>
  <si>
    <t># text = And what I came up with over time was that the people who deny their experience, and say, "I was depressed a long time ago, I never want to think about it again, I'm not going to look at it and I'm just going to get on with my life," ironically, those are the people who are most enslaved by what they have.</t>
  </si>
  <si>
    <t>deny</t>
  </si>
  <si>
    <t>other_10</t>
  </si>
  <si>
    <t>ironically</t>
  </si>
  <si>
    <t>enslaved</t>
  </si>
  <si>
    <t># text = Shutting out the depression strengthens it.</t>
  </si>
  <si>
    <t>Shutting</t>
  </si>
  <si>
    <t>strengthens</t>
  </si>
  <si>
    <t># text = While you hide from it, it grows.</t>
  </si>
  <si>
    <t>While</t>
  </si>
  <si>
    <t>grows</t>
  </si>
  <si>
    <t># text = And the people who do better are the ones who are able to tolerate the fact that they have this condition.</t>
  </si>
  <si>
    <t>tolerate</t>
  </si>
  <si>
    <t>condition</t>
  </si>
  <si>
    <t># text = Those who can tolerate their depression are the ones who achieve resilience.</t>
  </si>
  <si>
    <t>achieve</t>
  </si>
  <si>
    <t># text = So Frank Russakoff said to me, \"If I had a do-over, I suppose I wouldn't do it this way, but in a strange way, I'm grateful for what I've experienced.</t>
  </si>
  <si>
    <t>suppose</t>
  </si>
  <si>
    <t># text = I'm glad to have been in the hospital 40 times.</t>
  </si>
  <si>
    <t>glad</t>
  </si>
  <si>
    <t>hospital</t>
  </si>
  <si>
    <t># text = It taught me so much about love, and my relationship with my parents and my doctors has been so precious to me, and will be always."</t>
  </si>
  <si>
    <t>taught</t>
  </si>
  <si>
    <t>precious</t>
  </si>
  <si>
    <t># text = And Maggie Robbins said, \"I used to volunteer in an AIDS clinic, and I would just talk and talk and talk, and the people I was dealing with weren't very responsive, and I thought, 'That's not very friendly or helpful of them.'\"</t>
  </si>
  <si>
    <t>volunteer</t>
  </si>
  <si>
    <t>AIDS</t>
  </si>
  <si>
    <t>clinic</t>
  </si>
  <si>
    <t>responsive</t>
  </si>
  <si>
    <t>friendly</t>
  </si>
  <si>
    <t>helpful</t>
  </si>
  <si>
    <t># text = \"And then I realized, I realized that they weren't going to do more than make those first few minutes of small talk.</t>
  </si>
  <si>
    <t>realized</t>
  </si>
  <si>
    <t>small</t>
  </si>
  <si>
    <t># text = It was simply going to be an occasion where I didn't have AIDS and I wasn't dying, but could tolerate the fact that they did and they were.</t>
  </si>
  <si>
    <t>simply</t>
  </si>
  <si>
    <t>occasion</t>
  </si>
  <si>
    <t>dying</t>
  </si>
  <si>
    <t># text = Our needs are our greatest assets.</t>
  </si>
  <si>
    <t>Our</t>
  </si>
  <si>
    <t>greatest</t>
  </si>
  <si>
    <t>assets</t>
  </si>
  <si>
    <t># text = It turns out I've learned to give all the things I need."</t>
  </si>
  <si>
    <t>learned</t>
  </si>
  <si>
    <t># text = Valuing one's depression does not prevent a relapse, but it may make the prospect of relapse and even relapse itself easier to tolerate.</t>
  </si>
  <si>
    <t>Valuing</t>
  </si>
  <si>
    <t>relapse</t>
  </si>
  <si>
    <t>prospect</t>
  </si>
  <si>
    <t># text = The question is not so much of finding great meaning and deciding your depression has been very meaningful.</t>
  </si>
  <si>
    <t>finding</t>
  </si>
  <si>
    <t>meaning</t>
  </si>
  <si>
    <t>deciding</t>
  </si>
  <si>
    <t>meaningful</t>
  </si>
  <si>
    <t># text = It's of seeking that meaning and thinking, when it comes again, "This will be hellish, but I will learn something from it."</t>
  </si>
  <si>
    <t>seeking</t>
  </si>
  <si>
    <t>This</t>
  </si>
  <si>
    <t>hellish</t>
  </si>
  <si>
    <t>learn</t>
  </si>
  <si>
    <t># text = I have learned in my own depression how big an emotion can be, how it can be more real than facts, and I have found that that experience has allowed me to experience positive emotion in a more intense and more focused way.</t>
  </si>
  <si>
    <t>emotion</t>
  </si>
  <si>
    <t>real</t>
  </si>
  <si>
    <t>facts</t>
  </si>
  <si>
    <t>allowed</t>
  </si>
  <si>
    <t>positive</t>
  </si>
  <si>
    <t>intense</t>
  </si>
  <si>
    <t>focused</t>
  </si>
  <si>
    <t># text = is not happiness, but vitality, and these days, my life is vital, even on the days when I'm sad.</t>
  </si>
  <si>
    <t>days</t>
  </si>
  <si>
    <t>vital</t>
  </si>
  <si>
    <t># text = I felt that funeral in my brain, and I sat next to the colossus at the edge of the world, and I have discovered something inside of myself that I would have to call a soul that I had never formulated until that day 20 years ago when hell came to pay me a surprise visit.</t>
  </si>
  <si>
    <t>funeral</t>
  </si>
  <si>
    <t>colossus</t>
  </si>
  <si>
    <t>edge</t>
  </si>
  <si>
    <t>soul</t>
  </si>
  <si>
    <t>formulated</t>
  </si>
  <si>
    <t>hell</t>
  </si>
  <si>
    <t>pay</t>
  </si>
  <si>
    <t>surprise</t>
  </si>
  <si>
    <t>visit</t>
  </si>
  <si>
    <t># text = I think that while I hated being depressed and would hate to be depressed again, I've found a way to love my depression.</t>
  </si>
  <si>
    <t>hated</t>
  </si>
  <si>
    <t>hate</t>
  </si>
  <si>
    <t># text = I love it because it has forced me to find and cling to joy.</t>
  </si>
  <si>
    <t>forced</t>
  </si>
  <si>
    <t>cling</t>
  </si>
  <si>
    <t># text = I love it because each day I decide, sometimes gamely, and sometimes against the moment's reason, to cleave to the reasons for living.</t>
  </si>
  <si>
    <t>each</t>
  </si>
  <si>
    <t>sometimes</t>
  </si>
  <si>
    <t>gamely</t>
  </si>
  <si>
    <t>cleave</t>
  </si>
  <si>
    <t>reasons</t>
  </si>
  <si>
    <t># text = And that, I think, is a highly privileged rapture.</t>
  </si>
  <si>
    <t>highly</t>
  </si>
  <si>
    <t>privileged</t>
  </si>
  <si>
    <t>rapture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</si>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</sst>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11</v>
      </c>
      <c r="B4" s="6" t="s">
        <v>23</v>
      </c>
      <c r="C4" s="6" t="s">
        <v>24</v>
      </c>
      <c r="D4" s="7" t="s">
        <v>25</v>
      </c>
      <c r="E4" s="8" t="s">
        <v>26</v>
      </c>
      <c r="F4" s="6" t="s">
        <v>27</v>
      </c>
      <c r="G4" s="9">
        <f>IF(A4=1,"_",IF(C4="_","???",C4))</f>
        <v/>
      </c>
      <c r="H4" s="10" t="s">
        <v>16</v>
      </c>
      <c r="I4" s="11" t="s">
        <v>16</v>
      </c>
      <c r="J4" s="12"/>
    </row>
    <row r="5" spans="1:10" ht="60" customHeight="1">
      <c r="A5" s="6" t="s">
        <v>23</v>
      </c>
      <c r="B5" s="6" t="s">
        <v>17</v>
      </c>
      <c r="C5" s="6" t="s">
        <v>16</v>
      </c>
      <c r="D5" s="7" t="s">
        <v>28</v>
      </c>
      <c r="E5" s="8" t="s">
        <v>29</v>
      </c>
      <c r="F5" s="6" t="s">
        <v>30</v>
      </c>
      <c r="G5" s="9">
        <f>IF(A5=1,"_",IF(C5="_","???",C5))</f>
        <v/>
      </c>
      <c r="H5" s="10" t="s">
        <v>16</v>
      </c>
      <c r="I5" s="11" t="s">
        <v>16</v>
      </c>
      <c r="J5" s="12"/>
    </row>
    <row r="6" spans="1:10" ht="60" customHeight="1">
      <c r="A6" s="6" t="s">
        <v>31</v>
      </c>
      <c r="B6" s="6" t="s">
        <v>11</v>
      </c>
      <c r="C6" s="6" t="s">
        <v>16</v>
      </c>
      <c r="D6" s="7" t="s">
        <v>32</v>
      </c>
      <c r="E6" s="8" t="s">
        <v>33</v>
      </c>
      <c r="F6" s="6" t="s">
        <v>34</v>
      </c>
      <c r="G6" s="9">
        <f>IF(A6=1,"_",IF(C6="_","???",C6))</f>
        <v/>
      </c>
      <c r="H6" s="10" t="s">
        <v>16</v>
      </c>
      <c r="I6" s="11" t="s">
        <v>16</v>
      </c>
      <c r="J6" s="12"/>
    </row>
    <row r="7" spans="1:10" ht="60" customHeight="1">
      <c r="A7" s="6" t="s">
        <v>35</v>
      </c>
      <c r="B7" s="6" t="s">
        <v>35</v>
      </c>
      <c r="C7" s="6" t="s">
        <v>16</v>
      </c>
      <c r="D7" s="7" t="s">
        <v>36</v>
      </c>
      <c r="E7" s="8" t="s">
        <v>37</v>
      </c>
      <c r="F7" s="6" t="s">
        <v>38</v>
      </c>
      <c r="G7" s="9">
        <f>IF(A7=1,"_",IF(C7="_","???",C7))</f>
        <v/>
      </c>
      <c r="H7" s="10" t="s">
        <v>16</v>
      </c>
      <c r="I7" s="11" t="s">
        <v>16</v>
      </c>
      <c r="J7" s="12"/>
    </row>
    <row r="8" spans="1:10" ht="60" customHeight="1">
      <c r="A8" s="6" t="s">
        <v>39</v>
      </c>
      <c r="B8" s="6" t="s">
        <v>40</v>
      </c>
      <c r="C8" s="6" t="s">
        <v>41</v>
      </c>
      <c r="D8" s="7" t="s">
        <v>42</v>
      </c>
      <c r="E8" s="8" t="s">
        <v>43</v>
      </c>
      <c r="F8" s="6" t="s">
        <v>44</v>
      </c>
      <c r="G8" s="9">
        <f>IF(A8=1,"_",IF(C8="_","???",C8))</f>
        <v/>
      </c>
      <c r="H8" s="10" t="s">
        <v>16</v>
      </c>
      <c r="I8" s="11" t="s">
        <v>16</v>
      </c>
      <c r="J8" s="12"/>
    </row>
    <row r="9" spans="1:10" ht="60" customHeight="1">
      <c r="A9" s="6" t="s">
        <v>40</v>
      </c>
      <c r="B9" s="6" t="s">
        <v>31</v>
      </c>
      <c r="C9" s="6" t="s">
        <v>16</v>
      </c>
      <c r="D9" s="7" t="s">
        <v>45</v>
      </c>
      <c r="E9" s="8" t="s">
        <v>46</v>
      </c>
      <c r="F9" s="6" t="s">
        <v>47</v>
      </c>
      <c r="G9" s="9">
        <f>IF(A9=1,"_",IF(C9="_","???",C9))</f>
        <v/>
      </c>
      <c r="H9" s="10" t="s">
        <v>16</v>
      </c>
      <c r="I9" s="11" t="s">
        <v>16</v>
      </c>
      <c r="J9" s="12"/>
    </row>
    <row r="10" spans="1:10" ht="60" customHeight="1">
      <c r="A10" s="6" t="s">
        <v>48</v>
      </c>
      <c r="B10" s="6" t="s">
        <v>11</v>
      </c>
      <c r="C10" s="6" t="s">
        <v>12</v>
      </c>
      <c r="D10" s="7" t="s">
        <v>49</v>
      </c>
      <c r="E10" s="8" t="s">
        <v>50</v>
      </c>
      <c r="F10" s="6" t="s">
        <v>51</v>
      </c>
      <c r="G10" s="9">
        <f>IF(A10=1,"_",IF(C10="_","???",C10))</f>
        <v/>
      </c>
      <c r="H10" s="10" t="s">
        <v>16</v>
      </c>
      <c r="I10" s="11" t="s">
        <v>16</v>
      </c>
      <c r="J10" s="12"/>
    </row>
    <row r="11" spans="1:10" ht="60" customHeight="1">
      <c r="A11" s="6" t="s">
        <v>52</v>
      </c>
      <c r="B11" s="6" t="s">
        <v>52</v>
      </c>
      <c r="C11" s="6" t="s">
        <v>53</v>
      </c>
      <c r="D11" s="7" t="s">
        <v>54</v>
      </c>
      <c r="E11" s="8" t="s">
        <v>55</v>
      </c>
      <c r="F11" s="6" t="s">
        <v>56</v>
      </c>
      <c r="G11" s="9">
        <f>IF(A11=1,"_",IF(C11="_","???",C11))</f>
        <v/>
      </c>
      <c r="H11" s="10" t="s">
        <v>16</v>
      </c>
      <c r="I11" s="11" t="s">
        <v>16</v>
      </c>
      <c r="J11" s="12"/>
    </row>
    <row r="12" spans="1:10" ht="60" customHeight="1">
      <c r="A12" s="6" t="s">
        <v>57</v>
      </c>
      <c r="B12" s="6" t="s">
        <v>58</v>
      </c>
      <c r="C12" s="6" t="s">
        <v>12</v>
      </c>
      <c r="D12" s="7" t="s">
        <v>59</v>
      </c>
      <c r="E12" s="8" t="s">
        <v>60</v>
      </c>
      <c r="F12" s="6" t="s">
        <v>61</v>
      </c>
      <c r="G12" s="9">
        <f>IF(A12=1,"_",IF(C12="_","???",C12))</f>
        <v/>
      </c>
      <c r="H12" s="10" t="s">
        <v>16</v>
      </c>
      <c r="I12" s="11" t="s">
        <v>16</v>
      </c>
      <c r="J12" s="12"/>
    </row>
    <row r="13" spans="1:10" ht="60" customHeight="1">
      <c r="A13" s="6" t="s">
        <v>62</v>
      </c>
      <c r="B13" s="6" t="s">
        <v>31</v>
      </c>
      <c r="C13" s="6" t="s">
        <v>63</v>
      </c>
      <c r="D13" s="7" t="s">
        <v>64</v>
      </c>
      <c r="E13" s="8" t="s">
        <v>65</v>
      </c>
      <c r="F13" s="6" t="s">
        <v>66</v>
      </c>
      <c r="G13" s="9">
        <f>IF(A13=1,"_",IF(C13="_","???",C13))</f>
        <v/>
      </c>
      <c r="H13" s="10" t="s">
        <v>16</v>
      </c>
      <c r="I13" s="11" t="s">
        <v>16</v>
      </c>
      <c r="J13" s="12"/>
    </row>
    <row r="14" spans="1:10" ht="60" customHeight="1">
      <c r="A14" s="6" t="s">
        <v>67</v>
      </c>
      <c r="B14" s="6" t="s">
        <v>11</v>
      </c>
      <c r="C14" s="6" t="s">
        <v>12</v>
      </c>
      <c r="D14" s="7" t="s">
        <v>68</v>
      </c>
      <c r="E14" s="8" t="s">
        <v>69</v>
      </c>
      <c r="F14" s="6" t="s">
        <v>70</v>
      </c>
      <c r="G14" s="9">
        <f>IF(A14=1,"_",IF(C14="_","???",C14))</f>
        <v/>
      </c>
      <c r="H14" s="10" t="s">
        <v>16</v>
      </c>
      <c r="I14" s="11" t="s">
        <v>16</v>
      </c>
      <c r="J14" s="12"/>
    </row>
    <row r="15" spans="1:10" ht="60" customHeight="1">
      <c r="A15" s="6" t="s">
        <v>71</v>
      </c>
      <c r="B15" s="6" t="s">
        <v>10</v>
      </c>
      <c r="C15" s="6" t="s">
        <v>16</v>
      </c>
      <c r="D15" s="7" t="s">
        <v>72</v>
      </c>
      <c r="E15" s="8" t="s">
        <v>73</v>
      </c>
      <c r="F15" s="6" t="s">
        <v>74</v>
      </c>
      <c r="G15" s="9">
        <f>IF(A15=1,"_",IF(C15="_","???",C15))</f>
        <v/>
      </c>
      <c r="H15" s="10" t="s">
        <v>16</v>
      </c>
      <c r="I15" s="11" t="s">
        <v>16</v>
      </c>
      <c r="J15" s="12"/>
    </row>
    <row r="16" spans="1:10" ht="60" customHeight="1">
      <c r="A16" s="6" t="s">
        <v>18</v>
      </c>
      <c r="B16" s="6" t="s">
        <v>11</v>
      </c>
      <c r="C16" s="6" t="s">
        <v>75</v>
      </c>
      <c r="D16" s="7" t="s">
        <v>76</v>
      </c>
      <c r="E16" s="8" t="s">
        <v>77</v>
      </c>
      <c r="F16" s="6" t="s">
        <v>78</v>
      </c>
      <c r="G16" s="9">
        <f>IF(A16=1,"_",IF(C16="_","???",C16))</f>
        <v/>
      </c>
      <c r="H16" s="10" t="s">
        <v>16</v>
      </c>
      <c r="I16" s="11" t="s">
        <v>16</v>
      </c>
      <c r="J16" s="12"/>
    </row>
    <row r="17" spans="1:10" ht="60" customHeight="1">
      <c r="A17" s="6" t="s">
        <v>79</v>
      </c>
      <c r="B17" s="6" t="s">
        <v>71</v>
      </c>
      <c r="C17" s="6" t="s">
        <v>24</v>
      </c>
      <c r="D17" s="7" t="s">
        <v>80</v>
      </c>
      <c r="E17" s="8" t="s">
        <v>81</v>
      </c>
      <c r="F17" s="6" t="s">
        <v>82</v>
      </c>
      <c r="G17" s="9">
        <f>IF(A17=1,"_",IF(C17="_","???",C17))</f>
        <v/>
      </c>
      <c r="H17" s="10" t="s">
        <v>16</v>
      </c>
      <c r="I17" s="11" t="s">
        <v>16</v>
      </c>
      <c r="J17" s="12"/>
    </row>
    <row r="18" spans="1:10" ht="60" customHeight="1">
      <c r="A18" s="6" t="s">
        <v>83</v>
      </c>
      <c r="B18" s="6" t="s">
        <v>71</v>
      </c>
      <c r="C18" s="6" t="s">
        <v>12</v>
      </c>
      <c r="D18" s="7" t="s">
        <v>36</v>
      </c>
      <c r="E18" s="8" t="s">
        <v>84</v>
      </c>
      <c r="F18" s="6" t="s">
        <v>85</v>
      </c>
      <c r="G18" s="9">
        <f>IF(A18=1,"_",IF(C18="_","???",C18))</f>
        <v/>
      </c>
      <c r="H18" s="10" t="s">
        <v>16</v>
      </c>
      <c r="I18" s="11" t="s">
        <v>16</v>
      </c>
      <c r="J18" s="12"/>
    </row>
    <row r="19" spans="1:10" ht="60" customHeight="1">
      <c r="A19" s="6" t="s">
        <v>86</v>
      </c>
      <c r="B19" s="6" t="s">
        <v>17</v>
      </c>
      <c r="C19" s="6" t="s">
        <v>16</v>
      </c>
      <c r="D19" s="7" t="s">
        <v>28</v>
      </c>
      <c r="E19" s="8" t="s">
        <v>87</v>
      </c>
      <c r="F19" s="6" t="s">
        <v>88</v>
      </c>
      <c r="G19" s="9">
        <f>IF(A19=1,"_",IF(C19="_","???",C19))</f>
        <v/>
      </c>
      <c r="H19" s="10" t="s">
        <v>16</v>
      </c>
      <c r="I19" s="11" t="s">
        <v>16</v>
      </c>
      <c r="J19" s="12"/>
    </row>
    <row r="20" spans="1:10" ht="60" customHeight="1">
      <c r="A20" s="6" t="s">
        <v>89</v>
      </c>
      <c r="B20" s="6" t="s">
        <v>17</v>
      </c>
      <c r="C20" s="6" t="s">
        <v>12</v>
      </c>
      <c r="D20" s="7" t="s">
        <v>28</v>
      </c>
      <c r="E20" s="8" t="s">
        <v>90</v>
      </c>
      <c r="F20" s="6" t="s">
        <v>91</v>
      </c>
      <c r="G20" s="9">
        <f>IF(A20=1,"_",IF(C20="_","???",C20))</f>
        <v/>
      </c>
      <c r="H20" s="10" t="s">
        <v>16</v>
      </c>
      <c r="I20" s="11" t="s">
        <v>16</v>
      </c>
      <c r="J20" s="12"/>
    </row>
    <row r="21" spans="1:10" ht="60" customHeight="1">
      <c r="A21" s="6" t="s">
        <v>92</v>
      </c>
      <c r="B21" s="6" t="s">
        <v>23</v>
      </c>
      <c r="C21" s="6" t="s">
        <v>12</v>
      </c>
      <c r="D21" s="7" t="s">
        <v>93</v>
      </c>
      <c r="E21" s="8" t="s">
        <v>94</v>
      </c>
      <c r="F21" s="6" t="s">
        <v>95</v>
      </c>
      <c r="G21" s="9">
        <f>IF(A21=1,"_",IF(C21="_","???",C21))</f>
        <v/>
      </c>
      <c r="H21" s="10" t="s">
        <v>16</v>
      </c>
      <c r="I21" s="11" t="s">
        <v>16</v>
      </c>
      <c r="J21" s="12"/>
    </row>
    <row r="22" spans="1:10" ht="60" customHeight="1">
      <c r="A22" s="6" t="s">
        <v>96</v>
      </c>
      <c r="B22" s="6" t="s">
        <v>17</v>
      </c>
      <c r="C22" s="6" t="s">
        <v>16</v>
      </c>
      <c r="D22" s="7" t="s">
        <v>97</v>
      </c>
      <c r="E22" s="8" t="s">
        <v>98</v>
      </c>
      <c r="F22" s="6" t="s">
        <v>99</v>
      </c>
      <c r="G22" s="9">
        <f>IF(A22=1,"_",IF(C22="_","???",C22))</f>
        <v/>
      </c>
      <c r="H22" s="10" t="s">
        <v>16</v>
      </c>
      <c r="I22" s="11" t="s">
        <v>16</v>
      </c>
      <c r="J22" s="12"/>
    </row>
    <row r="23" spans="1:10" ht="60" customHeight="1">
      <c r="A23" s="6" t="s">
        <v>58</v>
      </c>
      <c r="B23" s="6" t="s">
        <v>23</v>
      </c>
      <c r="C23" s="6" t="s">
        <v>24</v>
      </c>
      <c r="D23" s="7" t="s">
        <v>100</v>
      </c>
      <c r="E23" s="8" t="s">
        <v>101</v>
      </c>
      <c r="F23" s="6" t="s">
        <v>102</v>
      </c>
      <c r="G23" s="9">
        <f>IF(A23=1,"_",IF(C23="_","???",C23))</f>
        <v/>
      </c>
      <c r="H23" s="10" t="s">
        <v>16</v>
      </c>
      <c r="I23" s="11" t="s">
        <v>16</v>
      </c>
      <c r="J23" s="12"/>
    </row>
    <row r="24" spans="1:10" ht="60" customHeight="1">
      <c r="A24" s="6" t="s">
        <v>103</v>
      </c>
      <c r="B24" s="6" t="s">
        <v>11</v>
      </c>
      <c r="C24" s="6" t="s">
        <v>104</v>
      </c>
      <c r="D24" s="7" t="s">
        <v>105</v>
      </c>
      <c r="E24" s="8" t="s">
        <v>106</v>
      </c>
      <c r="F24" s="6" t="s">
        <v>107</v>
      </c>
      <c r="G24" s="9">
        <f>IF(A24=1,"_",IF(C24="_","???",C24))</f>
        <v/>
      </c>
      <c r="H24" s="10" t="s">
        <v>16</v>
      </c>
      <c r="I24" s="11" t="s">
        <v>16</v>
      </c>
      <c r="J24" s="12"/>
    </row>
    <row r="25" spans="1:10" ht="60" customHeight="1">
      <c r="A25" s="6" t="s">
        <v>108</v>
      </c>
      <c r="B25" s="6" t="s">
        <v>52</v>
      </c>
      <c r="C25" s="6" t="s">
        <v>109</v>
      </c>
      <c r="D25" s="7" t="s">
        <v>45</v>
      </c>
      <c r="E25" s="8" t="s">
        <v>110</v>
      </c>
      <c r="F25" s="6" t="s">
        <v>111</v>
      </c>
      <c r="G25" s="9">
        <f>IF(A25=1,"_",IF(C25="_","???",C25))</f>
        <v/>
      </c>
      <c r="H25" s="10" t="s">
        <v>16</v>
      </c>
      <c r="I25" s="11" t="s">
        <v>16</v>
      </c>
      <c r="J25" s="12"/>
    </row>
    <row r="26" spans="1:10" ht="60" customHeight="1">
      <c r="A26" s="6" t="s">
        <v>112</v>
      </c>
      <c r="B26" s="6" t="s">
        <v>17</v>
      </c>
      <c r="C26" s="6" t="s">
        <v>16</v>
      </c>
      <c r="D26" s="7" t="s">
        <v>113</v>
      </c>
      <c r="E26" s="8" t="s">
        <v>114</v>
      </c>
      <c r="F26" s="6" t="s">
        <v>115</v>
      </c>
      <c r="G26" s="9">
        <f>IF(A26=1,"_",IF(C26="_","???",C26))</f>
        <v/>
      </c>
      <c r="H26" s="10" t="s">
        <v>16</v>
      </c>
      <c r="I26" s="11" t="s">
        <v>16</v>
      </c>
      <c r="J26" s="12"/>
    </row>
    <row r="27" spans="1:10" ht="60" customHeight="1">
      <c r="A27" s="6" t="s">
        <v>116</v>
      </c>
      <c r="B27" s="6" t="s">
        <v>17</v>
      </c>
      <c r="C27" s="6" t="s">
        <v>16</v>
      </c>
      <c r="D27" s="7" t="s">
        <v>117</v>
      </c>
      <c r="E27" s="8" t="s">
        <v>118</v>
      </c>
      <c r="F27" s="6" t="s">
        <v>119</v>
      </c>
      <c r="G27" s="9">
        <f>IF(A27=1,"_",IF(C27="_","???",C27))</f>
        <v/>
      </c>
      <c r="H27" s="10" t="s">
        <v>16</v>
      </c>
      <c r="I27" s="11" t="s">
        <v>16</v>
      </c>
      <c r="J27" s="12"/>
    </row>
    <row r="28" spans="1:10" ht="60" customHeight="1">
      <c r="A28" s="6" t="s">
        <v>120</v>
      </c>
      <c r="B28" s="6" t="s">
        <v>11</v>
      </c>
      <c r="C28" s="6" t="s">
        <v>12</v>
      </c>
      <c r="D28" s="7" t="s">
        <v>121</v>
      </c>
      <c r="E28" s="8" t="s">
        <v>122</v>
      </c>
      <c r="F28" s="6" t="s">
        <v>123</v>
      </c>
      <c r="G28" s="9">
        <f>IF(A28=1,"_",IF(C28="_","???",C28))</f>
        <v/>
      </c>
      <c r="H28" s="10" t="s">
        <v>16</v>
      </c>
      <c r="I28" s="11" t="s">
        <v>16</v>
      </c>
      <c r="J28" s="12"/>
    </row>
    <row r="29" spans="1:10" ht="60" customHeight="1">
      <c r="A29" s="6" t="s">
        <v>124</v>
      </c>
      <c r="B29" s="6" t="s">
        <v>39</v>
      </c>
      <c r="C29" s="6" t="s">
        <v>125</v>
      </c>
      <c r="D29" s="7" t="s">
        <v>126</v>
      </c>
      <c r="E29" s="8" t="s">
        <v>127</v>
      </c>
      <c r="F29" s="6" t="s">
        <v>128</v>
      </c>
      <c r="G29" s="9">
        <f>IF(A29=1,"_",IF(C29="_","???",C29))</f>
        <v/>
      </c>
      <c r="H29" s="10" t="s">
        <v>16</v>
      </c>
      <c r="I29" s="11" t="s">
        <v>16</v>
      </c>
      <c r="J29" s="12"/>
    </row>
    <row r="30" spans="1:10" ht="60" customHeight="1">
      <c r="A30" s="6" t="s">
        <v>129</v>
      </c>
      <c r="B30" s="6" t="s">
        <v>39</v>
      </c>
      <c r="C30" s="6" t="s">
        <v>125</v>
      </c>
      <c r="D30" s="7" t="s">
        <v>130</v>
      </c>
      <c r="E30" s="8" t="s">
        <v>131</v>
      </c>
      <c r="F30" s="6" t="s">
        <v>132</v>
      </c>
      <c r="G30" s="9">
        <f>IF(A30=1,"_",IF(C30="_","???",C30))</f>
        <v/>
      </c>
      <c r="H30" s="10" t="s">
        <v>16</v>
      </c>
      <c r="I30" s="11" t="s">
        <v>16</v>
      </c>
      <c r="J30" s="12"/>
    </row>
    <row r="31" spans="1:10" ht="60" customHeight="1">
      <c r="A31" s="6" t="s">
        <v>133</v>
      </c>
      <c r="B31" s="6" t="s">
        <v>17</v>
      </c>
      <c r="C31" s="6" t="s">
        <v>16</v>
      </c>
      <c r="D31" s="7" t="s">
        <v>134</v>
      </c>
      <c r="E31" s="8" t="s">
        <v>135</v>
      </c>
      <c r="F31" s="6" t="s">
        <v>136</v>
      </c>
      <c r="G31" s="9">
        <f>IF(A31=1,"_",IF(C31="_","???",C31))</f>
        <v/>
      </c>
      <c r="H31" s="10" t="s">
        <v>16</v>
      </c>
      <c r="I31" s="11" t="s">
        <v>16</v>
      </c>
      <c r="J31" s="12"/>
    </row>
    <row r="32" spans="1:10" ht="60" customHeight="1">
      <c r="A32" s="6" t="s">
        <v>137</v>
      </c>
      <c r="B32" s="6" t="s">
        <v>31</v>
      </c>
      <c r="C32" s="6" t="s">
        <v>138</v>
      </c>
      <c r="D32" s="7" t="s">
        <v>139</v>
      </c>
      <c r="E32" s="8" t="s">
        <v>140</v>
      </c>
      <c r="F32" s="6" t="s">
        <v>141</v>
      </c>
      <c r="G32" s="9">
        <f>IF(A32=1,"_",IF(C32="_","???",C32))</f>
        <v/>
      </c>
      <c r="H32" s="10" t="s">
        <v>16</v>
      </c>
      <c r="I32" s="11" t="s">
        <v>16</v>
      </c>
      <c r="J32" s="12"/>
    </row>
    <row r="33" spans="1:10" ht="60" customHeight="1">
      <c r="A33" s="6" t="s">
        <v>142</v>
      </c>
      <c r="B33" s="6" t="s">
        <v>23</v>
      </c>
      <c r="C33" s="6" t="s">
        <v>143</v>
      </c>
      <c r="D33" s="7" t="s">
        <v>139</v>
      </c>
      <c r="E33" s="8" t="s">
        <v>144</v>
      </c>
      <c r="F33" s="6" t="s">
        <v>145</v>
      </c>
      <c r="G33" s="9">
        <f>IF(A33=1,"_",IF(C33="_","???",C33))</f>
        <v/>
      </c>
      <c r="H33" s="10" t="s">
        <v>16</v>
      </c>
      <c r="I33" s="11" t="s">
        <v>16</v>
      </c>
      <c r="J33" s="12"/>
    </row>
    <row r="34" spans="1:10" ht="60" customHeight="1">
      <c r="A34" s="6" t="s">
        <v>146</v>
      </c>
      <c r="B34" s="6" t="s">
        <v>92</v>
      </c>
      <c r="C34" s="6" t="s">
        <v>24</v>
      </c>
      <c r="D34" s="7" t="s">
        <v>147</v>
      </c>
      <c r="E34" s="8" t="s">
        <v>148</v>
      </c>
      <c r="F34" s="6" t="s">
        <v>149</v>
      </c>
      <c r="G34" s="9">
        <f>IF(A34=1,"_",IF(C34="_","???",C34))</f>
        <v/>
      </c>
      <c r="H34" s="10" t="s">
        <v>16</v>
      </c>
      <c r="I34" s="11" t="s">
        <v>16</v>
      </c>
      <c r="J34" s="12"/>
    </row>
    <row r="35" spans="1:10" ht="60" customHeight="1">
      <c r="A35" s="6" t="s">
        <v>150</v>
      </c>
      <c r="B35" s="6" t="s">
        <v>48</v>
      </c>
      <c r="C35" s="6" t="s">
        <v>12</v>
      </c>
      <c r="D35" s="7" t="s">
        <v>36</v>
      </c>
      <c r="E35" s="8" t="s">
        <v>151</v>
      </c>
      <c r="F35" s="6" t="s">
        <v>152</v>
      </c>
      <c r="G35" s="9">
        <f>IF(A35=1,"_",IF(C35="_","???",C35))</f>
        <v/>
      </c>
      <c r="H35" s="10" t="s">
        <v>16</v>
      </c>
      <c r="I35" s="11" t="s">
        <v>16</v>
      </c>
      <c r="J35" s="12"/>
    </row>
    <row r="36" spans="1:10" ht="60" customHeight="1">
      <c r="A36" s="6" t="s">
        <v>153</v>
      </c>
      <c r="B36" s="6" t="s">
        <v>31</v>
      </c>
      <c r="C36" s="6" t="s">
        <v>12</v>
      </c>
      <c r="D36" s="7" t="s">
        <v>13</v>
      </c>
      <c r="E36" s="8" t="s">
        <v>154</v>
      </c>
      <c r="F36" s="6" t="s">
        <v>155</v>
      </c>
      <c r="G36" s="9">
        <f>IF(A36=1,"_",IF(C36="_","???",C36))</f>
        <v/>
      </c>
      <c r="H36" s="10" t="s">
        <v>16</v>
      </c>
      <c r="I36" s="11" t="s">
        <v>16</v>
      </c>
      <c r="J36" s="12"/>
    </row>
    <row r="37" spans="1:10" ht="60" customHeight="1">
      <c r="A37" s="6" t="s">
        <v>156</v>
      </c>
      <c r="B37" s="6" t="s">
        <v>17</v>
      </c>
      <c r="C37" s="6" t="s">
        <v>41</v>
      </c>
      <c r="D37" s="7" t="s">
        <v>45</v>
      </c>
      <c r="E37" s="8" t="s">
        <v>157</v>
      </c>
      <c r="F37" s="6" t="s">
        <v>158</v>
      </c>
      <c r="G37" s="9">
        <f>IF(A37=1,"_",IF(C37="_","???",C37))</f>
        <v/>
      </c>
      <c r="H37" s="10" t="s">
        <v>16</v>
      </c>
      <c r="I37" s="11" t="s">
        <v>16</v>
      </c>
      <c r="J37" s="12"/>
    </row>
    <row r="38" spans="1:10" ht="60" customHeight="1">
      <c r="A38" s="6" t="s">
        <v>159</v>
      </c>
      <c r="B38" s="6" t="s">
        <v>11</v>
      </c>
      <c r="C38" s="6" t="s">
        <v>16</v>
      </c>
      <c r="D38" s="7" t="s">
        <v>36</v>
      </c>
      <c r="E38" s="8" t="s">
        <v>160</v>
      </c>
      <c r="F38" s="6" t="s">
        <v>161</v>
      </c>
      <c r="G38" s="9">
        <f>IF(A38=1,"_",IF(C38="_","???",C38))</f>
        <v/>
      </c>
      <c r="H38" s="10" t="s">
        <v>16</v>
      </c>
      <c r="I38" s="11" t="s">
        <v>16</v>
      </c>
      <c r="J38" s="12"/>
    </row>
    <row r="39" spans="1:10" ht="60" customHeight="1">
      <c r="A39" s="6" t="s">
        <v>162</v>
      </c>
      <c r="B39" s="6" t="s">
        <v>23</v>
      </c>
      <c r="C39" s="6" t="s">
        <v>12</v>
      </c>
      <c r="D39" s="7" t="s">
        <v>36</v>
      </c>
      <c r="E39" s="8" t="s">
        <v>163</v>
      </c>
      <c r="F39" s="6" t="s">
        <v>164</v>
      </c>
      <c r="G39" s="9">
        <f>IF(A39=1,"_",IF(C39="_","???",C39))</f>
        <v/>
      </c>
      <c r="H39" s="10" t="s">
        <v>16</v>
      </c>
      <c r="I39" s="11" t="s">
        <v>16</v>
      </c>
      <c r="J39" s="12"/>
    </row>
    <row r="40" spans="1:10" ht="60" customHeight="1">
      <c r="A40" s="6" t="s">
        <v>165</v>
      </c>
      <c r="B40" s="6" t="s">
        <v>23</v>
      </c>
      <c r="C40" s="6" t="s">
        <v>166</v>
      </c>
      <c r="D40" s="7" t="s">
        <v>167</v>
      </c>
      <c r="E40" s="8" t="s">
        <v>168</v>
      </c>
      <c r="F40" s="6" t="s">
        <v>169</v>
      </c>
      <c r="G40" s="9">
        <f>IF(A40=1,"_",IF(C40="_","???",C40))</f>
        <v/>
      </c>
      <c r="H40" s="10" t="s">
        <v>16</v>
      </c>
      <c r="I40" s="11" t="s">
        <v>16</v>
      </c>
      <c r="J40" s="12"/>
    </row>
    <row r="41" spans="1:10" ht="60" customHeight="1">
      <c r="A41" s="6" t="s">
        <v>170</v>
      </c>
      <c r="B41" s="6" t="s">
        <v>11</v>
      </c>
      <c r="C41" s="6" t="s">
        <v>63</v>
      </c>
      <c r="D41" s="7" t="s">
        <v>42</v>
      </c>
      <c r="E41" s="8" t="s">
        <v>171</v>
      </c>
      <c r="F41" s="6" t="s">
        <v>172</v>
      </c>
      <c r="G41" s="9">
        <f>IF(A41=1,"_",IF(C41="_","???",C41))</f>
        <v/>
      </c>
      <c r="H41" s="10" t="s">
        <v>16</v>
      </c>
      <c r="I41" s="11" t="s">
        <v>16</v>
      </c>
      <c r="J41" s="12"/>
    </row>
    <row r="42" spans="1:10" ht="60" customHeight="1">
      <c r="A42" s="6" t="s">
        <v>173</v>
      </c>
      <c r="B42" s="6" t="s">
        <v>23</v>
      </c>
      <c r="C42" s="6" t="s">
        <v>12</v>
      </c>
      <c r="D42" s="7" t="s">
        <v>134</v>
      </c>
      <c r="E42" s="8" t="s">
        <v>174</v>
      </c>
      <c r="F42" s="6" t="s">
        <v>175</v>
      </c>
      <c r="G42" s="9">
        <f>IF(A42=1,"_",IF(C42="_","???",C42))</f>
        <v/>
      </c>
      <c r="H42" s="10" t="s">
        <v>16</v>
      </c>
      <c r="I42" s="11" t="s">
        <v>16</v>
      </c>
      <c r="J42" s="12"/>
    </row>
    <row r="43" spans="1:10" ht="60" customHeight="1">
      <c r="A43" s="6" t="s">
        <v>176</v>
      </c>
      <c r="B43" s="6" t="s">
        <v>31</v>
      </c>
      <c r="C43" s="6" t="s">
        <v>12</v>
      </c>
      <c r="D43" s="7" t="s">
        <v>177</v>
      </c>
      <c r="E43" s="8" t="s">
        <v>178</v>
      </c>
      <c r="F43" s="6" t="s">
        <v>179</v>
      </c>
      <c r="G43" s="9">
        <f>IF(A43=1,"_",IF(C43="_","???",C43))</f>
        <v/>
      </c>
      <c r="H43" s="10" t="s">
        <v>16</v>
      </c>
      <c r="I43" s="11" t="s">
        <v>16</v>
      </c>
      <c r="J43" s="12"/>
    </row>
    <row r="44" spans="1:10" ht="60" customHeight="1">
      <c r="A44" s="6" t="s">
        <v>180</v>
      </c>
      <c r="B44" s="6" t="s">
        <v>23</v>
      </c>
      <c r="C44" s="6" t="s">
        <v>24</v>
      </c>
      <c r="D44" s="7" t="s">
        <v>181</v>
      </c>
      <c r="E44" s="8" t="s">
        <v>182</v>
      </c>
      <c r="F44" s="6" t="s">
        <v>183</v>
      </c>
      <c r="G44" s="9">
        <f>IF(A44=1,"_",IF(C44="_","???",C44))</f>
        <v/>
      </c>
      <c r="H44" s="10" t="s">
        <v>16</v>
      </c>
      <c r="I44" s="11" t="s">
        <v>16</v>
      </c>
      <c r="J44" s="12"/>
    </row>
    <row r="45" spans="1:10" ht="60" customHeight="1">
      <c r="A45" s="6" t="s">
        <v>184</v>
      </c>
      <c r="B45" s="6" t="s">
        <v>48</v>
      </c>
      <c r="C45" s="6" t="s">
        <v>143</v>
      </c>
      <c r="D45" s="7" t="s">
        <v>45</v>
      </c>
      <c r="E45" s="8" t="s">
        <v>185</v>
      </c>
      <c r="F45" s="6" t="s">
        <v>186</v>
      </c>
      <c r="G45" s="9">
        <f>IF(A45=1,"_",IF(C45="_","???",C45))</f>
        <v/>
      </c>
      <c r="H45" s="10" t="s">
        <v>16</v>
      </c>
      <c r="I45" s="11" t="s">
        <v>16</v>
      </c>
      <c r="J45" s="12"/>
    </row>
    <row r="46" spans="1:10" ht="60" customHeight="1">
      <c r="A46" s="6" t="s">
        <v>187</v>
      </c>
      <c r="B46" s="6" t="s">
        <v>23</v>
      </c>
      <c r="C46" s="6" t="s">
        <v>16</v>
      </c>
      <c r="D46" s="7" t="s">
        <v>188</v>
      </c>
      <c r="E46" s="8" t="s">
        <v>189</v>
      </c>
      <c r="F46" s="6" t="s">
        <v>190</v>
      </c>
      <c r="G46" s="9">
        <f>IF(A46=1,"_",IF(C46="_","???",C46))</f>
        <v/>
      </c>
      <c r="H46" s="10" t="s">
        <v>16</v>
      </c>
      <c r="I46" s="11" t="s">
        <v>16</v>
      </c>
      <c r="J46" s="12"/>
    </row>
    <row r="47" spans="1:10" ht="60" customHeight="1">
      <c r="A47" s="6" t="s">
        <v>191</v>
      </c>
      <c r="B47" s="6" t="s">
        <v>17</v>
      </c>
      <c r="C47" s="6" t="s">
        <v>16</v>
      </c>
      <c r="D47" s="7" t="s">
        <v>192</v>
      </c>
      <c r="E47" s="8" t="s">
        <v>193</v>
      </c>
      <c r="F47" s="6" t="s">
        <v>194</v>
      </c>
      <c r="G47" s="9">
        <f>IF(A47=1,"_",IF(C47="_","???",C47))</f>
        <v/>
      </c>
      <c r="H47" s="10" t="s">
        <v>16</v>
      </c>
      <c r="I47" s="11" t="s">
        <v>16</v>
      </c>
      <c r="J47" s="12"/>
    </row>
    <row r="48" spans="1:10" ht="60" customHeight="1">
      <c r="A48" s="6" t="s">
        <v>195</v>
      </c>
      <c r="B48" s="6" t="s">
        <v>17</v>
      </c>
      <c r="C48" s="6" t="s">
        <v>16</v>
      </c>
      <c r="D48" s="7" t="s">
        <v>196</v>
      </c>
      <c r="E48" s="8" t="s">
        <v>197</v>
      </c>
      <c r="F48" s="6" t="s">
        <v>198</v>
      </c>
      <c r="G48" s="9">
        <f>IF(A48=1,"_",IF(C48="_","???",C48))</f>
        <v/>
      </c>
      <c r="H48" s="10" t="s">
        <v>16</v>
      </c>
      <c r="I48" s="11" t="s">
        <v>16</v>
      </c>
      <c r="J48" s="12"/>
    </row>
    <row r="49" spans="1:10" ht="60" customHeight="1">
      <c r="A49" s="6" t="s">
        <v>199</v>
      </c>
      <c r="B49" s="6" t="s">
        <v>17</v>
      </c>
      <c r="C49" s="6" t="s">
        <v>16</v>
      </c>
      <c r="D49" s="7" t="s">
        <v>76</v>
      </c>
      <c r="E49" s="8" t="s">
        <v>200</v>
      </c>
      <c r="F49" s="6" t="s">
        <v>201</v>
      </c>
      <c r="G49" s="9">
        <f>IF(A49=1,"_",IF(C49="_","???",C49))</f>
        <v/>
      </c>
      <c r="H49" s="10" t="s">
        <v>16</v>
      </c>
      <c r="I49" s="11" t="s">
        <v>16</v>
      </c>
      <c r="J49" s="12"/>
    </row>
    <row r="50" spans="1:10" ht="60" customHeight="1">
      <c r="A50" s="6" t="s">
        <v>202</v>
      </c>
      <c r="B50" s="6" t="s">
        <v>17</v>
      </c>
      <c r="C50" s="6" t="s">
        <v>16</v>
      </c>
      <c r="D50" s="7" t="s">
        <v>203</v>
      </c>
      <c r="E50" s="8" t="s">
        <v>204</v>
      </c>
      <c r="F50" s="6" t="s">
        <v>205</v>
      </c>
      <c r="G50" s="9">
        <f>IF(A50=1,"_",IF(C50="_","???",C50))</f>
        <v/>
      </c>
      <c r="H50" s="10" t="s">
        <v>16</v>
      </c>
      <c r="I50" s="11" t="s">
        <v>16</v>
      </c>
      <c r="J50" s="12"/>
    </row>
    <row r="51" spans="1:10" ht="60" customHeight="1">
      <c r="A51" s="6" t="s">
        <v>206</v>
      </c>
      <c r="B51" s="6" t="s">
        <v>11</v>
      </c>
      <c r="C51" s="6" t="s">
        <v>63</v>
      </c>
      <c r="D51" s="7" t="s">
        <v>207</v>
      </c>
      <c r="E51" s="8" t="s">
        <v>208</v>
      </c>
      <c r="F51" s="6" t="s">
        <v>209</v>
      </c>
      <c r="G51" s="9">
        <f>IF(A51=1,"_",IF(C51="_","???",C51))</f>
        <v/>
      </c>
      <c r="H51" s="10" t="s">
        <v>16</v>
      </c>
      <c r="I51" s="11" t="s">
        <v>16</v>
      </c>
      <c r="J51" s="12"/>
    </row>
    <row r="52" spans="1:10" ht="60" customHeight="1">
      <c r="A52" s="6" t="s">
        <v>210</v>
      </c>
      <c r="B52" s="6" t="s">
        <v>17</v>
      </c>
      <c r="C52" s="6" t="s">
        <v>211</v>
      </c>
      <c r="D52" s="7" t="s">
        <v>212</v>
      </c>
      <c r="E52" s="8" t="s">
        <v>213</v>
      </c>
      <c r="F52" s="6" t="s">
        <v>214</v>
      </c>
      <c r="G52" s="9">
        <f>IF(A52=1,"_",IF(C52="_","???",C52))</f>
        <v/>
      </c>
      <c r="H52" s="10" t="s">
        <v>16</v>
      </c>
      <c r="I52" s="11" t="s">
        <v>16</v>
      </c>
      <c r="J52" s="12"/>
    </row>
    <row r="53" spans="1:10" ht="60" customHeight="1">
      <c r="A53" s="6" t="s">
        <v>215</v>
      </c>
      <c r="B53" s="6" t="s">
        <v>17</v>
      </c>
      <c r="C53" s="6" t="s">
        <v>16</v>
      </c>
      <c r="D53" s="7" t="s">
        <v>216</v>
      </c>
      <c r="E53" s="8" t="s">
        <v>217</v>
      </c>
      <c r="F53" s="6" t="s">
        <v>218</v>
      </c>
      <c r="G53" s="9">
        <f>IF(A53=1,"_",IF(C53="_","???",C53))</f>
        <v/>
      </c>
      <c r="H53" s="10" t="s">
        <v>16</v>
      </c>
      <c r="I53" s="11" t="s">
        <v>16</v>
      </c>
      <c r="J53" s="12"/>
    </row>
    <row r="54" spans="1:10" ht="60" customHeight="1">
      <c r="A54" s="6" t="s">
        <v>219</v>
      </c>
      <c r="B54" s="6" t="s">
        <v>92</v>
      </c>
      <c r="C54" s="6" t="s">
        <v>104</v>
      </c>
      <c r="D54" s="7" t="s">
        <v>54</v>
      </c>
      <c r="E54" s="8" t="s">
        <v>220</v>
      </c>
      <c r="F54" s="6" t="s">
        <v>221</v>
      </c>
      <c r="G54" s="9">
        <f>IF(A54=1,"_",IF(C54="_","???",C54))</f>
        <v/>
      </c>
      <c r="H54" s="10" t="s">
        <v>16</v>
      </c>
      <c r="I54" s="11" t="s">
        <v>16</v>
      </c>
      <c r="J54" s="12"/>
    </row>
    <row r="55" spans="1:10" ht="60" customHeight="1">
      <c r="A55" s="6" t="s">
        <v>222</v>
      </c>
      <c r="B55" s="6" t="s">
        <v>17</v>
      </c>
      <c r="C55" s="6" t="s">
        <v>12</v>
      </c>
      <c r="D55" s="7" t="s">
        <v>36</v>
      </c>
      <c r="E55" s="8" t="s">
        <v>223</v>
      </c>
      <c r="F55" s="6" t="s">
        <v>224</v>
      </c>
      <c r="G55" s="9">
        <f>IF(A55=1,"_",IF(C55="_","???",C55))</f>
        <v/>
      </c>
      <c r="H55" s="10" t="s">
        <v>16</v>
      </c>
      <c r="I55" s="11" t="s">
        <v>16</v>
      </c>
      <c r="J55" s="12"/>
    </row>
    <row r="56" spans="1:10" ht="60" customHeight="1">
      <c r="A56" s="6" t="s">
        <v>225</v>
      </c>
      <c r="B56" s="6" t="s">
        <v>17</v>
      </c>
      <c r="C56" s="6" t="s">
        <v>16</v>
      </c>
      <c r="D56" s="7" t="s">
        <v>36</v>
      </c>
      <c r="E56" s="8" t="s">
        <v>226</v>
      </c>
      <c r="F56" s="6" t="s">
        <v>227</v>
      </c>
      <c r="G56" s="9">
        <f>IF(A56=1,"_",IF(C56="_","???",C56))</f>
        <v/>
      </c>
      <c r="H56" s="10" t="s">
        <v>16</v>
      </c>
      <c r="I56" s="11" t="s">
        <v>16</v>
      </c>
      <c r="J56" s="12"/>
    </row>
    <row r="57" spans="1:10" ht="60" customHeight="1">
      <c r="A57" s="6" t="s">
        <v>228</v>
      </c>
      <c r="B57" s="6" t="s">
        <v>17</v>
      </c>
      <c r="C57" s="6" t="s">
        <v>16</v>
      </c>
      <c r="D57" s="7" t="s">
        <v>229</v>
      </c>
      <c r="E57" s="8" t="s">
        <v>230</v>
      </c>
      <c r="F57" s="6" t="s">
        <v>231</v>
      </c>
      <c r="G57" s="9">
        <f>IF(A57=1,"_",IF(C57="_","???",C57))</f>
        <v/>
      </c>
      <c r="H57" s="10" t="s">
        <v>16</v>
      </c>
      <c r="I57" s="11" t="s">
        <v>16</v>
      </c>
      <c r="J57" s="12"/>
    </row>
    <row r="58" spans="1:10" ht="60" customHeight="1">
      <c r="A58" s="6" t="s">
        <v>232</v>
      </c>
      <c r="B58" s="6" t="s">
        <v>150</v>
      </c>
      <c r="C58" s="6" t="s">
        <v>233</v>
      </c>
      <c r="D58" s="7" t="s">
        <v>234</v>
      </c>
      <c r="E58" s="8" t="s">
        <v>235</v>
      </c>
      <c r="F58" s="6" t="s">
        <v>236</v>
      </c>
      <c r="G58" s="9">
        <f>IF(A58=1,"_",IF(C58="_","???",C58))</f>
        <v/>
      </c>
      <c r="H58" s="10" t="s">
        <v>16</v>
      </c>
      <c r="I58" s="11" t="s">
        <v>16</v>
      </c>
      <c r="J58" s="12"/>
    </row>
    <row r="59" spans="1:10" ht="60" customHeight="1">
      <c r="A59" s="6" t="s">
        <v>237</v>
      </c>
      <c r="B59" s="6" t="s">
        <v>116</v>
      </c>
      <c r="C59" s="6" t="s">
        <v>24</v>
      </c>
      <c r="D59" s="7" t="s">
        <v>238</v>
      </c>
      <c r="E59" s="8" t="s">
        <v>239</v>
      </c>
      <c r="F59" s="6" t="s">
        <v>240</v>
      </c>
      <c r="G59" s="9">
        <f>IF(A59=1,"_",IF(C59="_","???",C59))</f>
        <v/>
      </c>
      <c r="H59" s="10" t="s">
        <v>16</v>
      </c>
      <c r="I59" s="11" t="s">
        <v>16</v>
      </c>
      <c r="J59" s="12"/>
    </row>
    <row r="60" spans="1:10" ht="60" customHeight="1">
      <c r="A60" s="6" t="s">
        <v>241</v>
      </c>
      <c r="B60" s="6" t="s">
        <v>11</v>
      </c>
      <c r="C60" s="6" t="s">
        <v>16</v>
      </c>
      <c r="D60" s="7" t="s">
        <v>242</v>
      </c>
      <c r="E60" s="8" t="s">
        <v>243</v>
      </c>
      <c r="F60" s="6" t="s">
        <v>244</v>
      </c>
      <c r="G60" s="9">
        <f>IF(A60=1,"_",IF(C60="_","???",C60))</f>
        <v/>
      </c>
      <c r="H60" s="10" t="s">
        <v>16</v>
      </c>
      <c r="I60" s="11" t="s">
        <v>16</v>
      </c>
      <c r="J60" s="12"/>
    </row>
    <row r="61" spans="1:10" ht="60" customHeight="1">
      <c r="A61" s="6" t="s">
        <v>245</v>
      </c>
      <c r="B61" s="6" t="s">
        <v>17</v>
      </c>
      <c r="C61" s="6" t="s">
        <v>41</v>
      </c>
      <c r="D61" s="7" t="s">
        <v>42</v>
      </c>
      <c r="E61" s="8" t="s">
        <v>246</v>
      </c>
      <c r="F61" s="6" t="s">
        <v>247</v>
      </c>
      <c r="G61" s="9">
        <f>IF(A61=1,"_",IF(C61="_","???",C61))</f>
        <v/>
      </c>
      <c r="H61" s="10" t="s">
        <v>16</v>
      </c>
      <c r="I61" s="11" t="s">
        <v>16</v>
      </c>
      <c r="J61" s="12"/>
    </row>
    <row r="62" spans="1:10" ht="60" customHeight="1">
      <c r="A62" s="6" t="s">
        <v>248</v>
      </c>
      <c r="B62" s="6" t="s">
        <v>17</v>
      </c>
      <c r="C62" s="6" t="s">
        <v>16</v>
      </c>
      <c r="D62" s="7" t="s">
        <v>249</v>
      </c>
      <c r="E62" s="8" t="s">
        <v>250</v>
      </c>
      <c r="F62" s="6" t="s">
        <v>251</v>
      </c>
      <c r="G62" s="9">
        <f>IF(A62=1,"_",IF(C62="_","???",C62))</f>
        <v/>
      </c>
      <c r="H62" s="10" t="s">
        <v>16</v>
      </c>
      <c r="I62" s="11" t="s">
        <v>16</v>
      </c>
      <c r="J62" s="12"/>
    </row>
    <row r="63" spans="1:10" ht="60" customHeight="1">
      <c r="A63" s="6" t="s">
        <v>252</v>
      </c>
      <c r="B63" s="6" t="s">
        <v>23</v>
      </c>
      <c r="C63" s="6" t="s">
        <v>41</v>
      </c>
      <c r="D63" s="7" t="s">
        <v>253</v>
      </c>
      <c r="E63" s="8" t="s">
        <v>254</v>
      </c>
      <c r="F63" s="6" t="s">
        <v>255</v>
      </c>
      <c r="G63" s="9">
        <f>IF(A63=1,"_",IF(C63="_","???",C63))</f>
        <v/>
      </c>
      <c r="H63" s="10" t="s">
        <v>16</v>
      </c>
      <c r="I63" s="11" t="s">
        <v>16</v>
      </c>
      <c r="J63" s="12"/>
    </row>
    <row r="64" spans="1:10" ht="60" customHeight="1">
      <c r="A64" s="6" t="s">
        <v>256</v>
      </c>
      <c r="B64" s="6" t="s">
        <v>11</v>
      </c>
      <c r="C64" s="6" t="s">
        <v>12</v>
      </c>
      <c r="D64" s="7" t="s">
        <v>36</v>
      </c>
      <c r="E64" s="8" t="s">
        <v>257</v>
      </c>
      <c r="F64" s="6" t="s">
        <v>258</v>
      </c>
      <c r="G64" s="9">
        <f>IF(A64=1,"_",IF(C64="_","???",C64))</f>
        <v/>
      </c>
      <c r="H64" s="10" t="s">
        <v>16</v>
      </c>
      <c r="I64" s="11" t="s">
        <v>16</v>
      </c>
      <c r="J64" s="12"/>
    </row>
    <row r="65" spans="1:10" ht="60" customHeight="1">
      <c r="A65" s="6" t="s">
        <v>259</v>
      </c>
      <c r="B65" s="6" t="s">
        <v>23</v>
      </c>
      <c r="C65" s="6" t="s">
        <v>12</v>
      </c>
      <c r="D65" s="7" t="s">
        <v>260</v>
      </c>
      <c r="E65" s="8" t="s">
        <v>261</v>
      </c>
      <c r="F65" s="6" t="s">
        <v>262</v>
      </c>
      <c r="G65" s="9">
        <f>IF(A65=1,"_",IF(C65="_","???",C65))</f>
        <v/>
      </c>
      <c r="H65" s="10" t="s">
        <v>16</v>
      </c>
      <c r="I65" s="11" t="s">
        <v>16</v>
      </c>
      <c r="J65" s="12"/>
    </row>
    <row r="66" spans="1:10" ht="60" customHeight="1">
      <c r="A66" s="6" t="s">
        <v>263</v>
      </c>
      <c r="B66" s="6" t="s">
        <v>17</v>
      </c>
      <c r="C66" s="6" t="s">
        <v>16</v>
      </c>
      <c r="D66" s="7" t="s">
        <v>264</v>
      </c>
      <c r="E66" s="8" t="s">
        <v>265</v>
      </c>
      <c r="F66" s="6" t="s">
        <v>266</v>
      </c>
      <c r="G66" s="9">
        <f>IF(A66=1,"_",IF(C66="_","???",C66))</f>
        <v/>
      </c>
      <c r="H66" s="10" t="s">
        <v>16</v>
      </c>
      <c r="I66" s="11" t="s">
        <v>16</v>
      </c>
      <c r="J66" s="12"/>
    </row>
    <row r="67" spans="1:10" ht="60" customHeight="1">
      <c r="A67" s="6" t="s">
        <v>267</v>
      </c>
      <c r="B67" s="6" t="s">
        <v>11</v>
      </c>
      <c r="C67" s="6" t="s">
        <v>12</v>
      </c>
      <c r="D67" s="7" t="s">
        <v>268</v>
      </c>
      <c r="E67" s="8" t="s">
        <v>269</v>
      </c>
      <c r="F67" s="6" t="s">
        <v>270</v>
      </c>
      <c r="G67" s="9">
        <f>IF(A67=1,"_",IF(C67="_","???",C67))</f>
        <v/>
      </c>
      <c r="H67" s="10" t="s">
        <v>16</v>
      </c>
      <c r="I67" s="11" t="s">
        <v>16</v>
      </c>
      <c r="J67" s="12"/>
    </row>
    <row r="68" spans="1:10" ht="60" customHeight="1">
      <c r="A68" s="6" t="s">
        <v>271</v>
      </c>
      <c r="B68" s="6" t="s">
        <v>10</v>
      </c>
      <c r="C68" s="6" t="s">
        <v>12</v>
      </c>
      <c r="D68" s="7" t="s">
        <v>272</v>
      </c>
      <c r="E68" s="8" t="s">
        <v>273</v>
      </c>
      <c r="F68" s="6" t="s">
        <v>274</v>
      </c>
      <c r="G68" s="9">
        <f>IF(A68=1,"_",IF(C68="_","???",C68))</f>
        <v/>
      </c>
      <c r="H68" s="10" t="s">
        <v>16</v>
      </c>
      <c r="I68" s="11" t="s">
        <v>16</v>
      </c>
      <c r="J68" s="12"/>
    </row>
    <row r="69" spans="1:10" ht="60" customHeight="1">
      <c r="A69" s="6" t="s">
        <v>275</v>
      </c>
      <c r="B69" s="6" t="s">
        <v>17</v>
      </c>
      <c r="C69" s="6" t="s">
        <v>12</v>
      </c>
      <c r="D69" s="7" t="s">
        <v>276</v>
      </c>
      <c r="E69" s="8" t="s">
        <v>277</v>
      </c>
      <c r="F69" s="6" t="s">
        <v>278</v>
      </c>
      <c r="G69" s="9">
        <f>IF(A69=1,"_",IF(C69="_","???",C69))</f>
        <v/>
      </c>
      <c r="H69" s="10" t="s">
        <v>16</v>
      </c>
      <c r="I69" s="11" t="s">
        <v>16</v>
      </c>
      <c r="J69" s="12"/>
    </row>
    <row r="70" spans="1:10" ht="60" customHeight="1">
      <c r="A70" s="6" t="s">
        <v>279</v>
      </c>
      <c r="B70" s="6" t="s">
        <v>10</v>
      </c>
      <c r="C70" s="6" t="s">
        <v>16</v>
      </c>
      <c r="D70" s="7" t="s">
        <v>272</v>
      </c>
      <c r="E70" s="8" t="s">
        <v>280</v>
      </c>
      <c r="F70" s="6" t="s">
        <v>281</v>
      </c>
      <c r="G70" s="9">
        <f>IF(A70=1,"_",IF(C70="_","???",C70))</f>
        <v/>
      </c>
      <c r="H70" s="10" t="s">
        <v>16</v>
      </c>
      <c r="I70" s="11" t="s">
        <v>16</v>
      </c>
      <c r="J70" s="12"/>
    </row>
    <row r="71" spans="1:10" ht="60" customHeight="1">
      <c r="A71" s="6" t="s">
        <v>282</v>
      </c>
      <c r="B71" s="6" t="s">
        <v>17</v>
      </c>
      <c r="C71" s="6" t="s">
        <v>24</v>
      </c>
      <c r="D71" s="7" t="s">
        <v>45</v>
      </c>
      <c r="E71" s="8" t="s">
        <v>283</v>
      </c>
      <c r="F71" s="6" t="s">
        <v>284</v>
      </c>
      <c r="G71" s="9">
        <f>IF(A71=1,"_",IF(C71="_","???",C71))</f>
        <v/>
      </c>
      <c r="H71" s="10" t="s">
        <v>16</v>
      </c>
      <c r="I71" s="11" t="s">
        <v>16</v>
      </c>
      <c r="J71" s="12"/>
    </row>
    <row r="72" spans="1:10" ht="60" customHeight="1">
      <c r="A72" s="6" t="s">
        <v>285</v>
      </c>
      <c r="B72" s="6" t="s">
        <v>23</v>
      </c>
      <c r="C72" s="6" t="s">
        <v>24</v>
      </c>
      <c r="D72" s="7" t="s">
        <v>286</v>
      </c>
      <c r="E72" s="8" t="s">
        <v>287</v>
      </c>
      <c r="F72" s="6" t="s">
        <v>288</v>
      </c>
      <c r="G72" s="9">
        <f>IF(A72=1,"_",IF(C72="_","???",C72))</f>
        <v/>
      </c>
      <c r="H72" s="10" t="s">
        <v>16</v>
      </c>
      <c r="I72" s="11" t="s">
        <v>16</v>
      </c>
      <c r="J72" s="12"/>
    </row>
    <row r="73" spans="1:10" ht="60" customHeight="1">
      <c r="A73" s="6" t="s">
        <v>289</v>
      </c>
      <c r="B73" s="6" t="s">
        <v>129</v>
      </c>
      <c r="C73" s="6" t="s">
        <v>53</v>
      </c>
      <c r="D73" s="7" t="s">
        <v>290</v>
      </c>
      <c r="E73" s="8" t="s">
        <v>291</v>
      </c>
      <c r="F73" s="6" t="s">
        <v>292</v>
      </c>
      <c r="G73" s="9">
        <f>IF(A73=1,"_",IF(C73="_","???",C73))</f>
        <v/>
      </c>
      <c r="H73" s="10" t="s">
        <v>16</v>
      </c>
      <c r="I73" s="11" t="s">
        <v>16</v>
      </c>
      <c r="J73" s="12"/>
    </row>
    <row r="74" spans="1:10" ht="60" customHeight="1">
      <c r="A74" s="6" t="s">
        <v>293</v>
      </c>
      <c r="B74" s="6" t="s">
        <v>11</v>
      </c>
      <c r="C74" s="6" t="s">
        <v>16</v>
      </c>
      <c r="D74" s="7" t="s">
        <v>294</v>
      </c>
      <c r="E74" s="8" t="s">
        <v>295</v>
      </c>
      <c r="F74" s="6" t="s">
        <v>296</v>
      </c>
      <c r="G74" s="9">
        <f>IF(A74=1,"_",IF(C74="_","???",C74))</f>
        <v/>
      </c>
      <c r="H74" s="10" t="s">
        <v>16</v>
      </c>
      <c r="I74" s="11" t="s">
        <v>16</v>
      </c>
      <c r="J74" s="12"/>
    </row>
    <row r="75" spans="1:10" ht="60" customHeight="1">
      <c r="A75" s="6" t="s">
        <v>297</v>
      </c>
      <c r="B75" s="6" t="s">
        <v>17</v>
      </c>
      <c r="C75" s="6" t="s">
        <v>16</v>
      </c>
      <c r="D75" s="7" t="s">
        <v>298</v>
      </c>
      <c r="E75" s="8" t="s">
        <v>299</v>
      </c>
      <c r="F75" s="6" t="s">
        <v>300</v>
      </c>
      <c r="G75" s="9">
        <f>IF(A75=1,"_",IF(C75="_","???",C75))</f>
        <v/>
      </c>
      <c r="H75" s="10" t="s">
        <v>16</v>
      </c>
      <c r="I75" s="11" t="s">
        <v>16</v>
      </c>
      <c r="J75" s="12"/>
    </row>
    <row r="76" spans="1:10" ht="60" customHeight="1">
      <c r="A76" s="6" t="s">
        <v>301</v>
      </c>
      <c r="B76" s="6" t="s">
        <v>31</v>
      </c>
      <c r="C76" s="6" t="s">
        <v>16</v>
      </c>
      <c r="D76" s="7" t="s">
        <v>302</v>
      </c>
      <c r="E76" s="8" t="s">
        <v>303</v>
      </c>
      <c r="F76" s="6" t="s">
        <v>304</v>
      </c>
      <c r="G76" s="9">
        <f>IF(A76=1,"_",IF(C76="_","???",C76))</f>
        <v/>
      </c>
      <c r="H76" s="10" t="s">
        <v>16</v>
      </c>
      <c r="I76" s="11" t="s">
        <v>16</v>
      </c>
      <c r="J76" s="12"/>
    </row>
    <row r="77" spans="1:10" ht="60" customHeight="1">
      <c r="A77" s="6" t="s">
        <v>305</v>
      </c>
      <c r="B77" s="6" t="s">
        <v>11</v>
      </c>
      <c r="C77" s="6" t="s">
        <v>19</v>
      </c>
      <c r="D77" s="7" t="s">
        <v>36</v>
      </c>
      <c r="E77" s="8" t="s">
        <v>306</v>
      </c>
      <c r="F77" s="6" t="s">
        <v>307</v>
      </c>
      <c r="G77" s="9">
        <f>IF(A77=1,"_",IF(C77="_","???",C77))</f>
        <v/>
      </c>
      <c r="H77" s="10" t="s">
        <v>16</v>
      </c>
      <c r="I77" s="11" t="s">
        <v>16</v>
      </c>
      <c r="J77" s="12"/>
    </row>
    <row r="78" spans="1:10" ht="60" customHeight="1">
      <c r="A78" s="6" t="s">
        <v>308</v>
      </c>
      <c r="B78" s="6" t="s">
        <v>83</v>
      </c>
      <c r="C78" s="6" t="s">
        <v>12</v>
      </c>
      <c r="D78" s="7" t="s">
        <v>309</v>
      </c>
      <c r="E78" s="8" t="s">
        <v>310</v>
      </c>
      <c r="F78" s="6" t="s">
        <v>311</v>
      </c>
      <c r="G78" s="9">
        <f>IF(A78=1,"_",IF(C78="_","???",C78))</f>
        <v/>
      </c>
      <c r="H78" s="10" t="s">
        <v>16</v>
      </c>
      <c r="I78" s="11" t="s">
        <v>16</v>
      </c>
      <c r="J78" s="12"/>
    </row>
    <row r="79" spans="1:10" ht="60" customHeight="1">
      <c r="A79" s="6" t="s">
        <v>312</v>
      </c>
      <c r="B79" s="6" t="s">
        <v>17</v>
      </c>
      <c r="C79" s="6" t="s">
        <v>16</v>
      </c>
      <c r="D79" s="7" t="s">
        <v>42</v>
      </c>
      <c r="E79" s="8" t="s">
        <v>313</v>
      </c>
      <c r="F79" s="6" t="s">
        <v>314</v>
      </c>
      <c r="G79" s="9">
        <f>IF(A79=1,"_",IF(C79="_","???",C79))</f>
        <v/>
      </c>
      <c r="H79" s="10" t="s">
        <v>16</v>
      </c>
      <c r="I79" s="11" t="s">
        <v>16</v>
      </c>
      <c r="J79" s="12"/>
    </row>
    <row r="80" spans="1:10" ht="60" customHeight="1">
      <c r="A80" s="6" t="s">
        <v>315</v>
      </c>
      <c r="B80" s="6" t="s">
        <v>17</v>
      </c>
      <c r="C80" s="6" t="s">
        <v>63</v>
      </c>
      <c r="D80" s="7" t="s">
        <v>316</v>
      </c>
      <c r="E80" s="8" t="s">
        <v>317</v>
      </c>
      <c r="F80" s="6" t="s">
        <v>318</v>
      </c>
      <c r="G80" s="9">
        <f>IF(A80=1,"_",IF(C80="_","???",C80))</f>
        <v/>
      </c>
      <c r="H80" s="10" t="s">
        <v>16</v>
      </c>
      <c r="I80" s="11" t="s">
        <v>16</v>
      </c>
      <c r="J80" s="12"/>
    </row>
    <row r="81" spans="1:10" ht="60" customHeight="1">
      <c r="A81" s="6" t="s">
        <v>319</v>
      </c>
      <c r="B81" s="6" t="s">
        <v>23</v>
      </c>
      <c r="C81" s="6" t="s">
        <v>63</v>
      </c>
      <c r="D81" s="7" t="s">
        <v>320</v>
      </c>
      <c r="E81" s="8" t="s">
        <v>321</v>
      </c>
      <c r="F81" s="6" t="s">
        <v>322</v>
      </c>
      <c r="G81" s="9">
        <f>IF(A81=1,"_",IF(C81="_","???",C81))</f>
        <v/>
      </c>
      <c r="H81" s="10" t="s">
        <v>16</v>
      </c>
      <c r="I81" s="11" t="s">
        <v>16</v>
      </c>
      <c r="J81" s="12"/>
    </row>
    <row r="82" spans="1:10" ht="60" customHeight="1">
      <c r="A82" s="6" t="s">
        <v>323</v>
      </c>
      <c r="B82" s="6" t="s">
        <v>17</v>
      </c>
      <c r="C82" s="6" t="s">
        <v>63</v>
      </c>
      <c r="D82" s="7" t="s">
        <v>324</v>
      </c>
      <c r="E82" s="8" t="s">
        <v>325</v>
      </c>
      <c r="F82" s="6" t="s">
        <v>326</v>
      </c>
      <c r="G82" s="9">
        <f>IF(A82=1,"_",IF(C82="_","???",C82))</f>
        <v/>
      </c>
      <c r="H82" s="10" t="s">
        <v>16</v>
      </c>
      <c r="I82" s="11" t="s">
        <v>16</v>
      </c>
      <c r="J82" s="12"/>
    </row>
    <row r="83" spans="1:10" ht="60" customHeight="1">
      <c r="A83" s="6" t="s">
        <v>327</v>
      </c>
      <c r="B83" s="6" t="s">
        <v>11</v>
      </c>
      <c r="C83" s="6" t="s">
        <v>12</v>
      </c>
      <c r="D83" s="7" t="s">
        <v>328</v>
      </c>
      <c r="E83" s="8" t="s">
        <v>329</v>
      </c>
      <c r="F83" s="6" t="s">
        <v>330</v>
      </c>
      <c r="G83" s="9">
        <f>IF(A83=1,"_",IF(C83="_","???",C83))</f>
        <v/>
      </c>
      <c r="H83" s="10" t="s">
        <v>16</v>
      </c>
      <c r="I83" s="11" t="s">
        <v>16</v>
      </c>
      <c r="J83" s="12"/>
    </row>
    <row r="84" spans="1:10" ht="60" customHeight="1">
      <c r="A84" s="6" t="s">
        <v>331</v>
      </c>
      <c r="B84" s="6" t="s">
        <v>11</v>
      </c>
      <c r="C84" s="6" t="s">
        <v>16</v>
      </c>
      <c r="D84" s="7" t="s">
        <v>290</v>
      </c>
      <c r="E84" s="8" t="s">
        <v>332</v>
      </c>
      <c r="F84" s="6" t="s">
        <v>333</v>
      </c>
      <c r="G84" s="9">
        <f>IF(A84=1,"_",IF(C84="_","???",C84))</f>
        <v/>
      </c>
      <c r="H84" s="10" t="s">
        <v>16</v>
      </c>
      <c r="I84" s="11" t="s">
        <v>16</v>
      </c>
      <c r="J84" s="12"/>
    </row>
    <row r="85" spans="1:10" ht="60" customHeight="1">
      <c r="A85" s="6" t="s">
        <v>334</v>
      </c>
      <c r="B85" s="6" t="s">
        <v>11</v>
      </c>
      <c r="C85" s="6" t="s">
        <v>12</v>
      </c>
      <c r="D85" s="7" t="s">
        <v>290</v>
      </c>
      <c r="E85" s="8" t="s">
        <v>335</v>
      </c>
      <c r="F85" s="6" t="s">
        <v>336</v>
      </c>
      <c r="G85" s="9">
        <f>IF(A85=1,"_",IF(C85="_","???",C85))</f>
        <v/>
      </c>
      <c r="H85" s="10" t="s">
        <v>16</v>
      </c>
      <c r="I85" s="11" t="s">
        <v>16</v>
      </c>
      <c r="J85" s="12"/>
    </row>
    <row r="86" spans="1:10" ht="60" customHeight="1">
      <c r="A86" s="6" t="s">
        <v>337</v>
      </c>
      <c r="B86" s="6" t="s">
        <v>11</v>
      </c>
      <c r="C86" s="6" t="s">
        <v>338</v>
      </c>
      <c r="D86" s="7" t="s">
        <v>339</v>
      </c>
      <c r="E86" s="8" t="s">
        <v>340</v>
      </c>
      <c r="F86" s="6" t="s">
        <v>341</v>
      </c>
      <c r="G86" s="9">
        <f>IF(A86=1,"_",IF(C86="_","???",C86))</f>
        <v/>
      </c>
      <c r="H86" s="10" t="s">
        <v>16</v>
      </c>
      <c r="I86" s="11" t="s">
        <v>16</v>
      </c>
      <c r="J86" s="12"/>
    </row>
    <row r="87" spans="1:10" ht="60" customHeight="1">
      <c r="A87" s="6" t="s">
        <v>342</v>
      </c>
      <c r="B87" s="6" t="s">
        <v>40</v>
      </c>
      <c r="C87" s="6" t="s">
        <v>143</v>
      </c>
      <c r="D87" s="7" t="s">
        <v>290</v>
      </c>
      <c r="E87" s="8" t="s">
        <v>343</v>
      </c>
      <c r="F87" s="6" t="s">
        <v>344</v>
      </c>
      <c r="G87" s="9">
        <f>IF(A87=1,"_",IF(C87="_","???",C87))</f>
        <v/>
      </c>
      <c r="H87" s="10" t="s">
        <v>16</v>
      </c>
      <c r="I87" s="11" t="s">
        <v>16</v>
      </c>
      <c r="J87" s="12"/>
    </row>
    <row r="88" spans="1:10" ht="60" customHeight="1">
      <c r="A88" s="6" t="s">
        <v>345</v>
      </c>
      <c r="B88" s="6" t="s">
        <v>23</v>
      </c>
      <c r="C88" s="6" t="s">
        <v>346</v>
      </c>
      <c r="D88" s="7" t="s">
        <v>290</v>
      </c>
      <c r="E88" s="8" t="s">
        <v>347</v>
      </c>
      <c r="F88" s="6" t="s">
        <v>348</v>
      </c>
      <c r="G88" s="9">
        <f>IF(A88=1,"_",IF(C88="_","???",C88))</f>
        <v/>
      </c>
      <c r="H88" s="10" t="s">
        <v>16</v>
      </c>
      <c r="I88" s="11" t="s">
        <v>16</v>
      </c>
      <c r="J88" s="12"/>
    </row>
    <row r="89" spans="1:10" ht="60" customHeight="1">
      <c r="A89" s="6" t="s">
        <v>349</v>
      </c>
      <c r="B89" s="6" t="s">
        <v>31</v>
      </c>
      <c r="C89" s="6" t="s">
        <v>16</v>
      </c>
      <c r="D89" s="7" t="s">
        <v>350</v>
      </c>
      <c r="E89" s="8" t="s">
        <v>351</v>
      </c>
      <c r="F89" s="6" t="s">
        <v>352</v>
      </c>
      <c r="G89" s="9">
        <f>IF(A89=1,"_",IF(C89="_","???",C89))</f>
        <v/>
      </c>
      <c r="H89" s="10" t="s">
        <v>16</v>
      </c>
      <c r="I89" s="11" t="s">
        <v>16</v>
      </c>
      <c r="J89" s="12"/>
    </row>
    <row r="90" spans="1:10" ht="60" customHeight="1">
      <c r="A90" s="6" t="s">
        <v>353</v>
      </c>
      <c r="B90" s="6" t="s">
        <v>23</v>
      </c>
      <c r="C90" s="6" t="s">
        <v>16</v>
      </c>
      <c r="D90" s="7" t="s">
        <v>45</v>
      </c>
      <c r="E90" s="8" t="s">
        <v>354</v>
      </c>
      <c r="F90" s="6" t="s">
        <v>355</v>
      </c>
      <c r="G90" s="9">
        <f>IF(A90=1,"_",IF(C90="_","???",C90))</f>
        <v/>
      </c>
      <c r="H90" s="10" t="s">
        <v>16</v>
      </c>
      <c r="I90" s="11" t="s">
        <v>16</v>
      </c>
      <c r="J90" s="12"/>
    </row>
    <row r="91" spans="1:10" ht="60" customHeight="1">
      <c r="A91" s="6" t="s">
        <v>356</v>
      </c>
      <c r="B91" s="6" t="s">
        <v>17</v>
      </c>
      <c r="C91" s="6" t="s">
        <v>16</v>
      </c>
      <c r="D91" s="7" t="s">
        <v>357</v>
      </c>
      <c r="E91" s="8" t="s">
        <v>358</v>
      </c>
      <c r="F91" s="6" t="s">
        <v>359</v>
      </c>
      <c r="G91" s="9">
        <f>IF(A91=1,"_",IF(C91="_","???",C91))</f>
        <v/>
      </c>
      <c r="H91" s="10" t="s">
        <v>16</v>
      </c>
      <c r="I91" s="11" t="s">
        <v>16</v>
      </c>
      <c r="J91" s="12"/>
    </row>
    <row r="92" spans="1:10" ht="60" customHeight="1">
      <c r="A92" s="6" t="s">
        <v>360</v>
      </c>
      <c r="B92" s="6" t="s">
        <v>120</v>
      </c>
      <c r="C92" s="6" t="s">
        <v>63</v>
      </c>
      <c r="D92" s="7" t="s">
        <v>361</v>
      </c>
      <c r="E92" s="8" t="s">
        <v>362</v>
      </c>
      <c r="F92" s="6" t="s">
        <v>363</v>
      </c>
      <c r="G92" s="9">
        <f>IF(A92=1,"_",IF(C92="_","???",C92))</f>
        <v/>
      </c>
      <c r="H92" s="10" t="s">
        <v>16</v>
      </c>
      <c r="I92" s="11" t="s">
        <v>16</v>
      </c>
      <c r="J92" s="12"/>
    </row>
    <row r="93" spans="1:10" ht="60" customHeight="1">
      <c r="A93" s="6" t="s">
        <v>364</v>
      </c>
      <c r="B93" s="6" t="s">
        <v>17</v>
      </c>
      <c r="C93" s="6" t="s">
        <v>16</v>
      </c>
      <c r="D93" s="7" t="s">
        <v>36</v>
      </c>
      <c r="E93" s="8" t="s">
        <v>365</v>
      </c>
      <c r="F93" s="6" t="s">
        <v>366</v>
      </c>
      <c r="G93" s="9">
        <f>IF(A93=1,"_",IF(C93="_","???",C93))</f>
        <v/>
      </c>
      <c r="H93" s="10" t="s">
        <v>16</v>
      </c>
      <c r="I93" s="11" t="s">
        <v>16</v>
      </c>
      <c r="J93" s="12"/>
    </row>
    <row r="94" spans="1:10" ht="60" customHeight="1">
      <c r="A94" s="6" t="s">
        <v>367</v>
      </c>
      <c r="B94" s="6" t="s">
        <v>23</v>
      </c>
      <c r="C94" s="6" t="s">
        <v>12</v>
      </c>
      <c r="D94" s="7" t="s">
        <v>368</v>
      </c>
      <c r="E94" s="8" t="s">
        <v>369</v>
      </c>
      <c r="F94" s="6" t="s">
        <v>370</v>
      </c>
      <c r="G94" s="9">
        <f>IF(A94=1,"_",IF(C94="_","???",C94))</f>
        <v/>
      </c>
      <c r="H94" s="10" t="s">
        <v>16</v>
      </c>
      <c r="I94" s="11" t="s">
        <v>16</v>
      </c>
      <c r="J94" s="12"/>
    </row>
    <row r="95" spans="1:10" ht="60" customHeight="1">
      <c r="A95" s="6" t="s">
        <v>371</v>
      </c>
      <c r="B95" s="6" t="s">
        <v>142</v>
      </c>
      <c r="C95" s="6" t="s">
        <v>16</v>
      </c>
      <c r="D95" s="7" t="s">
        <v>372</v>
      </c>
      <c r="E95" s="8" t="s">
        <v>373</v>
      </c>
      <c r="F95" s="6" t="s">
        <v>374</v>
      </c>
      <c r="G95" s="9">
        <f>IF(A95=1,"_",IF(C95="_","???",C95))</f>
        <v/>
      </c>
      <c r="H95" s="10" t="s">
        <v>16</v>
      </c>
      <c r="I95" s="11" t="s">
        <v>16</v>
      </c>
      <c r="J95" s="12"/>
    </row>
    <row r="96" spans="1:10" ht="60" customHeight="1">
      <c r="A96" s="6" t="s">
        <v>375</v>
      </c>
      <c r="B96" s="6" t="s">
        <v>39</v>
      </c>
      <c r="C96" s="6" t="s">
        <v>16</v>
      </c>
      <c r="D96" s="7" t="s">
        <v>376</v>
      </c>
      <c r="E96" s="8" t="s">
        <v>377</v>
      </c>
      <c r="F96" s="6" t="s">
        <v>378</v>
      </c>
      <c r="G96" s="9">
        <f>IF(A96=1,"_",IF(C96="_","???",C96))</f>
        <v/>
      </c>
      <c r="H96" s="10" t="s">
        <v>16</v>
      </c>
      <c r="I96" s="11" t="s">
        <v>16</v>
      </c>
      <c r="J96" s="12"/>
    </row>
    <row r="97" spans="1:10" ht="60" customHeight="1">
      <c r="A97" s="6" t="s">
        <v>379</v>
      </c>
      <c r="B97" s="6" t="s">
        <v>40</v>
      </c>
      <c r="C97" s="6" t="s">
        <v>16</v>
      </c>
      <c r="D97" s="7" t="s">
        <v>376</v>
      </c>
      <c r="E97" s="8" t="s">
        <v>380</v>
      </c>
      <c r="F97" s="6" t="s">
        <v>381</v>
      </c>
      <c r="G97" s="9">
        <f>IF(A97=1,"_",IF(C97="_","???",C97))</f>
        <v/>
      </c>
      <c r="H97" s="10" t="s">
        <v>16</v>
      </c>
      <c r="I97" s="11" t="s">
        <v>16</v>
      </c>
      <c r="J97" s="12"/>
    </row>
    <row r="98" spans="1:10" ht="60" customHeight="1">
      <c r="A98" s="6" t="s">
        <v>382</v>
      </c>
      <c r="B98" s="6" t="s">
        <v>17</v>
      </c>
      <c r="C98" s="6" t="s">
        <v>383</v>
      </c>
      <c r="D98" s="7" t="s">
        <v>384</v>
      </c>
      <c r="E98" s="8" t="s">
        <v>385</v>
      </c>
      <c r="F98" s="6" t="s">
        <v>386</v>
      </c>
      <c r="G98" s="9">
        <f>IF(A98=1,"_",IF(C98="_","???",C98))</f>
        <v/>
      </c>
      <c r="H98" s="10" t="s">
        <v>16</v>
      </c>
      <c r="I98" s="11" t="s">
        <v>16</v>
      </c>
      <c r="J98" s="12"/>
    </row>
    <row r="99" spans="1:10" ht="60" customHeight="1">
      <c r="A99" s="6" t="s">
        <v>387</v>
      </c>
      <c r="B99" s="6" t="s">
        <v>17</v>
      </c>
      <c r="C99" s="6" t="s">
        <v>388</v>
      </c>
      <c r="D99" s="7" t="s">
        <v>389</v>
      </c>
      <c r="E99" s="8" t="s">
        <v>390</v>
      </c>
      <c r="F99" s="6" t="s">
        <v>391</v>
      </c>
      <c r="G99" s="9">
        <f>IF(A99=1,"_",IF(C99="_","???",C99))</f>
        <v/>
      </c>
      <c r="H99" s="10" t="s">
        <v>16</v>
      </c>
      <c r="I99" s="11" t="s">
        <v>16</v>
      </c>
      <c r="J99" s="12"/>
    </row>
    <row r="100" spans="1:10" ht="60" customHeight="1">
      <c r="A100" s="6" t="s">
        <v>392</v>
      </c>
      <c r="B100" s="6" t="s">
        <v>17</v>
      </c>
      <c r="C100" s="6" t="s">
        <v>63</v>
      </c>
      <c r="D100" s="7" t="s">
        <v>268</v>
      </c>
      <c r="E100" s="8" t="s">
        <v>393</v>
      </c>
      <c r="F100" s="6" t="s">
        <v>394</v>
      </c>
      <c r="G100" s="9">
        <f>IF(A100=1,"_",IF(C100="_","???",C100))</f>
        <v/>
      </c>
      <c r="H100" s="10" t="s">
        <v>16</v>
      </c>
      <c r="I100" s="11" t="s">
        <v>16</v>
      </c>
      <c r="J100" s="12"/>
    </row>
    <row r="101" spans="1:10" ht="60" customHeight="1">
      <c r="A101" s="6" t="s">
        <v>395</v>
      </c>
      <c r="B101" s="6" t="s">
        <v>35</v>
      </c>
      <c r="C101" s="6" t="s">
        <v>12</v>
      </c>
      <c r="D101" s="7" t="s">
        <v>396</v>
      </c>
      <c r="E101" s="8" t="s">
        <v>397</v>
      </c>
      <c r="F101" s="6" t="s">
        <v>398</v>
      </c>
      <c r="G101" s="9">
        <f>IF(A101=1,"_",IF(C101="_","???",C101))</f>
        <v/>
      </c>
      <c r="H101" s="10" t="s">
        <v>16</v>
      </c>
      <c r="I101" s="11" t="s">
        <v>16</v>
      </c>
      <c r="J101" s="12"/>
    </row>
    <row r="102" spans="1:10" ht="60" customHeight="1">
      <c r="A102" s="6" t="s">
        <v>399</v>
      </c>
      <c r="B102" s="6" t="s">
        <v>40</v>
      </c>
      <c r="C102" s="6" t="s">
        <v>24</v>
      </c>
      <c r="D102" s="7" t="s">
        <v>400</v>
      </c>
      <c r="E102" s="8" t="s">
        <v>401</v>
      </c>
      <c r="F102" s="6" t="s">
        <v>402</v>
      </c>
      <c r="G102" s="9">
        <f>IF(A102=1,"_",IF(C102="_","???",C102))</f>
        <v/>
      </c>
      <c r="H102" s="10" t="s">
        <v>16</v>
      </c>
      <c r="I102" s="11" t="s">
        <v>16</v>
      </c>
      <c r="J102" s="12"/>
    </row>
    <row r="103" spans="1:10" ht="60" customHeight="1">
      <c r="A103" s="6" t="s">
        <v>403</v>
      </c>
      <c r="B103" s="6" t="s">
        <v>17</v>
      </c>
      <c r="C103" s="6" t="s">
        <v>404</v>
      </c>
      <c r="D103" s="7" t="s">
        <v>97</v>
      </c>
      <c r="E103" s="8" t="s">
        <v>405</v>
      </c>
      <c r="F103" s="6" t="s">
        <v>406</v>
      </c>
      <c r="G103" s="9">
        <f>IF(A103=1,"_",IF(C103="_","???",C103))</f>
        <v/>
      </c>
      <c r="H103" s="10" t="s">
        <v>16</v>
      </c>
      <c r="I103" s="11" t="s">
        <v>16</v>
      </c>
      <c r="J103" s="12"/>
    </row>
    <row r="104" spans="1:10" ht="60" customHeight="1">
      <c r="A104" s="6" t="s">
        <v>407</v>
      </c>
      <c r="B104" s="6" t="s">
        <v>11</v>
      </c>
      <c r="C104" s="6" t="s">
        <v>12</v>
      </c>
      <c r="D104" s="7" t="s">
        <v>290</v>
      </c>
      <c r="E104" s="8" t="s">
        <v>408</v>
      </c>
      <c r="F104" s="6" t="s">
        <v>409</v>
      </c>
      <c r="G104" s="9">
        <f>IF(A104=1,"_",IF(C104="_","???",C104))</f>
        <v/>
      </c>
      <c r="H104" s="10" t="s">
        <v>16</v>
      </c>
      <c r="I104" s="11" t="s">
        <v>16</v>
      </c>
      <c r="J104" s="12"/>
    </row>
    <row r="105" spans="1:10" ht="60" customHeight="1">
      <c r="A105" s="6" t="s">
        <v>410</v>
      </c>
      <c r="B105" s="6" t="s">
        <v>31</v>
      </c>
      <c r="C105" s="6" t="s">
        <v>16</v>
      </c>
      <c r="D105" s="7" t="s">
        <v>411</v>
      </c>
      <c r="E105" s="8" t="s">
        <v>412</v>
      </c>
      <c r="F105" s="6" t="s">
        <v>413</v>
      </c>
      <c r="G105" s="9">
        <f>IF(A105=1,"_",IF(C105="_","???",C105))</f>
        <v/>
      </c>
      <c r="H105" s="10" t="s">
        <v>16</v>
      </c>
      <c r="I105" s="11" t="s">
        <v>16</v>
      </c>
      <c r="J105" s="12"/>
    </row>
    <row r="106" spans="1:10" ht="60" customHeight="1">
      <c r="A106" s="6" t="s">
        <v>414</v>
      </c>
      <c r="B106" s="6" t="s">
        <v>52</v>
      </c>
      <c r="C106" s="6" t="s">
        <v>12</v>
      </c>
      <c r="D106" s="7" t="s">
        <v>415</v>
      </c>
      <c r="E106" s="8" t="s">
        <v>416</v>
      </c>
      <c r="F106" s="6" t="s">
        <v>417</v>
      </c>
      <c r="G106" s="9">
        <f>IF(A106=1,"_",IF(C106="_","???",C106))</f>
        <v/>
      </c>
      <c r="H106" s="10" t="s">
        <v>16</v>
      </c>
      <c r="I106" s="11" t="s">
        <v>16</v>
      </c>
      <c r="J106" s="12"/>
    </row>
    <row r="107" spans="1:10" ht="60" customHeight="1">
      <c r="A107" s="6" t="s">
        <v>418</v>
      </c>
      <c r="B107" s="6" t="s">
        <v>11</v>
      </c>
      <c r="C107" s="6" t="s">
        <v>16</v>
      </c>
      <c r="D107" s="7" t="s">
        <v>419</v>
      </c>
      <c r="E107" s="8" t="s">
        <v>420</v>
      </c>
      <c r="F107" s="6" t="s">
        <v>421</v>
      </c>
      <c r="G107" s="9">
        <f>IF(A107=1,"_",IF(C107="_","???",C107))</f>
        <v/>
      </c>
      <c r="H107" s="10" t="s">
        <v>16</v>
      </c>
      <c r="I107" s="11" t="s">
        <v>16</v>
      </c>
      <c r="J107" s="12"/>
    </row>
    <row r="108" spans="1:10" ht="60" customHeight="1">
      <c r="A108" s="6" t="s">
        <v>422</v>
      </c>
      <c r="B108" s="6" t="s">
        <v>35</v>
      </c>
      <c r="C108" s="6" t="s">
        <v>12</v>
      </c>
      <c r="D108" s="7" t="s">
        <v>423</v>
      </c>
      <c r="E108" s="8" t="s">
        <v>424</v>
      </c>
      <c r="F108" s="6" t="s">
        <v>425</v>
      </c>
      <c r="G108" s="9">
        <f>IF(A108=1,"_",IF(C108="_","???",C108))</f>
        <v/>
      </c>
      <c r="H108" s="10" t="s">
        <v>16</v>
      </c>
      <c r="I108" s="11" t="s">
        <v>16</v>
      </c>
      <c r="J108" s="12"/>
    </row>
    <row r="109" spans="1:10" ht="60" customHeight="1">
      <c r="A109" s="6" t="s">
        <v>426</v>
      </c>
      <c r="B109" s="6" t="s">
        <v>31</v>
      </c>
      <c r="C109" s="6" t="s">
        <v>143</v>
      </c>
      <c r="D109" s="7" t="s">
        <v>427</v>
      </c>
      <c r="E109" s="8" t="s">
        <v>428</v>
      </c>
      <c r="F109" s="6" t="s">
        <v>429</v>
      </c>
      <c r="G109" s="9">
        <f>IF(A109=1,"_",IF(C109="_","???",C109))</f>
        <v/>
      </c>
      <c r="H109" s="10" t="s">
        <v>16</v>
      </c>
      <c r="I109" s="11" t="s">
        <v>16</v>
      </c>
      <c r="J109" s="12"/>
    </row>
    <row r="110" spans="1:10" ht="60" customHeight="1">
      <c r="A110" s="6" t="s">
        <v>430</v>
      </c>
      <c r="B110" s="6" t="s">
        <v>17</v>
      </c>
      <c r="C110" s="6" t="s">
        <v>404</v>
      </c>
      <c r="D110" s="7" t="s">
        <v>431</v>
      </c>
      <c r="E110" s="8" t="s">
        <v>432</v>
      </c>
      <c r="F110" s="6" t="s">
        <v>433</v>
      </c>
      <c r="G110" s="9">
        <f>IF(A110=1,"_",IF(C110="_","???",C110))</f>
        <v/>
      </c>
      <c r="H110" s="10" t="s">
        <v>16</v>
      </c>
      <c r="I110" s="11" t="s">
        <v>16</v>
      </c>
      <c r="J110" s="12"/>
    </row>
    <row r="111" spans="1:10" ht="60" customHeight="1">
      <c r="A111" s="6" t="s">
        <v>434</v>
      </c>
      <c r="B111" s="6" t="s">
        <v>17</v>
      </c>
      <c r="C111" s="6" t="s">
        <v>404</v>
      </c>
      <c r="D111" s="7" t="s">
        <v>415</v>
      </c>
      <c r="E111" s="8" t="s">
        <v>435</v>
      </c>
      <c r="F111" s="6" t="s">
        <v>436</v>
      </c>
      <c r="G111" s="9">
        <f>IF(A111=1,"_",IF(C111="_","???",C111))</f>
        <v/>
      </c>
      <c r="H111" s="10" t="s">
        <v>16</v>
      </c>
      <c r="I111" s="11" t="s">
        <v>16</v>
      </c>
      <c r="J111" s="12"/>
    </row>
    <row r="112" spans="1:10" ht="60" customHeight="1">
      <c r="A112" s="6" t="s">
        <v>437</v>
      </c>
      <c r="B112" s="6" t="s">
        <v>23</v>
      </c>
      <c r="C112" s="6" t="s">
        <v>24</v>
      </c>
      <c r="D112" s="7" t="s">
        <v>93</v>
      </c>
      <c r="E112" s="8" t="s">
        <v>438</v>
      </c>
      <c r="F112" s="6" t="s">
        <v>439</v>
      </c>
      <c r="G112" s="9">
        <f>IF(A112=1,"_",IF(C112="_","???",C112))</f>
        <v/>
      </c>
      <c r="H112" s="10" t="s">
        <v>16</v>
      </c>
      <c r="I112" s="11" t="s">
        <v>16</v>
      </c>
      <c r="J112" s="12"/>
    </row>
    <row r="113" spans="1:10" ht="60" customHeight="1">
      <c r="A113" s="6" t="s">
        <v>440</v>
      </c>
      <c r="B113" s="6" t="s">
        <v>11</v>
      </c>
      <c r="C113" s="6" t="s">
        <v>41</v>
      </c>
      <c r="D113" s="7" t="s">
        <v>139</v>
      </c>
      <c r="E113" s="8" t="s">
        <v>441</v>
      </c>
      <c r="F113" s="6" t="s">
        <v>442</v>
      </c>
      <c r="G113" s="9">
        <f>IF(A113=1,"_",IF(C113="_","???",C113))</f>
        <v/>
      </c>
      <c r="H113" s="10" t="s">
        <v>16</v>
      </c>
      <c r="I113" s="11" t="s">
        <v>16</v>
      </c>
      <c r="J113" s="12"/>
    </row>
    <row r="114" spans="1:10" ht="60" customHeight="1">
      <c r="A114" s="6" t="s">
        <v>443</v>
      </c>
      <c r="B114" s="6" t="s">
        <v>17</v>
      </c>
      <c r="C114" s="6" t="s">
        <v>16</v>
      </c>
      <c r="D114" s="7" t="s">
        <v>42</v>
      </c>
      <c r="E114" s="8" t="s">
        <v>444</v>
      </c>
      <c r="F114" s="6" t="s">
        <v>445</v>
      </c>
      <c r="G114" s="9">
        <f>IF(A114=1,"_",IF(C114="_","???",C114))</f>
        <v/>
      </c>
      <c r="H114" s="10" t="s">
        <v>16</v>
      </c>
      <c r="I114" s="11" t="s">
        <v>16</v>
      </c>
      <c r="J114" s="12"/>
    </row>
    <row r="115" spans="1:10" ht="60" customHeight="1">
      <c r="A115" s="6" t="s">
        <v>446</v>
      </c>
      <c r="B115" s="6" t="s">
        <v>23</v>
      </c>
      <c r="C115" s="6" t="s">
        <v>24</v>
      </c>
      <c r="D115" s="7" t="s">
        <v>328</v>
      </c>
      <c r="E115" s="8" t="s">
        <v>447</v>
      </c>
      <c r="F115" s="6" t="s">
        <v>448</v>
      </c>
      <c r="G115" s="9">
        <f>IF(A115=1,"_",IF(C115="_","???",C115))</f>
        <v/>
      </c>
      <c r="H115" s="10" t="s">
        <v>16</v>
      </c>
      <c r="I115" s="11" t="s">
        <v>16</v>
      </c>
      <c r="J115" s="12"/>
    </row>
    <row r="116" spans="1:10" ht="60" customHeight="1">
      <c r="A116" s="6" t="s">
        <v>449</v>
      </c>
      <c r="B116" s="6" t="s">
        <v>120</v>
      </c>
      <c r="C116" s="6" t="s">
        <v>450</v>
      </c>
      <c r="D116" s="7" t="s">
        <v>451</v>
      </c>
      <c r="E116" s="8" t="s">
        <v>452</v>
      </c>
      <c r="F116" s="6" t="s">
        <v>453</v>
      </c>
      <c r="G116" s="9">
        <f>IF(A116=1,"_",IF(C116="_","???",C116))</f>
        <v/>
      </c>
      <c r="H116" s="10" t="s">
        <v>16</v>
      </c>
      <c r="I116" s="11" t="s">
        <v>16</v>
      </c>
      <c r="J116" s="12"/>
    </row>
    <row r="117" spans="1:10" ht="60" customHeight="1">
      <c r="A117" s="6" t="s">
        <v>454</v>
      </c>
      <c r="B117" s="6" t="s">
        <v>124</v>
      </c>
      <c r="C117" s="6" t="s">
        <v>388</v>
      </c>
      <c r="D117" s="7" t="s">
        <v>455</v>
      </c>
      <c r="E117" s="8" t="s">
        <v>456</v>
      </c>
      <c r="F117" s="6" t="s">
        <v>457</v>
      </c>
      <c r="G117" s="9">
        <f>IF(A117=1,"_",IF(C117="_","???",C117))</f>
        <v/>
      </c>
      <c r="H117" s="10" t="s">
        <v>16</v>
      </c>
      <c r="I117" s="11" t="s">
        <v>16</v>
      </c>
      <c r="J117" s="12"/>
    </row>
    <row r="118" spans="1:10" ht="60" customHeight="1">
      <c r="A118" s="6" t="s">
        <v>458</v>
      </c>
      <c r="B118" s="6" t="s">
        <v>11</v>
      </c>
      <c r="C118" s="6" t="s">
        <v>404</v>
      </c>
      <c r="D118" s="7" t="s">
        <v>324</v>
      </c>
      <c r="E118" s="8" t="s">
        <v>459</v>
      </c>
      <c r="F118" s="6" t="s">
        <v>460</v>
      </c>
      <c r="G118" s="9">
        <f>IF(A118=1,"_",IF(C118="_","???",C118))</f>
        <v/>
      </c>
      <c r="H118" s="10" t="s">
        <v>16</v>
      </c>
      <c r="I118" s="11" t="s">
        <v>16</v>
      </c>
      <c r="J118" s="12"/>
    </row>
    <row r="119" spans="1:10" ht="60" customHeight="1">
      <c r="A119" s="6" t="s">
        <v>461</v>
      </c>
      <c r="B119" s="6" t="s">
        <v>11</v>
      </c>
      <c r="C119" s="6" t="s">
        <v>12</v>
      </c>
      <c r="D119" s="7" t="s">
        <v>462</v>
      </c>
      <c r="E119" s="8" t="s">
        <v>463</v>
      </c>
      <c r="F119" s="6" t="s">
        <v>464</v>
      </c>
      <c r="G119" s="9">
        <f>IF(A119=1,"_",IF(C119="_","???",C119))</f>
        <v/>
      </c>
      <c r="H119" s="10" t="s">
        <v>16</v>
      </c>
      <c r="I119" s="11" t="s">
        <v>16</v>
      </c>
      <c r="J119" s="12"/>
    </row>
    <row r="120" spans="1:10" ht="60" customHeight="1">
      <c r="A120" s="6" t="s">
        <v>465</v>
      </c>
      <c r="B120" s="6" t="s">
        <v>11</v>
      </c>
      <c r="C120" s="6" t="s">
        <v>16</v>
      </c>
      <c r="D120" s="7" t="s">
        <v>466</v>
      </c>
      <c r="E120" s="8" t="s">
        <v>467</v>
      </c>
      <c r="F120" s="6" t="s">
        <v>468</v>
      </c>
      <c r="G120" s="9">
        <f>IF(A120=1,"_",IF(C120="_","???",C120))</f>
        <v/>
      </c>
      <c r="H120" s="10" t="s">
        <v>16</v>
      </c>
      <c r="I120" s="11" t="s">
        <v>16</v>
      </c>
      <c r="J120" s="12"/>
    </row>
    <row r="121" spans="1:10" ht="60" customHeight="1">
      <c r="A121" s="6" t="s">
        <v>469</v>
      </c>
      <c r="B121" s="6" t="s">
        <v>48</v>
      </c>
      <c r="C121" s="6" t="s">
        <v>12</v>
      </c>
      <c r="D121" s="7" t="s">
        <v>470</v>
      </c>
      <c r="E121" s="8" t="s">
        <v>471</v>
      </c>
      <c r="F121" s="6" t="s">
        <v>472</v>
      </c>
      <c r="G121" s="9">
        <f>IF(A121=1,"_",IF(C121="_","???",C121))</f>
        <v/>
      </c>
      <c r="H121" s="10" t="s">
        <v>16</v>
      </c>
      <c r="I121" s="11" t="s">
        <v>16</v>
      </c>
      <c r="J121" s="12"/>
    </row>
    <row r="122" spans="1:10" ht="60" customHeight="1">
      <c r="A122" s="6" t="s">
        <v>473</v>
      </c>
      <c r="B122" s="6" t="s">
        <v>17</v>
      </c>
      <c r="C122" s="6" t="s">
        <v>16</v>
      </c>
      <c r="D122" s="7" t="s">
        <v>474</v>
      </c>
      <c r="E122" s="8" t="s">
        <v>475</v>
      </c>
      <c r="F122" s="6" t="s">
        <v>476</v>
      </c>
      <c r="G122" s="9">
        <f>IF(A122=1,"_",IF(C122="_","???",C122))</f>
        <v/>
      </c>
      <c r="H122" s="10" t="s">
        <v>16</v>
      </c>
      <c r="I122" s="11" t="s">
        <v>16</v>
      </c>
      <c r="J122" s="12"/>
    </row>
    <row r="123" spans="1:10" ht="60" customHeight="1">
      <c r="A123" s="6" t="s">
        <v>477</v>
      </c>
      <c r="B123" s="6" t="s">
        <v>31</v>
      </c>
      <c r="C123" s="6" t="s">
        <v>12</v>
      </c>
      <c r="D123" s="7" t="s">
        <v>478</v>
      </c>
      <c r="E123" s="8" t="s">
        <v>479</v>
      </c>
      <c r="F123" s="6" t="s">
        <v>480</v>
      </c>
      <c r="G123" s="9">
        <f>IF(A123=1,"_",IF(C123="_","???",C123))</f>
        <v/>
      </c>
      <c r="H123" s="10" t="s">
        <v>16</v>
      </c>
      <c r="I123" s="11" t="s">
        <v>16</v>
      </c>
      <c r="J123" s="12"/>
    </row>
    <row r="124" spans="1:10" ht="60" customHeight="1">
      <c r="A124" s="6" t="s">
        <v>481</v>
      </c>
      <c r="B124" s="6" t="s">
        <v>17</v>
      </c>
      <c r="C124" s="6" t="s">
        <v>143</v>
      </c>
      <c r="D124" s="7" t="s">
        <v>482</v>
      </c>
      <c r="E124" s="8" t="s">
        <v>483</v>
      </c>
      <c r="F124" s="6" t="s">
        <v>484</v>
      </c>
      <c r="G124" s="9">
        <f>IF(A124=1,"_",IF(C124="_","???",C124))</f>
        <v/>
      </c>
      <c r="H124" s="10" t="s">
        <v>16</v>
      </c>
      <c r="I124" s="11" t="s">
        <v>16</v>
      </c>
      <c r="J124" s="12"/>
    </row>
    <row r="125" spans="1:10" ht="60" customHeight="1">
      <c r="A125" s="6" t="s">
        <v>485</v>
      </c>
      <c r="B125" s="6" t="s">
        <v>18</v>
      </c>
      <c r="C125" s="6" t="s">
        <v>19</v>
      </c>
      <c r="D125" s="7" t="s">
        <v>486</v>
      </c>
      <c r="E125" s="8" t="s">
        <v>487</v>
      </c>
      <c r="F125" s="6" t="s">
        <v>488</v>
      </c>
      <c r="G125" s="9">
        <f>IF(A125=1,"_",IF(C125="_","???",C125))</f>
        <v/>
      </c>
      <c r="H125" s="10" t="s">
        <v>16</v>
      </c>
      <c r="I125" s="11" t="s">
        <v>16</v>
      </c>
      <c r="J125" s="12"/>
    </row>
    <row r="126" spans="1:10" ht="60" customHeight="1">
      <c r="A126" s="6" t="s">
        <v>489</v>
      </c>
      <c r="B126" s="6" t="s">
        <v>17</v>
      </c>
      <c r="C126" s="6" t="s">
        <v>12</v>
      </c>
      <c r="D126" s="7" t="s">
        <v>268</v>
      </c>
      <c r="E126" s="8" t="s">
        <v>490</v>
      </c>
      <c r="F126" s="6" t="s">
        <v>491</v>
      </c>
      <c r="G126" s="9">
        <f>IF(A126=1,"_",IF(C126="_","???",C126))</f>
        <v/>
      </c>
      <c r="H126" s="10" t="s">
        <v>16</v>
      </c>
      <c r="I126" s="11" t="s">
        <v>16</v>
      </c>
      <c r="J126" s="12"/>
    </row>
    <row r="127" spans="1:10" ht="60" customHeight="1">
      <c r="A127" s="6" t="s">
        <v>492</v>
      </c>
      <c r="B127" s="6" t="s">
        <v>11</v>
      </c>
      <c r="C127" s="6" t="s">
        <v>63</v>
      </c>
      <c r="D127" s="7" t="s">
        <v>290</v>
      </c>
      <c r="E127" s="8" t="s">
        <v>493</v>
      </c>
      <c r="F127" s="6" t="s">
        <v>494</v>
      </c>
      <c r="G127" s="9">
        <f>IF(A127=1,"_",IF(C127="_","???",C127))</f>
        <v/>
      </c>
      <c r="H127" s="10" t="s">
        <v>16</v>
      </c>
      <c r="I127" s="11" t="s">
        <v>16</v>
      </c>
      <c r="J127" s="12"/>
    </row>
    <row r="128" spans="1:10" ht="60" customHeight="1">
      <c r="A128" s="6" t="s">
        <v>495</v>
      </c>
      <c r="B128" s="6" t="s">
        <v>17</v>
      </c>
      <c r="C128" s="6" t="s">
        <v>16</v>
      </c>
      <c r="D128" s="7" t="s">
        <v>290</v>
      </c>
      <c r="E128" s="8" t="s">
        <v>496</v>
      </c>
      <c r="F128" s="6" t="s">
        <v>497</v>
      </c>
      <c r="G128" s="9">
        <f>IF(A128=1,"_",IF(C128="_","???",C128))</f>
        <v/>
      </c>
      <c r="H128" s="10" t="s">
        <v>16</v>
      </c>
      <c r="I128" s="11" t="s">
        <v>16</v>
      </c>
      <c r="J128" s="12"/>
    </row>
    <row r="129" spans="1:10" ht="60" customHeight="1">
      <c r="A129" s="6" t="s">
        <v>498</v>
      </c>
      <c r="B129" s="6" t="s">
        <v>11</v>
      </c>
      <c r="C129" s="6" t="s">
        <v>12</v>
      </c>
      <c r="D129" s="7" t="s">
        <v>290</v>
      </c>
      <c r="E129" s="8" t="s">
        <v>499</v>
      </c>
      <c r="F129" s="6" t="s">
        <v>500</v>
      </c>
      <c r="G129" s="9">
        <f>IF(A129=1,"_",IF(C129="_","???",C129))</f>
        <v/>
      </c>
      <c r="H129" s="10" t="s">
        <v>16</v>
      </c>
      <c r="I129" s="11" t="s">
        <v>16</v>
      </c>
      <c r="J129" s="12"/>
    </row>
    <row r="130" spans="1:10" ht="60" customHeight="1">
      <c r="A130" s="6" t="s">
        <v>501</v>
      </c>
      <c r="B130" s="6" t="s">
        <v>23</v>
      </c>
      <c r="C130" s="6" t="s">
        <v>16</v>
      </c>
      <c r="D130" s="7" t="s">
        <v>415</v>
      </c>
      <c r="E130" s="8" t="s">
        <v>502</v>
      </c>
      <c r="F130" s="6" t="s">
        <v>503</v>
      </c>
      <c r="G130" s="9">
        <f>IF(A130=1,"_",IF(C130="_","???",C130))</f>
        <v/>
      </c>
      <c r="H130" s="10" t="s">
        <v>16</v>
      </c>
      <c r="I130" s="11" t="s">
        <v>16</v>
      </c>
      <c r="J130" s="12"/>
    </row>
    <row r="131" spans="1:10" ht="60" customHeight="1">
      <c r="A131" s="6" t="s">
        <v>504</v>
      </c>
      <c r="B131" s="6" t="s">
        <v>23</v>
      </c>
      <c r="C131" s="6" t="s">
        <v>16</v>
      </c>
      <c r="D131" s="7" t="s">
        <v>505</v>
      </c>
      <c r="E131" s="8" t="s">
        <v>506</v>
      </c>
      <c r="F131" s="6" t="s">
        <v>507</v>
      </c>
      <c r="G131" s="9">
        <f>IF(A131=1,"_",IF(C131="_","???",C131))</f>
        <v/>
      </c>
      <c r="H131" s="10" t="s">
        <v>16</v>
      </c>
      <c r="I131" s="11" t="s">
        <v>16</v>
      </c>
      <c r="J131" s="12"/>
    </row>
    <row r="132" spans="1:10" ht="60" customHeight="1">
      <c r="A132" s="6" t="s">
        <v>508</v>
      </c>
      <c r="B132" s="6" t="s">
        <v>23</v>
      </c>
      <c r="C132" s="6" t="s">
        <v>16</v>
      </c>
      <c r="D132" s="7" t="s">
        <v>509</v>
      </c>
      <c r="E132" s="8" t="s">
        <v>510</v>
      </c>
      <c r="F132" s="6" t="s">
        <v>511</v>
      </c>
      <c r="G132" s="9">
        <f>IF(A132=1,"_",IF(C132="_","???",C132))</f>
        <v/>
      </c>
      <c r="H132" s="10" t="s">
        <v>16</v>
      </c>
      <c r="I132" s="11" t="s">
        <v>16</v>
      </c>
      <c r="J132" s="12"/>
    </row>
    <row r="133" spans="1:10" ht="60" customHeight="1">
      <c r="A133" s="6" t="s">
        <v>512</v>
      </c>
      <c r="B133" s="6" t="s">
        <v>23</v>
      </c>
      <c r="C133" s="6" t="s">
        <v>41</v>
      </c>
      <c r="D133" s="7" t="s">
        <v>513</v>
      </c>
      <c r="E133" s="8" t="s">
        <v>514</v>
      </c>
      <c r="F133" s="6" t="s">
        <v>515</v>
      </c>
      <c r="G133" s="9">
        <f>IF(A133=1,"_",IF(C133="_","???",C133))</f>
        <v/>
      </c>
      <c r="H133" s="10" t="s">
        <v>16</v>
      </c>
      <c r="I133" s="11" t="s">
        <v>16</v>
      </c>
      <c r="J133" s="12"/>
    </row>
    <row r="134" spans="1:10" ht="60" customHeight="1">
      <c r="A134" s="6" t="s">
        <v>516</v>
      </c>
      <c r="B134" s="6" t="s">
        <v>39</v>
      </c>
      <c r="C134" s="6" t="s">
        <v>75</v>
      </c>
      <c r="D134" s="7" t="s">
        <v>415</v>
      </c>
      <c r="E134" s="8" t="s">
        <v>517</v>
      </c>
      <c r="F134" s="6" t="s">
        <v>518</v>
      </c>
      <c r="G134" s="9">
        <f>IF(A134=1,"_",IF(C134="_","???",C134))</f>
        <v/>
      </c>
      <c r="H134" s="10" t="s">
        <v>16</v>
      </c>
      <c r="I134" s="11" t="s">
        <v>16</v>
      </c>
      <c r="J134" s="12"/>
    </row>
    <row r="135" spans="1:10" ht="60" customHeight="1">
      <c r="A135" s="6" t="s">
        <v>519</v>
      </c>
      <c r="B135" s="6" t="s">
        <v>17</v>
      </c>
      <c r="C135" s="6" t="s">
        <v>16</v>
      </c>
      <c r="D135" s="7" t="s">
        <v>520</v>
      </c>
      <c r="E135" s="8" t="s">
        <v>521</v>
      </c>
      <c r="F135" s="6" t="s">
        <v>522</v>
      </c>
      <c r="G135" s="9">
        <f>IF(A135=1,"_",IF(C135="_","???",C135))</f>
        <v/>
      </c>
      <c r="H135" s="10" t="s">
        <v>16</v>
      </c>
      <c r="I135" s="11" t="s">
        <v>16</v>
      </c>
      <c r="J135" s="12"/>
    </row>
    <row r="136" spans="1:10" ht="60" customHeight="1">
      <c r="A136" s="6" t="s">
        <v>523</v>
      </c>
      <c r="B136" s="6" t="s">
        <v>17</v>
      </c>
      <c r="C136" s="6" t="s">
        <v>16</v>
      </c>
      <c r="D136" s="7" t="s">
        <v>290</v>
      </c>
      <c r="E136" s="8" t="s">
        <v>524</v>
      </c>
      <c r="F136" s="6" t="s">
        <v>525</v>
      </c>
      <c r="G136" s="9">
        <f>IF(A136=1,"_",IF(C136="_","???",C136))</f>
        <v/>
      </c>
      <c r="H136" s="10" t="s">
        <v>16</v>
      </c>
      <c r="I136" s="11" t="s">
        <v>16</v>
      </c>
      <c r="J136" s="12"/>
    </row>
    <row r="137" spans="1:10" ht="60" customHeight="1">
      <c r="A137" s="6" t="s">
        <v>526</v>
      </c>
      <c r="B137" s="6" t="s">
        <v>52</v>
      </c>
      <c r="C137" s="6" t="s">
        <v>16</v>
      </c>
      <c r="D137" s="7" t="s">
        <v>527</v>
      </c>
      <c r="E137" s="8" t="s">
        <v>528</v>
      </c>
      <c r="F137" s="6" t="s">
        <v>529</v>
      </c>
      <c r="G137" s="9">
        <f>IF(A137=1,"_",IF(C137="_","???",C137))</f>
        <v/>
      </c>
      <c r="H137" s="10" t="s">
        <v>16</v>
      </c>
      <c r="I137" s="11" t="s">
        <v>16</v>
      </c>
      <c r="J137" s="12"/>
    </row>
    <row r="138" spans="1:10" ht="60" customHeight="1">
      <c r="A138" s="6" t="s">
        <v>530</v>
      </c>
      <c r="B138" s="6" t="s">
        <v>11</v>
      </c>
      <c r="C138" s="6" t="s">
        <v>16</v>
      </c>
      <c r="D138" s="7" t="s">
        <v>45</v>
      </c>
      <c r="E138" s="8" t="s">
        <v>531</v>
      </c>
      <c r="F138" s="6" t="s">
        <v>532</v>
      </c>
      <c r="G138" s="9">
        <f>IF(A138=1,"_",IF(C138="_","???",C138))</f>
        <v/>
      </c>
      <c r="H138" s="10" t="s">
        <v>16</v>
      </c>
      <c r="I138" s="11" t="s">
        <v>16</v>
      </c>
      <c r="J138" s="12"/>
    </row>
    <row r="139" spans="1:10" ht="60" customHeight="1">
      <c r="A139" s="6" t="s">
        <v>533</v>
      </c>
      <c r="B139" s="6" t="s">
        <v>17</v>
      </c>
      <c r="C139" s="6" t="s">
        <v>16</v>
      </c>
      <c r="D139" s="7" t="s">
        <v>534</v>
      </c>
      <c r="E139" s="8" t="s">
        <v>535</v>
      </c>
      <c r="F139" s="6" t="s">
        <v>536</v>
      </c>
      <c r="G139" s="9">
        <f>IF(A139=1,"_",IF(C139="_","???",C139))</f>
        <v/>
      </c>
      <c r="H139" s="10" t="s">
        <v>16</v>
      </c>
      <c r="I139" s="11" t="s">
        <v>16</v>
      </c>
      <c r="J139" s="12"/>
    </row>
    <row r="140" spans="1:10" ht="60" customHeight="1">
      <c r="A140" s="6" t="s">
        <v>537</v>
      </c>
      <c r="B140" s="6" t="s">
        <v>17</v>
      </c>
      <c r="C140" s="6" t="s">
        <v>16</v>
      </c>
      <c r="D140" s="7" t="s">
        <v>36</v>
      </c>
      <c r="E140" s="8" t="s">
        <v>538</v>
      </c>
      <c r="F140" s="6" t="s">
        <v>539</v>
      </c>
      <c r="G140" s="9">
        <f>IF(A140=1,"_",IF(C140="_","???",C140))</f>
        <v/>
      </c>
      <c r="H140" s="10" t="s">
        <v>16</v>
      </c>
      <c r="I140" s="11" t="s">
        <v>16</v>
      </c>
      <c r="J140" s="12"/>
    </row>
    <row r="141" spans="1:10" ht="60" customHeight="1">
      <c r="A141" s="6" t="s">
        <v>540</v>
      </c>
      <c r="B141" s="6" t="s">
        <v>23</v>
      </c>
      <c r="C141" s="6" t="s">
        <v>24</v>
      </c>
      <c r="D141" s="7" t="s">
        <v>13</v>
      </c>
      <c r="E141" s="8" t="s">
        <v>541</v>
      </c>
      <c r="F141" s="6" t="s">
        <v>542</v>
      </c>
      <c r="G141" s="9">
        <f>IF(A141=1,"_",IF(C141="_","???",C141))</f>
        <v/>
      </c>
      <c r="H141" s="10" t="s">
        <v>16</v>
      </c>
      <c r="I141" s="11" t="s">
        <v>16</v>
      </c>
      <c r="J141" s="12"/>
    </row>
    <row r="142" spans="1:10" ht="60" customHeight="1">
      <c r="A142" s="6" t="s">
        <v>543</v>
      </c>
      <c r="B142" s="6" t="s">
        <v>23</v>
      </c>
      <c r="C142" s="6" t="s">
        <v>24</v>
      </c>
      <c r="D142" s="7" t="s">
        <v>13</v>
      </c>
      <c r="E142" s="8" t="s">
        <v>544</v>
      </c>
      <c r="F142" s="6" t="s">
        <v>545</v>
      </c>
      <c r="G142" s="9">
        <f>IF(A142=1,"_",IF(C142="_","???",C142))</f>
        <v/>
      </c>
      <c r="H142" s="10" t="s">
        <v>16</v>
      </c>
      <c r="I142" s="11" t="s">
        <v>16</v>
      </c>
      <c r="J142" s="12"/>
    </row>
    <row r="143" spans="1:10" ht="60" customHeight="1">
      <c r="A143" s="6" t="s">
        <v>546</v>
      </c>
      <c r="B143" s="6" t="s">
        <v>23</v>
      </c>
      <c r="C143" s="6" t="s">
        <v>24</v>
      </c>
      <c r="D143" s="7" t="s">
        <v>45</v>
      </c>
      <c r="E143" s="8" t="s">
        <v>547</v>
      </c>
      <c r="F143" s="6" t="s">
        <v>548</v>
      </c>
      <c r="G143" s="9">
        <f>IF(A143=1,"_",IF(C143="_","???",C143))</f>
        <v/>
      </c>
      <c r="H143" s="10" t="s">
        <v>16</v>
      </c>
      <c r="I143" s="11" t="s">
        <v>16</v>
      </c>
      <c r="J143" s="12"/>
    </row>
    <row r="144" spans="1:10" ht="60" customHeight="1">
      <c r="A144" s="6" t="s">
        <v>549</v>
      </c>
      <c r="B144" s="6" t="s">
        <v>31</v>
      </c>
      <c r="C144" s="6" t="s">
        <v>24</v>
      </c>
      <c r="D144" s="7" t="s">
        <v>45</v>
      </c>
      <c r="E144" s="8" t="s">
        <v>550</v>
      </c>
      <c r="F144" s="6" t="s">
        <v>551</v>
      </c>
      <c r="G144" s="9">
        <f>IF(A144=1,"_",IF(C144="_","???",C144))</f>
        <v/>
      </c>
      <c r="H144" s="10" t="s">
        <v>16</v>
      </c>
      <c r="I144" s="11" t="s">
        <v>16</v>
      </c>
      <c r="J144" s="12"/>
    </row>
    <row r="145" spans="1:10" ht="60" customHeight="1">
      <c r="A145" s="6" t="s">
        <v>552</v>
      </c>
      <c r="B145" s="6" t="s">
        <v>11</v>
      </c>
      <c r="C145" s="6" t="s">
        <v>12</v>
      </c>
      <c r="D145" s="7" t="s">
        <v>290</v>
      </c>
      <c r="E145" s="8" t="s">
        <v>553</v>
      </c>
      <c r="F145" s="6" t="s">
        <v>554</v>
      </c>
      <c r="G145" s="9">
        <f>IF(A145=1,"_",IF(C145="_","???",C145))</f>
        <v/>
      </c>
      <c r="H145" s="10" t="s">
        <v>16</v>
      </c>
      <c r="I145" s="11" t="s">
        <v>16</v>
      </c>
      <c r="J145" s="12"/>
    </row>
    <row r="146" spans="1:10" ht="60" customHeight="1">
      <c r="A146" s="6" t="s">
        <v>555</v>
      </c>
      <c r="B146" s="6" t="s">
        <v>23</v>
      </c>
      <c r="C146" s="6" t="s">
        <v>12</v>
      </c>
      <c r="D146" s="7" t="s">
        <v>268</v>
      </c>
      <c r="E146" s="8" t="s">
        <v>556</v>
      </c>
      <c r="F146" s="6" t="s">
        <v>557</v>
      </c>
      <c r="G146" s="9">
        <f>IF(A146=1,"_",IF(C146="_","???",C146))</f>
        <v/>
      </c>
      <c r="H146" s="10" t="s">
        <v>16</v>
      </c>
      <c r="I146" s="11" t="s">
        <v>16</v>
      </c>
      <c r="J146" s="12"/>
    </row>
    <row r="147" spans="1:10" ht="60" customHeight="1">
      <c r="A147" s="6" t="s">
        <v>558</v>
      </c>
      <c r="B147" s="6" t="s">
        <v>35</v>
      </c>
      <c r="C147" s="6" t="s">
        <v>63</v>
      </c>
      <c r="D147" s="7" t="s">
        <v>290</v>
      </c>
      <c r="E147" s="8" t="s">
        <v>559</v>
      </c>
      <c r="F147" s="6" t="s">
        <v>560</v>
      </c>
      <c r="G147" s="9">
        <f>IF(A147=1,"_",IF(C147="_","???",C147))</f>
        <v/>
      </c>
      <c r="H147" s="10" t="s">
        <v>16</v>
      </c>
      <c r="I147" s="11" t="s">
        <v>16</v>
      </c>
      <c r="J147" s="12"/>
    </row>
    <row r="148" spans="1:10" ht="60" customHeight="1">
      <c r="A148" s="6" t="s">
        <v>561</v>
      </c>
      <c r="B148" s="6" t="s">
        <v>11</v>
      </c>
      <c r="C148" s="6" t="s">
        <v>12</v>
      </c>
      <c r="D148" s="7" t="s">
        <v>562</v>
      </c>
      <c r="E148" s="8" t="s">
        <v>563</v>
      </c>
      <c r="F148" s="6" t="s">
        <v>564</v>
      </c>
      <c r="G148" s="9">
        <f>IF(A148=1,"_",IF(C148="_","???",C148))</f>
        <v/>
      </c>
      <c r="H148" s="10" t="s">
        <v>16</v>
      </c>
      <c r="I148" s="11" t="s">
        <v>16</v>
      </c>
      <c r="J148" s="12"/>
    </row>
    <row r="149" spans="1:10" ht="60" customHeight="1">
      <c r="A149" s="6" t="s">
        <v>565</v>
      </c>
      <c r="B149" s="6" t="s">
        <v>11</v>
      </c>
      <c r="C149" s="6" t="s">
        <v>12</v>
      </c>
      <c r="D149" s="7" t="s">
        <v>45</v>
      </c>
      <c r="E149" s="8" t="s">
        <v>566</v>
      </c>
      <c r="F149" s="6" t="s">
        <v>567</v>
      </c>
      <c r="G149" s="9">
        <f>IF(A149=1,"_",IF(C149="_","???",C149))</f>
        <v/>
      </c>
      <c r="H149" s="10" t="s">
        <v>16</v>
      </c>
      <c r="I149" s="11" t="s">
        <v>16</v>
      </c>
      <c r="J149" s="12"/>
    </row>
    <row r="150" spans="1:10" ht="60" customHeight="1">
      <c r="A150" s="6" t="s">
        <v>568</v>
      </c>
      <c r="B150" s="6" t="s">
        <v>17</v>
      </c>
      <c r="C150" s="6" t="s">
        <v>16</v>
      </c>
      <c r="D150" s="7" t="s">
        <v>569</v>
      </c>
      <c r="E150" s="8" t="s">
        <v>570</v>
      </c>
      <c r="F150" s="6" t="s">
        <v>571</v>
      </c>
      <c r="G150" s="9">
        <f>IF(A150=1,"_",IF(C150="_","???",C150))</f>
        <v/>
      </c>
      <c r="H150" s="10" t="s">
        <v>16</v>
      </c>
      <c r="I150" s="11" t="s">
        <v>16</v>
      </c>
      <c r="J150" s="12"/>
    </row>
    <row r="151" spans="1:10" ht="60" customHeight="1">
      <c r="A151" s="6" t="s">
        <v>572</v>
      </c>
      <c r="B151" s="6" t="s">
        <v>17</v>
      </c>
      <c r="C151" s="6" t="s">
        <v>16</v>
      </c>
      <c r="D151" s="7" t="s">
        <v>45</v>
      </c>
      <c r="E151" s="8" t="s">
        <v>573</v>
      </c>
      <c r="F151" s="6" t="s">
        <v>574</v>
      </c>
      <c r="G151" s="9">
        <f>IF(A151=1,"_",IF(C151="_","???",C151))</f>
        <v/>
      </c>
      <c r="H151" s="10" t="s">
        <v>16</v>
      </c>
      <c r="I151" s="11" t="s">
        <v>16</v>
      </c>
      <c r="J151" s="12"/>
    </row>
    <row r="152" spans="1:10" ht="60" customHeight="1">
      <c r="A152" s="6" t="s">
        <v>575</v>
      </c>
      <c r="B152" s="6" t="s">
        <v>173</v>
      </c>
      <c r="C152" s="6" t="s">
        <v>63</v>
      </c>
      <c r="D152" s="7" t="s">
        <v>576</v>
      </c>
      <c r="E152" s="8" t="s">
        <v>577</v>
      </c>
      <c r="F152" s="6" t="s">
        <v>578</v>
      </c>
      <c r="G152" s="9">
        <f>IF(A152=1,"_",IF(C152="_","???",C152))</f>
        <v/>
      </c>
      <c r="H152" s="10" t="s">
        <v>16</v>
      </c>
      <c r="I152" s="11" t="s">
        <v>16</v>
      </c>
      <c r="J152" s="12"/>
    </row>
    <row r="153" spans="1:10" ht="60" customHeight="1">
      <c r="A153" s="6" t="s">
        <v>579</v>
      </c>
      <c r="B153" s="6" t="s">
        <v>31</v>
      </c>
      <c r="C153" s="6" t="s">
        <v>12</v>
      </c>
      <c r="D153" s="7" t="s">
        <v>580</v>
      </c>
      <c r="E153" s="8" t="s">
        <v>581</v>
      </c>
      <c r="F153" s="6" t="s">
        <v>582</v>
      </c>
      <c r="G153" s="9">
        <f>IF(A153=1,"_",IF(C153="_","???",C153))</f>
        <v/>
      </c>
      <c r="H153" s="10" t="s">
        <v>16</v>
      </c>
      <c r="I153" s="11" t="s">
        <v>16</v>
      </c>
      <c r="J153" s="12"/>
    </row>
    <row r="154" spans="1:10" ht="60" customHeight="1">
      <c r="A154" s="6" t="s">
        <v>583</v>
      </c>
      <c r="B154" s="6" t="s">
        <v>39</v>
      </c>
      <c r="C154" s="6" t="s">
        <v>12</v>
      </c>
      <c r="D154" s="7" t="s">
        <v>93</v>
      </c>
      <c r="E154" s="8" t="s">
        <v>584</v>
      </c>
      <c r="F154" s="6" t="s">
        <v>585</v>
      </c>
      <c r="G154" s="9">
        <f>IF(A154=1,"_",IF(C154="_","???",C154))</f>
        <v/>
      </c>
      <c r="H154" s="10" t="s">
        <v>16</v>
      </c>
      <c r="I154" s="11" t="s">
        <v>16</v>
      </c>
      <c r="J154" s="12"/>
    </row>
    <row r="155" spans="1:10" ht="60" customHeight="1">
      <c r="A155" s="6" t="s">
        <v>586</v>
      </c>
      <c r="B155" s="6" t="s">
        <v>11</v>
      </c>
      <c r="C155" s="6" t="s">
        <v>12</v>
      </c>
      <c r="D155" s="7" t="s">
        <v>290</v>
      </c>
      <c r="E155" s="8" t="s">
        <v>587</v>
      </c>
      <c r="F155" s="6" t="s">
        <v>588</v>
      </c>
      <c r="G155" s="9">
        <f>IF(A155=1,"_",IF(C155="_","???",C155))</f>
        <v/>
      </c>
      <c r="H155" s="10" t="s">
        <v>16</v>
      </c>
      <c r="I155" s="11" t="s">
        <v>16</v>
      </c>
      <c r="J155" s="12"/>
    </row>
    <row r="156" spans="1:10" ht="60" customHeight="1">
      <c r="A156" s="6" t="s">
        <v>589</v>
      </c>
      <c r="B156" s="6" t="s">
        <v>39</v>
      </c>
      <c r="C156" s="6" t="s">
        <v>41</v>
      </c>
      <c r="D156" s="7" t="s">
        <v>590</v>
      </c>
      <c r="E156" s="8" t="s">
        <v>591</v>
      </c>
      <c r="F156" s="6" t="s">
        <v>592</v>
      </c>
      <c r="G156" s="9">
        <f>IF(A156=1,"_",IF(C156="_","???",C156))</f>
        <v/>
      </c>
      <c r="H156" s="10" t="s">
        <v>16</v>
      </c>
      <c r="I156" s="11" t="s">
        <v>16</v>
      </c>
      <c r="J156" s="12"/>
    </row>
    <row r="157" spans="1:10" ht="60" customHeight="1">
      <c r="A157" s="6" t="s">
        <v>593</v>
      </c>
      <c r="B157" s="6" t="s">
        <v>35</v>
      </c>
      <c r="C157" s="6" t="s">
        <v>388</v>
      </c>
      <c r="D157" s="7" t="s">
        <v>594</v>
      </c>
      <c r="E157" s="8" t="s">
        <v>595</v>
      </c>
      <c r="F157" s="6" t="s">
        <v>596</v>
      </c>
      <c r="G157" s="9">
        <f>IF(A157=1,"_",IF(C157="_","???",C157))</f>
        <v/>
      </c>
      <c r="H157" s="10" t="s">
        <v>16</v>
      </c>
      <c r="I157" s="11" t="s">
        <v>16</v>
      </c>
      <c r="J157" s="12"/>
    </row>
    <row r="158" spans="1:10" ht="60" customHeight="1">
      <c r="A158" s="6" t="s">
        <v>597</v>
      </c>
      <c r="B158" s="6" t="s">
        <v>17</v>
      </c>
      <c r="C158" s="6" t="s">
        <v>12</v>
      </c>
      <c r="D158" s="7" t="s">
        <v>598</v>
      </c>
      <c r="E158" s="8" t="s">
        <v>599</v>
      </c>
      <c r="F158" s="6" t="s">
        <v>600</v>
      </c>
      <c r="G158" s="9">
        <f>IF(A158=1,"_",IF(C158="_","???",C158))</f>
        <v/>
      </c>
      <c r="H158" s="10" t="s">
        <v>16</v>
      </c>
      <c r="I158" s="11" t="s">
        <v>16</v>
      </c>
      <c r="J158" s="12"/>
    </row>
    <row r="159" spans="1:10" ht="60" customHeight="1">
      <c r="A159" s="6" t="s">
        <v>601</v>
      </c>
      <c r="B159" s="6" t="s">
        <v>17</v>
      </c>
      <c r="C159" s="6" t="s">
        <v>104</v>
      </c>
      <c r="D159" s="7" t="s">
        <v>602</v>
      </c>
      <c r="E159" s="8" t="s">
        <v>603</v>
      </c>
      <c r="F159" s="6" t="s">
        <v>604</v>
      </c>
      <c r="G159" s="9">
        <f>IF(A159=1,"_",IF(C159="_","???",C159))</f>
        <v/>
      </c>
      <c r="H159" s="10" t="s">
        <v>16</v>
      </c>
      <c r="I159" s="11" t="s">
        <v>16</v>
      </c>
      <c r="J159" s="12"/>
    </row>
    <row r="160" spans="1:10" ht="60" customHeight="1">
      <c r="A160" s="6" t="s">
        <v>605</v>
      </c>
      <c r="B160" s="6" t="s">
        <v>11</v>
      </c>
      <c r="C160" s="6" t="s">
        <v>12</v>
      </c>
      <c r="D160" s="7" t="s">
        <v>427</v>
      </c>
      <c r="E160" s="8" t="s">
        <v>606</v>
      </c>
      <c r="F160" s="6" t="s">
        <v>607</v>
      </c>
      <c r="G160" s="9">
        <f>IF(A160=1,"_",IF(C160="_","???",C160))</f>
        <v/>
      </c>
      <c r="H160" s="10" t="s">
        <v>16</v>
      </c>
      <c r="I160" s="11" t="s">
        <v>16</v>
      </c>
      <c r="J160" s="12"/>
    </row>
    <row r="161" spans="1:10" ht="60" customHeight="1">
      <c r="A161" s="6" t="s">
        <v>608</v>
      </c>
      <c r="B161" s="6" t="s">
        <v>23</v>
      </c>
      <c r="C161" s="6" t="s">
        <v>12</v>
      </c>
      <c r="D161" s="7" t="s">
        <v>268</v>
      </c>
      <c r="E161" s="8" t="s">
        <v>609</v>
      </c>
      <c r="F161" s="6" t="s">
        <v>610</v>
      </c>
      <c r="G161" s="9">
        <f>IF(A161=1,"_",IF(C161="_","???",C161))</f>
        <v/>
      </c>
      <c r="H161" s="10" t="s">
        <v>16</v>
      </c>
      <c r="I161" s="11" t="s">
        <v>16</v>
      </c>
      <c r="J161" s="12"/>
    </row>
    <row r="162" spans="1:10" ht="60" customHeight="1">
      <c r="A162" s="6" t="s">
        <v>611</v>
      </c>
      <c r="B162" s="6" t="s">
        <v>31</v>
      </c>
      <c r="C162" s="6" t="s">
        <v>12</v>
      </c>
      <c r="D162" s="7" t="s">
        <v>36</v>
      </c>
      <c r="E162" s="8" t="s">
        <v>612</v>
      </c>
      <c r="F162" s="6" t="s">
        <v>613</v>
      </c>
      <c r="G162" s="9">
        <f>IF(A162=1,"_",IF(C162="_","???",C162))</f>
        <v/>
      </c>
      <c r="H162" s="10" t="s">
        <v>16</v>
      </c>
      <c r="I162" s="11" t="s">
        <v>16</v>
      </c>
      <c r="J162" s="12"/>
    </row>
    <row r="163" spans="1:10" ht="60" customHeight="1">
      <c r="A163" s="6" t="s">
        <v>614</v>
      </c>
      <c r="B163" s="6" t="s">
        <v>17</v>
      </c>
      <c r="C163" s="6" t="s">
        <v>12</v>
      </c>
      <c r="D163" s="7" t="s">
        <v>615</v>
      </c>
      <c r="E163" s="8" t="s">
        <v>616</v>
      </c>
      <c r="F163" s="6" t="s">
        <v>617</v>
      </c>
      <c r="G163" s="9">
        <f>IF(A163=1,"_",IF(C163="_","???",C163))</f>
        <v/>
      </c>
      <c r="H163" s="10" t="s">
        <v>16</v>
      </c>
      <c r="I163" s="11" t="s">
        <v>16</v>
      </c>
      <c r="J163" s="12"/>
    </row>
    <row r="164" spans="1:10" ht="60" customHeight="1">
      <c r="A164" s="6" t="s">
        <v>618</v>
      </c>
      <c r="B164" s="6" t="s">
        <v>23</v>
      </c>
      <c r="C164" s="6" t="s">
        <v>619</v>
      </c>
      <c r="D164" s="7" t="s">
        <v>620</v>
      </c>
      <c r="E164" s="8" t="s">
        <v>621</v>
      </c>
      <c r="F164" s="6" t="s">
        <v>622</v>
      </c>
      <c r="G164" s="9">
        <f>IF(A164=1,"_",IF(C164="_","???",C164))</f>
        <v/>
      </c>
      <c r="H164" s="10" t="s">
        <v>16</v>
      </c>
      <c r="I164" s="11" t="s">
        <v>16</v>
      </c>
      <c r="J164" s="12"/>
    </row>
    <row r="165" spans="1:10" ht="60" customHeight="1">
      <c r="A165" s="6" t="s">
        <v>623</v>
      </c>
      <c r="B165" s="6" t="s">
        <v>11</v>
      </c>
      <c r="C165" s="6" t="s">
        <v>16</v>
      </c>
      <c r="D165" s="7" t="s">
        <v>45</v>
      </c>
      <c r="E165" s="8" t="s">
        <v>624</v>
      </c>
      <c r="F165" s="6" t="s">
        <v>625</v>
      </c>
      <c r="G165" s="9">
        <f>IF(A165=1,"_",IF(C165="_","???",C165))</f>
        <v/>
      </c>
      <c r="H165" s="10" t="s">
        <v>16</v>
      </c>
      <c r="I165" s="11" t="s">
        <v>16</v>
      </c>
      <c r="J165" s="12"/>
    </row>
    <row r="166" spans="1:10" ht="60" customHeight="1">
      <c r="A166" s="6" t="s">
        <v>626</v>
      </c>
      <c r="B166" s="6" t="s">
        <v>23</v>
      </c>
      <c r="C166" s="6" t="s">
        <v>12</v>
      </c>
      <c r="D166" s="7" t="s">
        <v>260</v>
      </c>
      <c r="E166" s="8" t="s">
        <v>627</v>
      </c>
      <c r="F166" s="6" t="s">
        <v>628</v>
      </c>
      <c r="G166" s="9">
        <f>IF(A166=1,"_",IF(C166="_","???",C166))</f>
        <v/>
      </c>
      <c r="H166" s="10" t="s">
        <v>16</v>
      </c>
      <c r="I166" s="11" t="s">
        <v>16</v>
      </c>
      <c r="J166" s="12"/>
    </row>
    <row r="167" spans="1:10" ht="60" customHeight="1">
      <c r="A167" s="6" t="s">
        <v>629</v>
      </c>
      <c r="B167" s="6" t="s">
        <v>58</v>
      </c>
      <c r="C167" s="6" t="s">
        <v>63</v>
      </c>
      <c r="D167" s="7" t="s">
        <v>630</v>
      </c>
      <c r="E167" s="8" t="s">
        <v>631</v>
      </c>
      <c r="F167" s="6" t="s">
        <v>632</v>
      </c>
      <c r="G167" s="9">
        <f>IF(A167=1,"_",IF(C167="_","???",C167))</f>
        <v/>
      </c>
      <c r="H167" s="10" t="s">
        <v>16</v>
      </c>
      <c r="I167" s="11" t="s">
        <v>16</v>
      </c>
      <c r="J167" s="12"/>
    </row>
    <row r="168" spans="1:10" ht="60" customHeight="1">
      <c r="A168" s="6" t="s">
        <v>633</v>
      </c>
      <c r="B168" s="6" t="s">
        <v>23</v>
      </c>
      <c r="C168" s="6" t="s">
        <v>12</v>
      </c>
      <c r="D168" s="7" t="s">
        <v>45</v>
      </c>
      <c r="E168" s="8" t="s">
        <v>634</v>
      </c>
      <c r="F168" s="6" t="s">
        <v>635</v>
      </c>
      <c r="G168" s="9">
        <f>IF(A168=1,"_",IF(C168="_","???",C168))</f>
        <v/>
      </c>
      <c r="H168" s="10" t="s">
        <v>16</v>
      </c>
      <c r="I168" s="11" t="s">
        <v>16</v>
      </c>
      <c r="J168" s="12"/>
    </row>
    <row r="169" spans="1:10" ht="60" customHeight="1">
      <c r="A169" s="6" t="s">
        <v>636</v>
      </c>
      <c r="B169" s="6" t="s">
        <v>23</v>
      </c>
      <c r="C169" s="6" t="s">
        <v>12</v>
      </c>
      <c r="D169" s="7" t="s">
        <v>54</v>
      </c>
      <c r="E169" s="8" t="s">
        <v>637</v>
      </c>
      <c r="F169" s="6" t="s">
        <v>638</v>
      </c>
      <c r="G169" s="9">
        <f>IF(A169=1,"_",IF(C169="_","???",C169))</f>
        <v/>
      </c>
      <c r="H169" s="10" t="s">
        <v>16</v>
      </c>
      <c r="I169" s="11" t="s">
        <v>16</v>
      </c>
      <c r="J169" s="12"/>
    </row>
    <row r="170" spans="1:10" ht="60" customHeight="1">
      <c r="A170" s="6" t="s">
        <v>639</v>
      </c>
      <c r="B170" s="6" t="s">
        <v>39</v>
      </c>
      <c r="C170" s="6" t="s">
        <v>12</v>
      </c>
      <c r="D170" s="7" t="s">
        <v>76</v>
      </c>
      <c r="E170" s="8" t="s">
        <v>640</v>
      </c>
      <c r="F170" s="6" t="s">
        <v>641</v>
      </c>
      <c r="G170" s="9">
        <f>IF(A170=1,"_",IF(C170="_","???",C170))</f>
        <v/>
      </c>
      <c r="H170" s="10" t="s">
        <v>16</v>
      </c>
      <c r="I170" s="11" t="s">
        <v>16</v>
      </c>
      <c r="J170" s="12"/>
    </row>
    <row r="171" spans="1:10" ht="60" customHeight="1">
      <c r="A171" s="6" t="s">
        <v>642</v>
      </c>
      <c r="B171" s="6" t="s">
        <v>17</v>
      </c>
      <c r="C171" s="6" t="s">
        <v>12</v>
      </c>
      <c r="D171" s="7" t="s">
        <v>290</v>
      </c>
      <c r="E171" s="8" t="s">
        <v>643</v>
      </c>
      <c r="F171" s="6" t="s">
        <v>644</v>
      </c>
      <c r="G171" s="9">
        <f>IF(A171=1,"_",IF(C171="_","???",C171))</f>
        <v/>
      </c>
      <c r="H171" s="10" t="s">
        <v>16</v>
      </c>
      <c r="I171" s="11" t="s">
        <v>16</v>
      </c>
      <c r="J171" s="12"/>
    </row>
    <row r="172" spans="1:10" ht="60" customHeight="1">
      <c r="A172" s="6" t="s">
        <v>645</v>
      </c>
      <c r="B172" s="6" t="s">
        <v>35</v>
      </c>
      <c r="C172" s="6" t="s">
        <v>16</v>
      </c>
      <c r="D172" s="7" t="s">
        <v>646</v>
      </c>
      <c r="E172" s="8" t="s">
        <v>647</v>
      </c>
      <c r="F172" s="6" t="s">
        <v>648</v>
      </c>
      <c r="G172" s="9">
        <f>IF(A172=1,"_",IF(C172="_","???",C172))</f>
        <v/>
      </c>
      <c r="H172" s="10" t="s">
        <v>16</v>
      </c>
      <c r="I172" s="11" t="s">
        <v>16</v>
      </c>
      <c r="J172" s="12"/>
    </row>
    <row r="173" spans="1:10" ht="60" customHeight="1">
      <c r="A173" s="6" t="s">
        <v>649</v>
      </c>
      <c r="B173" s="6" t="s">
        <v>17</v>
      </c>
      <c r="C173" s="6" t="s">
        <v>16</v>
      </c>
      <c r="D173" s="7" t="s">
        <v>45</v>
      </c>
      <c r="E173" s="8" t="s">
        <v>650</v>
      </c>
      <c r="F173" s="6" t="s">
        <v>651</v>
      </c>
      <c r="G173" s="9">
        <f>IF(A173=1,"_",IF(C173="_","???",C173))</f>
        <v/>
      </c>
      <c r="H173" s="10" t="s">
        <v>16</v>
      </c>
      <c r="I173" s="11" t="s">
        <v>16</v>
      </c>
      <c r="J173" s="12"/>
    </row>
    <row r="174" spans="1:10" ht="60" customHeight="1">
      <c r="A174" s="6" t="s">
        <v>652</v>
      </c>
      <c r="B174" s="6" t="s">
        <v>40</v>
      </c>
      <c r="C174" s="6" t="s">
        <v>24</v>
      </c>
      <c r="D174" s="7" t="s">
        <v>653</v>
      </c>
      <c r="E174" s="8" t="s">
        <v>654</v>
      </c>
      <c r="F174" s="6" t="s">
        <v>655</v>
      </c>
      <c r="G174" s="9">
        <f>IF(A174=1,"_",IF(C174="_","???",C174))</f>
        <v/>
      </c>
      <c r="H174" s="10" t="s">
        <v>16</v>
      </c>
      <c r="I174" s="11" t="s">
        <v>16</v>
      </c>
      <c r="J174" s="12"/>
    </row>
    <row r="175" spans="1:10" ht="60" customHeight="1">
      <c r="A175" s="6" t="s">
        <v>656</v>
      </c>
      <c r="B175" s="6" t="s">
        <v>17</v>
      </c>
      <c r="C175" s="6" t="s">
        <v>16</v>
      </c>
      <c r="D175" s="7" t="s">
        <v>290</v>
      </c>
      <c r="E175" s="8" t="s">
        <v>657</v>
      </c>
      <c r="F175" s="6" t="s">
        <v>658</v>
      </c>
      <c r="G175" s="9">
        <f>IF(A175=1,"_",IF(C175="_","???",C175))</f>
        <v/>
      </c>
      <c r="H175" s="10" t="s">
        <v>16</v>
      </c>
      <c r="I175" s="11" t="s">
        <v>16</v>
      </c>
      <c r="J175" s="12"/>
    </row>
    <row r="176" spans="1:10" ht="60" customHeight="1">
      <c r="A176" s="6" t="s">
        <v>659</v>
      </c>
      <c r="B176" s="6" t="s">
        <v>31</v>
      </c>
      <c r="C176" s="6" t="s">
        <v>16</v>
      </c>
      <c r="D176" s="7" t="s">
        <v>242</v>
      </c>
      <c r="E176" s="8" t="s">
        <v>660</v>
      </c>
      <c r="F176" s="6" t="s">
        <v>661</v>
      </c>
      <c r="G176" s="9">
        <f>IF(A176=1,"_",IF(C176="_","???",C176))</f>
        <v/>
      </c>
      <c r="H176" s="10" t="s">
        <v>16</v>
      </c>
      <c r="I176" s="11" t="s">
        <v>16</v>
      </c>
      <c r="J176" s="12"/>
    </row>
    <row r="177" spans="1:10" ht="60" customHeight="1">
      <c r="A177" s="6" t="s">
        <v>662</v>
      </c>
      <c r="B177" s="6" t="s">
        <v>17</v>
      </c>
      <c r="C177" s="6" t="s">
        <v>16</v>
      </c>
      <c r="D177" s="7" t="s">
        <v>663</v>
      </c>
      <c r="E177" s="8" t="s">
        <v>664</v>
      </c>
      <c r="F177" s="6" t="s">
        <v>665</v>
      </c>
      <c r="G177" s="9">
        <f>IF(A177=1,"_",IF(C177="_","???",C177))</f>
        <v/>
      </c>
      <c r="H177" s="10" t="s">
        <v>16</v>
      </c>
      <c r="I177" s="11" t="s">
        <v>16</v>
      </c>
      <c r="J177" s="12"/>
    </row>
    <row r="178" spans="1:10" ht="60" customHeight="1">
      <c r="A178" s="6" t="s">
        <v>666</v>
      </c>
      <c r="B178" s="6" t="s">
        <v>31</v>
      </c>
      <c r="C178" s="6" t="s">
        <v>12</v>
      </c>
      <c r="D178" s="7" t="s">
        <v>667</v>
      </c>
      <c r="E178" s="8" t="s">
        <v>668</v>
      </c>
      <c r="F178" s="6" t="s">
        <v>669</v>
      </c>
      <c r="G178" s="9">
        <f>IF(A178=1,"_",IF(C178="_","???",C178))</f>
        <v/>
      </c>
      <c r="H178" s="10" t="s">
        <v>16</v>
      </c>
      <c r="I178" s="11" t="s">
        <v>16</v>
      </c>
      <c r="J178" s="12"/>
    </row>
    <row r="179" spans="1:10" ht="60" customHeight="1">
      <c r="A179" s="6" t="s">
        <v>670</v>
      </c>
      <c r="B179" s="6" t="s">
        <v>17</v>
      </c>
      <c r="C179" s="6" t="s">
        <v>63</v>
      </c>
      <c r="D179" s="7" t="s">
        <v>290</v>
      </c>
      <c r="E179" s="8" t="s">
        <v>671</v>
      </c>
      <c r="F179" s="6" t="s">
        <v>672</v>
      </c>
      <c r="G179" s="9">
        <f>IF(A179=1,"_",IF(C179="_","???",C179))</f>
        <v/>
      </c>
      <c r="H179" s="10" t="s">
        <v>16</v>
      </c>
      <c r="I179" s="11" t="s">
        <v>16</v>
      </c>
      <c r="J179" s="12"/>
    </row>
    <row r="180" spans="1:10" ht="60" customHeight="1">
      <c r="A180" s="6" t="s">
        <v>673</v>
      </c>
      <c r="B180" s="6" t="s">
        <v>108</v>
      </c>
      <c r="C180" s="6" t="s">
        <v>16</v>
      </c>
      <c r="D180" s="7" t="s">
        <v>674</v>
      </c>
      <c r="E180" s="8" t="s">
        <v>675</v>
      </c>
      <c r="F180" s="6" t="s">
        <v>676</v>
      </c>
      <c r="G180" s="9">
        <f>IF(A180=1,"_",IF(C180="_","???",C180))</f>
        <v/>
      </c>
      <c r="H180" s="10" t="s">
        <v>16</v>
      </c>
      <c r="I180" s="11" t="s">
        <v>16</v>
      </c>
      <c r="J180" s="12"/>
    </row>
    <row r="181" spans="1:10" ht="60" customHeight="1">
      <c r="A181" s="6" t="s">
        <v>677</v>
      </c>
      <c r="B181" s="6" t="s">
        <v>39</v>
      </c>
      <c r="C181" s="6" t="s">
        <v>12</v>
      </c>
      <c r="D181" s="7" t="s">
        <v>678</v>
      </c>
      <c r="E181" s="8" t="s">
        <v>679</v>
      </c>
      <c r="F181" s="6" t="s">
        <v>680</v>
      </c>
      <c r="G181" s="9">
        <f>IF(A181=1,"_",IF(C181="_","???",C181))</f>
        <v/>
      </c>
      <c r="H181" s="10" t="s">
        <v>16</v>
      </c>
      <c r="I181" s="11" t="s">
        <v>16</v>
      </c>
      <c r="J181" s="12"/>
    </row>
    <row r="182" spans="1:10" ht="60" customHeight="1">
      <c r="A182" s="6" t="s">
        <v>681</v>
      </c>
      <c r="B182" s="6" t="s">
        <v>17</v>
      </c>
      <c r="C182" s="6" t="s">
        <v>16</v>
      </c>
      <c r="D182" s="7" t="s">
        <v>682</v>
      </c>
      <c r="E182" s="8" t="s">
        <v>683</v>
      </c>
      <c r="F182" s="6" t="s">
        <v>684</v>
      </c>
      <c r="G182" s="9">
        <f>IF(A182=1,"_",IF(C182="_","???",C182))</f>
        <v/>
      </c>
      <c r="H182" s="10" t="s">
        <v>16</v>
      </c>
      <c r="I182" s="11" t="s">
        <v>16</v>
      </c>
      <c r="J182" s="12"/>
    </row>
    <row r="183" spans="1:10" ht="60" customHeight="1">
      <c r="A183" s="6" t="s">
        <v>685</v>
      </c>
      <c r="B183" s="6" t="s">
        <v>17</v>
      </c>
      <c r="C183" s="6" t="s">
        <v>16</v>
      </c>
      <c r="D183" s="7" t="s">
        <v>20</v>
      </c>
      <c r="E183" s="8" t="s">
        <v>686</v>
      </c>
      <c r="F183" s="6" t="s">
        <v>687</v>
      </c>
      <c r="G183" s="9">
        <f>IF(A183=1,"_",IF(C183="_","???",C183))</f>
        <v/>
      </c>
      <c r="H183" s="10" t="s">
        <v>16</v>
      </c>
      <c r="I183" s="11" t="s">
        <v>16</v>
      </c>
      <c r="J183" s="12"/>
    </row>
    <row r="184" spans="1:10" ht="60" customHeight="1">
      <c r="A184" s="6" t="s">
        <v>688</v>
      </c>
      <c r="B184" s="6" t="s">
        <v>11</v>
      </c>
      <c r="C184" s="6" t="s">
        <v>450</v>
      </c>
      <c r="D184" s="7" t="s">
        <v>268</v>
      </c>
      <c r="E184" s="8" t="s">
        <v>689</v>
      </c>
      <c r="F184" s="6" t="s">
        <v>690</v>
      </c>
      <c r="G184" s="9">
        <f>IF(A184=1,"_",IF(C184="_","???",C184))</f>
        <v/>
      </c>
      <c r="H184" s="10" t="s">
        <v>16</v>
      </c>
      <c r="I184" s="11" t="s">
        <v>16</v>
      </c>
      <c r="J184" s="12"/>
    </row>
    <row r="185" spans="1:10" ht="60" customHeight="1">
      <c r="A185" s="6" t="s">
        <v>691</v>
      </c>
      <c r="B185" s="6" t="s">
        <v>67</v>
      </c>
      <c r="C185" s="6" t="s">
        <v>12</v>
      </c>
      <c r="D185" s="7" t="s">
        <v>692</v>
      </c>
      <c r="E185" s="8" t="s">
        <v>693</v>
      </c>
      <c r="F185" s="6" t="s">
        <v>694</v>
      </c>
      <c r="G185" s="9">
        <f>IF(A185=1,"_",IF(C185="_","???",C185))</f>
        <v/>
      </c>
      <c r="H185" s="10" t="s">
        <v>16</v>
      </c>
      <c r="I185" s="11" t="s">
        <v>16</v>
      </c>
      <c r="J185" s="12"/>
    </row>
    <row r="186" spans="1:10" ht="60" customHeight="1">
      <c r="A186" s="6" t="s">
        <v>695</v>
      </c>
      <c r="B186" s="6" t="s">
        <v>23</v>
      </c>
      <c r="C186" s="6" t="s">
        <v>143</v>
      </c>
      <c r="D186" s="7" t="s">
        <v>696</v>
      </c>
      <c r="E186" s="8" t="s">
        <v>697</v>
      </c>
      <c r="F186" s="6" t="s">
        <v>698</v>
      </c>
      <c r="G186" s="9">
        <f>IF(A186=1,"_",IF(C186="_","???",C186))</f>
        <v/>
      </c>
      <c r="H186" s="10" t="s">
        <v>16</v>
      </c>
      <c r="I186" s="11" t="s">
        <v>16</v>
      </c>
      <c r="J186" s="12"/>
    </row>
    <row r="187" spans="1:10" ht="60" customHeight="1">
      <c r="A187" s="6" t="s">
        <v>699</v>
      </c>
      <c r="B187" s="6" t="s">
        <v>11</v>
      </c>
      <c r="C187" s="6" t="s">
        <v>12</v>
      </c>
      <c r="D187" s="7" t="s">
        <v>620</v>
      </c>
      <c r="E187" s="8" t="s">
        <v>700</v>
      </c>
      <c r="F187" s="6" t="s">
        <v>701</v>
      </c>
      <c r="G187" s="9">
        <f>IF(A187=1,"_",IF(C187="_","???",C187))</f>
        <v/>
      </c>
      <c r="H187" s="10" t="s">
        <v>16</v>
      </c>
      <c r="I187" s="11" t="s">
        <v>16</v>
      </c>
      <c r="J187" s="12"/>
    </row>
    <row r="188" spans="1:10" ht="60" customHeight="1">
      <c r="A188" s="6" t="s">
        <v>702</v>
      </c>
      <c r="B188" s="6" t="s">
        <v>11</v>
      </c>
      <c r="C188" s="6" t="s">
        <v>12</v>
      </c>
      <c r="D188" s="7" t="s">
        <v>290</v>
      </c>
      <c r="E188" s="8" t="s">
        <v>703</v>
      </c>
      <c r="F188" s="6" t="s">
        <v>704</v>
      </c>
      <c r="G188" s="9">
        <f>IF(A188=1,"_",IF(C188="_","???",C188))</f>
        <v/>
      </c>
      <c r="H188" s="10" t="s">
        <v>16</v>
      </c>
      <c r="I188" s="11" t="s">
        <v>16</v>
      </c>
      <c r="J188" s="12"/>
    </row>
    <row r="189" spans="1:10" ht="60" customHeight="1">
      <c r="A189" s="6" t="s">
        <v>705</v>
      </c>
      <c r="B189" s="6" t="s">
        <v>11</v>
      </c>
      <c r="C189" s="6" t="s">
        <v>12</v>
      </c>
      <c r="D189" s="7" t="s">
        <v>290</v>
      </c>
      <c r="E189" s="8" t="s">
        <v>706</v>
      </c>
      <c r="F189" s="6" t="s">
        <v>707</v>
      </c>
      <c r="G189" s="9">
        <f>IF(A189=1,"_",IF(C189="_","???",C189))</f>
        <v/>
      </c>
      <c r="H189" s="10" t="s">
        <v>16</v>
      </c>
      <c r="I189" s="11" t="s">
        <v>16</v>
      </c>
      <c r="J189" s="12"/>
    </row>
    <row r="190" spans="1:10" ht="60" customHeight="1">
      <c r="A190" s="6" t="s">
        <v>708</v>
      </c>
      <c r="B190" s="6" t="s">
        <v>17</v>
      </c>
      <c r="C190" s="6" t="s">
        <v>16</v>
      </c>
      <c r="D190" s="7" t="s">
        <v>709</v>
      </c>
      <c r="E190" s="8" t="s">
        <v>710</v>
      </c>
      <c r="F190" s="6" t="s">
        <v>711</v>
      </c>
      <c r="G190" s="9">
        <f>IF(A190=1,"_",IF(C190="_","???",C190))</f>
        <v/>
      </c>
      <c r="H190" s="10" t="s">
        <v>16</v>
      </c>
      <c r="I190" s="11" t="s">
        <v>16</v>
      </c>
      <c r="J190" s="12"/>
    </row>
    <row r="191" spans="1:10" ht="60" customHeight="1">
      <c r="A191" s="6" t="s">
        <v>712</v>
      </c>
      <c r="B191" s="6" t="s">
        <v>17</v>
      </c>
      <c r="C191" s="6" t="s">
        <v>16</v>
      </c>
      <c r="D191" s="7" t="s">
        <v>713</v>
      </c>
      <c r="E191" s="8" t="s">
        <v>714</v>
      </c>
      <c r="F191" s="6" t="s">
        <v>715</v>
      </c>
      <c r="G191" s="9">
        <f>IF(A191=1,"_",IF(C191="_","???",C191))</f>
        <v/>
      </c>
      <c r="H191" s="10" t="s">
        <v>16</v>
      </c>
      <c r="I191" s="11" t="s">
        <v>16</v>
      </c>
      <c r="J191" s="12"/>
    </row>
    <row r="192" spans="1:10" ht="60" customHeight="1">
      <c r="A192" s="6" t="s">
        <v>716</v>
      </c>
      <c r="B192" s="6" t="s">
        <v>48</v>
      </c>
      <c r="C192" s="6" t="s">
        <v>16</v>
      </c>
      <c r="D192" s="7" t="s">
        <v>717</v>
      </c>
      <c r="E192" s="8" t="s">
        <v>718</v>
      </c>
      <c r="F192" s="6" t="s">
        <v>719</v>
      </c>
      <c r="G192" s="9">
        <f>IF(A192=1,"_",IF(C192="_","???",C192))</f>
        <v/>
      </c>
      <c r="H192" s="10" t="s">
        <v>16</v>
      </c>
      <c r="I192" s="11" t="s">
        <v>16</v>
      </c>
      <c r="J192" s="12"/>
    </row>
    <row r="193" spans="1:10" ht="60" customHeight="1">
      <c r="A193" s="6" t="s">
        <v>720</v>
      </c>
      <c r="B193" s="6" t="s">
        <v>11</v>
      </c>
      <c r="C193" s="6" t="s">
        <v>12</v>
      </c>
      <c r="D193" s="7" t="s">
        <v>290</v>
      </c>
      <c r="E193" s="8" t="s">
        <v>721</v>
      </c>
      <c r="F193" s="6" t="s">
        <v>722</v>
      </c>
      <c r="G193" s="9">
        <f>IF(A193=1,"_",IF(C193="_","???",C193))</f>
        <v/>
      </c>
      <c r="H193" s="10" t="s">
        <v>16</v>
      </c>
      <c r="I193" s="11" t="s">
        <v>16</v>
      </c>
      <c r="J193" s="12"/>
    </row>
    <row r="194" spans="1:10" ht="60" customHeight="1">
      <c r="A194" s="6" t="s">
        <v>723</v>
      </c>
      <c r="B194" s="6" t="s">
        <v>23</v>
      </c>
      <c r="C194" s="6" t="s">
        <v>12</v>
      </c>
      <c r="D194" s="7" t="s">
        <v>724</v>
      </c>
      <c r="E194" s="8" t="s">
        <v>725</v>
      </c>
      <c r="F194" s="6" t="s">
        <v>726</v>
      </c>
      <c r="G194" s="9">
        <f>IF(A194=1,"_",IF(C194="_","???",C194))</f>
        <v/>
      </c>
      <c r="H194" s="10" t="s">
        <v>16</v>
      </c>
      <c r="I194" s="11" t="s">
        <v>16</v>
      </c>
      <c r="J194" s="12"/>
    </row>
    <row r="195" spans="1:10" ht="60" customHeight="1">
      <c r="A195" s="6" t="s">
        <v>727</v>
      </c>
      <c r="B195" s="6" t="s">
        <v>52</v>
      </c>
      <c r="C195" s="6" t="s">
        <v>728</v>
      </c>
      <c r="D195" s="7" t="s">
        <v>729</v>
      </c>
      <c r="E195" s="8" t="s">
        <v>730</v>
      </c>
      <c r="F195" s="6" t="s">
        <v>731</v>
      </c>
      <c r="G195" s="9">
        <f>IF(A195=1,"_",IF(C195="_","???",C195))</f>
        <v/>
      </c>
      <c r="H195" s="10" t="s">
        <v>16</v>
      </c>
      <c r="I195" s="11" t="s">
        <v>16</v>
      </c>
      <c r="J195" s="12"/>
    </row>
    <row r="196" spans="1:10" ht="60" customHeight="1">
      <c r="A196" s="6" t="s">
        <v>732</v>
      </c>
      <c r="B196" s="6" t="s">
        <v>11</v>
      </c>
      <c r="C196" s="6" t="s">
        <v>63</v>
      </c>
      <c r="D196" s="7" t="s">
        <v>42</v>
      </c>
      <c r="E196" s="8" t="s">
        <v>733</v>
      </c>
      <c r="F196" s="6" t="s">
        <v>734</v>
      </c>
      <c r="G196" s="9">
        <f>IF(A196=1,"_",IF(C196="_","???",C196))</f>
        <v/>
      </c>
      <c r="H196" s="10" t="s">
        <v>16</v>
      </c>
      <c r="I196" s="11" t="s">
        <v>16</v>
      </c>
      <c r="J196" s="12"/>
    </row>
    <row r="197" spans="1:10" ht="60" customHeight="1">
      <c r="A197" s="6" t="s">
        <v>735</v>
      </c>
      <c r="B197" s="6" t="s">
        <v>17</v>
      </c>
      <c r="C197" s="6" t="s">
        <v>16</v>
      </c>
      <c r="D197" s="7" t="s">
        <v>36</v>
      </c>
      <c r="E197" s="8" t="s">
        <v>736</v>
      </c>
      <c r="F197" s="6" t="s">
        <v>737</v>
      </c>
      <c r="G197" s="9">
        <f>IF(A197=1,"_",IF(C197="_","???",C197))</f>
        <v/>
      </c>
      <c r="H197" s="10" t="s">
        <v>16</v>
      </c>
      <c r="I197" s="11" t="s">
        <v>16</v>
      </c>
      <c r="J197" s="12"/>
    </row>
    <row r="198" spans="1:10" ht="60" customHeight="1">
      <c r="A198" s="6" t="s">
        <v>738</v>
      </c>
      <c r="B198" s="6" t="s">
        <v>11</v>
      </c>
      <c r="C198" s="6" t="s">
        <v>12</v>
      </c>
      <c r="D198" s="7" t="s">
        <v>42</v>
      </c>
      <c r="E198" s="8" t="s">
        <v>739</v>
      </c>
      <c r="F198" s="6" t="s">
        <v>740</v>
      </c>
      <c r="G198" s="9">
        <f>IF(A198=1,"_",IF(C198="_","???",C198))</f>
        <v/>
      </c>
      <c r="H198" s="10" t="s">
        <v>16</v>
      </c>
      <c r="I198" s="11" t="s">
        <v>16</v>
      </c>
      <c r="J198" s="12"/>
    </row>
    <row r="199" spans="1:10" ht="60" customHeight="1">
      <c r="A199" s="6" t="s">
        <v>741</v>
      </c>
      <c r="B199" s="6" t="s">
        <v>11</v>
      </c>
      <c r="C199" s="6" t="s">
        <v>63</v>
      </c>
      <c r="D199" s="7" t="s">
        <v>742</v>
      </c>
      <c r="E199" s="8" t="s">
        <v>743</v>
      </c>
      <c r="F199" s="6" t="s">
        <v>744</v>
      </c>
      <c r="G199" s="9">
        <f>IF(A199=1,"_",IF(C199="_","???",C199))</f>
        <v/>
      </c>
      <c r="H199" s="10" t="s">
        <v>16</v>
      </c>
      <c r="I199" s="11" t="s">
        <v>16</v>
      </c>
      <c r="J199" s="12"/>
    </row>
    <row r="200" spans="1:10" ht="60" customHeight="1">
      <c r="A200" s="6" t="s">
        <v>745</v>
      </c>
      <c r="B200" s="6" t="s">
        <v>11</v>
      </c>
      <c r="C200" s="6" t="s">
        <v>24</v>
      </c>
      <c r="D200" s="7" t="s">
        <v>290</v>
      </c>
      <c r="E200" s="8" t="s">
        <v>746</v>
      </c>
      <c r="F200" s="6" t="s">
        <v>747</v>
      </c>
      <c r="G200" s="9">
        <f>IF(A200=1,"_",IF(C200="_","???",C200))</f>
        <v/>
      </c>
      <c r="H200" s="10" t="s">
        <v>16</v>
      </c>
      <c r="I200" s="11" t="s">
        <v>16</v>
      </c>
      <c r="J200" s="12"/>
    </row>
    <row r="201" spans="1:10" ht="60" customHeight="1">
      <c r="A201" s="6" t="s">
        <v>748</v>
      </c>
      <c r="B201" s="6" t="s">
        <v>11</v>
      </c>
      <c r="C201" s="6" t="s">
        <v>16</v>
      </c>
      <c r="D201" s="7" t="s">
        <v>749</v>
      </c>
      <c r="E201" s="8" t="s">
        <v>750</v>
      </c>
      <c r="F201" s="6" t="s">
        <v>751</v>
      </c>
      <c r="G201" s="9">
        <f>IF(A201=1,"_",IF(C201="_","???",C201))</f>
        <v/>
      </c>
      <c r="H201" s="10" t="s">
        <v>16</v>
      </c>
      <c r="I201" s="11" t="s">
        <v>16</v>
      </c>
      <c r="J201" s="12"/>
    </row>
    <row r="202" spans="1:10" ht="60" customHeight="1">
      <c r="A202" s="6" t="s">
        <v>752</v>
      </c>
      <c r="B202" s="6" t="s">
        <v>10</v>
      </c>
      <c r="C202" s="6" t="s">
        <v>16</v>
      </c>
      <c r="D202" s="7" t="s">
        <v>753</v>
      </c>
      <c r="E202" s="8" t="s">
        <v>754</v>
      </c>
      <c r="F202" s="6" t="s">
        <v>755</v>
      </c>
      <c r="G202" s="9">
        <f>IF(A202=1,"_",IF(C202="_","???",C202))</f>
        <v/>
      </c>
      <c r="H202" s="10" t="s">
        <v>16</v>
      </c>
      <c r="I202" s="11" t="s">
        <v>16</v>
      </c>
      <c r="J202" s="12"/>
    </row>
    <row r="203" spans="1:10" ht="60" customHeight="1">
      <c r="A203" s="6" t="s">
        <v>756</v>
      </c>
      <c r="B203" s="6" t="s">
        <v>31</v>
      </c>
      <c r="C203" s="6" t="s">
        <v>16</v>
      </c>
      <c r="D203" s="7" t="s">
        <v>290</v>
      </c>
      <c r="E203" s="8" t="s">
        <v>757</v>
      </c>
      <c r="F203" s="6" t="s">
        <v>758</v>
      </c>
      <c r="G203" s="9">
        <f>IF(A203=1,"_",IF(C203="_","???",C203))</f>
        <v/>
      </c>
      <c r="H203" s="10" t="s">
        <v>16</v>
      </c>
      <c r="I203" s="11" t="s">
        <v>16</v>
      </c>
      <c r="J203" s="12"/>
    </row>
    <row r="204" spans="1:10" ht="60" customHeight="1">
      <c r="A204" s="6" t="s">
        <v>759</v>
      </c>
      <c r="B204" s="6" t="s">
        <v>10</v>
      </c>
      <c r="C204" s="6" t="s">
        <v>16</v>
      </c>
      <c r="D204" s="7" t="s">
        <v>32</v>
      </c>
      <c r="E204" s="8" t="s">
        <v>760</v>
      </c>
      <c r="F204" s="6" t="s">
        <v>761</v>
      </c>
      <c r="G204" s="9">
        <f>IF(A204=1,"_",IF(C204="_","???",C204))</f>
        <v/>
      </c>
      <c r="H204" s="10" t="s">
        <v>16</v>
      </c>
      <c r="I204" s="11" t="s">
        <v>16</v>
      </c>
      <c r="J204" s="12"/>
    </row>
    <row r="205" spans="1:10" ht="60" customHeight="1">
      <c r="A205" s="6" t="s">
        <v>762</v>
      </c>
      <c r="B205" s="6" t="s">
        <v>23</v>
      </c>
      <c r="C205" s="6" t="s">
        <v>12</v>
      </c>
      <c r="D205" s="7" t="s">
        <v>763</v>
      </c>
      <c r="E205" s="8" t="s">
        <v>764</v>
      </c>
      <c r="F205" s="6" t="s">
        <v>765</v>
      </c>
      <c r="G205" s="9">
        <f>IF(A205=1,"_",IF(C205="_","???",C205))</f>
        <v/>
      </c>
      <c r="H205" s="10" t="s">
        <v>16</v>
      </c>
      <c r="I205" s="11" t="s">
        <v>16</v>
      </c>
      <c r="J205" s="12"/>
    </row>
    <row r="206" spans="1:10" ht="60" customHeight="1">
      <c r="A206" s="6" t="s">
        <v>766</v>
      </c>
      <c r="B206" s="6" t="s">
        <v>17</v>
      </c>
      <c r="C206" s="6" t="s">
        <v>16</v>
      </c>
      <c r="D206" s="7" t="s">
        <v>767</v>
      </c>
      <c r="E206" s="8" t="s">
        <v>768</v>
      </c>
      <c r="F206" s="6" t="s">
        <v>769</v>
      </c>
      <c r="G206" s="9">
        <f>IF(A206=1,"_",IF(C206="_","???",C206))</f>
        <v/>
      </c>
      <c r="H206" s="10" t="s">
        <v>16</v>
      </c>
      <c r="I206" s="11" t="s">
        <v>16</v>
      </c>
      <c r="J206" s="12"/>
    </row>
    <row r="207" spans="1:10" ht="60" customHeight="1">
      <c r="A207" s="6" t="s">
        <v>770</v>
      </c>
      <c r="B207" s="6" t="s">
        <v>11</v>
      </c>
      <c r="C207" s="6" t="s">
        <v>771</v>
      </c>
      <c r="D207" s="7" t="s">
        <v>76</v>
      </c>
      <c r="E207" s="8" t="s">
        <v>772</v>
      </c>
      <c r="F207" s="6" t="s">
        <v>773</v>
      </c>
      <c r="G207" s="9">
        <f>IF(A207=1,"_",IF(C207="_","???",C207))</f>
        <v/>
      </c>
      <c r="H207" s="10" t="s">
        <v>16</v>
      </c>
      <c r="I207" s="11" t="s">
        <v>16</v>
      </c>
      <c r="J207" s="12"/>
    </row>
    <row r="208" spans="1:10" ht="60" customHeight="1">
      <c r="A208" s="6" t="s">
        <v>774</v>
      </c>
      <c r="B208" s="6" t="s">
        <v>23</v>
      </c>
      <c r="C208" s="6" t="s">
        <v>63</v>
      </c>
      <c r="D208" s="7" t="s">
        <v>290</v>
      </c>
      <c r="E208" s="8" t="s">
        <v>775</v>
      </c>
      <c r="F208" s="6" t="s">
        <v>776</v>
      </c>
      <c r="G208" s="9">
        <f>IF(A208=1,"_",IF(C208="_","???",C208))</f>
        <v/>
      </c>
      <c r="H208" s="10" t="s">
        <v>16</v>
      </c>
      <c r="I208" s="11" t="s">
        <v>16</v>
      </c>
      <c r="J208" s="12"/>
    </row>
    <row r="209" spans="1:10" ht="60" customHeight="1">
      <c r="A209" s="6" t="s">
        <v>777</v>
      </c>
      <c r="B209" s="6" t="s">
        <v>17</v>
      </c>
      <c r="C209" s="6" t="s">
        <v>12</v>
      </c>
      <c r="D209" s="7" t="s">
        <v>778</v>
      </c>
      <c r="E209" s="8" t="s">
        <v>779</v>
      </c>
      <c r="F209" s="6" t="s">
        <v>780</v>
      </c>
      <c r="G209" s="9">
        <f>IF(A209=1,"_",IF(C209="_","???",C209))</f>
        <v/>
      </c>
      <c r="H209" s="10" t="s">
        <v>16</v>
      </c>
      <c r="I209" s="11" t="s">
        <v>16</v>
      </c>
      <c r="J209" s="12"/>
    </row>
    <row r="210" spans="1:10" ht="60" customHeight="1">
      <c r="A210" s="6" t="s">
        <v>781</v>
      </c>
      <c r="B210" s="6" t="s">
        <v>10</v>
      </c>
      <c r="C210" s="6" t="s">
        <v>16</v>
      </c>
      <c r="D210" s="7" t="s">
        <v>42</v>
      </c>
      <c r="E210" s="8" t="s">
        <v>782</v>
      </c>
      <c r="F210" s="6" t="s">
        <v>783</v>
      </c>
      <c r="G210" s="9">
        <f>IF(A210=1,"_",IF(C210="_","???",C210))</f>
        <v/>
      </c>
      <c r="H210" s="10" t="s">
        <v>16</v>
      </c>
      <c r="I210" s="11" t="s">
        <v>16</v>
      </c>
      <c r="J210" s="12"/>
    </row>
    <row r="211" spans="1:10" ht="60" customHeight="1">
      <c r="A211" s="6" t="s">
        <v>784</v>
      </c>
      <c r="B211" s="6" t="s">
        <v>17</v>
      </c>
      <c r="C211" s="6" t="s">
        <v>785</v>
      </c>
      <c r="D211" s="7" t="s">
        <v>786</v>
      </c>
      <c r="E211" s="8" t="s">
        <v>787</v>
      </c>
      <c r="F211" s="6" t="s">
        <v>788</v>
      </c>
      <c r="G211" s="9">
        <f>IF(A211=1,"_",IF(C211="_","???",C211))</f>
        <v/>
      </c>
      <c r="H211" s="10" t="s">
        <v>16</v>
      </c>
      <c r="I211" s="11" t="s">
        <v>16</v>
      </c>
      <c r="J211" s="12"/>
    </row>
    <row r="212" spans="1:10" ht="60" customHeight="1">
      <c r="A212" s="6" t="s">
        <v>789</v>
      </c>
      <c r="B212" s="6" t="s">
        <v>17</v>
      </c>
      <c r="C212" s="6" t="s">
        <v>16</v>
      </c>
      <c r="D212" s="7" t="s">
        <v>290</v>
      </c>
      <c r="E212" s="8" t="s">
        <v>790</v>
      </c>
      <c r="F212" s="6" t="s">
        <v>791</v>
      </c>
      <c r="G212" s="9">
        <f>IF(A212=1,"_",IF(C212="_","???",C212))</f>
        <v/>
      </c>
      <c r="H212" s="10" t="s">
        <v>16</v>
      </c>
      <c r="I212" s="11" t="s">
        <v>16</v>
      </c>
      <c r="J212" s="12"/>
    </row>
    <row r="213" spans="1:10" ht="60" customHeight="1">
      <c r="A213" s="6" t="s">
        <v>792</v>
      </c>
      <c r="B213" s="6" t="s">
        <v>11</v>
      </c>
      <c r="C213" s="6" t="s">
        <v>12</v>
      </c>
      <c r="D213" s="7" t="s">
        <v>290</v>
      </c>
      <c r="E213" s="8" t="s">
        <v>793</v>
      </c>
      <c r="F213" s="6" t="s">
        <v>794</v>
      </c>
      <c r="G213" s="9">
        <f>IF(A213=1,"_",IF(C213="_","???",C213))</f>
        <v/>
      </c>
      <c r="H213" s="10" t="s">
        <v>16</v>
      </c>
      <c r="I213" s="11" t="s">
        <v>16</v>
      </c>
      <c r="J213" s="12"/>
    </row>
    <row r="214" spans="1:10" ht="60" customHeight="1">
      <c r="A214" s="6" t="s">
        <v>795</v>
      </c>
      <c r="B214" s="6" t="s">
        <v>17</v>
      </c>
      <c r="C214" s="6" t="s">
        <v>63</v>
      </c>
      <c r="D214" s="7" t="s">
        <v>36</v>
      </c>
      <c r="E214" s="8" t="s">
        <v>796</v>
      </c>
      <c r="F214" s="6" t="s">
        <v>797</v>
      </c>
      <c r="G214" s="9">
        <f>IF(A214=1,"_",IF(C214="_","???",C214))</f>
        <v/>
      </c>
      <c r="H214" s="10" t="s">
        <v>16</v>
      </c>
      <c r="I214" s="11" t="s">
        <v>16</v>
      </c>
      <c r="J214" s="12"/>
    </row>
    <row r="215" spans="1:10" ht="60" customHeight="1">
      <c r="A215" s="6" t="s">
        <v>798</v>
      </c>
      <c r="B215" s="6" t="s">
        <v>11</v>
      </c>
      <c r="C215" s="6" t="s">
        <v>12</v>
      </c>
      <c r="D215" s="7" t="s">
        <v>36</v>
      </c>
      <c r="E215" s="8" t="s">
        <v>799</v>
      </c>
      <c r="F215" s="6" t="s">
        <v>800</v>
      </c>
      <c r="G215" s="9">
        <f>IF(A215=1,"_",IF(C215="_","???",C215))</f>
        <v/>
      </c>
      <c r="H215" s="10" t="s">
        <v>16</v>
      </c>
      <c r="I215" s="11" t="s">
        <v>16</v>
      </c>
      <c r="J215" s="12"/>
    </row>
    <row r="216" spans="1:10" ht="60" customHeight="1">
      <c r="A216" s="6" t="s">
        <v>801</v>
      </c>
      <c r="B216" s="6" t="s">
        <v>23</v>
      </c>
      <c r="C216" s="6" t="s">
        <v>12</v>
      </c>
      <c r="D216" s="7" t="s">
        <v>290</v>
      </c>
      <c r="E216" s="8" t="s">
        <v>802</v>
      </c>
      <c r="F216" s="6" t="s">
        <v>803</v>
      </c>
      <c r="G216" s="9">
        <f>IF(A216=1,"_",IF(C216="_","???",C216))</f>
        <v/>
      </c>
      <c r="H216" s="10" t="s">
        <v>16</v>
      </c>
      <c r="I216" s="11" t="s">
        <v>16</v>
      </c>
      <c r="J216" s="12"/>
    </row>
    <row r="217" spans="1:10" ht="60" customHeight="1">
      <c r="A217" s="6" t="s">
        <v>804</v>
      </c>
      <c r="B217" s="6" t="s">
        <v>11</v>
      </c>
      <c r="C217" s="6" t="s">
        <v>12</v>
      </c>
      <c r="D217" s="7" t="s">
        <v>286</v>
      </c>
      <c r="E217" s="8" t="s">
        <v>805</v>
      </c>
      <c r="F217" s="6" t="s">
        <v>806</v>
      </c>
      <c r="G217" s="9">
        <f>IF(A217=1,"_",IF(C217="_","???",C217))</f>
        <v/>
      </c>
      <c r="H217" s="10" t="s">
        <v>16</v>
      </c>
      <c r="I217" s="11" t="s">
        <v>16</v>
      </c>
      <c r="J217" s="12"/>
    </row>
    <row r="218" spans="1:10" ht="60" customHeight="1">
      <c r="A218" s="6" t="s">
        <v>807</v>
      </c>
      <c r="B218" s="6" t="s">
        <v>31</v>
      </c>
      <c r="C218" s="6" t="s">
        <v>63</v>
      </c>
      <c r="D218" s="7" t="s">
        <v>13</v>
      </c>
      <c r="E218" s="8" t="s">
        <v>808</v>
      </c>
      <c r="F218" s="6" t="s">
        <v>809</v>
      </c>
      <c r="G218" s="9">
        <f>IF(A218=1,"_",IF(C218="_","???",C218))</f>
        <v/>
      </c>
      <c r="H218" s="10" t="s">
        <v>16</v>
      </c>
      <c r="I218" s="11" t="s">
        <v>16</v>
      </c>
      <c r="J218" s="12"/>
    </row>
    <row r="219" spans="1:10" ht="60" customHeight="1">
      <c r="A219" s="6" t="s">
        <v>810</v>
      </c>
      <c r="B219" s="6" t="s">
        <v>17</v>
      </c>
      <c r="C219" s="6" t="s">
        <v>16</v>
      </c>
      <c r="D219" s="7" t="s">
        <v>13</v>
      </c>
      <c r="E219" s="8" t="s">
        <v>811</v>
      </c>
      <c r="F219" s="6" t="s">
        <v>812</v>
      </c>
      <c r="G219" s="9">
        <f>IF(A219=1,"_",IF(C219="_","???",C219))</f>
        <v/>
      </c>
      <c r="H219" s="10" t="s">
        <v>16</v>
      </c>
      <c r="I219" s="11" t="s">
        <v>16</v>
      </c>
      <c r="J219" s="12"/>
    </row>
    <row r="220" spans="1:10" ht="60" customHeight="1">
      <c r="A220" s="6" t="s">
        <v>813</v>
      </c>
      <c r="B220" s="6" t="s">
        <v>17</v>
      </c>
      <c r="C220" s="6" t="s">
        <v>16</v>
      </c>
      <c r="D220" s="7" t="s">
        <v>13</v>
      </c>
      <c r="E220" s="8" t="s">
        <v>814</v>
      </c>
      <c r="F220" s="6" t="s">
        <v>815</v>
      </c>
      <c r="G220" s="9">
        <f>IF(A220=1,"_",IF(C220="_","???",C220))</f>
        <v/>
      </c>
      <c r="H220" s="10" t="s">
        <v>16</v>
      </c>
      <c r="I220" s="11" t="s">
        <v>16</v>
      </c>
      <c r="J220" s="12"/>
    </row>
    <row r="221" spans="1:10" ht="60" customHeight="1">
      <c r="A221" s="6" t="s">
        <v>816</v>
      </c>
      <c r="B221" s="6" t="s">
        <v>17</v>
      </c>
      <c r="C221" s="6" t="s">
        <v>16</v>
      </c>
      <c r="D221" s="7" t="s">
        <v>817</v>
      </c>
      <c r="E221" s="8" t="s">
        <v>818</v>
      </c>
      <c r="F221" s="6" t="s">
        <v>819</v>
      </c>
      <c r="G221" s="9">
        <f>IF(A221=1,"_",IF(C221="_","???",C221))</f>
        <v/>
      </c>
      <c r="H221" s="10" t="s">
        <v>16</v>
      </c>
      <c r="I221" s="11" t="s">
        <v>16</v>
      </c>
      <c r="J221" s="12"/>
    </row>
    <row r="222" spans="1:10" ht="60" customHeight="1">
      <c r="A222" s="6" t="s">
        <v>820</v>
      </c>
      <c r="B222" s="6" t="s">
        <v>11</v>
      </c>
      <c r="C222" s="6" t="s">
        <v>12</v>
      </c>
      <c r="D222" s="7" t="s">
        <v>290</v>
      </c>
      <c r="E222" s="8" t="s">
        <v>821</v>
      </c>
      <c r="F222" s="6" t="s">
        <v>822</v>
      </c>
      <c r="G222" s="9">
        <f>IF(A222=1,"_",IF(C222="_","???",C222))</f>
        <v/>
      </c>
      <c r="H222" s="10" t="s">
        <v>16</v>
      </c>
      <c r="I222" s="11" t="s">
        <v>16</v>
      </c>
      <c r="J222" s="12"/>
    </row>
    <row r="223" spans="1:10" ht="60" customHeight="1">
      <c r="A223" s="6" t="s">
        <v>823</v>
      </c>
      <c r="B223" s="6" t="s">
        <v>17</v>
      </c>
      <c r="C223" s="6" t="s">
        <v>16</v>
      </c>
      <c r="D223" s="7" t="s">
        <v>286</v>
      </c>
      <c r="E223" s="8" t="s">
        <v>824</v>
      </c>
      <c r="F223" s="6" t="s">
        <v>825</v>
      </c>
      <c r="G223" s="9">
        <f>IF(A223=1,"_",IF(C223="_","???",C223))</f>
        <v/>
      </c>
      <c r="H223" s="10" t="s">
        <v>16</v>
      </c>
      <c r="I223" s="11" t="s">
        <v>16</v>
      </c>
      <c r="J223" s="12"/>
    </row>
    <row r="224" spans="1:10" ht="60" customHeight="1">
      <c r="A224" s="6" t="s">
        <v>826</v>
      </c>
      <c r="B224" s="6" t="s">
        <v>17</v>
      </c>
      <c r="C224" s="6" t="s">
        <v>16</v>
      </c>
      <c r="D224" s="7" t="s">
        <v>264</v>
      </c>
      <c r="E224" s="8" t="s">
        <v>827</v>
      </c>
      <c r="F224" s="6" t="s">
        <v>828</v>
      </c>
      <c r="G224" s="9">
        <f>IF(A224=1,"_",IF(C224="_","???",C224))</f>
        <v/>
      </c>
      <c r="H224" s="10" t="s">
        <v>16</v>
      </c>
      <c r="I224" s="11" t="s">
        <v>16</v>
      </c>
      <c r="J224" s="12"/>
    </row>
    <row r="225" spans="1:10" ht="60" customHeight="1">
      <c r="A225" s="6" t="s">
        <v>829</v>
      </c>
      <c r="B225" s="6" t="s">
        <v>176</v>
      </c>
      <c r="C225" s="6" t="s">
        <v>12</v>
      </c>
      <c r="D225" s="7" t="s">
        <v>268</v>
      </c>
      <c r="E225" s="8" t="s">
        <v>830</v>
      </c>
      <c r="F225" s="6" t="s">
        <v>831</v>
      </c>
      <c r="G225" s="9">
        <f>IF(A225=1,"_",IF(C225="_","???",C225))</f>
        <v/>
      </c>
      <c r="H225" s="10" t="s">
        <v>16</v>
      </c>
      <c r="I225" s="11" t="s">
        <v>16</v>
      </c>
      <c r="J225" s="12"/>
    </row>
    <row r="226" spans="1:10" ht="60" customHeight="1">
      <c r="A226" s="6" t="s">
        <v>832</v>
      </c>
      <c r="B226" s="6" t="s">
        <v>10</v>
      </c>
      <c r="C226" s="6" t="s">
        <v>16</v>
      </c>
      <c r="D226" s="7" t="s">
        <v>833</v>
      </c>
      <c r="E226" s="8" t="s">
        <v>834</v>
      </c>
      <c r="F226" s="6" t="s">
        <v>835</v>
      </c>
      <c r="G226" s="9">
        <f>IF(A226=1,"_",IF(C226="_","???",C226))</f>
        <v/>
      </c>
      <c r="H226" s="10" t="s">
        <v>16</v>
      </c>
      <c r="I226" s="11" t="s">
        <v>16</v>
      </c>
      <c r="J226" s="12"/>
    </row>
    <row r="227" spans="1:10" ht="60" customHeight="1">
      <c r="A227" s="6" t="s">
        <v>836</v>
      </c>
      <c r="B227" s="6" t="s">
        <v>40</v>
      </c>
      <c r="C227" s="6" t="s">
        <v>837</v>
      </c>
      <c r="D227" s="7" t="s">
        <v>838</v>
      </c>
      <c r="E227" s="8" t="s">
        <v>839</v>
      </c>
      <c r="F227" s="6" t="s">
        <v>840</v>
      </c>
      <c r="G227" s="9">
        <f>IF(A227=1,"_",IF(C227="_","???",C227))</f>
        <v/>
      </c>
      <c r="H227" s="10" t="s">
        <v>16</v>
      </c>
      <c r="I227" s="11" t="s">
        <v>16</v>
      </c>
      <c r="J227" s="12"/>
    </row>
    <row r="228" spans="1:10" ht="60" customHeight="1">
      <c r="A228" s="6" t="s">
        <v>841</v>
      </c>
      <c r="B228" s="6" t="s">
        <v>39</v>
      </c>
      <c r="C228" s="6" t="s">
        <v>12</v>
      </c>
      <c r="D228" s="7" t="s">
        <v>470</v>
      </c>
      <c r="E228" s="8" t="s">
        <v>842</v>
      </c>
      <c r="F228" s="6" t="s">
        <v>843</v>
      </c>
      <c r="G228" s="9">
        <f>IF(A228=1,"_",IF(C228="_","???",C228))</f>
        <v/>
      </c>
      <c r="H228" s="10" t="s">
        <v>16</v>
      </c>
      <c r="I228" s="11" t="s">
        <v>16</v>
      </c>
      <c r="J228" s="12"/>
    </row>
    <row r="229" spans="1:10" ht="60" customHeight="1">
      <c r="A229" s="6" t="s">
        <v>844</v>
      </c>
      <c r="B229" s="6" t="s">
        <v>39</v>
      </c>
      <c r="C229" s="6" t="s">
        <v>16</v>
      </c>
      <c r="D229" s="7" t="s">
        <v>470</v>
      </c>
      <c r="E229" s="8" t="s">
        <v>845</v>
      </c>
      <c r="F229" s="6" t="s">
        <v>846</v>
      </c>
      <c r="G229" s="9">
        <f>IF(A229=1,"_",IF(C229="_","???",C229))</f>
        <v/>
      </c>
      <c r="H229" s="10" t="s">
        <v>16</v>
      </c>
      <c r="I229" s="11" t="s">
        <v>16</v>
      </c>
      <c r="J229" s="12"/>
    </row>
    <row r="230" spans="1:10" ht="60" customHeight="1">
      <c r="A230" s="6" t="s">
        <v>847</v>
      </c>
      <c r="B230" s="6" t="s">
        <v>86</v>
      </c>
      <c r="C230" s="6" t="s">
        <v>404</v>
      </c>
      <c r="D230" s="7" t="s">
        <v>848</v>
      </c>
      <c r="E230" s="8" t="s">
        <v>849</v>
      </c>
      <c r="F230" s="6" t="s">
        <v>850</v>
      </c>
      <c r="G230" s="9">
        <f>IF(A230=1,"_",IF(C230="_","???",C230))</f>
        <v/>
      </c>
      <c r="H230" s="10" t="s">
        <v>16</v>
      </c>
      <c r="I230" s="11" t="s">
        <v>16</v>
      </c>
      <c r="J230" s="12"/>
    </row>
    <row r="231" spans="1:10" ht="60" customHeight="1">
      <c r="A231" s="6" t="s">
        <v>851</v>
      </c>
      <c r="B231" s="6" t="s">
        <v>17</v>
      </c>
      <c r="C231" s="6" t="s">
        <v>16</v>
      </c>
      <c r="D231" s="7" t="s">
        <v>852</v>
      </c>
      <c r="E231" s="8" t="s">
        <v>853</v>
      </c>
      <c r="F231" s="6" t="s">
        <v>854</v>
      </c>
      <c r="G231" s="9">
        <f>IF(A231=1,"_",IF(C231="_","???",C231))</f>
        <v/>
      </c>
      <c r="H231" s="10" t="s">
        <v>16</v>
      </c>
      <c r="I231" s="11" t="s">
        <v>16</v>
      </c>
      <c r="J231" s="12"/>
    </row>
    <row r="232" spans="1:10" ht="60" customHeight="1">
      <c r="A232" s="6" t="s">
        <v>855</v>
      </c>
      <c r="B232" s="6" t="s">
        <v>17</v>
      </c>
      <c r="C232" s="6" t="s">
        <v>12</v>
      </c>
      <c r="D232" s="7" t="s">
        <v>856</v>
      </c>
      <c r="E232" s="8" t="s">
        <v>857</v>
      </c>
      <c r="F232" s="6" t="s">
        <v>858</v>
      </c>
      <c r="G232" s="9">
        <f>IF(A232=1,"_",IF(C232="_","???",C232))</f>
        <v/>
      </c>
      <c r="H232" s="10" t="s">
        <v>16</v>
      </c>
      <c r="I232" s="11" t="s">
        <v>16</v>
      </c>
      <c r="J232" s="12"/>
    </row>
    <row r="233" spans="1:10" ht="60" customHeight="1">
      <c r="A233" s="6" t="s">
        <v>859</v>
      </c>
      <c r="B233" s="6" t="s">
        <v>108</v>
      </c>
      <c r="C233" s="6" t="s">
        <v>12</v>
      </c>
      <c r="D233" s="7" t="s">
        <v>860</v>
      </c>
      <c r="E233" s="8" t="s">
        <v>861</v>
      </c>
      <c r="F233" s="6" t="s">
        <v>862</v>
      </c>
      <c r="G233" s="9">
        <f>IF(A233=1,"_",IF(C233="_","???",C233))</f>
        <v/>
      </c>
      <c r="H233" s="10" t="s">
        <v>16</v>
      </c>
      <c r="I233" s="11" t="s">
        <v>16</v>
      </c>
      <c r="J233" s="12"/>
    </row>
    <row r="234" spans="1:10" ht="60" customHeight="1">
      <c r="A234" s="6" t="s">
        <v>863</v>
      </c>
      <c r="B234" s="6" t="s">
        <v>40</v>
      </c>
      <c r="C234" s="6" t="s">
        <v>24</v>
      </c>
      <c r="D234" s="7" t="s">
        <v>864</v>
      </c>
      <c r="E234" s="8" t="s">
        <v>865</v>
      </c>
      <c r="F234" s="6" t="s">
        <v>866</v>
      </c>
      <c r="G234" s="9">
        <f>IF(A234=1,"_",IF(C234="_","???",C234))</f>
        <v/>
      </c>
      <c r="H234" s="10" t="s">
        <v>16</v>
      </c>
      <c r="I234" s="11" t="s">
        <v>16</v>
      </c>
      <c r="J234" s="12"/>
    </row>
    <row r="235" spans="1:10" ht="60" customHeight="1">
      <c r="A235" s="6" t="s">
        <v>867</v>
      </c>
      <c r="B235" s="6" t="s">
        <v>23</v>
      </c>
      <c r="C235" s="6" t="s">
        <v>63</v>
      </c>
      <c r="D235" s="7" t="s">
        <v>268</v>
      </c>
      <c r="E235" s="8" t="s">
        <v>868</v>
      </c>
      <c r="F235" s="6" t="s">
        <v>869</v>
      </c>
      <c r="G235" s="9">
        <f>IF(A235=1,"_",IF(C235="_","???",C235))</f>
        <v/>
      </c>
      <c r="H235" s="10" t="s">
        <v>16</v>
      </c>
      <c r="I235" s="11" t="s">
        <v>16</v>
      </c>
      <c r="J235" s="12"/>
    </row>
    <row r="236" spans="1:10" ht="60" customHeight="1">
      <c r="A236" s="6" t="s">
        <v>870</v>
      </c>
      <c r="B236" s="6" t="s">
        <v>11</v>
      </c>
      <c r="C236" s="6" t="s">
        <v>16</v>
      </c>
      <c r="D236" s="7" t="s">
        <v>871</v>
      </c>
      <c r="E236" s="8" t="s">
        <v>872</v>
      </c>
      <c r="F236" s="6" t="s">
        <v>873</v>
      </c>
      <c r="G236" s="9">
        <f>IF(A236=1,"_",IF(C236="_","???",C236))</f>
        <v/>
      </c>
      <c r="H236" s="10" t="s">
        <v>16</v>
      </c>
      <c r="I236" s="11" t="s">
        <v>16</v>
      </c>
      <c r="J236" s="12"/>
    </row>
    <row r="237" spans="1:10" ht="60" customHeight="1">
      <c r="A237" s="6" t="s">
        <v>874</v>
      </c>
      <c r="B237" s="6" t="s">
        <v>17</v>
      </c>
      <c r="C237" s="6" t="s">
        <v>16</v>
      </c>
      <c r="D237" s="7" t="s">
        <v>620</v>
      </c>
      <c r="E237" s="8" t="s">
        <v>875</v>
      </c>
      <c r="F237" s="6" t="s">
        <v>876</v>
      </c>
      <c r="G237" s="9">
        <f>IF(A237=1,"_",IF(C237="_","???",C237))</f>
        <v/>
      </c>
      <c r="H237" s="10" t="s">
        <v>16</v>
      </c>
      <c r="I237" s="11" t="s">
        <v>16</v>
      </c>
      <c r="J237" s="12"/>
    </row>
    <row r="238" spans="1:10" ht="60" customHeight="1">
      <c r="A238" s="6" t="s">
        <v>877</v>
      </c>
      <c r="B238" s="6" t="s">
        <v>39</v>
      </c>
      <c r="C238" s="6" t="s">
        <v>63</v>
      </c>
      <c r="D238" s="7" t="s">
        <v>878</v>
      </c>
      <c r="E238" s="8" t="s">
        <v>879</v>
      </c>
      <c r="F238" s="6" t="s">
        <v>880</v>
      </c>
      <c r="G238" s="9">
        <f>IF(A238=1,"_",IF(C238="_","???",C238))</f>
        <v/>
      </c>
      <c r="H238" s="10" t="s">
        <v>16</v>
      </c>
      <c r="I238" s="11" t="s">
        <v>16</v>
      </c>
      <c r="J238" s="12"/>
    </row>
    <row r="239" spans="1:10" ht="60" customHeight="1">
      <c r="A239" s="6" t="s">
        <v>881</v>
      </c>
      <c r="B239" s="6" t="s">
        <v>11</v>
      </c>
      <c r="C239" s="6" t="s">
        <v>12</v>
      </c>
      <c r="D239" s="7" t="s">
        <v>249</v>
      </c>
      <c r="E239" s="8" t="s">
        <v>882</v>
      </c>
      <c r="F239" s="6" t="s">
        <v>883</v>
      </c>
      <c r="G239" s="9">
        <f>IF(A239=1,"_",IF(C239="_","???",C239))</f>
        <v/>
      </c>
      <c r="H239" s="10" t="s">
        <v>16</v>
      </c>
      <c r="I239" s="11" t="s">
        <v>16</v>
      </c>
      <c r="J239" s="12"/>
    </row>
    <row r="240" spans="1:10" ht="60" customHeight="1">
      <c r="A240" s="6" t="s">
        <v>884</v>
      </c>
      <c r="B240" s="6" t="s">
        <v>23</v>
      </c>
      <c r="C240" s="6" t="s">
        <v>63</v>
      </c>
      <c r="D240" s="7" t="s">
        <v>885</v>
      </c>
      <c r="E240" s="8" t="s">
        <v>886</v>
      </c>
      <c r="F240" s="6" t="s">
        <v>887</v>
      </c>
      <c r="G240" s="9">
        <f>IF(A240=1,"_",IF(C240="_","???",C240))</f>
        <v/>
      </c>
      <c r="H240" s="10" t="s">
        <v>16</v>
      </c>
      <c r="I240" s="11" t="s">
        <v>16</v>
      </c>
      <c r="J240" s="12"/>
    </row>
    <row r="241" spans="1:10" ht="60" customHeight="1">
      <c r="A241" s="6" t="s">
        <v>888</v>
      </c>
      <c r="B241" s="6" t="s">
        <v>142</v>
      </c>
      <c r="C241" s="6" t="s">
        <v>12</v>
      </c>
      <c r="D241" s="7" t="s">
        <v>889</v>
      </c>
      <c r="E241" s="8" t="s">
        <v>890</v>
      </c>
      <c r="F241" s="6" t="s">
        <v>891</v>
      </c>
      <c r="G241" s="9">
        <f>IF(A241=1,"_",IF(C241="_","???",C241))</f>
        <v/>
      </c>
      <c r="H241" s="10" t="s">
        <v>16</v>
      </c>
      <c r="I241" s="11" t="s">
        <v>16</v>
      </c>
      <c r="J241" s="12"/>
    </row>
    <row r="242" spans="1:10" ht="60" customHeight="1">
      <c r="A242" s="6" t="s">
        <v>892</v>
      </c>
      <c r="B242" s="6" t="s">
        <v>10</v>
      </c>
      <c r="C242" s="6" t="s">
        <v>63</v>
      </c>
      <c r="D242" s="7" t="s">
        <v>64</v>
      </c>
      <c r="E242" s="8" t="s">
        <v>893</v>
      </c>
      <c r="F242" s="6" t="s">
        <v>894</v>
      </c>
      <c r="G242" s="9">
        <f>IF(A242=1,"_",IF(C242="_","???",C242))</f>
        <v/>
      </c>
      <c r="H242" s="10" t="s">
        <v>16</v>
      </c>
      <c r="I242" s="11" t="s">
        <v>16</v>
      </c>
      <c r="J242" s="12"/>
    </row>
    <row r="243" spans="1:10" ht="60" customHeight="1">
      <c r="A243" s="6" t="s">
        <v>895</v>
      </c>
      <c r="B243" s="6" t="s">
        <v>17</v>
      </c>
      <c r="C243" s="6" t="s">
        <v>138</v>
      </c>
      <c r="D243" s="7" t="s">
        <v>13</v>
      </c>
      <c r="E243" s="8" t="s">
        <v>896</v>
      </c>
      <c r="F243" s="6" t="s">
        <v>897</v>
      </c>
      <c r="G243" s="9">
        <f>IF(A243=1,"_",IF(C243="_","???",C243))</f>
        <v/>
      </c>
      <c r="H243" s="10" t="s">
        <v>16</v>
      </c>
      <c r="I243" s="11" t="s">
        <v>16</v>
      </c>
      <c r="J243" s="12"/>
    </row>
    <row r="244" spans="1:10" ht="60" customHeight="1">
      <c r="A244" s="6" t="s">
        <v>898</v>
      </c>
      <c r="B244" s="6" t="s">
        <v>89</v>
      </c>
      <c r="C244" s="6" t="s">
        <v>16</v>
      </c>
      <c r="D244" s="7" t="s">
        <v>899</v>
      </c>
      <c r="E244" s="8" t="s">
        <v>900</v>
      </c>
      <c r="F244" s="6" t="s">
        <v>901</v>
      </c>
      <c r="G244" s="9">
        <f>IF(A244=1,"_",IF(C244="_","???",C244))</f>
        <v/>
      </c>
      <c r="H244" s="10" t="s">
        <v>16</v>
      </c>
      <c r="I244" s="11" t="s">
        <v>16</v>
      </c>
      <c r="J244" s="12"/>
    </row>
    <row r="245" spans="1:10" ht="60" customHeight="1">
      <c r="A245" s="6" t="s">
        <v>902</v>
      </c>
      <c r="B245" s="6" t="s">
        <v>17</v>
      </c>
      <c r="C245" s="6" t="s">
        <v>388</v>
      </c>
      <c r="D245" s="7" t="s">
        <v>903</v>
      </c>
      <c r="E245" s="8" t="s">
        <v>904</v>
      </c>
      <c r="F245" s="6" t="s">
        <v>905</v>
      </c>
      <c r="G245" s="9">
        <f>IF(A245=1,"_",IF(C245="_","???",C245))</f>
        <v/>
      </c>
      <c r="H245" s="10" t="s">
        <v>16</v>
      </c>
      <c r="I245" s="11" t="s">
        <v>16</v>
      </c>
      <c r="J245" s="12"/>
    </row>
    <row r="246" spans="1:10" ht="60" customHeight="1">
      <c r="A246" s="6" t="s">
        <v>906</v>
      </c>
      <c r="B246" s="6" t="s">
        <v>17</v>
      </c>
      <c r="C246" s="6" t="s">
        <v>388</v>
      </c>
      <c r="D246" s="7" t="s">
        <v>903</v>
      </c>
      <c r="E246" s="8" t="s">
        <v>907</v>
      </c>
      <c r="F246" s="6" t="s">
        <v>908</v>
      </c>
      <c r="G246" s="9">
        <f>IF(A246=1,"_",IF(C246="_","???",C246))</f>
        <v/>
      </c>
      <c r="H246" s="10" t="s">
        <v>16</v>
      </c>
      <c r="I246" s="11" t="s">
        <v>16</v>
      </c>
      <c r="J246" s="12"/>
    </row>
    <row r="247" spans="1:10" ht="60" customHeight="1">
      <c r="A247" s="6" t="s">
        <v>909</v>
      </c>
      <c r="B247" s="6" t="s">
        <v>31</v>
      </c>
      <c r="C247" s="6" t="s">
        <v>12</v>
      </c>
      <c r="D247" s="7" t="s">
        <v>42</v>
      </c>
      <c r="E247" s="8" t="s">
        <v>910</v>
      </c>
      <c r="F247" s="6" t="s">
        <v>911</v>
      </c>
      <c r="G247" s="9">
        <f>IF(A247=1,"_",IF(C247="_","???",C247))</f>
        <v/>
      </c>
      <c r="H247" s="10" t="s">
        <v>16</v>
      </c>
      <c r="I247" s="11" t="s">
        <v>16</v>
      </c>
      <c r="J247" s="12"/>
    </row>
    <row r="248" spans="1:10" ht="60" customHeight="1">
      <c r="A248" s="6" t="s">
        <v>912</v>
      </c>
      <c r="B248" s="6" t="s">
        <v>10</v>
      </c>
      <c r="C248" s="6" t="s">
        <v>16</v>
      </c>
      <c r="D248" s="7" t="s">
        <v>913</v>
      </c>
      <c r="E248" s="8" t="s">
        <v>914</v>
      </c>
      <c r="F248" s="6" t="s">
        <v>915</v>
      </c>
      <c r="G248" s="9">
        <f>IF(A248=1,"_",IF(C248="_","???",C248))</f>
        <v/>
      </c>
      <c r="H248" s="10" t="s">
        <v>16</v>
      </c>
      <c r="I248" s="11" t="s">
        <v>16</v>
      </c>
      <c r="J2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37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916</v>
      </c>
      <c r="B1" s="13" t="s">
        <v>917</v>
      </c>
      <c r="C1" s="13" t="s">
        <v>918</v>
      </c>
      <c r="D1" s="13" t="s">
        <v>919</v>
      </c>
      <c r="E1" s="14" t="s">
        <v>920</v>
      </c>
      <c r="F1" s="15" t="s">
        <v>921</v>
      </c>
      <c r="G1" s="16" t="s">
        <v>922</v>
      </c>
      <c r="H1" s="17" t="s">
        <v>923</v>
      </c>
      <c r="I1" s="18" t="s">
        <v>924</v>
      </c>
      <c r="J1" s="18" t="s">
        <v>925</v>
      </c>
      <c r="K1" s="18" t="s">
        <v>926</v>
      </c>
      <c r="L1" s="19" t="s">
        <v>9</v>
      </c>
    </row>
    <row r="2" spans="1:12">
      <c r="A2" s="20" t="s">
        <v>927</v>
      </c>
    </row>
    <row r="3" spans="1:12">
      <c r="A3" s="20" t="s">
        <v>928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929</v>
      </c>
      <c r="B4" s="27" t="s">
        <v>930</v>
      </c>
      <c r="C4" s="27" t="s">
        <v>931</v>
      </c>
      <c r="D4" s="27" t="s">
        <v>932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933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934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935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936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937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938</v>
      </c>
      <c r="B10" s="27" t="s">
        <v>939</v>
      </c>
      <c r="C10" s="27" t="s">
        <v>940</v>
      </c>
      <c r="D10" s="27" t="s">
        <v>932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941</v>
      </c>
      <c r="B11" s="27" t="s">
        <v>942</v>
      </c>
      <c r="C11" s="27" t="s">
        <v>943</v>
      </c>
      <c r="D11" s="27" t="s">
        <v>932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936</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944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945</v>
      </c>
      <c r="B14" s="27" t="s">
        <v>942</v>
      </c>
      <c r="C14" s="27" t="s">
        <v>946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947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944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948</v>
      </c>
      <c r="B17" s="27" t="s">
        <v>949</v>
      </c>
      <c r="C17" s="27" t="s">
        <v>943</v>
      </c>
      <c r="D17" s="27" t="s">
        <v>932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950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951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951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952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953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954</v>
      </c>
      <c r="B25" s="27" t="s">
        <v>955</v>
      </c>
      <c r="C25" s="27" t="s">
        <v>931</v>
      </c>
      <c r="D25" s="27" t="s">
        <v>932</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956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957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958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959</v>
      </c>
      <c r="B29" s="27" t="s">
        <v>960</v>
      </c>
      <c r="C29" s="27" t="s">
        <v>943</v>
      </c>
      <c r="D29" s="27" t="s">
        <v>932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961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962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963</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964</v>
      </c>
    </row>
    <row r="36" spans="1:12">
      <c r="A36" s="20" t="s">
        <v>965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966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967</v>
      </c>
      <c r="B38" s="27" t="s">
        <v>968</v>
      </c>
      <c r="C38" s="27" t="s">
        <v>931</v>
      </c>
      <c r="D38" s="27" t="s">
        <v>932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969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970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971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936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934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972</v>
      </c>
      <c r="B44" s="27" t="s">
        <v>939</v>
      </c>
      <c r="C44" s="27" t="s">
        <v>973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936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974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934</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975</v>
      </c>
      <c r="B48" s="27" t="s">
        <v>939</v>
      </c>
      <c r="C48" s="27" t="s">
        <v>943</v>
      </c>
      <c r="D48" s="27" t="s">
        <v>932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950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976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976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952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929</v>
      </c>
      <c r="B56" s="27" t="s">
        <v>955</v>
      </c>
      <c r="C56" s="27" t="s">
        <v>931</v>
      </c>
      <c r="D56" s="27" t="s">
        <v>932</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953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977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957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938</v>
      </c>
      <c r="B60" s="27" t="s">
        <v>978</v>
      </c>
      <c r="C60" s="27" t="s">
        <v>940</v>
      </c>
      <c r="D60" s="27" t="s">
        <v>932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979</v>
      </c>
      <c r="B61" s="27" t="s">
        <v>960</v>
      </c>
      <c r="C61" s="27" t="s">
        <v>943</v>
      </c>
      <c r="D61" s="27" t="s">
        <v>932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961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980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981</v>
      </c>
      <c r="B64" s="27" t="s">
        <v>982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row>
    <row r="67" spans="1:12">
      <c r="A67" s="20" t="s">
        <v>983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984</v>
      </c>
    </row>
    <row r="69" spans="1:12">
      <c r="A69" s="20" t="s">
        <v>965</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985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929</v>
      </c>
      <c r="B71" s="27" t="s">
        <v>930</v>
      </c>
      <c r="C71" s="27" t="s">
        <v>931</v>
      </c>
      <c r="D71" s="27" t="s">
        <v>932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986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987</v>
      </c>
      <c r="B73" s="27" t="s">
        <v>988</v>
      </c>
      <c r="C73" s="27" t="s">
        <v>931</v>
      </c>
      <c r="D73" s="27" t="s">
        <v>932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989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934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990</v>
      </c>
      <c r="B76" s="27" t="s">
        <v>991</v>
      </c>
      <c r="C76" s="27" t="s">
        <v>973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944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992</v>
      </c>
      <c r="B78" s="27" t="s">
        <v>949</v>
      </c>
      <c r="C78" s="27" t="s">
        <v>946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993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938</v>
      </c>
      <c r="B80" s="27" t="s">
        <v>949</v>
      </c>
      <c r="C80" s="27" t="s">
        <v>940</v>
      </c>
      <c r="D80" s="27" t="s">
        <v>932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994</v>
      </c>
      <c r="B81" s="27" t="s">
        <v>939</v>
      </c>
      <c r="C81" s="27" t="s">
        <v>943</v>
      </c>
      <c r="D81" s="27" t="s">
        <v>932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995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996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997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998</v>
      </c>
      <c r="B85" s="27" t="s">
        <v>939</v>
      </c>
      <c r="C85" s="27" t="s">
        <v>999</v>
      </c>
      <c r="D85" s="27" t="s">
        <v>932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1000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1001</v>
      </c>
      <c r="B87" s="27" t="s">
        <v>949</v>
      </c>
      <c r="C87" s="27" t="s">
        <v>943</v>
      </c>
      <c r="D87" s="27" t="s">
        <v>932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936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1002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936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985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1003</v>
      </c>
      <c r="B92" s="27" t="s">
        <v>988</v>
      </c>
      <c r="C92" s="27" t="s">
        <v>943</v>
      </c>
      <c r="D92" s="27" t="s">
        <v>932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1004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947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1005</v>
      </c>
      <c r="B96" s="27" t="s">
        <v>939</v>
      </c>
      <c r="C96" s="27" t="s">
        <v>946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936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1006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953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969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957</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1007</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1008</v>
      </c>
      <c r="B103" s="27" t="s">
        <v>1009</v>
      </c>
      <c r="C103" s="27" t="s">
        <v>943</v>
      </c>
      <c r="D103" s="27" t="s">
        <v>932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970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934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1010</v>
      </c>
      <c r="B106" s="27" t="s">
        <v>939</v>
      </c>
      <c r="C106" s="27" t="s">
        <v>943</v>
      </c>
      <c r="D106" s="27" t="s">
        <v>932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936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944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1011</v>
      </c>
      <c r="B109" s="27" t="s">
        <v>949</v>
      </c>
      <c r="C109" s="27" t="s">
        <v>943</v>
      </c>
      <c r="D109" s="27" t="s">
        <v>932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936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953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1012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957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1013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1014</v>
      </c>
      <c r="B115" s="27" t="s">
        <v>949</v>
      </c>
      <c r="C115" s="27" t="s">
        <v>943</v>
      </c>
      <c r="D115" s="27" t="s">
        <v>932</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936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944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929</v>
      </c>
      <c r="B118" s="27" t="s">
        <v>949</v>
      </c>
      <c r="C118" s="27" t="s">
        <v>931</v>
      </c>
      <c r="D118" s="27" t="s">
        <v>932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936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944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1015</v>
      </c>
      <c r="B121" s="27" t="s">
        <v>949</v>
      </c>
      <c r="C121" s="27" t="s">
        <v>946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936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1016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1017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1018</v>
      </c>
      <c r="B125" s="27" t="s">
        <v>949</v>
      </c>
      <c r="C125" s="27" t="s">
        <v>943</v>
      </c>
      <c r="D125" s="27" t="s">
        <v>932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936</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1019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936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1020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936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1021</v>
      </c>
      <c r="B131" s="27" t="s">
        <v>949</v>
      </c>
      <c r="C131" s="27" t="s">
        <v>1022</v>
      </c>
      <c r="D131" s="27" t="s">
        <v>932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953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965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957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985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934</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1023</v>
      </c>
      <c r="B138" s="27" t="s">
        <v>949</v>
      </c>
      <c r="C138" s="27" t="s">
        <v>973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937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1024</v>
      </c>
      <c r="B140" s="27" t="s">
        <v>1025</v>
      </c>
      <c r="C140" s="27" t="s">
        <v>943</v>
      </c>
      <c r="D140" s="27" t="s">
        <v>932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936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1026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936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944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929</v>
      </c>
      <c r="B145" s="27" t="s">
        <v>960</v>
      </c>
      <c r="C145" s="27" t="s">
        <v>931</v>
      </c>
      <c r="D145" s="27" t="s">
        <v>932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1027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1028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944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1028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944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1029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934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1030</v>
      </c>
      <c r="B154" s="27" t="s">
        <v>1031</v>
      </c>
      <c r="C154" s="27" t="s">
        <v>943</v>
      </c>
      <c r="D154" s="27" t="s">
        <v>932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936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1032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1033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1034</v>
      </c>
      <c r="B158" s="27" t="s">
        <v>1025</v>
      </c>
      <c r="C158" s="27" t="s">
        <v>1035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936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944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1036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1037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985</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928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1038</v>
      </c>
    </row>
    <row r="169" spans="1:12">
      <c r="A169" s="20" t="s">
        <v>1039</v>
      </c>
      <c r="B169" s="27" t="s">
        <v>930</v>
      </c>
      <c r="C169" s="27" t="s">
        <v>931</v>
      </c>
      <c r="D169" s="27" t="s">
        <v>932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1040</v>
      </c>
      <c r="B171" s="27" t="s">
        <v>988</v>
      </c>
      <c r="C171" s="27" t="s">
        <v>946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963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1041</v>
      </c>
      <c r="B173" s="27" t="s">
        <v>939</v>
      </c>
      <c r="C173" s="27" t="s">
        <v>946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1042</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1043</v>
      </c>
    </row>
    <row r="177" spans="1:12">
      <c r="A177" s="20" t="s">
        <v>1044</v>
      </c>
      <c r="B177" s="27" t="s">
        <v>930</v>
      </c>
      <c r="C177" s="27" t="s">
        <v>943</v>
      </c>
      <c r="D177" s="27" t="s">
        <v>932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1045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961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1046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947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1047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954</v>
      </c>
      <c r="B183" s="27" t="s">
        <v>991</v>
      </c>
      <c r="C183" s="27" t="s">
        <v>931</v>
      </c>
      <c r="D183" s="27" t="s">
        <v>932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937</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1048</v>
      </c>
      <c r="B185" s="27" t="s">
        <v>939</v>
      </c>
      <c r="C185" s="27" t="s">
        <v>946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936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1049</v>
      </c>
      <c r="B187" s="27" t="s">
        <v>939</v>
      </c>
      <c r="C187" s="27" t="s">
        <v>943</v>
      </c>
      <c r="D187" s="27" t="s">
        <v>932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937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1013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1050</v>
      </c>
      <c r="B190" s="27" t="s">
        <v>949</v>
      </c>
      <c r="C190" s="27" t="s">
        <v>973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1042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row>
    <row r="193" spans="1:12">
      <c r="A193" s="20" t="s">
        <v>1051</v>
      </c>
    </row>
    <row r="194" spans="1:12">
      <c r="A194" s="20" t="s">
        <v>1052</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1007</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1053</v>
      </c>
      <c r="B196" s="27" t="s">
        <v>930</v>
      </c>
      <c r="C196" s="27" t="s">
        <v>1054</v>
      </c>
      <c r="D196" s="27" t="s">
        <v>932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1000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1055</v>
      </c>
      <c r="B198" s="27" t="s">
        <v>939</v>
      </c>
      <c r="C198" s="27" t="s">
        <v>946</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1056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947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1057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1058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1059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1060</v>
      </c>
      <c r="B204" s="27" t="s">
        <v>991</v>
      </c>
      <c r="C204" s="27" t="s">
        <v>1061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1042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row>
    <row r="207" spans="1:12">
      <c r="A207" s="20" t="s">
        <v>1062</v>
      </c>
    </row>
    <row r="208" spans="1:12">
      <c r="A208" s="20" t="s">
        <v>1006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1063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1064</v>
      </c>
      <c r="B210" s="27" t="s">
        <v>942</v>
      </c>
      <c r="C210" s="27" t="s">
        <v>931</v>
      </c>
      <c r="D210" s="27" t="s">
        <v>932</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936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929</v>
      </c>
      <c r="B212" s="27" t="s">
        <v>930</v>
      </c>
      <c r="C212" s="27" t="s">
        <v>931</v>
      </c>
      <c r="D212" s="27" t="s">
        <v>932</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1065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1066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977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1067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1068</v>
      </c>
      <c r="B217" s="27" t="s">
        <v>988</v>
      </c>
      <c r="C217" s="27" t="s">
        <v>946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936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272</v>
      </c>
      <c r="B219" s="27" t="s">
        <v>988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1000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1007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709</v>
      </c>
      <c r="B222" s="27" t="s">
        <v>939</v>
      </c>
      <c r="C222" s="27" t="s">
        <v>1054</v>
      </c>
      <c r="D222" s="27" t="s">
        <v>932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1069</v>
      </c>
      <c r="B223" s="27" t="s">
        <v>955</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1070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1071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1072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929</v>
      </c>
      <c r="B227" s="27" t="s">
        <v>960</v>
      </c>
      <c r="C227" s="27" t="s">
        <v>931</v>
      </c>
      <c r="D227" s="27" t="s">
        <v>932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1073</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1075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947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934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1076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1077</v>
      </c>
      <c r="B234" s="27" t="s">
        <v>1078</v>
      </c>
      <c r="C234" s="27" t="s">
        <v>973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1042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row>
    <row r="237" spans="1:12">
      <c r="A237" s="20" t="s">
        <v>1079</v>
      </c>
    </row>
    <row r="238" spans="1:12">
      <c r="A238" s="20" t="s">
        <v>1080</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1081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936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929</v>
      </c>
      <c r="B241" s="27" t="s">
        <v>930</v>
      </c>
      <c r="C241" s="27" t="s">
        <v>931</v>
      </c>
      <c r="D241" s="27" t="s">
        <v>932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1065</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934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1082</v>
      </c>
      <c r="B244" s="27" t="s">
        <v>988</v>
      </c>
      <c r="C244" s="27" t="s">
        <v>973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1000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1083</v>
      </c>
      <c r="B246" s="27" t="s">
        <v>939</v>
      </c>
      <c r="C246" s="27" t="s">
        <v>946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1042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row>
    <row r="249" spans="1:12">
      <c r="A249" s="20" t="s">
        <v>1084</v>
      </c>
    </row>
    <row r="250" spans="1:12">
      <c r="A250" s="20" t="s">
        <v>1085</v>
      </c>
      <c r="B250" s="27" t="s">
        <v>939</v>
      </c>
      <c r="C250" s="27" t="s">
        <v>940</v>
      </c>
      <c r="D250" s="27" t="s">
        <v>932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1086</v>
      </c>
      <c r="B251" s="27" t="s">
        <v>930</v>
      </c>
      <c r="C251" s="27" t="s">
        <v>1087</v>
      </c>
      <c r="D251" s="27" t="s">
        <v>932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1088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936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934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1089</v>
      </c>
      <c r="B255" s="27" t="s">
        <v>968</v>
      </c>
      <c r="C255" s="27" t="s">
        <v>973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929</v>
      </c>
      <c r="B256" s="27" t="s">
        <v>955</v>
      </c>
      <c r="C256" s="27" t="s">
        <v>931</v>
      </c>
      <c r="D256" s="27" t="s">
        <v>932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1073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1074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937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1090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936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929</v>
      </c>
      <c r="B262" s="27" t="s">
        <v>955</v>
      </c>
      <c r="C262" s="27" t="s">
        <v>931</v>
      </c>
      <c r="D262" s="27" t="s">
        <v>932</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1091</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1092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947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1007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1093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1094</v>
      </c>
      <c r="B268" s="27" t="s">
        <v>949</v>
      </c>
      <c r="C268" s="27" t="s">
        <v>943</v>
      </c>
      <c r="D268" s="27" t="s">
        <v>932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1095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1016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1096</v>
      </c>
      <c r="B271" s="27" t="s">
        <v>949</v>
      </c>
      <c r="C271" s="27" t="s">
        <v>1097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1098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936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944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929</v>
      </c>
      <c r="B275" s="27" t="s">
        <v>968</v>
      </c>
      <c r="C275" s="27" t="s">
        <v>931</v>
      </c>
      <c r="D275" s="27" t="s">
        <v>932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1099</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963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969</v>
      </c>
      <c r="B278" s="27" t="s">
        <v>991</v>
      </c>
      <c r="C278" s="27" t="s">
        <v>1087</v>
      </c>
      <c r="D278" s="27" t="s">
        <v>932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1000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996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1100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1101</v>
      </c>
      <c r="B282" s="27" t="s">
        <v>949</v>
      </c>
      <c r="C282" s="27" t="s">
        <v>999</v>
      </c>
      <c r="D282" s="27" t="s">
        <v>932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1042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row>
    <row r="285" spans="1:12">
      <c r="A285" s="20" t="s">
        <v>1102</v>
      </c>
    </row>
    <row r="286" spans="1:12">
      <c r="A286" s="20" t="s">
        <v>1103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937</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1104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936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1105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1096</v>
      </c>
      <c r="B291" s="27" t="s">
        <v>939</v>
      </c>
      <c r="C291" s="27" t="s">
        <v>1097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1106</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936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929</v>
      </c>
      <c r="B294" s="27" t="s">
        <v>930</v>
      </c>
      <c r="C294" s="27" t="s">
        <v>931</v>
      </c>
      <c r="D294" s="27" t="s">
        <v>932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1107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1067</v>
      </c>
      <c r="B296" s="27" t="s">
        <v>988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1108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1109</v>
      </c>
      <c r="B298" s="27" t="s">
        <v>991</v>
      </c>
      <c r="C298" s="27" t="s">
        <v>946</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937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1110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72</v>
      </c>
      <c r="B301" s="27" t="s">
        <v>939</v>
      </c>
      <c r="C301" s="27" t="s">
        <v>1111</v>
      </c>
      <c r="D301" s="27" t="s">
        <v>932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1042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1112</v>
      </c>
    </row>
    <row r="305" spans="1:12">
      <c r="A305" s="20" t="s">
        <v>929</v>
      </c>
      <c r="B305" s="27" t="s">
        <v>930</v>
      </c>
      <c r="C305" s="27" t="s">
        <v>931</v>
      </c>
      <c r="D305" s="27" t="s">
        <v>932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1113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1114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1115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947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286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1116</v>
      </c>
      <c r="B311" s="27" t="s">
        <v>991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1000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1007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1117</v>
      </c>
      <c r="B314" s="27" t="s">
        <v>949</v>
      </c>
      <c r="C314" s="27" t="s">
        <v>1054</v>
      </c>
      <c r="D314" s="27" t="s">
        <v>932</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929</v>
      </c>
      <c r="B315" s="27" t="s">
        <v>960</v>
      </c>
      <c r="C315" s="27" t="s">
        <v>931</v>
      </c>
      <c r="D315" s="27" t="s">
        <v>932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1065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1118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1119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947</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286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936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944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929</v>
      </c>
      <c r="B323" s="27" t="s">
        <v>968</v>
      </c>
      <c r="C323" s="27" t="s">
        <v>931</v>
      </c>
      <c r="D323" s="27" t="s">
        <v>932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1113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1114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28</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1120</v>
      </c>
      <c r="B327" s="27" t="s">
        <v>939</v>
      </c>
      <c r="C327" s="27" t="s">
        <v>1121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1042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row>
    <row r="330" spans="1:12">
      <c r="A330" s="20" t="s">
        <v>1122</v>
      </c>
    </row>
    <row r="331" spans="1:12">
      <c r="A331" s="20" t="s">
        <v>1123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1124</v>
      </c>
      <c r="B332" s="27" t="s">
        <v>930</v>
      </c>
      <c r="C332" s="27" t="s">
        <v>1054</v>
      </c>
      <c r="D332" s="27" t="s">
        <v>932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1000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1040</v>
      </c>
      <c r="B334" s="27" t="s">
        <v>939</v>
      </c>
      <c r="C334" s="27" t="s">
        <v>946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1056</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1125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1126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936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1012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1127</v>
      </c>
      <c r="B340" s="27" t="s">
        <v>942</v>
      </c>
      <c r="C340" s="27" t="s">
        <v>946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1042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1128</v>
      </c>
    </row>
    <row r="344" spans="1:12">
      <c r="A344" s="20" t="s">
        <v>965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954</v>
      </c>
      <c r="B345" s="27" t="s">
        <v>930</v>
      </c>
      <c r="C345" s="27" t="s">
        <v>931</v>
      </c>
      <c r="D345" s="27" t="s">
        <v>932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961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1127</v>
      </c>
      <c r="B347" s="27" t="s">
        <v>942</v>
      </c>
      <c r="C347" s="27" t="s">
        <v>946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958</v>
      </c>
      <c r="B348" s="27" t="s">
        <v>968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956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947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1129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1130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1095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1064</v>
      </c>
      <c r="B354" s="27" t="s">
        <v>1025</v>
      </c>
      <c r="C354" s="27" t="s">
        <v>931</v>
      </c>
      <c r="D354" s="27" t="s">
        <v>932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937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958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1131</v>
      </c>
      <c r="B357" s="27" t="s">
        <v>949</v>
      </c>
      <c r="C357" s="27" t="s">
        <v>999</v>
      </c>
      <c r="D357" s="27" t="s">
        <v>932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1042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1132</v>
      </c>
    </row>
    <row r="361" spans="1:12">
      <c r="A361" s="20" t="s">
        <v>1133</v>
      </c>
      <c r="B361" s="27" t="s">
        <v>942</v>
      </c>
      <c r="C361" s="27" t="s">
        <v>1111</v>
      </c>
      <c r="D361" s="27" t="s">
        <v>932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1134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961</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947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286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956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974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1135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1136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455</v>
      </c>
      <c r="B370" s="27" t="s">
        <v>949</v>
      </c>
      <c r="C370" s="27" t="s">
        <v>946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1042</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row>
    <row r="373" spans="1:12">
      <c r="A373" s="20" t="s">
        <v>983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1137</v>
      </c>
    </row>
    <row r="375" spans="1:12">
      <c r="A375" s="20" t="s">
        <v>929</v>
      </c>
      <c r="B375" s="27" t="s">
        <v>930</v>
      </c>
      <c r="C375" s="27" t="s">
        <v>931</v>
      </c>
      <c r="D375" s="27" t="s">
        <v>932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1138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76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1139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944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929</v>
      </c>
      <c r="B380" s="27" t="s">
        <v>968</v>
      </c>
      <c r="C380" s="27" t="s">
        <v>931</v>
      </c>
      <c r="D380" s="27" t="s">
        <v>932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1138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1140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1007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1141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1142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1143</v>
      </c>
      <c r="B386" s="27" t="s">
        <v>991</v>
      </c>
      <c r="C386" s="27" t="s">
        <v>1054</v>
      </c>
      <c r="D386" s="27" t="s">
        <v>932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1144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938</v>
      </c>
      <c r="B388" s="27" t="s">
        <v>949</v>
      </c>
      <c r="C388" s="27" t="s">
        <v>940</v>
      </c>
      <c r="D388" s="27" t="s">
        <v>932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1145</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1146</v>
      </c>
      <c r="B390" s="27" t="s">
        <v>939</v>
      </c>
      <c r="C390" s="27" t="s">
        <v>1087</v>
      </c>
      <c r="D390" s="27" t="s">
        <v>932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936</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944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1147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1000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1148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1149</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947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1095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938</v>
      </c>
      <c r="B400" s="27" t="s">
        <v>1025</v>
      </c>
      <c r="C400" s="27" t="s">
        <v>940</v>
      </c>
      <c r="D400" s="27" t="s">
        <v>932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1150</v>
      </c>
      <c r="B401" s="27" t="s">
        <v>949</v>
      </c>
      <c r="C401" s="27" t="s">
        <v>1087</v>
      </c>
      <c r="D401" s="27" t="s">
        <v>932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936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929</v>
      </c>
      <c r="B403" s="27" t="s">
        <v>968</v>
      </c>
      <c r="C403" s="27" t="s">
        <v>931</v>
      </c>
      <c r="D403" s="27" t="s">
        <v>932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1138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936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928</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1151</v>
      </c>
      <c r="B408" s="27" t="s">
        <v>949</v>
      </c>
      <c r="C408" s="27" t="s">
        <v>1121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934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1152</v>
      </c>
      <c r="B410" s="27" t="s">
        <v>939</v>
      </c>
      <c r="C410" s="27" t="s">
        <v>973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1000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709</v>
      </c>
      <c r="B412" s="27" t="s">
        <v>949</v>
      </c>
      <c r="C412" s="27" t="s">
        <v>946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958</v>
      </c>
      <c r="B413" s="27" t="s">
        <v>960</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1056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947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947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1153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1092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1042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928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1154</v>
      </c>
    </row>
    <row r="424" spans="1:12">
      <c r="A424" s="20" t="s">
        <v>1155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929</v>
      </c>
      <c r="B425" s="27" t="s">
        <v>930</v>
      </c>
      <c r="C425" s="27" t="s">
        <v>931</v>
      </c>
      <c r="D425" s="27" t="s">
        <v>932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1138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1156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929</v>
      </c>
      <c r="B428" s="27" t="s">
        <v>968</v>
      </c>
      <c r="C428" s="27" t="s">
        <v>931</v>
      </c>
      <c r="D428" s="27" t="s">
        <v>932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1157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1158</v>
      </c>
      <c r="B431" s="27" t="s">
        <v>991</v>
      </c>
      <c r="C431" s="27" t="s">
        <v>946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936</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944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985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929</v>
      </c>
      <c r="B435" s="27" t="s">
        <v>968</v>
      </c>
      <c r="C435" s="27" t="s">
        <v>931</v>
      </c>
      <c r="D435" s="27" t="s">
        <v>932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1138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936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1012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929</v>
      </c>
      <c r="B440" s="27" t="s">
        <v>1009</v>
      </c>
      <c r="C440" s="27" t="s">
        <v>931</v>
      </c>
      <c r="D440" s="27" t="s">
        <v>932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1073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947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462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1007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1159</v>
      </c>
      <c r="B446" s="27" t="s">
        <v>1031</v>
      </c>
      <c r="C446" s="27" t="s">
        <v>1054</v>
      </c>
      <c r="D446" s="27" t="s">
        <v>932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1160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944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1161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954</v>
      </c>
      <c r="B450" s="27" t="s">
        <v>982</v>
      </c>
      <c r="C450" s="27" t="s">
        <v>931</v>
      </c>
      <c r="D450" s="27" t="s">
        <v>932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1144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934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1162</v>
      </c>
      <c r="B453" s="27" t="s">
        <v>1078</v>
      </c>
      <c r="C453" s="27" t="s">
        <v>973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944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1163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954</v>
      </c>
      <c r="B456" s="27" t="s">
        <v>982</v>
      </c>
      <c r="C456" s="27" t="s">
        <v>931</v>
      </c>
      <c r="D456" s="27" t="s">
        <v>932</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1164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944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1165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954</v>
      </c>
      <c r="B460" s="27" t="s">
        <v>982</v>
      </c>
      <c r="C460" s="27" t="s">
        <v>931</v>
      </c>
      <c r="D460" s="27" t="s">
        <v>932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944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1166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954</v>
      </c>
      <c r="B463" s="27" t="s">
        <v>1167</v>
      </c>
      <c r="C463" s="27" t="s">
        <v>931</v>
      </c>
      <c r="D463" s="27" t="s">
        <v>932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936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944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954</v>
      </c>
      <c r="B466" s="27" t="s">
        <v>960</v>
      </c>
      <c r="C466" s="27" t="s">
        <v>931</v>
      </c>
      <c r="D466" s="27" t="s">
        <v>932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933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947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1064</v>
      </c>
      <c r="B469" s="27" t="s">
        <v>1078</v>
      </c>
      <c r="C469" s="27" t="s">
        <v>931</v>
      </c>
      <c r="D469" s="27" t="s">
        <v>932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974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1007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1168</v>
      </c>
      <c r="B472" s="27" t="s">
        <v>1078</v>
      </c>
      <c r="C472" s="27" t="s">
        <v>1087</v>
      </c>
      <c r="D472" s="27" t="s">
        <v>932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1000</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1007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1169</v>
      </c>
      <c r="B475" s="27" t="s">
        <v>978</v>
      </c>
      <c r="C475" s="27" t="s">
        <v>943</v>
      </c>
      <c r="D475" s="27" t="s">
        <v>932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1042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row>
    <row r="478" spans="1:12">
      <c r="A478" s="20" t="s">
        <v>1170</v>
      </c>
    </row>
    <row r="479" spans="1:12">
      <c r="A479" s="20" t="s">
        <v>965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272</v>
      </c>
      <c r="B480" s="27" t="s">
        <v>930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1000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1007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1117</v>
      </c>
      <c r="B483" s="27" t="s">
        <v>939</v>
      </c>
      <c r="C483" s="27" t="s">
        <v>1054</v>
      </c>
      <c r="D483" s="27" t="s">
        <v>932</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958</v>
      </c>
      <c r="B484" s="27" t="s">
        <v>955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1171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1172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1173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937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1174</v>
      </c>
      <c r="B489" s="27" t="s">
        <v>1078</v>
      </c>
      <c r="C489" s="27" t="s">
        <v>946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1000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1040</v>
      </c>
      <c r="B491" s="27" t="s">
        <v>978</v>
      </c>
      <c r="C491" s="27" t="s">
        <v>946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1056</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958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1175</v>
      </c>
      <c r="B494" s="27" t="s">
        <v>968</v>
      </c>
      <c r="C494" s="27" t="s">
        <v>931</v>
      </c>
      <c r="D494" s="27" t="s">
        <v>932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28</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954</v>
      </c>
      <c r="B496" s="27" t="s">
        <v>1009</v>
      </c>
      <c r="C496" s="27" t="s">
        <v>931</v>
      </c>
      <c r="D496" s="27" t="s">
        <v>932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1176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1177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1042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1178</v>
      </c>
    </row>
    <row r="502" spans="1:12">
      <c r="A502" s="20" t="s">
        <v>1179</v>
      </c>
      <c r="B502" s="27" t="s">
        <v>930</v>
      </c>
      <c r="C502" s="27" t="s">
        <v>931</v>
      </c>
      <c r="D502" s="27" t="s">
        <v>932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954</v>
      </c>
      <c r="B504" s="27" t="s">
        <v>968</v>
      </c>
      <c r="C504" s="27" t="s">
        <v>931</v>
      </c>
      <c r="D504" s="27" t="s">
        <v>932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1176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1177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1180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1175</v>
      </c>
      <c r="B508" s="27" t="s">
        <v>1009</v>
      </c>
      <c r="C508" s="27" t="s">
        <v>931</v>
      </c>
      <c r="D508" s="27" t="s">
        <v>932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1181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1182</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954</v>
      </c>
      <c r="B511" s="27" t="s">
        <v>1183</v>
      </c>
      <c r="C511" s="27" t="s">
        <v>931</v>
      </c>
      <c r="D511" s="27" t="s">
        <v>932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1042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row>
    <row r="514" spans="1:12">
      <c r="A514" s="20" t="s">
        <v>1184</v>
      </c>
    </row>
    <row r="515" spans="1:12">
      <c r="A515" s="20" t="s">
        <v>1179</v>
      </c>
      <c r="B515" s="27" t="s">
        <v>930</v>
      </c>
      <c r="C515" s="27" t="s">
        <v>931</v>
      </c>
      <c r="D515" s="27" t="s">
        <v>932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1185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709</v>
      </c>
      <c r="B519" s="27" t="s">
        <v>968</v>
      </c>
      <c r="C519" s="27" t="s">
        <v>946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1186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947</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1187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947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1188</v>
      </c>
      <c r="B524" s="27" t="s">
        <v>1025</v>
      </c>
      <c r="C524" s="27" t="s">
        <v>940</v>
      </c>
      <c r="D524" s="27" t="s">
        <v>932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1189</v>
      </c>
      <c r="B525" s="27" t="s">
        <v>949</v>
      </c>
      <c r="C525" s="27" t="s">
        <v>1087</v>
      </c>
      <c r="D525" s="27" t="s">
        <v>932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944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1190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1158</v>
      </c>
      <c r="B528" s="27" t="s">
        <v>1031</v>
      </c>
      <c r="C528" s="27" t="s">
        <v>946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944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1191</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1192</v>
      </c>
      <c r="B531" s="27" t="s">
        <v>1031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947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415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934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1193</v>
      </c>
      <c r="B535" s="27" t="s">
        <v>982</v>
      </c>
      <c r="C535" s="27" t="s">
        <v>973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944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268</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1160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1007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1194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1195</v>
      </c>
      <c r="B541" s="27" t="s">
        <v>1167</v>
      </c>
      <c r="C541" s="27" t="s">
        <v>1054</v>
      </c>
      <c r="D541" s="27" t="s">
        <v>932</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944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958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954</v>
      </c>
      <c r="B544" s="27" t="s">
        <v>1196</v>
      </c>
      <c r="C544" s="27" t="s">
        <v>931</v>
      </c>
      <c r="D544" s="27" t="s">
        <v>932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1176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1125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934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1197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1198</v>
      </c>
      <c r="B549" s="27" t="s">
        <v>978</v>
      </c>
      <c r="C549" s="27" t="s">
        <v>973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936</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944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1199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1175</v>
      </c>
      <c r="B553" s="27" t="s">
        <v>1200</v>
      </c>
      <c r="C553" s="27" t="s">
        <v>931</v>
      </c>
      <c r="D553" s="27" t="s">
        <v>932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1201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1202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937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1203</v>
      </c>
      <c r="B557" s="27" t="s">
        <v>978</v>
      </c>
      <c r="C557" s="27" t="s">
        <v>940</v>
      </c>
      <c r="D557" s="27" t="s">
        <v>932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1204</v>
      </c>
      <c r="B558" s="27" t="s">
        <v>1078</v>
      </c>
      <c r="C558" s="27" t="s">
        <v>1087</v>
      </c>
      <c r="D558" s="27" t="s">
        <v>932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944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1175</v>
      </c>
      <c r="B560" s="27" t="s">
        <v>968</v>
      </c>
      <c r="C560" s="27" t="s">
        <v>931</v>
      </c>
      <c r="D560" s="27" t="s">
        <v>932</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1201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1205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947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177</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1160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1116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1206</v>
      </c>
      <c r="B567" s="27" t="s">
        <v>1183</v>
      </c>
      <c r="C567" s="27" t="s">
        <v>973</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1207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954</v>
      </c>
      <c r="B569" s="27" t="s">
        <v>1025</v>
      </c>
      <c r="C569" s="27" t="s">
        <v>931</v>
      </c>
      <c r="D569" s="27" t="s">
        <v>932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1042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row>
    <row r="572" spans="1:12">
      <c r="A572" s="20" t="s">
        <v>1208</v>
      </c>
    </row>
    <row r="573" spans="1:12">
      <c r="A573" s="20" t="s">
        <v>965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1209</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929</v>
      </c>
      <c r="B575" s="27" t="s">
        <v>930</v>
      </c>
      <c r="C575" s="27" t="s">
        <v>931</v>
      </c>
      <c r="D575" s="27" t="s">
        <v>932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1004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947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13</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1067</v>
      </c>
      <c r="B579" s="27" t="s">
        <v>1009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1210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1211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944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1212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1211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944</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1213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1211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1042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1214</v>
      </c>
    </row>
    <row r="591" spans="1:12">
      <c r="A591" s="20" t="s">
        <v>1215</v>
      </c>
      <c r="B591" s="27" t="s">
        <v>930</v>
      </c>
      <c r="C591" s="27" t="s">
        <v>931</v>
      </c>
      <c r="D591" s="27" t="s">
        <v>932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961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934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1216</v>
      </c>
      <c r="B594" s="27" t="s">
        <v>942</v>
      </c>
      <c r="C594" s="27" t="s">
        <v>973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1000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1217</v>
      </c>
      <c r="B596" s="27" t="s">
        <v>942</v>
      </c>
      <c r="C596" s="27" t="s">
        <v>946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1042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row>
    <row r="599" spans="1:12">
      <c r="A599" s="20" t="s">
        <v>1218</v>
      </c>
    </row>
    <row r="600" spans="1:12">
      <c r="A600" s="20" t="s">
        <v>965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985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1007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100</v>
      </c>
      <c r="B603" s="27" t="s">
        <v>942</v>
      </c>
      <c r="C603" s="27" t="s">
        <v>1054</v>
      </c>
      <c r="D603" s="27" t="s">
        <v>932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1219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937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1042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row>
    <row r="608" spans="1:12">
      <c r="A608" s="20" t="s">
        <v>983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1220</v>
      </c>
    </row>
    <row r="610" spans="1:12">
      <c r="A610" s="20" t="s">
        <v>1221</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1175</v>
      </c>
      <c r="B611" s="27" t="s">
        <v>968</v>
      </c>
      <c r="C611" s="27" t="s">
        <v>931</v>
      </c>
      <c r="D611" s="27" t="s">
        <v>932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1222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1064</v>
      </c>
      <c r="B613" s="27" t="s">
        <v>991</v>
      </c>
      <c r="C613" s="27" t="s">
        <v>931</v>
      </c>
      <c r="D613" s="27" t="s">
        <v>932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958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929</v>
      </c>
      <c r="B615" s="27" t="s">
        <v>1009</v>
      </c>
      <c r="C615" s="27" t="s">
        <v>931</v>
      </c>
      <c r="D615" s="27" t="s">
        <v>932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1073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947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1223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1063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1007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1224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1225</v>
      </c>
      <c r="B624" s="27" t="s">
        <v>1025</v>
      </c>
      <c r="C624" s="27" t="s">
        <v>1054</v>
      </c>
      <c r="D624" s="27" t="s">
        <v>932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936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929</v>
      </c>
      <c r="B626" s="27" t="s">
        <v>930</v>
      </c>
      <c r="C626" s="27" t="s">
        <v>931</v>
      </c>
      <c r="D626" s="27" t="s">
        <v>932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1138</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290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936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928</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1006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1226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929</v>
      </c>
      <c r="B633" s="27" t="s">
        <v>1009</v>
      </c>
      <c r="C633" s="27" t="s">
        <v>931</v>
      </c>
      <c r="D633" s="27" t="s">
        <v>932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28</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954</v>
      </c>
      <c r="B635" s="27" t="s">
        <v>955</v>
      </c>
      <c r="C635" s="27" t="s">
        <v>931</v>
      </c>
      <c r="D635" s="27" t="s">
        <v>932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1227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1228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937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1229</v>
      </c>
      <c r="B640" s="27" t="s">
        <v>949</v>
      </c>
      <c r="C640" s="27" t="s">
        <v>943</v>
      </c>
      <c r="D640" s="27" t="s">
        <v>932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936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929</v>
      </c>
      <c r="B642" s="27" t="s">
        <v>968</v>
      </c>
      <c r="C642" s="27" t="s">
        <v>931</v>
      </c>
      <c r="D642" s="27" t="s">
        <v>932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1230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286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954</v>
      </c>
      <c r="B645" s="27" t="s">
        <v>991</v>
      </c>
      <c r="C645" s="27" t="s">
        <v>931</v>
      </c>
      <c r="D645" s="27" t="s">
        <v>932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1042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928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row>
    <row r="649" spans="1:12">
      <c r="A649" s="20" t="s">
        <v>983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1231</v>
      </c>
    </row>
    <row r="651" spans="1:12">
      <c r="A651" s="20" t="s">
        <v>1103</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1072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1175</v>
      </c>
      <c r="B653" s="27" t="s">
        <v>968</v>
      </c>
      <c r="C653" s="27" t="s">
        <v>931</v>
      </c>
      <c r="D653" s="27" t="s">
        <v>932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1232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947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1064</v>
      </c>
      <c r="B656" s="27" t="s">
        <v>939</v>
      </c>
      <c r="C656" s="27" t="s">
        <v>931</v>
      </c>
      <c r="D656" s="27" t="s">
        <v>932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936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928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1179</v>
      </c>
      <c r="B659" s="27" t="s">
        <v>930</v>
      </c>
      <c r="C659" s="27" t="s">
        <v>931</v>
      </c>
      <c r="D659" s="27" t="s">
        <v>932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947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45</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1233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100</v>
      </c>
      <c r="B664" s="27" t="s">
        <v>991</v>
      </c>
      <c r="C664" s="27" t="s">
        <v>946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1063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1007</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1224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1225</v>
      </c>
      <c r="B668" s="27" t="s">
        <v>939</v>
      </c>
      <c r="C668" s="27" t="s">
        <v>1054</v>
      </c>
      <c r="D668" s="27" t="s">
        <v>932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936</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928</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929</v>
      </c>
      <c r="B671" s="27" t="s">
        <v>968</v>
      </c>
      <c r="C671" s="27" t="s">
        <v>931</v>
      </c>
      <c r="D671" s="27" t="s">
        <v>932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1138</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1234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1235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938</v>
      </c>
      <c r="B675" s="27" t="s">
        <v>949</v>
      </c>
      <c r="C675" s="27" t="s">
        <v>940</v>
      </c>
      <c r="D675" s="27" t="s">
        <v>932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1236</v>
      </c>
      <c r="B676" s="27" t="s">
        <v>991</v>
      </c>
      <c r="C676" s="27" t="s">
        <v>1087</v>
      </c>
      <c r="D676" s="27" t="s">
        <v>932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1237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268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963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954</v>
      </c>
      <c r="B680" s="27" t="s">
        <v>949</v>
      </c>
      <c r="C680" s="27" t="s">
        <v>931</v>
      </c>
      <c r="D680" s="27" t="s">
        <v>932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1042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1238</v>
      </c>
    </row>
    <row r="684" spans="1:12">
      <c r="A684" s="20" t="s">
        <v>1215</v>
      </c>
      <c r="B684" s="27" t="s">
        <v>930</v>
      </c>
      <c r="C684" s="27" t="s">
        <v>931</v>
      </c>
      <c r="D684" s="27" t="s">
        <v>932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961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1007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1213</v>
      </c>
      <c r="B687" s="27" t="s">
        <v>942</v>
      </c>
      <c r="C687" s="27" t="s">
        <v>1054</v>
      </c>
      <c r="D687" s="27" t="s">
        <v>932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969</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1007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1239</v>
      </c>
      <c r="B690" s="27" t="s">
        <v>942</v>
      </c>
      <c r="C690" s="27" t="s">
        <v>1054</v>
      </c>
      <c r="D690" s="27" t="s">
        <v>932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974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958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1213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1175</v>
      </c>
      <c r="B694" s="27" t="s">
        <v>955</v>
      </c>
      <c r="C694" s="27" t="s">
        <v>931</v>
      </c>
      <c r="D694" s="27" t="s">
        <v>932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45</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1072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1175</v>
      </c>
      <c r="B697" s="27" t="s">
        <v>960</v>
      </c>
      <c r="C697" s="27" t="s">
        <v>931</v>
      </c>
      <c r="D697" s="27" t="s">
        <v>932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1181</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1240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944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1175</v>
      </c>
      <c r="B701" s="27" t="s">
        <v>1200</v>
      </c>
      <c r="C701" s="27" t="s">
        <v>931</v>
      </c>
      <c r="D701" s="27" t="s">
        <v>932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1241</v>
      </c>
      <c r="B702" s="27" t="s">
        <v>1078</v>
      </c>
      <c r="C702" s="27" t="s">
        <v>946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1242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1243</v>
      </c>
      <c r="B704" s="27" t="s">
        <v>978</v>
      </c>
      <c r="C704" s="27" t="s">
        <v>946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944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1007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1244</v>
      </c>
      <c r="B707" s="27" t="s">
        <v>1196</v>
      </c>
      <c r="C707" s="27" t="s">
        <v>1054</v>
      </c>
      <c r="D707" s="27" t="s">
        <v>932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1056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1245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1164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1032</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1175</v>
      </c>
      <c r="B712" s="27" t="s">
        <v>1246</v>
      </c>
      <c r="C712" s="27" t="s">
        <v>931</v>
      </c>
      <c r="D712" s="27" t="s">
        <v>932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936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1012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1147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1000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1247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1248</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934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1249</v>
      </c>
      <c r="B720" s="27" t="s">
        <v>1250</v>
      </c>
      <c r="C720" s="27" t="s">
        <v>973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936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1007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1206</v>
      </c>
      <c r="B723" s="27" t="s">
        <v>978</v>
      </c>
      <c r="C723" s="27" t="s">
        <v>1054</v>
      </c>
      <c r="D723" s="27" t="s">
        <v>932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958</v>
      </c>
      <c r="B724" s="27" t="s">
        <v>1251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1252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936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954</v>
      </c>
      <c r="B727" s="27" t="s">
        <v>1251</v>
      </c>
      <c r="C727" s="27" t="s">
        <v>931</v>
      </c>
      <c r="D727" s="27" t="s">
        <v>932</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1253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1063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1254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1255</v>
      </c>
      <c r="B731" s="27" t="s">
        <v>1256</v>
      </c>
      <c r="C731" s="27" t="s">
        <v>1097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1042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1257</v>
      </c>
    </row>
    <row r="735" spans="1:12">
      <c r="A735" s="20" t="s">
        <v>1215</v>
      </c>
      <c r="B735" s="27" t="s">
        <v>930</v>
      </c>
      <c r="C735" s="27" t="s">
        <v>931</v>
      </c>
      <c r="D735" s="27" t="s">
        <v>932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1176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934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1258</v>
      </c>
      <c r="B738" s="27" t="s">
        <v>942</v>
      </c>
      <c r="C738" s="27" t="s">
        <v>973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1000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1148</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1259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969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1007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1239</v>
      </c>
      <c r="B744" s="27" t="s">
        <v>939</v>
      </c>
      <c r="C744" s="27" t="s">
        <v>1054</v>
      </c>
      <c r="D744" s="27" t="s">
        <v>932</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1012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1125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1260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1037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1261</v>
      </c>
      <c r="B749" s="27" t="s">
        <v>1183</v>
      </c>
      <c r="C749" s="27" t="s">
        <v>1121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954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1056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958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1175</v>
      </c>
      <c r="B753" s="27" t="s">
        <v>1200</v>
      </c>
      <c r="C753" s="27" t="s">
        <v>931</v>
      </c>
      <c r="D753" s="27" t="s">
        <v>932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1181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1259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1000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1042</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1262</v>
      </c>
    </row>
    <row r="760" spans="1:12">
      <c r="A760" s="20" t="s">
        <v>965</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954</v>
      </c>
      <c r="B761" s="27" t="s">
        <v>930</v>
      </c>
      <c r="C761" s="27" t="s">
        <v>931</v>
      </c>
      <c r="D761" s="27" t="s">
        <v>932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961</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1032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958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1263</v>
      </c>
      <c r="B765" s="27" t="s">
        <v>942</v>
      </c>
      <c r="C765" s="27" t="s">
        <v>999</v>
      </c>
      <c r="D765" s="27" t="s">
        <v>932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958</v>
      </c>
      <c r="B766" s="27" t="s">
        <v>991</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929</v>
      </c>
      <c r="B767" s="27" t="s">
        <v>968</v>
      </c>
      <c r="C767" s="27" t="s">
        <v>931</v>
      </c>
      <c r="D767" s="27" t="s">
        <v>932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1004</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947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42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958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954</v>
      </c>
      <c r="B772" s="27" t="s">
        <v>955</v>
      </c>
      <c r="C772" s="27" t="s">
        <v>931</v>
      </c>
      <c r="D772" s="27" t="s">
        <v>932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961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1264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1135</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1265</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947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36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1266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936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944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958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1007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1267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1268</v>
      </c>
      <c r="B785" s="27" t="s">
        <v>968</v>
      </c>
      <c r="C785" s="27" t="s">
        <v>1054</v>
      </c>
      <c r="D785" s="27" t="s">
        <v>932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1125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947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1269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1270</v>
      </c>
      <c r="B789" s="27" t="s">
        <v>991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961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1209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1271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1125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947</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1272</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942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709</v>
      </c>
      <c r="B797" s="27" t="s">
        <v>1031</v>
      </c>
      <c r="C797" s="27" t="s">
        <v>946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1042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983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1273</v>
      </c>
    </row>
    <row r="802" spans="1:12">
      <c r="A802" s="20" t="s">
        <v>965</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1274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272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1275</v>
      </c>
      <c r="B805" s="27" t="s">
        <v>942</v>
      </c>
      <c r="C805" s="27" t="s">
        <v>1097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936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929</v>
      </c>
      <c r="B807" s="27" t="s">
        <v>930</v>
      </c>
      <c r="C807" s="27" t="s">
        <v>931</v>
      </c>
      <c r="D807" s="27" t="s">
        <v>932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1276</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1164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944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929</v>
      </c>
      <c r="B811" s="27" t="s">
        <v>968</v>
      </c>
      <c r="C811" s="27" t="s">
        <v>931</v>
      </c>
      <c r="D811" s="27" t="s">
        <v>932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977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1277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929</v>
      </c>
      <c r="B814" s="27" t="s">
        <v>1009</v>
      </c>
      <c r="C814" s="27" t="s">
        <v>931</v>
      </c>
      <c r="D814" s="27" t="s">
        <v>932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1073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1065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934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1278</v>
      </c>
      <c r="B818" s="27" t="s">
        <v>1183</v>
      </c>
      <c r="C818" s="27" t="s">
        <v>973</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936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1279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929</v>
      </c>
      <c r="B821" s="27" t="s">
        <v>968</v>
      </c>
      <c r="C821" s="27" t="s">
        <v>931</v>
      </c>
      <c r="D821" s="27" t="s">
        <v>932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1280</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937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1281</v>
      </c>
      <c r="B824" s="27" t="s">
        <v>991</v>
      </c>
      <c r="C824" s="27" t="s">
        <v>946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1282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1283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936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1284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1032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1007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1285</v>
      </c>
      <c r="B831" s="27" t="s">
        <v>949</v>
      </c>
      <c r="C831" s="27" t="s">
        <v>1054</v>
      </c>
      <c r="D831" s="27" t="s">
        <v>932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936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1212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936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928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1286</v>
      </c>
      <c r="B836" s="27" t="s">
        <v>968</v>
      </c>
      <c r="C836" s="27" t="s">
        <v>1111</v>
      </c>
      <c r="D836" s="27" t="s">
        <v>932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1056</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1287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944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929</v>
      </c>
      <c r="B840" s="27" t="s">
        <v>1009</v>
      </c>
      <c r="C840" s="27" t="s">
        <v>931</v>
      </c>
      <c r="D840" s="27" t="s">
        <v>932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1157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1153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1063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1288</v>
      </c>
      <c r="B844" s="27" t="s">
        <v>949</v>
      </c>
      <c r="C844" s="27" t="s">
        <v>946</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936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928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944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929</v>
      </c>
      <c r="B848" s="27" t="s">
        <v>1009</v>
      </c>
      <c r="C848" s="27" t="s">
        <v>931</v>
      </c>
      <c r="D848" s="27" t="s">
        <v>932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1070</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1114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1289</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1160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938</v>
      </c>
      <c r="B853" s="27" t="s">
        <v>1025</v>
      </c>
      <c r="C853" s="27" t="s">
        <v>940</v>
      </c>
      <c r="D853" s="27" t="s">
        <v>932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1290</v>
      </c>
      <c r="B854" s="27" t="s">
        <v>1183</v>
      </c>
      <c r="C854" s="27" t="s">
        <v>1087</v>
      </c>
      <c r="D854" s="27" t="s">
        <v>932</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944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1291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1164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1292</v>
      </c>
      <c r="B859" s="27" t="s">
        <v>1031</v>
      </c>
      <c r="C859" s="27" t="s">
        <v>1054</v>
      </c>
      <c r="D859" s="27" t="s">
        <v>932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944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1293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1042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row>
    <row r="864" spans="1:12">
      <c r="A864" s="20" t="s">
        <v>983</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1294</v>
      </c>
    </row>
    <row r="866" spans="1:12">
      <c r="A866" s="20" t="s">
        <v>965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1274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936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1295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1296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1297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1298</v>
      </c>
      <c r="B872" s="27" t="s">
        <v>942</v>
      </c>
      <c r="C872" s="27" t="s">
        <v>1097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1000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938</v>
      </c>
      <c r="B874" s="27" t="s">
        <v>939</v>
      </c>
      <c r="C874" s="27" t="s">
        <v>940</v>
      </c>
      <c r="D874" s="27" t="s">
        <v>932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1299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944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1300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1032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954</v>
      </c>
      <c r="B879" s="27" t="s">
        <v>939</v>
      </c>
      <c r="C879" s="27" t="s">
        <v>931</v>
      </c>
      <c r="D879" s="27" t="s">
        <v>932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936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1007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1292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1301</v>
      </c>
      <c r="B883" s="27" t="s">
        <v>991</v>
      </c>
      <c r="C883" s="27" t="s">
        <v>1054</v>
      </c>
      <c r="D883" s="27" t="s">
        <v>932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936</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944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1302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929</v>
      </c>
      <c r="B887" s="27" t="s">
        <v>1009</v>
      </c>
      <c r="C887" s="27" t="s">
        <v>931</v>
      </c>
      <c r="D887" s="27" t="s">
        <v>932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1303</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947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1291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954</v>
      </c>
      <c r="B891" s="27" t="s">
        <v>1031</v>
      </c>
      <c r="C891" s="27" t="s">
        <v>931</v>
      </c>
      <c r="D891" s="27" t="s">
        <v>932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1164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936</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944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954</v>
      </c>
      <c r="B895" s="27" t="s">
        <v>960</v>
      </c>
      <c r="C895" s="27" t="s">
        <v>931</v>
      </c>
      <c r="D895" s="27" t="s">
        <v>932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961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938</v>
      </c>
      <c r="B897" s="27" t="s">
        <v>1078</v>
      </c>
      <c r="C897" s="27" t="s">
        <v>940</v>
      </c>
      <c r="D897" s="27" t="s">
        <v>932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1304</v>
      </c>
      <c r="B898" s="27" t="s">
        <v>1025</v>
      </c>
      <c r="C898" s="27" t="s">
        <v>1087</v>
      </c>
      <c r="D898" s="27" t="s">
        <v>932</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936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944</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929</v>
      </c>
      <c r="B901" s="27" t="s">
        <v>960</v>
      </c>
      <c r="C901" s="27" t="s">
        <v>931</v>
      </c>
      <c r="D901" s="27" t="s">
        <v>932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1232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936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928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929</v>
      </c>
      <c r="B905" s="27" t="s">
        <v>1200</v>
      </c>
      <c r="C905" s="27" t="s">
        <v>931</v>
      </c>
      <c r="D905" s="27" t="s">
        <v>932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1305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937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1306</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1307</v>
      </c>
      <c r="B909" s="27" t="s">
        <v>1078</v>
      </c>
      <c r="C909" s="27" t="s">
        <v>946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1042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row>
    <row r="912" spans="1:12">
      <c r="A912" s="20" t="s">
        <v>983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1308</v>
      </c>
    </row>
    <row r="914" spans="1:12">
      <c r="A914" s="20" t="s">
        <v>1039</v>
      </c>
      <c r="B914" s="27" t="s">
        <v>930</v>
      </c>
      <c r="C914" s="27" t="s">
        <v>931</v>
      </c>
      <c r="D914" s="27" t="s">
        <v>932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134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947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286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1309</v>
      </c>
      <c r="B918" s="27" t="s">
        <v>991</v>
      </c>
      <c r="C918" s="27" t="s">
        <v>1111</v>
      </c>
      <c r="D918" s="27" t="s">
        <v>932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1042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928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1310</v>
      </c>
    </row>
    <row r="923" spans="1:12">
      <c r="A923" s="20" t="s">
        <v>1123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1224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1275</v>
      </c>
      <c r="B925" s="27" t="s">
        <v>942</v>
      </c>
      <c r="C925" s="27" t="s">
        <v>1054</v>
      </c>
      <c r="D925" s="27" t="s">
        <v>932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929</v>
      </c>
      <c r="B926" s="27" t="s">
        <v>930</v>
      </c>
      <c r="C926" s="27" t="s">
        <v>931</v>
      </c>
      <c r="D926" s="27" t="s">
        <v>932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1311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995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1007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1312</v>
      </c>
      <c r="B930" s="27" t="s">
        <v>942</v>
      </c>
      <c r="C930" s="27" t="s">
        <v>1054</v>
      </c>
      <c r="D930" s="27" t="s">
        <v>932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944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1007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1313</v>
      </c>
      <c r="B933" s="27" t="s">
        <v>939</v>
      </c>
      <c r="C933" s="27" t="s">
        <v>1054</v>
      </c>
      <c r="D933" s="27" t="s">
        <v>932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1042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row>
    <row r="936" spans="1:12">
      <c r="A936" s="20" t="s">
        <v>1314</v>
      </c>
    </row>
    <row r="937" spans="1:12">
      <c r="A937" s="20" t="s">
        <v>965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929</v>
      </c>
      <c r="B938" s="27" t="s">
        <v>930</v>
      </c>
      <c r="C938" s="27" t="s">
        <v>931</v>
      </c>
      <c r="D938" s="27" t="s">
        <v>932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1315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1311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1316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995</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1317</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1318</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1319</v>
      </c>
      <c r="B945" s="27" t="s">
        <v>939</v>
      </c>
      <c r="C945" s="27" t="s">
        <v>999</v>
      </c>
      <c r="D945" s="27" t="s">
        <v>932</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1320</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1321</v>
      </c>
    </row>
    <row r="949" spans="1:12">
      <c r="A949" s="20" t="s">
        <v>1221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929</v>
      </c>
      <c r="B950" s="27" t="s">
        <v>968</v>
      </c>
      <c r="C950" s="27" t="s">
        <v>931</v>
      </c>
      <c r="D950" s="27" t="s">
        <v>932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1305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1125</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1007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1068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1322</v>
      </c>
      <c r="B955" s="27" t="s">
        <v>942</v>
      </c>
      <c r="C955" s="27" t="s">
        <v>1054</v>
      </c>
      <c r="D955" s="27" t="s">
        <v>932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1069</v>
      </c>
      <c r="B956" s="27" t="s">
        <v>1009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1070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45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1323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954</v>
      </c>
      <c r="B960" s="27" t="s">
        <v>1183</v>
      </c>
      <c r="C960" s="27" t="s">
        <v>931</v>
      </c>
      <c r="D960" s="27" t="s">
        <v>932</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963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934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1076</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1077</v>
      </c>
      <c r="B964" s="27" t="s">
        <v>949</v>
      </c>
      <c r="C964" s="27" t="s">
        <v>973</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936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985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1069</v>
      </c>
      <c r="B967" s="27" t="s">
        <v>942</v>
      </c>
      <c r="C967" s="27" t="s">
        <v>1121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1324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929</v>
      </c>
      <c r="B969" s="27" t="s">
        <v>930</v>
      </c>
      <c r="C969" s="27" t="s">
        <v>931</v>
      </c>
      <c r="D969" s="27" t="s">
        <v>932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1325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row>
    <row r="972" spans="1:12">
      <c r="A972" s="20" t="s">
        <v>1326</v>
      </c>
    </row>
    <row r="973" spans="1:12">
      <c r="A973" s="20" t="s">
        <v>965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1072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929</v>
      </c>
      <c r="B975" s="27" t="s">
        <v>968</v>
      </c>
      <c r="C975" s="27" t="s">
        <v>931</v>
      </c>
      <c r="D975" s="27" t="s">
        <v>932</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947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415</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1327</v>
      </c>
      <c r="B979" s="27" t="s">
        <v>1183</v>
      </c>
      <c r="C979" s="27" t="s">
        <v>946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936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1056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958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1327</v>
      </c>
      <c r="B983" s="27" t="s">
        <v>968</v>
      </c>
      <c r="C983" s="27" t="s">
        <v>946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1328</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1064</v>
      </c>
      <c r="B985" s="27" t="s">
        <v>991</v>
      </c>
      <c r="C985" s="27" t="s">
        <v>931</v>
      </c>
      <c r="D985" s="27" t="s">
        <v>932</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1329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1330</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1067</v>
      </c>
      <c r="B988" s="27" t="s">
        <v>991</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936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1242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1056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954</v>
      </c>
      <c r="B992" s="27" t="s">
        <v>1009</v>
      </c>
      <c r="C992" s="27" t="s">
        <v>931</v>
      </c>
      <c r="D992" s="27" t="s">
        <v>932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1328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1064</v>
      </c>
      <c r="B994" s="27" t="s">
        <v>1183</v>
      </c>
      <c r="C994" s="27" t="s">
        <v>931</v>
      </c>
      <c r="D994" s="27" t="s">
        <v>932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1331</v>
      </c>
      <c r="B995" s="27" t="s">
        <v>1183</v>
      </c>
      <c r="C995" s="27" t="s">
        <v>1332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1333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1325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1334</v>
      </c>
    </row>
    <row r="1000" spans="1:12">
      <c r="A1000" s="20" t="s">
        <v>965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1335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286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929</v>
      </c>
      <c r="B1003" s="27" t="s">
        <v>930</v>
      </c>
      <c r="C1003" s="27" t="s">
        <v>931</v>
      </c>
      <c r="D1003" s="27" t="s">
        <v>932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13</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1336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954</v>
      </c>
      <c r="B1006" s="27" t="s">
        <v>942</v>
      </c>
      <c r="C1006" s="27" t="s">
        <v>931</v>
      </c>
      <c r="D1006" s="27" t="s">
        <v>932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1072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954</v>
      </c>
      <c r="B1008" s="27" t="s">
        <v>968</v>
      </c>
      <c r="C1008" s="27" t="s">
        <v>931</v>
      </c>
      <c r="D1008" s="27" t="s">
        <v>932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1176</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1328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1064</v>
      </c>
      <c r="B1011" s="27" t="s">
        <v>991</v>
      </c>
      <c r="C1011" s="27" t="s">
        <v>931</v>
      </c>
      <c r="D1011" s="27" t="s">
        <v>932</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1331</v>
      </c>
      <c r="B1012" s="27" t="s">
        <v>991</v>
      </c>
      <c r="C1012" s="27" t="s">
        <v>1332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1333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1325</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1337</v>
      </c>
    </row>
    <row r="1017" spans="1:12">
      <c r="A1017" s="20" t="s">
        <v>929</v>
      </c>
      <c r="B1017" s="27" t="s">
        <v>930</v>
      </c>
      <c r="C1017" s="27" t="s">
        <v>931</v>
      </c>
      <c r="D1017" s="27" t="s">
        <v>932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1065</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1338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1339</v>
      </c>
      <c r="B1020" s="27" t="s">
        <v>988</v>
      </c>
      <c r="C1020" s="27" t="s">
        <v>1097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1271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929</v>
      </c>
      <c r="B1022" s="27" t="s">
        <v>968</v>
      </c>
      <c r="C1022" s="27" t="s">
        <v>931</v>
      </c>
      <c r="D1022" s="27" t="s">
        <v>932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1340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1341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1342</v>
      </c>
      <c r="B1026" s="27" t="s">
        <v>939</v>
      </c>
      <c r="C1026" s="27" t="s">
        <v>1054</v>
      </c>
      <c r="D1026" s="27" t="s">
        <v>932</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1042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row>
    <row r="1029" spans="1:12">
      <c r="A1029" s="20" t="s">
        <v>1343</v>
      </c>
    </row>
    <row r="1030" spans="1:12">
      <c r="A1030" s="20" t="s">
        <v>1123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1344</v>
      </c>
      <c r="B1031" s="27" t="s">
        <v>930</v>
      </c>
      <c r="C1031" s="27" t="s">
        <v>1054</v>
      </c>
      <c r="D1031" s="27" t="s">
        <v>932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1056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958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929</v>
      </c>
      <c r="B1034" s="27" t="s">
        <v>968</v>
      </c>
      <c r="C1034" s="27" t="s">
        <v>931</v>
      </c>
      <c r="D1034" s="27" t="s">
        <v>932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1345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958</v>
      </c>
      <c r="B1036" s="27" t="s">
        <v>1009</v>
      </c>
      <c r="C1036" s="27" t="s">
        <v>1061</v>
      </c>
      <c r="D1036" s="27" t="s">
        <v>932</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936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1346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1347</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936</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929</v>
      </c>
      <c r="B1041" s="27" t="s">
        <v>1009</v>
      </c>
      <c r="C1041" s="27" t="s">
        <v>931</v>
      </c>
      <c r="D1041" s="27" t="s">
        <v>932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1065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934</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1348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1349</v>
      </c>
      <c r="B1045" s="27" t="s">
        <v>1183</v>
      </c>
      <c r="C1045" s="27" t="s">
        <v>973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936</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944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958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1072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929</v>
      </c>
      <c r="B1050" s="27" t="s">
        <v>955</v>
      </c>
      <c r="C1050" s="27" t="s">
        <v>931</v>
      </c>
      <c r="D1050" s="27" t="s">
        <v>932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1070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1267</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462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1350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936</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1134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961</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1309</v>
      </c>
      <c r="B1058" s="27" t="s">
        <v>1009</v>
      </c>
      <c r="C1058" s="27" t="s">
        <v>1111</v>
      </c>
      <c r="D1058" s="27" t="s">
        <v>932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1007</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942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1351</v>
      </c>
      <c r="B1062" s="27" t="s">
        <v>1025</v>
      </c>
      <c r="C1062" s="27" t="s">
        <v>1352</v>
      </c>
      <c r="D1062" s="27" t="s">
        <v>932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958</v>
      </c>
      <c r="B1063" s="27" t="s">
        <v>960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961</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1353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1354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1063</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1042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row>
    <row r="1070" spans="1:12">
      <c r="A1070" s="20" t="s">
        <v>1355</v>
      </c>
    </row>
    <row r="1071" spans="1:12">
      <c r="A1071" s="20" t="s">
        <v>965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1007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942</v>
      </c>
      <c r="B1073" s="27" t="s">
        <v>930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961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958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929</v>
      </c>
      <c r="B1076" s="27" t="s">
        <v>968</v>
      </c>
      <c r="C1076" s="27" t="s">
        <v>931</v>
      </c>
      <c r="D1076" s="27" t="s">
        <v>932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1065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1356</v>
      </c>
      <c r="B1078" s="27" t="s">
        <v>991</v>
      </c>
      <c r="C1078" s="27" t="s">
        <v>946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947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1357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1358</v>
      </c>
      <c r="B1081" s="27" t="s">
        <v>949</v>
      </c>
      <c r="C1081" s="27" t="s">
        <v>946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1042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1359</v>
      </c>
    </row>
    <row r="1085" spans="1:12">
      <c r="A1085" s="20" t="s">
        <v>1103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929</v>
      </c>
      <c r="B1086" s="27" t="s">
        <v>930</v>
      </c>
      <c r="C1086" s="27" t="s">
        <v>931</v>
      </c>
      <c r="D1086" s="27" t="s">
        <v>932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1202</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1360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944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1361</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936</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944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1360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944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1361</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936</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944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1274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1362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929</v>
      </c>
      <c r="B1100" s="27" t="s">
        <v>1009</v>
      </c>
      <c r="C1100" s="27" t="s">
        <v>931</v>
      </c>
      <c r="D1100" s="27" t="s">
        <v>932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1138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947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1144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1327</v>
      </c>
      <c r="B1106" s="27" t="s">
        <v>949</v>
      </c>
      <c r="C1106" s="27" t="s">
        <v>946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944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937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1313</v>
      </c>
      <c r="B1109" s="27" t="s">
        <v>1025</v>
      </c>
      <c r="C1109" s="27" t="s">
        <v>946</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1363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1042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row>
    <row r="1113" spans="1:12">
      <c r="A1113" s="20" t="s">
        <v>983</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1364</v>
      </c>
    </row>
    <row r="1115" spans="1:12">
      <c r="A1115" s="20" t="s">
        <v>965</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929</v>
      </c>
      <c r="B1116" s="27" t="s">
        <v>930</v>
      </c>
      <c r="C1116" s="27" t="s">
        <v>931</v>
      </c>
      <c r="D1116" s="27" t="s">
        <v>932</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977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936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928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1103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1056</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954</v>
      </c>
      <c r="B1122" s="27" t="s">
        <v>968</v>
      </c>
      <c r="C1122" s="27" t="s">
        <v>931</v>
      </c>
      <c r="D1122" s="27" t="s">
        <v>932</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934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1365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1366</v>
      </c>
      <c r="B1125" s="27" t="s">
        <v>942</v>
      </c>
      <c r="C1125" s="27" t="s">
        <v>973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1242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934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1367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1366</v>
      </c>
      <c r="B1129" s="27" t="s">
        <v>939</v>
      </c>
      <c r="C1129" s="27" t="s">
        <v>973</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1325</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row>
    <row r="1132" spans="1:12">
      <c r="A1132" s="20" t="s">
        <v>983</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1368</v>
      </c>
    </row>
    <row r="1134" spans="1:12">
      <c r="A1134" s="20" t="s">
        <v>965</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1252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954</v>
      </c>
      <c r="B1136" s="27" t="s">
        <v>930</v>
      </c>
      <c r="C1136" s="27" t="s">
        <v>931</v>
      </c>
      <c r="D1136" s="27" t="s">
        <v>932</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134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934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1365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1369</v>
      </c>
      <c r="B1140" s="27" t="s">
        <v>988</v>
      </c>
      <c r="C1140" s="27" t="s">
        <v>973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1242</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934</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1370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1369</v>
      </c>
      <c r="B1144" s="27" t="s">
        <v>939</v>
      </c>
      <c r="C1144" s="27" t="s">
        <v>973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1325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928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row>
    <row r="1148" spans="1:12">
      <c r="A1148" s="20" t="s">
        <v>1371</v>
      </c>
    </row>
    <row r="1149" spans="1:12">
      <c r="A1149" s="20" t="s">
        <v>965</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929</v>
      </c>
      <c r="B1150" s="27" t="s">
        <v>930</v>
      </c>
      <c r="C1150" s="27" t="s">
        <v>931</v>
      </c>
      <c r="D1150" s="27" t="s">
        <v>932</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1070</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1114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177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1160</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1372</v>
      </c>
      <c r="B1155" s="27" t="s">
        <v>991</v>
      </c>
      <c r="C1155" s="27" t="s">
        <v>1121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954</v>
      </c>
      <c r="B1156" s="27" t="s">
        <v>968</v>
      </c>
      <c r="C1156" s="27" t="s">
        <v>931</v>
      </c>
      <c r="D1156" s="27" t="s">
        <v>932</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961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1042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row>
    <row r="1160" spans="1:12">
      <c r="A1160" s="20" t="s">
        <v>1373</v>
      </c>
    </row>
    <row r="1161" spans="1:12">
      <c r="A1161" s="20" t="s">
        <v>965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985</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929</v>
      </c>
      <c r="B1163" s="27" t="s">
        <v>930</v>
      </c>
      <c r="C1163" s="27" t="s">
        <v>931</v>
      </c>
      <c r="D1163" s="27" t="s">
        <v>932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1362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958</v>
      </c>
      <c r="B1165" s="27" t="s">
        <v>988</v>
      </c>
      <c r="C1165" s="27" t="s">
        <v>1061</v>
      </c>
      <c r="D1165" s="27" t="s">
        <v>932</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1374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936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749</v>
      </c>
      <c r="B1168" s="27" t="s">
        <v>968</v>
      </c>
      <c r="C1168" s="27" t="s">
        <v>931</v>
      </c>
      <c r="D1168" s="27" t="s">
        <v>932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1201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1114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1375</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1376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937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1377</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1378</v>
      </c>
      <c r="B1175" s="27" t="s">
        <v>939</v>
      </c>
      <c r="C1175" s="27" t="s">
        <v>1035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1063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954</v>
      </c>
      <c r="B1177" s="27" t="s">
        <v>1009</v>
      </c>
      <c r="C1177" s="27" t="s">
        <v>931</v>
      </c>
      <c r="D1177" s="27" t="s">
        <v>932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947</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1379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1117</v>
      </c>
      <c r="B1180" s="27" t="s">
        <v>1183</v>
      </c>
      <c r="C1180" s="27" t="s">
        <v>946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1330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1042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1380</v>
      </c>
    </row>
    <row r="1185" spans="1:12">
      <c r="A1185" s="20" t="s">
        <v>1123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1365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1369</v>
      </c>
      <c r="B1187" s="27" t="s">
        <v>930</v>
      </c>
      <c r="C1187" s="27" t="s">
        <v>1054</v>
      </c>
      <c r="D1187" s="27" t="s">
        <v>932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944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1007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1367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1369</v>
      </c>
      <c r="B1191" s="27" t="s">
        <v>939</v>
      </c>
      <c r="C1191" s="27" t="s">
        <v>1054</v>
      </c>
      <c r="D1191" s="27" t="s">
        <v>932</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1381</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45</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934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1382</v>
      </c>
      <c r="B1195" s="27" t="s">
        <v>988</v>
      </c>
      <c r="C1195" s="27" t="s">
        <v>973</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947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1383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936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944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929</v>
      </c>
      <c r="B1200" s="27" t="s">
        <v>968</v>
      </c>
      <c r="C1200" s="27" t="s">
        <v>931</v>
      </c>
      <c r="D1200" s="27" t="s">
        <v>932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1315</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1384</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1160</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958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1040</v>
      </c>
      <c r="B1205" s="27" t="s">
        <v>949</v>
      </c>
      <c r="C1205" s="27" t="s">
        <v>999</v>
      </c>
      <c r="D1205" s="27" t="s">
        <v>932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961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1309</v>
      </c>
      <c r="B1207" s="27" t="s">
        <v>939</v>
      </c>
      <c r="C1207" s="27" t="s">
        <v>1111</v>
      </c>
      <c r="D1207" s="27" t="s">
        <v>932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958</v>
      </c>
      <c r="B1208" s="27" t="s">
        <v>955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961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1385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1209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1386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1341</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1387</v>
      </c>
      <c r="B1214" s="27" t="s">
        <v>1025</v>
      </c>
      <c r="C1214" s="27" t="s">
        <v>931</v>
      </c>
      <c r="D1214" s="27" t="s">
        <v>932</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958</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1134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961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1388</v>
      </c>
      <c r="B1218" s="27" t="s">
        <v>960</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1389</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954</v>
      </c>
      <c r="B1220" s="27" t="s">
        <v>1390</v>
      </c>
      <c r="C1220" s="27" t="s">
        <v>931</v>
      </c>
      <c r="D1220" s="27" t="s">
        <v>932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1095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1391</v>
      </c>
      <c r="B1222" s="27" t="s">
        <v>1256</v>
      </c>
      <c r="C1222" s="27" t="s">
        <v>940</v>
      </c>
      <c r="D1222" s="27" t="s">
        <v>932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1392</v>
      </c>
      <c r="B1223" s="27" t="s">
        <v>1246</v>
      </c>
      <c r="C1223" s="27" t="s">
        <v>1087</v>
      </c>
      <c r="D1223" s="27" t="s">
        <v>932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944</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1393</v>
      </c>
      <c r="B1225" s="27" t="s">
        <v>1256</v>
      </c>
      <c r="C1225" s="27" t="s">
        <v>946</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1042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1394</v>
      </c>
    </row>
    <row r="1229" spans="1:12">
      <c r="A1229" s="20" t="s">
        <v>929</v>
      </c>
      <c r="B1229" s="27" t="s">
        <v>930</v>
      </c>
      <c r="C1229" s="27" t="s">
        <v>931</v>
      </c>
      <c r="D1229" s="27" t="s">
        <v>932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1115</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947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290</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958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1007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1395</v>
      </c>
      <c r="B1235" s="27" t="s">
        <v>1009</v>
      </c>
      <c r="C1235" s="27" t="s">
        <v>1054</v>
      </c>
      <c r="D1235" s="27" t="s">
        <v>932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749</v>
      </c>
      <c r="B1236" s="27" t="s">
        <v>960</v>
      </c>
      <c r="C1236" s="27" t="s">
        <v>931</v>
      </c>
      <c r="D1236" s="27" t="s">
        <v>932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45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1063</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1040</v>
      </c>
      <c r="B1239" s="27" t="s">
        <v>1078</v>
      </c>
      <c r="C1239" s="27" t="s">
        <v>946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1201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1396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1042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1397</v>
      </c>
    </row>
    <row r="1245" spans="1:12">
      <c r="A1245" s="20" t="s">
        <v>1398</v>
      </c>
      <c r="B1245" s="27" t="s">
        <v>930</v>
      </c>
      <c r="C1245" s="27" t="s">
        <v>931</v>
      </c>
      <c r="D1245" s="27" t="s">
        <v>932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1181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1125</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1399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1400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1042</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row>
    <row r="1252" spans="1:12">
      <c r="A1252" s="20" t="s">
        <v>1401</v>
      </c>
    </row>
    <row r="1253" spans="1:12">
      <c r="A1253" s="20" t="s">
        <v>1398</v>
      </c>
      <c r="B1253" s="27" t="s">
        <v>930</v>
      </c>
      <c r="C1253" s="27" t="s">
        <v>931</v>
      </c>
      <c r="D1253" s="27" t="s">
        <v>932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1181</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1402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1403</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1042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row>
    <row r="1259" spans="1:12">
      <c r="A1259" s="20" t="s">
        <v>1404</v>
      </c>
    </row>
    <row r="1260" spans="1:12">
      <c r="A1260" s="20" t="s">
        <v>1398</v>
      </c>
      <c r="B1260" s="27" t="s">
        <v>930</v>
      </c>
      <c r="C1260" s="27" t="s">
        <v>931</v>
      </c>
      <c r="D1260" s="27" t="s">
        <v>932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76</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995</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1405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1406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1407</v>
      </c>
      <c r="B1265" s="27" t="s">
        <v>942</v>
      </c>
      <c r="C1265" s="27" t="s">
        <v>946</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1042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row>
    <row r="1268" spans="1:12">
      <c r="A1268" s="20" t="s">
        <v>1408</v>
      </c>
    </row>
    <row r="1269" spans="1:12">
      <c r="A1269" s="20" t="s">
        <v>1398</v>
      </c>
      <c r="B1269" s="27" t="s">
        <v>930</v>
      </c>
      <c r="C1269" s="27" t="s">
        <v>931</v>
      </c>
      <c r="D1269" s="27" t="s">
        <v>932</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1181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934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1409</v>
      </c>
      <c r="B1272" s="27" t="s">
        <v>942</v>
      </c>
      <c r="C1272" s="27" t="s">
        <v>973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1042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row>
    <row r="1275" spans="1:12">
      <c r="A1275" s="20" t="s">
        <v>1410</v>
      </c>
    </row>
    <row r="1276" spans="1:12">
      <c r="A1276" s="20" t="s">
        <v>1103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929</v>
      </c>
      <c r="B1277" s="27" t="s">
        <v>930</v>
      </c>
      <c r="C1277" s="27" t="s">
        <v>931</v>
      </c>
      <c r="D1277" s="27" t="s">
        <v>932</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1324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1209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1411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958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929</v>
      </c>
      <c r="B1282" s="27" t="s">
        <v>968</v>
      </c>
      <c r="C1282" s="27" t="s">
        <v>931</v>
      </c>
      <c r="D1282" s="27" t="s">
        <v>932</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602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1412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944</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1125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206</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1096</v>
      </c>
      <c r="B1288" s="27" t="s">
        <v>949</v>
      </c>
      <c r="C1288" s="27" t="s">
        <v>1097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1413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936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966</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1134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1138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45</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1110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1414</v>
      </c>
      <c r="B1297" s="27" t="s">
        <v>939</v>
      </c>
      <c r="C1297" s="27" t="s">
        <v>1111</v>
      </c>
      <c r="D1297" s="27" t="s">
        <v>932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947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1415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1042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row>
    <row r="1303" spans="1:12">
      <c r="A1303" s="20" t="s">
        <v>1416</v>
      </c>
    </row>
    <row r="1304" spans="1:12">
      <c r="A1304" s="20" t="s">
        <v>929</v>
      </c>
      <c r="B1304" s="27" t="s">
        <v>930</v>
      </c>
      <c r="C1304" s="27" t="s">
        <v>931</v>
      </c>
      <c r="D1304" s="27" t="s">
        <v>932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212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958</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206</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1096</v>
      </c>
      <c r="B1308" s="27" t="s">
        <v>949</v>
      </c>
      <c r="C1308" s="27" t="s">
        <v>1097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1417</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936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709</v>
      </c>
      <c r="B1311" s="27" t="s">
        <v>968</v>
      </c>
      <c r="C1311" s="27" t="s">
        <v>946</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1418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25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1336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938</v>
      </c>
      <c r="B1315" s="27" t="s">
        <v>949</v>
      </c>
      <c r="C1315" s="27" t="s">
        <v>940</v>
      </c>
      <c r="D1315" s="27" t="s">
        <v>932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1395</v>
      </c>
      <c r="B1316" s="27" t="s">
        <v>939</v>
      </c>
      <c r="C1316" s="27" t="s">
        <v>1087</v>
      </c>
      <c r="D1316" s="27" t="s">
        <v>932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944</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36</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1419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958</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1420</v>
      </c>
      <c r="B1321" s="27" t="s">
        <v>955</v>
      </c>
      <c r="C1321" s="27" t="s">
        <v>1332</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1421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1058</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1422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1423</v>
      </c>
      <c r="B1325" s="27" t="s">
        <v>1031</v>
      </c>
      <c r="C1325" s="27" t="s">
        <v>1061</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1042</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1424</v>
      </c>
    </row>
    <row r="1329" spans="1:12">
      <c r="A1329" s="20" t="s">
        <v>1425</v>
      </c>
      <c r="B1329" s="27" t="s">
        <v>930</v>
      </c>
      <c r="C1329" s="27" t="s">
        <v>943</v>
      </c>
      <c r="D1329" s="27" t="s">
        <v>932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1056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1007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1426</v>
      </c>
      <c r="B1332" s="27" t="s">
        <v>942</v>
      </c>
      <c r="C1332" s="27" t="s">
        <v>1054</v>
      </c>
      <c r="D1332" s="27" t="s">
        <v>932</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937</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903</v>
      </c>
      <c r="B1334" s="27" t="s">
        <v>942</v>
      </c>
      <c r="C1334" s="27" t="s">
        <v>946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1042</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983</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1427</v>
      </c>
    </row>
    <row r="1339" spans="1:12">
      <c r="A1339" s="20" t="s">
        <v>1221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1175</v>
      </c>
      <c r="B1340" s="27" t="s">
        <v>968</v>
      </c>
      <c r="C1340" s="27" t="s">
        <v>931</v>
      </c>
      <c r="D1340" s="27" t="s">
        <v>932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970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1428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947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1331</v>
      </c>
      <c r="B1344" s="27" t="s">
        <v>939</v>
      </c>
      <c r="C1344" s="27" t="s">
        <v>1332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944</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977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936</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928</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1429</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936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1072</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938</v>
      </c>
      <c r="B1352" s="27" t="s">
        <v>949</v>
      </c>
      <c r="C1352" s="27" t="s">
        <v>940</v>
      </c>
      <c r="D1352" s="27" t="s">
        <v>932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1430</v>
      </c>
      <c r="B1353" s="27" t="s">
        <v>968</v>
      </c>
      <c r="C1353" s="27" t="s">
        <v>1087</v>
      </c>
      <c r="D1353" s="27" t="s">
        <v>932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1431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936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929</v>
      </c>
      <c r="B1356" s="27" t="s">
        <v>930</v>
      </c>
      <c r="C1356" s="27" t="s">
        <v>931</v>
      </c>
      <c r="D1356" s="27" t="s">
        <v>932</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1227</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54</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1432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272</v>
      </c>
      <c r="B1360" s="27" t="s">
        <v>988</v>
      </c>
      <c r="C1360" s="27" t="s">
        <v>973</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936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928</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954</v>
      </c>
      <c r="B1363" s="27" t="s">
        <v>968</v>
      </c>
      <c r="C1363" s="27" t="s">
        <v>931</v>
      </c>
      <c r="D1363" s="27" t="s">
        <v>932</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1138</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1114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903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1271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749</v>
      </c>
      <c r="B1369" s="27" t="s">
        <v>1009</v>
      </c>
      <c r="C1369" s="27" t="s">
        <v>931</v>
      </c>
      <c r="D1369" s="27" t="s">
        <v>932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954</v>
      </c>
      <c r="B1371" s="27" t="s">
        <v>1183</v>
      </c>
      <c r="C1371" s="27" t="s">
        <v>931</v>
      </c>
      <c r="D1371" s="27" t="s">
        <v>932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1042</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1433</v>
      </c>
    </row>
    <row r="1375" spans="1:12">
      <c r="A1375" s="20" t="s">
        <v>1434</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1176</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1388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1058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1435</v>
      </c>
      <c r="B1379" s="27" t="s">
        <v>930</v>
      </c>
      <c r="C1379" s="27" t="s">
        <v>1061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903</v>
      </c>
      <c r="B1381" s="27" t="s">
        <v>939</v>
      </c>
      <c r="C1381" s="27" t="s">
        <v>946</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1436</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1007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1437</v>
      </c>
      <c r="B1384" s="27" t="s">
        <v>949</v>
      </c>
      <c r="C1384" s="27" t="s">
        <v>1054</v>
      </c>
      <c r="D1384" s="27" t="s">
        <v>932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1000</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1438</v>
      </c>
      <c r="B1386" s="27" t="s">
        <v>1025</v>
      </c>
      <c r="C1386" s="27" t="s">
        <v>946</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936</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944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958</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1439</v>
      </c>
      <c r="B1390" s="27" t="s">
        <v>968</v>
      </c>
      <c r="C1390" s="27" t="s">
        <v>946</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1000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1440</v>
      </c>
      <c r="B1392" s="27" t="s">
        <v>949</v>
      </c>
      <c r="C1392" s="27" t="s">
        <v>946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1230</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1007</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1441</v>
      </c>
      <c r="B1396" s="27" t="s">
        <v>942</v>
      </c>
      <c r="C1396" s="27" t="s">
        <v>1054</v>
      </c>
      <c r="D1396" s="27" t="s">
        <v>932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1000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1442</v>
      </c>
      <c r="B1398" s="27" t="s">
        <v>939</v>
      </c>
      <c r="C1398" s="27" t="s">
        <v>946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1042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1443</v>
      </c>
    </row>
    <row r="1402" spans="1:12">
      <c r="A1402" s="20" t="s">
        <v>1434</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1201</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1105</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1117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709</v>
      </c>
      <c r="B1406" s="27" t="s">
        <v>930</v>
      </c>
      <c r="C1406" s="27" t="s">
        <v>946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1444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947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1445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1320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1040</v>
      </c>
      <c r="B1411" s="27" t="s">
        <v>939</v>
      </c>
      <c r="C1411" s="27" t="s">
        <v>946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936</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1446</v>
      </c>
      <c r="B1413" s="27" t="s">
        <v>949</v>
      </c>
      <c r="C1413" s="27" t="s">
        <v>946</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944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1447</v>
      </c>
      <c r="B1415" s="27" t="s">
        <v>949</v>
      </c>
      <c r="C1415" s="27" t="s">
        <v>946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1042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row>
    <row r="1418" spans="1:12">
      <c r="A1418" s="20" t="s">
        <v>1448</v>
      </c>
    </row>
    <row r="1419" spans="1:12">
      <c r="A1419" s="20" t="s">
        <v>1449</v>
      </c>
      <c r="B1419" s="27" t="s">
        <v>930</v>
      </c>
      <c r="C1419" s="27" t="s">
        <v>943</v>
      </c>
      <c r="D1419" s="27" t="s">
        <v>932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1056</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1450</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1451</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1042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1452</v>
      </c>
    </row>
    <row r="1426" spans="1:12">
      <c r="A1426" s="20" t="s">
        <v>1221</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1175</v>
      </c>
      <c r="B1427" s="27" t="s">
        <v>968</v>
      </c>
      <c r="C1427" s="27" t="s">
        <v>931</v>
      </c>
      <c r="D1427" s="27" t="s">
        <v>932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45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934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1438</v>
      </c>
      <c r="B1430" s="27" t="s">
        <v>991</v>
      </c>
      <c r="C1430" s="27" t="s">
        <v>973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944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1175</v>
      </c>
      <c r="B1432" s="27" t="s">
        <v>1009</v>
      </c>
      <c r="C1432" s="27" t="s">
        <v>931</v>
      </c>
      <c r="D1432" s="27" t="s">
        <v>932</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1453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1454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936</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944</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985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936</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1254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1255</v>
      </c>
      <c r="B1441" s="27" t="s">
        <v>1025</v>
      </c>
      <c r="C1441" s="27" t="s">
        <v>1097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1106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936</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1175</v>
      </c>
      <c r="B1444" s="27" t="s">
        <v>1009</v>
      </c>
      <c r="C1444" s="27" t="s">
        <v>931</v>
      </c>
      <c r="D1444" s="27" t="s">
        <v>932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1201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1455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1456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1457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936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1012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1175</v>
      </c>
      <c r="B1451" s="27" t="s">
        <v>1009</v>
      </c>
      <c r="C1451" s="27" t="s">
        <v>931</v>
      </c>
      <c r="D1451" s="27" t="s">
        <v>932</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1181</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1458</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1459</v>
      </c>
      <c r="B1455" s="27" t="s">
        <v>1025</v>
      </c>
      <c r="C1455" s="27" t="s">
        <v>973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1460</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936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954</v>
      </c>
      <c r="B1458" s="27" t="s">
        <v>930</v>
      </c>
      <c r="C1458" s="27" t="s">
        <v>931</v>
      </c>
      <c r="D1458" s="27" t="s">
        <v>932</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1176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1461</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1446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936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944</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954</v>
      </c>
      <c r="B1464" s="27" t="s">
        <v>968</v>
      </c>
      <c r="C1464" s="27" t="s">
        <v>931</v>
      </c>
      <c r="D1464" s="27" t="s">
        <v>932</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1418</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1461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1462</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1463</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1464</v>
      </c>
      <c r="B1469" s="27" t="s">
        <v>991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937</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1016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1465</v>
      </c>
      <c r="B1472" s="27" t="s">
        <v>939</v>
      </c>
      <c r="C1472" s="27" t="s">
        <v>1097</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1042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row>
    <row r="1475" spans="1:12">
      <c r="A1475" s="20" t="s">
        <v>1466</v>
      </c>
    </row>
    <row r="1476" spans="1:12">
      <c r="A1476" s="20" t="s">
        <v>1221</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1175</v>
      </c>
      <c r="B1477" s="27" t="s">
        <v>968</v>
      </c>
      <c r="C1477" s="27" t="s">
        <v>931</v>
      </c>
      <c r="D1477" s="27" t="s">
        <v>932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1467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934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1468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1438</v>
      </c>
      <c r="B1481" s="27" t="s">
        <v>991</v>
      </c>
      <c r="C1481" s="27" t="s">
        <v>973</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936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944</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1175</v>
      </c>
      <c r="B1484" s="27" t="s">
        <v>1009</v>
      </c>
      <c r="C1484" s="27" t="s">
        <v>931</v>
      </c>
      <c r="D1484" s="27" t="s">
        <v>932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13</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1318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936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944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1254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1255</v>
      </c>
      <c r="B1490" s="27" t="s">
        <v>1025</v>
      </c>
      <c r="C1490" s="27" t="s">
        <v>1097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1106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1175</v>
      </c>
      <c r="B1492" s="27" t="s">
        <v>1009</v>
      </c>
      <c r="C1492" s="27" t="s">
        <v>931</v>
      </c>
      <c r="D1492" s="27" t="s">
        <v>932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1230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1469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1470</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1032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969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936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985</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954</v>
      </c>
      <c r="B1500" s="27" t="s">
        <v>930</v>
      </c>
      <c r="C1500" s="27" t="s">
        <v>931</v>
      </c>
      <c r="D1500" s="27" t="s">
        <v>932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1176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1461</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934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1040</v>
      </c>
      <c r="B1504" s="27" t="s">
        <v>942</v>
      </c>
      <c r="C1504" s="27" t="s">
        <v>973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958</v>
      </c>
      <c r="B1505" s="27" t="s">
        <v>968</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961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1471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1472</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1007</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1468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1473</v>
      </c>
      <c r="B1511" s="27" t="s">
        <v>939</v>
      </c>
      <c r="C1511" s="27" t="s">
        <v>1054</v>
      </c>
      <c r="D1511" s="27" t="s">
        <v>932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1042</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1474</v>
      </c>
    </row>
    <row r="1515" spans="1:12">
      <c r="A1515" s="20" t="s">
        <v>1123</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1475</v>
      </c>
      <c r="B1516" s="27" t="s">
        <v>930</v>
      </c>
      <c r="C1516" s="27" t="s">
        <v>1054</v>
      </c>
      <c r="D1516" s="27" t="s">
        <v>932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1476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1387</v>
      </c>
      <c r="B1518" s="27" t="s">
        <v>988</v>
      </c>
      <c r="C1518" s="27" t="s">
        <v>931</v>
      </c>
      <c r="D1518" s="27" t="s">
        <v>932</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934</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1477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1198</v>
      </c>
      <c r="B1521" s="27" t="s">
        <v>988</v>
      </c>
      <c r="C1521" s="27" t="s">
        <v>973</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1042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1478</v>
      </c>
    </row>
    <row r="1525" spans="1:12">
      <c r="A1525" s="20" t="s">
        <v>1479</v>
      </c>
      <c r="B1525" s="27" t="s">
        <v>930</v>
      </c>
      <c r="C1525" s="27" t="s">
        <v>946</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42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1000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1040</v>
      </c>
      <c r="B1528" s="27" t="s">
        <v>942</v>
      </c>
      <c r="C1528" s="27" t="s">
        <v>946</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1271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1148</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1264</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1447</v>
      </c>
      <c r="B1532" s="27" t="s">
        <v>942</v>
      </c>
      <c r="C1532" s="27" t="s">
        <v>946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1042</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row>
    <row r="1535" spans="1:12">
      <c r="A1535" s="20" t="s">
        <v>1480</v>
      </c>
    </row>
    <row r="1536" spans="1:12">
      <c r="A1536" s="20" t="s">
        <v>1215</v>
      </c>
      <c r="B1536" s="27" t="s">
        <v>930</v>
      </c>
      <c r="C1536" s="27" t="s">
        <v>931</v>
      </c>
      <c r="D1536" s="27" t="s">
        <v>932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1176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1136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936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1136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1135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1136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1447</v>
      </c>
      <c r="B1543" s="27" t="s">
        <v>942</v>
      </c>
      <c r="C1543" s="27" t="s">
        <v>946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936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1136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1135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1136</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1446</v>
      </c>
      <c r="B1548" s="27" t="s">
        <v>939</v>
      </c>
      <c r="C1548" s="27" t="s">
        <v>946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1032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1481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1135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1482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934</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1483</v>
      </c>
      <c r="B1554" s="27" t="s">
        <v>949</v>
      </c>
      <c r="C1554" s="27" t="s">
        <v>973</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1042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row>
    <row r="1557" spans="1:12">
      <c r="A1557" s="20" t="s">
        <v>1484</v>
      </c>
    </row>
    <row r="1558" spans="1:12">
      <c r="A1558" s="20" t="s">
        <v>1006</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929</v>
      </c>
      <c r="B1559" s="27" t="s">
        <v>968</v>
      </c>
      <c r="C1559" s="27" t="s">
        <v>931</v>
      </c>
      <c r="D1559" s="27" t="s">
        <v>932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1219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1160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947</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181</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1040</v>
      </c>
      <c r="B1564" s="27" t="s">
        <v>1183</v>
      </c>
      <c r="C1564" s="27" t="s">
        <v>946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936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944</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947</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1485</v>
      </c>
      <c r="B1568" s="27" t="s">
        <v>939</v>
      </c>
      <c r="C1568" s="27" t="s">
        <v>946</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709</v>
      </c>
      <c r="B1569" s="27" t="s">
        <v>1183</v>
      </c>
      <c r="C1569" s="27" t="s">
        <v>946</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1069</v>
      </c>
      <c r="B1570" s="27" t="s">
        <v>960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1065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1486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954</v>
      </c>
      <c r="B1573" s="27" t="s">
        <v>982</v>
      </c>
      <c r="C1573" s="27" t="s">
        <v>931</v>
      </c>
      <c r="D1573" s="27" t="s">
        <v>932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936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929</v>
      </c>
      <c r="B1575" s="27" t="s">
        <v>930</v>
      </c>
      <c r="C1575" s="27" t="s">
        <v>931</v>
      </c>
      <c r="D1575" s="27" t="s">
        <v>932</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1107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958</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1134</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970</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709</v>
      </c>
      <c r="B1580" s="27" t="s">
        <v>968</v>
      </c>
      <c r="C1580" s="27" t="s">
        <v>946</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1069</v>
      </c>
      <c r="B1581" s="27" t="s">
        <v>955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956</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936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1144</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1007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1487</v>
      </c>
      <c r="B1586" s="27" t="s">
        <v>1025</v>
      </c>
      <c r="C1586" s="27" t="s">
        <v>1054</v>
      </c>
      <c r="D1586" s="27" t="s">
        <v>932</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936</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947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45</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1261</v>
      </c>
      <c r="B1590" s="27" t="s">
        <v>982</v>
      </c>
      <c r="C1590" s="27" t="s">
        <v>1121</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1488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974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1489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1490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1040</v>
      </c>
      <c r="B1595" s="27" t="s">
        <v>1246</v>
      </c>
      <c r="C1595" s="27" t="s">
        <v>946</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1069</v>
      </c>
      <c r="B1596" s="27" t="s">
        <v>1491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970</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1202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1492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1493</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1472</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954</v>
      </c>
      <c r="B1602" s="27" t="s">
        <v>1494</v>
      </c>
      <c r="C1602" s="27" t="s">
        <v>931</v>
      </c>
      <c r="D1602" s="27" t="s">
        <v>932</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1042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row>
    <row r="1605" spans="1:12">
      <c r="A1605" s="20" t="s">
        <v>1495</v>
      </c>
    </row>
    <row r="1606" spans="1:12">
      <c r="A1606" s="20" t="s">
        <v>965</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1134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970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942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709</v>
      </c>
      <c r="B1610" s="27" t="s">
        <v>930</v>
      </c>
      <c r="C1610" s="27" t="s">
        <v>946</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1069</v>
      </c>
      <c r="B1611" s="27" t="s">
        <v>1009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1065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1261</v>
      </c>
      <c r="B1613" s="27" t="s">
        <v>1031</v>
      </c>
      <c r="C1613" s="27" t="s">
        <v>1121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1488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1271</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967</v>
      </c>
      <c r="B1616" s="27" t="s">
        <v>960</v>
      </c>
      <c r="C1616" s="27" t="s">
        <v>931</v>
      </c>
      <c r="D1616" s="27" t="s">
        <v>932</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1496</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954</v>
      </c>
      <c r="B1618" s="27" t="s">
        <v>982</v>
      </c>
      <c r="C1618" s="27" t="s">
        <v>931</v>
      </c>
      <c r="D1618" s="27" t="s">
        <v>932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974</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1497</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1498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1040</v>
      </c>
      <c r="B1622" s="27" t="s">
        <v>1078</v>
      </c>
      <c r="C1622" s="27" t="s">
        <v>946</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1069</v>
      </c>
      <c r="B1623" s="27" t="s">
        <v>1196</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1202</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1065</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1357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1499</v>
      </c>
      <c r="B1627" s="27" t="s">
        <v>1390</v>
      </c>
      <c r="C1627" s="27" t="s">
        <v>946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937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1007</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1500</v>
      </c>
      <c r="B1630" s="27" t="s">
        <v>1246</v>
      </c>
      <c r="C1630" s="27" t="s">
        <v>1054</v>
      </c>
      <c r="D1630" s="27" t="s">
        <v>932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1501</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1188</v>
      </c>
      <c r="B1632" s="27" t="s">
        <v>1256</v>
      </c>
      <c r="C1632" s="27" t="s">
        <v>940</v>
      </c>
      <c r="D1632" s="27" t="s">
        <v>932</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1502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1503</v>
      </c>
      <c r="B1634" s="27" t="s">
        <v>1246</v>
      </c>
      <c r="C1634" s="27" t="s">
        <v>1087</v>
      </c>
      <c r="D1634" s="27" t="s">
        <v>932</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1042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1504</v>
      </c>
    </row>
    <row r="1638" spans="1:12">
      <c r="A1638" s="20" t="s">
        <v>965</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929</v>
      </c>
      <c r="B1639" s="27" t="s">
        <v>930</v>
      </c>
      <c r="C1639" s="27" t="s">
        <v>931</v>
      </c>
      <c r="D1639" s="27" t="s">
        <v>932</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1219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1160</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947</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54</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1160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1261</v>
      </c>
      <c r="B1645" s="27" t="s">
        <v>991</v>
      </c>
      <c r="C1645" s="27" t="s">
        <v>1121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954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1056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958</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1505</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1016</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709</v>
      </c>
      <c r="B1651" s="27" t="s">
        <v>982</v>
      </c>
      <c r="C1651" s="27" t="s">
        <v>1097</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947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36</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1329</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1506</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1237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942</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709</v>
      </c>
      <c r="B1658" s="27" t="s">
        <v>978</v>
      </c>
      <c r="C1658" s="27" t="s">
        <v>946</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1042</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1507</v>
      </c>
    </row>
    <row r="1662" spans="1:12">
      <c r="A1662" s="20" t="s">
        <v>1151</v>
      </c>
      <c r="B1662" s="27" t="s">
        <v>942</v>
      </c>
      <c r="C1662" s="27" t="s">
        <v>1121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1201</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1007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1508</v>
      </c>
      <c r="B1665" s="27" t="s">
        <v>930</v>
      </c>
      <c r="C1665" s="27" t="s">
        <v>1054</v>
      </c>
      <c r="D1665" s="27" t="s">
        <v>932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958</v>
      </c>
      <c r="B1666" s="27" t="s">
        <v>1009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1509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709</v>
      </c>
      <c r="B1668" s="27" t="s">
        <v>1183</v>
      </c>
      <c r="C1668" s="27" t="s">
        <v>946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947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1071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1325</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row>
    <row r="1673" spans="1:12">
      <c r="A1673" s="20" t="s">
        <v>1510</v>
      </c>
    </row>
    <row r="1674" spans="1:12">
      <c r="A1674" s="20" t="s">
        <v>965</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929</v>
      </c>
      <c r="B1675" s="27" t="s">
        <v>930</v>
      </c>
      <c r="C1675" s="27" t="s">
        <v>931</v>
      </c>
      <c r="D1675" s="27" t="s">
        <v>932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1340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1160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944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929</v>
      </c>
      <c r="B1679" s="27" t="s">
        <v>968</v>
      </c>
      <c r="C1679" s="27" t="s">
        <v>931</v>
      </c>
      <c r="D1679" s="27" t="s">
        <v>932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1511</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1322</v>
      </c>
      <c r="B1681" s="27" t="s">
        <v>991</v>
      </c>
      <c r="C1681" s="27" t="s">
        <v>946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1295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1322</v>
      </c>
      <c r="B1683" s="27" t="s">
        <v>949</v>
      </c>
      <c r="C1683" s="27" t="s">
        <v>946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1069</v>
      </c>
      <c r="B1684" s="27" t="s">
        <v>960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961</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1512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995</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1040</v>
      </c>
      <c r="B1688" s="27" t="s">
        <v>1078</v>
      </c>
      <c r="C1688" s="27" t="s">
        <v>946</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1042</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row>
    <row r="1691" spans="1:12">
      <c r="A1691" s="20" t="s">
        <v>1513</v>
      </c>
    </row>
    <row r="1692" spans="1:12">
      <c r="A1692" s="20" t="s">
        <v>1514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1000</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1007</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1344</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709</v>
      </c>
      <c r="B1696" s="27" t="s">
        <v>942</v>
      </c>
      <c r="C1696" s="27" t="s">
        <v>1054</v>
      </c>
      <c r="D1696" s="27" t="s">
        <v>932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929</v>
      </c>
      <c r="B1697" s="27" t="s">
        <v>1009</v>
      </c>
      <c r="C1697" s="27" t="s">
        <v>931</v>
      </c>
      <c r="D1697" s="27" t="s">
        <v>932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1511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1496</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1040</v>
      </c>
      <c r="B1700" s="27" t="s">
        <v>1031</v>
      </c>
      <c r="C1700" s="27" t="s">
        <v>946</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1271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934</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1515</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1206</v>
      </c>
      <c r="B1704" s="27" t="s">
        <v>1025</v>
      </c>
      <c r="C1704" s="27" t="s">
        <v>973</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1000</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1148</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1516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936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944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958</v>
      </c>
      <c r="B1710" s="27" t="s">
        <v>968</v>
      </c>
      <c r="C1710" s="27" t="s">
        <v>1061</v>
      </c>
      <c r="D1710" s="27" t="s">
        <v>932</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961</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934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1357</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1435</v>
      </c>
      <c r="B1714" s="27" t="s">
        <v>942</v>
      </c>
      <c r="C1714" s="27" t="s">
        <v>973</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1063</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1064</v>
      </c>
      <c r="B1716" s="27" t="s">
        <v>939</v>
      </c>
      <c r="C1716" s="27" t="s">
        <v>931</v>
      </c>
      <c r="D1716" s="27" t="s">
        <v>932</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947</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25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1517</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1144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1279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954</v>
      </c>
      <c r="B1722" s="27" t="s">
        <v>955</v>
      </c>
      <c r="C1722" s="27" t="s">
        <v>931</v>
      </c>
      <c r="D1722" s="27" t="s">
        <v>932</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1518</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1064</v>
      </c>
      <c r="B1724" s="27" t="s">
        <v>1031</v>
      </c>
      <c r="C1724" s="27" t="s">
        <v>931</v>
      </c>
      <c r="D1724" s="27" t="s">
        <v>932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958</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958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1519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1206</v>
      </c>
      <c r="B1728" s="27" t="s">
        <v>960</v>
      </c>
      <c r="C1728" s="27" t="s">
        <v>999</v>
      </c>
      <c r="D1728" s="27" t="s">
        <v>932</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1000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1148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1516</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1230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1520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947</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1521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1522</v>
      </c>
      <c r="B1736" s="27" t="s">
        <v>1078</v>
      </c>
      <c r="C1736" s="27" t="s">
        <v>946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936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958</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1317</v>
      </c>
      <c r="B1739" s="27" t="s">
        <v>1200</v>
      </c>
      <c r="C1739" s="27" t="s">
        <v>1061</v>
      </c>
      <c r="D1739" s="27" t="s">
        <v>932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1056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934</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1306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1523</v>
      </c>
      <c r="B1743" s="27" t="s">
        <v>1078</v>
      </c>
      <c r="C1743" s="27" t="s">
        <v>973</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1042</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row>
    <row r="1746" spans="1:12">
      <c r="A1746" s="20" t="s">
        <v>1524</v>
      </c>
    </row>
    <row r="1747" spans="1:12">
      <c r="A1747" s="20" t="s">
        <v>1215</v>
      </c>
      <c r="B1747" s="27" t="s">
        <v>930</v>
      </c>
      <c r="C1747" s="27" t="s">
        <v>931</v>
      </c>
      <c r="D1747" s="27" t="s">
        <v>932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1176</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1007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1525</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1526</v>
      </c>
      <c r="B1751" s="27" t="s">
        <v>942</v>
      </c>
      <c r="C1751" s="27" t="s">
        <v>1054</v>
      </c>
      <c r="D1751" s="27" t="s">
        <v>932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1527</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936</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944</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709</v>
      </c>
      <c r="B1755" s="27" t="s">
        <v>968</v>
      </c>
      <c r="C1755" s="27" t="s">
        <v>946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49</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1000</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954</v>
      </c>
      <c r="B1758" s="27" t="s">
        <v>939</v>
      </c>
      <c r="C1758" s="27" t="s">
        <v>931</v>
      </c>
      <c r="D1758" s="27" t="s">
        <v>932</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1033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1275</v>
      </c>
      <c r="B1760" s="27" t="s">
        <v>939</v>
      </c>
      <c r="C1760" s="27" t="s">
        <v>1035</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1042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1528</v>
      </c>
    </row>
    <row r="1764" spans="1:12">
      <c r="A1764" s="20" t="s">
        <v>1514</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1000</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1007</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709</v>
      </c>
      <c r="B1767" s="27" t="s">
        <v>942</v>
      </c>
      <c r="C1767" s="27" t="s">
        <v>1054</v>
      </c>
      <c r="D1767" s="27" t="s">
        <v>932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929</v>
      </c>
      <c r="B1768" s="27" t="s">
        <v>1009</v>
      </c>
      <c r="C1768" s="27" t="s">
        <v>931</v>
      </c>
      <c r="D1768" s="27" t="s">
        <v>932</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1529</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947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966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929</v>
      </c>
      <c r="B1772" s="27" t="s">
        <v>955</v>
      </c>
      <c r="C1772" s="27" t="s">
        <v>931</v>
      </c>
      <c r="D1772" s="27" t="s">
        <v>932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961</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1530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947</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181</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1317</v>
      </c>
      <c r="B1777" s="27" t="s">
        <v>1200</v>
      </c>
      <c r="C1777" s="27" t="s">
        <v>1061</v>
      </c>
      <c r="D1777" s="27" t="s">
        <v>932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961</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934</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1531</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1532</v>
      </c>
      <c r="B1781" s="27" t="s">
        <v>1078</v>
      </c>
      <c r="C1781" s="27" t="s">
        <v>973</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1069</v>
      </c>
      <c r="B1782" s="27" t="s">
        <v>1390</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929</v>
      </c>
      <c r="B1783" s="27" t="s">
        <v>1196</v>
      </c>
      <c r="C1783" s="27" t="s">
        <v>931</v>
      </c>
      <c r="D1783" s="27" t="s">
        <v>932</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1065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1533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1063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1534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1096</v>
      </c>
      <c r="B1788" s="27" t="s">
        <v>1246</v>
      </c>
      <c r="C1788" s="27" t="s">
        <v>1097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936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944</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1069</v>
      </c>
      <c r="B1791" s="27" t="s">
        <v>1251</v>
      </c>
      <c r="C1791" s="27" t="s">
        <v>1121</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1065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1065</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934</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1535</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1536</v>
      </c>
      <c r="B1796" s="27" t="s">
        <v>1250</v>
      </c>
      <c r="C1796" s="27" t="s">
        <v>973</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937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1537</v>
      </c>
      <c r="B1798" s="27" t="s">
        <v>1494</v>
      </c>
      <c r="C1798" s="27" t="s">
        <v>940</v>
      </c>
      <c r="D1798" s="27" t="s">
        <v>932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1538</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1539</v>
      </c>
      <c r="B1800" s="27" t="s">
        <v>1256</v>
      </c>
      <c r="C1800" s="27" t="s">
        <v>1087</v>
      </c>
      <c r="D1800" s="27" t="s">
        <v>932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1000</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1540</v>
      </c>
      <c r="B1802" s="27" t="s">
        <v>1494</v>
      </c>
      <c r="C1802" s="27" t="s">
        <v>946</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936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944</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985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1541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1341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934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1542</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1040</v>
      </c>
      <c r="B1810" s="27" t="s">
        <v>1256</v>
      </c>
      <c r="C1810" s="27" t="s">
        <v>973</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1042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row>
    <row r="1813" spans="1:12">
      <c r="A1813" s="20" t="s">
        <v>1543</v>
      </c>
    </row>
    <row r="1814" spans="1:12">
      <c r="A1814" s="20" t="s">
        <v>1544</v>
      </c>
      <c r="B1814" s="27" t="s">
        <v>930</v>
      </c>
      <c r="C1814" s="27" t="s">
        <v>931</v>
      </c>
      <c r="D1814" s="27" t="s">
        <v>932</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1545</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1546</v>
      </c>
      <c r="B1817" s="27" t="s">
        <v>988</v>
      </c>
      <c r="C1817" s="27" t="s">
        <v>946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936</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1242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1547</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1040</v>
      </c>
      <c r="B1821" s="27" t="s">
        <v>942</v>
      </c>
      <c r="C1821" s="27" t="s">
        <v>946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936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1271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954</v>
      </c>
      <c r="B1824" s="27" t="s">
        <v>968</v>
      </c>
      <c r="C1824" s="27" t="s">
        <v>931</v>
      </c>
      <c r="D1824" s="27" t="s">
        <v>932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961</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985</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1533</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1042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1548</v>
      </c>
    </row>
    <row r="1831" spans="1:12">
      <c r="A1831" s="20" t="s">
        <v>965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985</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1549</v>
      </c>
      <c r="B1833" s="27" t="s">
        <v>930</v>
      </c>
      <c r="C1833" s="27" t="s">
        <v>931</v>
      </c>
      <c r="D1833" s="27" t="s">
        <v>932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1113</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1399</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1350</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1063</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1534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1096</v>
      </c>
      <c r="B1839" s="27" t="s">
        <v>942</v>
      </c>
      <c r="C1839" s="27" t="s">
        <v>1097</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1144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1550</v>
      </c>
      <c r="B1841" s="27" t="s">
        <v>939</v>
      </c>
      <c r="C1841" s="27" t="s">
        <v>946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936</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944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985</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1551</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936</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1549</v>
      </c>
      <c r="B1847" s="27" t="s">
        <v>968</v>
      </c>
      <c r="C1847" s="27" t="s">
        <v>931</v>
      </c>
      <c r="D1847" s="27" t="s">
        <v>932</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961</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1552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1553</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1537</v>
      </c>
      <c r="B1851" s="27" t="s">
        <v>949</v>
      </c>
      <c r="C1851" s="27" t="s">
        <v>940</v>
      </c>
      <c r="D1851" s="27" t="s">
        <v>932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1550</v>
      </c>
      <c r="B1852" s="27" t="s">
        <v>939</v>
      </c>
      <c r="C1852" s="27" t="s">
        <v>1087</v>
      </c>
      <c r="D1852" s="27" t="s">
        <v>932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947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1140</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1335</v>
      </c>
      <c r="B1855" s="27" t="s">
        <v>1183</v>
      </c>
      <c r="C1855" s="27" t="s">
        <v>1121</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1549</v>
      </c>
      <c r="B1856" s="27" t="s">
        <v>960</v>
      </c>
      <c r="C1856" s="27" t="s">
        <v>931</v>
      </c>
      <c r="D1856" s="27" t="s">
        <v>932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1138</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286</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1436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954</v>
      </c>
      <c r="B1860" s="27" t="s">
        <v>1078</v>
      </c>
      <c r="C1860" s="27" t="s">
        <v>931</v>
      </c>
      <c r="D1860" s="27" t="s">
        <v>932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936</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944</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1549</v>
      </c>
      <c r="B1863" s="27" t="s">
        <v>968</v>
      </c>
      <c r="C1863" s="27" t="s">
        <v>931</v>
      </c>
      <c r="D1863" s="27" t="s">
        <v>932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1065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1432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1554</v>
      </c>
      <c r="B1866" s="27" t="s">
        <v>991</v>
      </c>
      <c r="C1866" s="27" t="s">
        <v>973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936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944</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985</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1555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1341</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1007</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1556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1040</v>
      </c>
      <c r="B1874" s="27" t="s">
        <v>939</v>
      </c>
      <c r="C1874" s="27" t="s">
        <v>1054</v>
      </c>
      <c r="D1874" s="27" t="s">
        <v>932</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958</v>
      </c>
      <c r="B1875" s="27" t="s">
        <v>1031</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929</v>
      </c>
      <c r="B1876" s="27" t="s">
        <v>955</v>
      </c>
      <c r="C1876" s="27" t="s">
        <v>931</v>
      </c>
      <c r="D1876" s="27" t="s">
        <v>932</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1065</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1557</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1558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937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1372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1549</v>
      </c>
      <c r="B1882" s="27" t="s">
        <v>955</v>
      </c>
      <c r="C1882" s="27" t="s">
        <v>931</v>
      </c>
      <c r="D1882" s="27" t="s">
        <v>932</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1559</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937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1537</v>
      </c>
      <c r="B1885" s="27" t="s">
        <v>978</v>
      </c>
      <c r="C1885" s="27" t="s">
        <v>940</v>
      </c>
      <c r="D1885" s="27" t="s">
        <v>932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1560</v>
      </c>
      <c r="B1886" s="27" t="s">
        <v>1078</v>
      </c>
      <c r="C1886" s="27" t="s">
        <v>1087</v>
      </c>
      <c r="D1886" s="27" t="s">
        <v>932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1561</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1562</v>
      </c>
      <c r="B1888" s="27" t="s">
        <v>1025</v>
      </c>
      <c r="C1888" s="27" t="s">
        <v>1087</v>
      </c>
      <c r="D1888" s="27" t="s">
        <v>932</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936</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1329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1242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1211</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1563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936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1564</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1436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1565</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936</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1275</v>
      </c>
      <c r="B1899" s="27" t="s">
        <v>1025</v>
      </c>
      <c r="C1899" s="27" t="s">
        <v>946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1295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1275</v>
      </c>
      <c r="B1901" s="27" t="s">
        <v>1078</v>
      </c>
      <c r="C1901" s="27" t="s">
        <v>946</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1295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1275</v>
      </c>
      <c r="B1903" s="27" t="s">
        <v>1078</v>
      </c>
      <c r="C1903" s="27" t="s">
        <v>946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1042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row>
    <row r="1906" spans="1:12">
      <c r="A1906" s="20" t="s">
        <v>983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1566</v>
      </c>
    </row>
    <row r="1908" spans="1:12">
      <c r="A1908" s="20" t="s">
        <v>965</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966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929</v>
      </c>
      <c r="B1910" s="27" t="s">
        <v>968</v>
      </c>
      <c r="C1910" s="27" t="s">
        <v>931</v>
      </c>
      <c r="D1910" s="27" t="s">
        <v>932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1511</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1537</v>
      </c>
      <c r="B1912" s="27" t="s">
        <v>991</v>
      </c>
      <c r="C1912" s="27" t="s">
        <v>931</v>
      </c>
      <c r="D1912" s="27" t="s">
        <v>932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1336</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958</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1467</v>
      </c>
      <c r="B1915" s="27" t="s">
        <v>939</v>
      </c>
      <c r="C1915" s="27" t="s">
        <v>999</v>
      </c>
      <c r="D1915" s="27" t="s">
        <v>932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1016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1096</v>
      </c>
      <c r="B1917" s="27" t="s">
        <v>949</v>
      </c>
      <c r="C1917" s="27" t="s">
        <v>1097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1106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16</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1549</v>
      </c>
      <c r="B1920" s="27" t="s">
        <v>1009</v>
      </c>
      <c r="C1920" s="27" t="s">
        <v>931</v>
      </c>
      <c r="D1920" s="27" t="s">
        <v>932</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1176</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934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1567</v>
      </c>
      <c r="B1923" s="27" t="s">
        <v>991</v>
      </c>
      <c r="C1923" s="27" t="s">
        <v>973</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944</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1568</v>
      </c>
      <c r="B1925" s="27" t="s">
        <v>949</v>
      </c>
      <c r="C1925" s="27" t="s">
        <v>946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1569</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1570</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1571</v>
      </c>
      <c r="B1928" s="27" t="s">
        <v>1025</v>
      </c>
      <c r="C1928" s="27" t="s">
        <v>943</v>
      </c>
      <c r="D1928" s="27" t="s">
        <v>932</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16</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966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929</v>
      </c>
      <c r="B1931" s="27" t="s">
        <v>1009</v>
      </c>
      <c r="C1931" s="27" t="s">
        <v>931</v>
      </c>
      <c r="D1931" s="27" t="s">
        <v>932</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1511</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1537</v>
      </c>
      <c r="B1933" s="27" t="s">
        <v>1183</v>
      </c>
      <c r="C1933" s="27" t="s">
        <v>931</v>
      </c>
      <c r="D1933" s="27" t="s">
        <v>932</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936</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1549</v>
      </c>
      <c r="B1935" s="27" t="s">
        <v>930</v>
      </c>
      <c r="C1935" s="27" t="s">
        <v>931</v>
      </c>
      <c r="D1935" s="27" t="s">
        <v>932</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1232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936</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928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929</v>
      </c>
      <c r="B1939" s="27" t="s">
        <v>968</v>
      </c>
      <c r="C1939" s="27" t="s">
        <v>931</v>
      </c>
      <c r="D1939" s="27" t="s">
        <v>932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961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1572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1561</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1573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1574</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1575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1123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1576</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1577</v>
      </c>
      <c r="B1948" s="27" t="s">
        <v>1183</v>
      </c>
      <c r="C1948" s="27" t="s">
        <v>943</v>
      </c>
      <c r="D1948" s="27" t="s">
        <v>932</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936</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1561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1228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944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1228</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936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947</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1578</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938</v>
      </c>
      <c r="B1957" s="27" t="s">
        <v>1025</v>
      </c>
      <c r="C1957" s="27" t="s">
        <v>940</v>
      </c>
      <c r="D1957" s="27" t="s">
        <v>932</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1579</v>
      </c>
      <c r="B1958" s="27" t="s">
        <v>1183</v>
      </c>
      <c r="C1958" s="27" t="s">
        <v>1087</v>
      </c>
      <c r="D1958" s="27" t="s">
        <v>932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1042</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row>
    <row r="1961" spans="1:12">
      <c r="A1961" s="20" t="s">
        <v>1580</v>
      </c>
    </row>
    <row r="1962" spans="1:12">
      <c r="A1962" s="20" t="s">
        <v>929</v>
      </c>
      <c r="B1962" s="27" t="s">
        <v>930</v>
      </c>
      <c r="C1962" s="27" t="s">
        <v>931</v>
      </c>
      <c r="D1962" s="27" t="s">
        <v>932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961</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1572</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947</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1581</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1160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1007</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1117</v>
      </c>
      <c r="B1969" s="27" t="s">
        <v>991</v>
      </c>
      <c r="C1969" s="27" t="s">
        <v>1054</v>
      </c>
      <c r="D1969" s="27" t="s">
        <v>932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938</v>
      </c>
      <c r="B1970" s="27" t="s">
        <v>1078</v>
      </c>
      <c r="C1970" s="27" t="s">
        <v>940</v>
      </c>
      <c r="D1970" s="27" t="s">
        <v>932</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1579</v>
      </c>
      <c r="B1971" s="27" t="s">
        <v>955</v>
      </c>
      <c r="C1971" s="27" t="s">
        <v>1087</v>
      </c>
      <c r="D1971" s="27" t="s">
        <v>932</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961</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1582</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936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1372</v>
      </c>
      <c r="B1975" s="27" t="s">
        <v>955</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970</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936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1561</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1179</v>
      </c>
      <c r="B1979" s="27" t="s">
        <v>968</v>
      </c>
      <c r="C1979" s="27" t="s">
        <v>931</v>
      </c>
      <c r="D1979" s="27" t="s">
        <v>932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1201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1414</v>
      </c>
      <c r="B1981" s="27" t="s">
        <v>942</v>
      </c>
      <c r="C1981" s="27" t="s">
        <v>1111</v>
      </c>
      <c r="D1981" s="27" t="s">
        <v>932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1042</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row>
    <row r="1984" spans="1:12">
      <c r="A1984" s="20" t="s">
        <v>1583</v>
      </c>
    </row>
    <row r="1985" spans="1:12">
      <c r="A1985" s="20" t="s">
        <v>1179</v>
      </c>
      <c r="B1985" s="27" t="s">
        <v>930</v>
      </c>
      <c r="C1985" s="27" t="s">
        <v>931</v>
      </c>
      <c r="D1985" s="27" t="s">
        <v>932</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1201</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1584</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1042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row>
    <row r="1990" spans="1:12">
      <c r="A1990" s="20" t="s">
        <v>1585</v>
      </c>
    </row>
    <row r="1991" spans="1:12">
      <c r="A1991" s="20" t="s">
        <v>1179</v>
      </c>
      <c r="B1991" s="27" t="s">
        <v>930</v>
      </c>
      <c r="C1991" s="27" t="s">
        <v>931</v>
      </c>
      <c r="D1991" s="27" t="s">
        <v>932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286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1114</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1260</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302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947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602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1042</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1561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983</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1586</v>
      </c>
    </row>
    <row r="2003" spans="1:12">
      <c r="A2003" s="20" t="s">
        <v>965</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958</v>
      </c>
      <c r="B2004" s="27" t="s">
        <v>930</v>
      </c>
      <c r="C2004" s="27" t="s">
        <v>1061</v>
      </c>
      <c r="D2004" s="27" t="s">
        <v>932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961</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966</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929</v>
      </c>
      <c r="B2007" s="27" t="s">
        <v>968</v>
      </c>
      <c r="C2007" s="27" t="s">
        <v>931</v>
      </c>
      <c r="D2007" s="27" t="s">
        <v>932</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1587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1311</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1212</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1336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1588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1067</v>
      </c>
      <c r="B2013" s="27" t="s">
        <v>1031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1042</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928</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row>
    <row r="2017" spans="1:12">
      <c r="A2017" s="20" t="s">
        <v>1589</v>
      </c>
    </row>
    <row r="2018" spans="1:12">
      <c r="A2018" s="20" t="s">
        <v>1179</v>
      </c>
      <c r="B2018" s="27" t="s">
        <v>930</v>
      </c>
      <c r="C2018" s="27" t="s">
        <v>931</v>
      </c>
      <c r="D2018" s="27" t="s">
        <v>932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286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1114</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42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937</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1040</v>
      </c>
      <c r="B2023" s="27" t="s">
        <v>942</v>
      </c>
      <c r="C2023" s="27" t="s">
        <v>946</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958</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1175</v>
      </c>
      <c r="B2025" s="27" t="s">
        <v>968</v>
      </c>
      <c r="C2025" s="27" t="s">
        <v>931</v>
      </c>
      <c r="D2025" s="27" t="s">
        <v>932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1590</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1161</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1144</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934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1591</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1592</v>
      </c>
      <c r="B2031" s="27" t="s">
        <v>939</v>
      </c>
      <c r="C2031" s="27" t="s">
        <v>973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944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1201</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1593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1007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1594</v>
      </c>
      <c r="B2036" s="27" t="s">
        <v>991</v>
      </c>
      <c r="C2036" s="27" t="s">
        <v>1054</v>
      </c>
      <c r="D2036" s="27" t="s">
        <v>932</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963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1007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1595</v>
      </c>
      <c r="B2039" s="27" t="s">
        <v>939</v>
      </c>
      <c r="C2039" s="27" t="s">
        <v>1054</v>
      </c>
      <c r="D2039" s="27" t="s">
        <v>932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1000</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934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1596</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1597</v>
      </c>
      <c r="B2043" s="27" t="s">
        <v>949</v>
      </c>
      <c r="C2043" s="27" t="s">
        <v>973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1042</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row>
    <row r="2046" spans="1:12">
      <c r="A2046" s="20" t="s">
        <v>1598</v>
      </c>
    </row>
    <row r="2047" spans="1:12">
      <c r="A2047" s="20" t="s">
        <v>1179</v>
      </c>
      <c r="B2047" s="27" t="s">
        <v>930</v>
      </c>
      <c r="C2047" s="27" t="s">
        <v>931</v>
      </c>
      <c r="D2047" s="27" t="s">
        <v>932</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42</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958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1007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1592</v>
      </c>
      <c r="B2051" s="27" t="s">
        <v>968</v>
      </c>
      <c r="C2051" s="27" t="s">
        <v>1054</v>
      </c>
      <c r="D2051" s="27" t="s">
        <v>932</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1599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1074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1552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1130</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936</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1007</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1592</v>
      </c>
      <c r="B2058" s="27" t="s">
        <v>939</v>
      </c>
      <c r="C2058" s="27" t="s">
        <v>1054</v>
      </c>
      <c r="D2058" s="27" t="s">
        <v>932</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1000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1126</v>
      </c>
      <c r="B2060" s="27" t="s">
        <v>949</v>
      </c>
      <c r="C2060" s="27" t="s">
        <v>946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936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944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958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1412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1175</v>
      </c>
      <c r="B2065" s="27" t="s">
        <v>1009</v>
      </c>
      <c r="C2065" s="27" t="s">
        <v>931</v>
      </c>
      <c r="D2065" s="27" t="s">
        <v>932</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1181</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1593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1600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1042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row>
    <row r="2071" spans="1:12">
      <c r="A2071" s="20" t="s">
        <v>1601</v>
      </c>
    </row>
    <row r="2072" spans="1:12">
      <c r="A2072" s="20" t="s">
        <v>1215</v>
      </c>
      <c r="B2072" s="27" t="s">
        <v>930</v>
      </c>
      <c r="C2072" s="27" t="s">
        <v>931</v>
      </c>
      <c r="D2072" s="27" t="s">
        <v>932</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1176</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1602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947</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1288</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1603</v>
      </c>
      <c r="B2077" s="27" t="s">
        <v>991</v>
      </c>
      <c r="C2077" s="27" t="s">
        <v>946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1069</v>
      </c>
      <c r="B2078" s="27" t="s">
        <v>955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1604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958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1134</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1176</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1309</v>
      </c>
      <c r="B2083" s="27" t="s">
        <v>960</v>
      </c>
      <c r="C2083" s="27" t="s">
        <v>1111</v>
      </c>
      <c r="D2083" s="27" t="s">
        <v>932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1605</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1606</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1000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987</v>
      </c>
      <c r="B2087" s="27" t="s">
        <v>978</v>
      </c>
      <c r="C2087" s="27" t="s">
        <v>931</v>
      </c>
      <c r="D2087" s="27" t="s">
        <v>932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958</v>
      </c>
      <c r="B2088" s="27" t="s">
        <v>1196</v>
      </c>
      <c r="C2088" s="27" t="s">
        <v>1061</v>
      </c>
      <c r="D2088" s="27" t="s">
        <v>932</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1607</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947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36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1608</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936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1012</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954</v>
      </c>
      <c r="B2095" s="27" t="s">
        <v>968</v>
      </c>
      <c r="C2095" s="27" t="s">
        <v>931</v>
      </c>
      <c r="D2095" s="27" t="s">
        <v>932</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1176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1609</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995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1610</v>
      </c>
      <c r="B2099" s="27" t="s">
        <v>939</v>
      </c>
      <c r="C2099" s="27" t="s">
        <v>946</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936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1279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749</v>
      </c>
      <c r="B2102" s="27" t="s">
        <v>1009</v>
      </c>
      <c r="C2102" s="27" t="s">
        <v>931</v>
      </c>
      <c r="D2102" s="27" t="s">
        <v>932</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1611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749</v>
      </c>
      <c r="B2104" s="27" t="s">
        <v>955</v>
      </c>
      <c r="C2104" s="27" t="s">
        <v>931</v>
      </c>
      <c r="D2104" s="27" t="s">
        <v>932</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1201</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1593</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1007</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1612</v>
      </c>
      <c r="B2108" s="27" t="s">
        <v>1031</v>
      </c>
      <c r="C2108" s="27" t="s">
        <v>1054</v>
      </c>
      <c r="D2108" s="27" t="s">
        <v>932</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1042</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1613</v>
      </c>
    </row>
    <row r="2112" spans="1:12">
      <c r="A2112" s="20" t="s">
        <v>1103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1007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1612</v>
      </c>
      <c r="B2114" s="27" t="s">
        <v>930</v>
      </c>
      <c r="C2114" s="27" t="s">
        <v>1054</v>
      </c>
      <c r="D2114" s="27" t="s">
        <v>932</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1614</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1042</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row>
    <row r="2118" spans="1:12">
      <c r="A2118" s="20" t="s">
        <v>983</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1615</v>
      </c>
    </row>
    <row r="2120" spans="1:12">
      <c r="A2120" s="20" t="s">
        <v>929</v>
      </c>
      <c r="B2120" s="27" t="s">
        <v>930</v>
      </c>
      <c r="C2120" s="27" t="s">
        <v>931</v>
      </c>
      <c r="D2120" s="27" t="s">
        <v>932</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1616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1617</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995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958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1618</v>
      </c>
      <c r="B2125" s="27" t="s">
        <v>939</v>
      </c>
      <c r="C2125" s="27" t="s">
        <v>999</v>
      </c>
      <c r="D2125" s="27" t="s">
        <v>932</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1320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928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1103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1007</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1612</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1614</v>
      </c>
      <c r="B2131" s="27" t="s">
        <v>942</v>
      </c>
      <c r="C2131" s="27" t="s">
        <v>1054</v>
      </c>
      <c r="D2131" s="27" t="s">
        <v>932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1042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928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row>
    <row r="2135" spans="1:12">
      <c r="A2135" s="20" t="s">
        <v>1619</v>
      </c>
    </row>
    <row r="2136" spans="1:12">
      <c r="A2136" s="20" t="s">
        <v>965</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929</v>
      </c>
      <c r="B2137" s="27" t="s">
        <v>930</v>
      </c>
      <c r="C2137" s="27" t="s">
        <v>931</v>
      </c>
      <c r="D2137" s="27" t="s">
        <v>932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1620</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936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1271</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929</v>
      </c>
      <c r="B2141" s="27" t="s">
        <v>968</v>
      </c>
      <c r="C2141" s="27" t="s">
        <v>931</v>
      </c>
      <c r="D2141" s="27" t="s">
        <v>932</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1529</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947</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1502</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709</v>
      </c>
      <c r="B2145" s="27" t="s">
        <v>939</v>
      </c>
      <c r="C2145" s="27" t="s">
        <v>946</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936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958</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967</v>
      </c>
      <c r="B2148" s="27" t="s">
        <v>968</v>
      </c>
      <c r="C2148" s="27" t="s">
        <v>931</v>
      </c>
      <c r="D2148" s="27" t="s">
        <v>932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45</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1534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1621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1622</v>
      </c>
      <c r="B2152" s="27" t="s">
        <v>991</v>
      </c>
      <c r="C2152" s="27" t="s">
        <v>1097</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1042</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row>
    <row r="2155" spans="1:12">
      <c r="A2155" s="20" t="s">
        <v>983</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1623</v>
      </c>
    </row>
    <row r="2157" spans="1:12">
      <c r="A2157" s="20" t="s">
        <v>1479</v>
      </c>
      <c r="B2157" s="27" t="s">
        <v>930</v>
      </c>
      <c r="C2157" s="27" t="s">
        <v>946</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1418</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290</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936</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928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1624</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272</v>
      </c>
      <c r="B2163" s="27" t="s">
        <v>968</v>
      </c>
      <c r="C2163" s="27" t="s">
        <v>1097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1625</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1064</v>
      </c>
      <c r="B2165" s="27" t="s">
        <v>991</v>
      </c>
      <c r="C2165" s="27" t="s">
        <v>931</v>
      </c>
      <c r="D2165" s="27" t="s">
        <v>932</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1042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928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row>
    <row r="2169" spans="1:12">
      <c r="A2169" s="20" t="s">
        <v>983</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1626</v>
      </c>
    </row>
    <row r="2171" spans="1:12">
      <c r="A2171" s="20" t="s">
        <v>965</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1175</v>
      </c>
      <c r="B2172" s="27" t="s">
        <v>930</v>
      </c>
      <c r="C2172" s="27" t="s">
        <v>931</v>
      </c>
      <c r="D2172" s="27" t="s">
        <v>932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290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936</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928</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929</v>
      </c>
      <c r="B2176" s="27" t="s">
        <v>968</v>
      </c>
      <c r="C2176" s="27" t="s">
        <v>931</v>
      </c>
      <c r="D2176" s="27" t="s">
        <v>932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903</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1175</v>
      </c>
      <c r="B2178" s="27" t="s">
        <v>991</v>
      </c>
      <c r="C2178" s="27" t="s">
        <v>931</v>
      </c>
      <c r="D2178" s="27" t="s">
        <v>932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936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1627</v>
      </c>
      <c r="B2180" s="27" t="s">
        <v>1025</v>
      </c>
      <c r="C2180" s="27" t="s">
        <v>940</v>
      </c>
      <c r="D2180" s="27" t="s">
        <v>932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1430</v>
      </c>
      <c r="B2181" s="27" t="s">
        <v>1009</v>
      </c>
      <c r="C2181" s="27" t="s">
        <v>1087</v>
      </c>
      <c r="D2181" s="27" t="s">
        <v>932</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1625</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1175</v>
      </c>
      <c r="B2183" s="27" t="s">
        <v>1183</v>
      </c>
      <c r="C2183" s="27" t="s">
        <v>931</v>
      </c>
      <c r="D2183" s="27" t="s">
        <v>932</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936</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1627</v>
      </c>
      <c r="B2185" s="27" t="s">
        <v>1025</v>
      </c>
      <c r="C2185" s="27" t="s">
        <v>940</v>
      </c>
      <c r="D2185" s="27" t="s">
        <v>932</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1086</v>
      </c>
      <c r="B2186" s="27" t="s">
        <v>1009</v>
      </c>
      <c r="C2186" s="27" t="s">
        <v>1087</v>
      </c>
      <c r="D2186" s="27" t="s">
        <v>932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1625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1175</v>
      </c>
      <c r="B2188" s="27" t="s">
        <v>1183</v>
      </c>
      <c r="C2188" s="27" t="s">
        <v>931</v>
      </c>
      <c r="D2188" s="27" t="s">
        <v>932</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1042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928</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1628</v>
      </c>
    </row>
    <row r="2193" spans="1:12">
      <c r="A2193" s="20" t="s">
        <v>1179</v>
      </c>
      <c r="B2193" s="27" t="s">
        <v>930</v>
      </c>
      <c r="C2193" s="27" t="s">
        <v>931</v>
      </c>
      <c r="D2193" s="27" t="s">
        <v>932</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1230</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339</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958</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272</v>
      </c>
      <c r="B2197" s="27" t="s">
        <v>988</v>
      </c>
      <c r="C2197" s="27" t="s">
        <v>999</v>
      </c>
      <c r="D2197" s="27" t="s">
        <v>932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1629</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1630</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936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1032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1631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1063</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1185</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709</v>
      </c>
      <c r="B2205" s="27" t="s">
        <v>942</v>
      </c>
      <c r="C2205" s="27" t="s">
        <v>946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1042</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row>
    <row r="2208" spans="1:12">
      <c r="A2208" s="20" t="s">
        <v>983</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1632</v>
      </c>
    </row>
    <row r="2210" spans="1:12">
      <c r="A2210" s="20" t="s">
        <v>1103</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709</v>
      </c>
      <c r="B2211" s="27" t="s">
        <v>930</v>
      </c>
      <c r="C2211" s="27" t="s">
        <v>946</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1069</v>
      </c>
      <c r="B2212" s="27" t="s">
        <v>1009</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1201</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1223</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1418</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1315</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290</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936</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928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1624</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1633</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1261</v>
      </c>
      <c r="B2222" s="27" t="s">
        <v>991</v>
      </c>
      <c r="C2222" s="27" t="s">
        <v>1121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749</v>
      </c>
      <c r="B2223" s="27" t="s">
        <v>955</v>
      </c>
      <c r="C2223" s="27" t="s">
        <v>931</v>
      </c>
      <c r="D2223" s="27" t="s">
        <v>932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286</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936</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749</v>
      </c>
      <c r="B2226" s="27" t="s">
        <v>968</v>
      </c>
      <c r="C2226" s="27" t="s">
        <v>931</v>
      </c>
      <c r="D2226" s="27" t="s">
        <v>932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1181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969</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1264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980</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947</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49</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937</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1007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1351</v>
      </c>
      <c r="B2235" s="27" t="s">
        <v>949</v>
      </c>
      <c r="C2235" s="27" t="s">
        <v>1054</v>
      </c>
      <c r="D2235" s="27" t="s">
        <v>932</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1042</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928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row>
    <row r="2239" spans="1:12">
      <c r="A2239" s="20" t="s">
        <v>983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1634</v>
      </c>
    </row>
    <row r="2241" spans="1:12">
      <c r="A2241" s="20" t="s">
        <v>1155</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967</v>
      </c>
      <c r="B2242" s="27" t="s">
        <v>930</v>
      </c>
      <c r="C2242" s="27" t="s">
        <v>931</v>
      </c>
      <c r="D2242" s="27" t="s">
        <v>932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1227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290</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936</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928</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1434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1230</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36</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1388</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1635</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1636</v>
      </c>
      <c r="B2252" s="27" t="s">
        <v>968</v>
      </c>
      <c r="C2252" s="27" t="s">
        <v>1097</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1501</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1338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1637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1638</v>
      </c>
      <c r="B2256" s="27" t="s">
        <v>949</v>
      </c>
      <c r="C2256" s="27" t="s">
        <v>1097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1042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row>
    <row r="2259" spans="1:12">
      <c r="A2259" s="20" t="s">
        <v>983</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1639</v>
      </c>
    </row>
    <row r="2261" spans="1:12">
      <c r="A2261" s="20" t="s">
        <v>1640</v>
      </c>
      <c r="B2261" s="27" t="s">
        <v>930</v>
      </c>
      <c r="C2261" s="27" t="s">
        <v>1087</v>
      </c>
      <c r="D2261" s="27" t="s">
        <v>932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1000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1387</v>
      </c>
      <c r="B2263" s="27" t="s">
        <v>939</v>
      </c>
      <c r="C2263" s="27" t="s">
        <v>931</v>
      </c>
      <c r="D2263" s="27" t="s">
        <v>932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1056</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1641</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937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1642</v>
      </c>
      <c r="B2267" s="27" t="s">
        <v>939</v>
      </c>
      <c r="C2267" s="27" t="s">
        <v>940</v>
      </c>
      <c r="D2267" s="27" t="s">
        <v>932</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1643</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1644</v>
      </c>
      <c r="B2269" s="27" t="s">
        <v>942</v>
      </c>
      <c r="C2269" s="27" t="s">
        <v>1087</v>
      </c>
      <c r="D2269" s="27" t="s">
        <v>932</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1042</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928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983</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1645</v>
      </c>
    </row>
    <row r="2275" spans="1:12">
      <c r="A2275" s="20" t="s">
        <v>1646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1372</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1175</v>
      </c>
      <c r="B2277" s="27" t="s">
        <v>930</v>
      </c>
      <c r="C2277" s="27" t="s">
        <v>931</v>
      </c>
      <c r="D2277" s="27" t="s">
        <v>932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45</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947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290</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936</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928</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1647</v>
      </c>
      <c r="B2283" s="27" t="s">
        <v>968</v>
      </c>
      <c r="C2283" s="27" t="s">
        <v>1061</v>
      </c>
      <c r="D2283" s="27" t="s">
        <v>932</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1176</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1635</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936</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1012</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929</v>
      </c>
      <c r="B2288" s="27" t="s">
        <v>1009</v>
      </c>
      <c r="C2288" s="27" t="s">
        <v>931</v>
      </c>
      <c r="D2288" s="27" t="s">
        <v>932</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42</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749</v>
      </c>
      <c r="B2290" s="27" t="s">
        <v>955</v>
      </c>
      <c r="C2290" s="27" t="s">
        <v>931</v>
      </c>
      <c r="D2290" s="27" t="s">
        <v>932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1157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1648</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1649</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1412</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1144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1261</v>
      </c>
      <c r="B2296" s="27" t="s">
        <v>1031</v>
      </c>
      <c r="C2296" s="27" t="s">
        <v>1121</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947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45</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1063</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1650</v>
      </c>
      <c r="B2300" s="27" t="s">
        <v>978</v>
      </c>
      <c r="C2300" s="27" t="s">
        <v>946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1042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928</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1651</v>
      </c>
    </row>
    <row r="2305" spans="1:12">
      <c r="A2305" s="20" t="s">
        <v>1652</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1653</v>
      </c>
      <c r="B2306" s="27" t="s">
        <v>942</v>
      </c>
      <c r="C2306" s="27" t="s">
        <v>943</v>
      </c>
      <c r="D2306" s="27" t="s">
        <v>932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1654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row>
    <row r="2309" spans="1:12">
      <c r="A2309" s="20" t="s">
        <v>1655</v>
      </c>
    </row>
    <row r="2310" spans="1:12">
      <c r="A2310" s="20" t="s">
        <v>1656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1152</v>
      </c>
      <c r="B2311" s="27" t="s">
        <v>930</v>
      </c>
      <c r="C2311" s="27" t="s">
        <v>973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1000</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1007</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1239</v>
      </c>
      <c r="B2314" s="27" t="s">
        <v>939</v>
      </c>
      <c r="C2314" s="27" t="s">
        <v>1054</v>
      </c>
      <c r="D2314" s="27" t="s">
        <v>932</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936</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1261</v>
      </c>
      <c r="B2316" s="27" t="s">
        <v>1183</v>
      </c>
      <c r="C2316" s="27" t="s">
        <v>1121</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967</v>
      </c>
      <c r="B2317" s="27" t="s">
        <v>1009</v>
      </c>
      <c r="C2317" s="27" t="s">
        <v>931</v>
      </c>
      <c r="D2317" s="27" t="s">
        <v>932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1201</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1657</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1056</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1125</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1546</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936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1012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1658</v>
      </c>
      <c r="B2325" s="27" t="s">
        <v>942</v>
      </c>
      <c r="C2325" s="27" t="s">
        <v>946</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936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944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272</v>
      </c>
      <c r="B2328" s="27" t="s">
        <v>968</v>
      </c>
      <c r="C2328" s="27" t="s">
        <v>1332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1659</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947</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42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1261</v>
      </c>
      <c r="B2332" s="27" t="s">
        <v>955</v>
      </c>
      <c r="C2332" s="27" t="s">
        <v>1121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1176</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1587</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1660</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1056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958</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1185</v>
      </c>
      <c r="B2338" s="27" t="s">
        <v>968</v>
      </c>
      <c r="C2338" s="27" t="s">
        <v>1087</v>
      </c>
      <c r="D2338" s="27" t="s">
        <v>932</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1000</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1387</v>
      </c>
      <c r="B2340" s="27" t="s">
        <v>949</v>
      </c>
      <c r="C2340" s="27" t="s">
        <v>931</v>
      </c>
      <c r="D2340" s="27" t="s">
        <v>932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28</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1336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996</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1661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1662</v>
      </c>
      <c r="B2345" s="27" t="s">
        <v>939</v>
      </c>
      <c r="C2345" s="27" t="s">
        <v>999</v>
      </c>
      <c r="D2345" s="27" t="s">
        <v>932</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944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967</v>
      </c>
      <c r="B2347" s="27" t="s">
        <v>1009</v>
      </c>
      <c r="C2347" s="27" t="s">
        <v>931</v>
      </c>
      <c r="D2347" s="27" t="s">
        <v>932</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286</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1114</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1663</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1387</v>
      </c>
      <c r="B2351" s="27" t="s">
        <v>1183</v>
      </c>
      <c r="C2351" s="27" t="s">
        <v>931</v>
      </c>
      <c r="D2351" s="27" t="s">
        <v>932</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1399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1136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1042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row>
    <row r="2356" spans="1:12">
      <c r="A2356" s="20" t="s">
        <v>1664</v>
      </c>
    </row>
    <row r="2357" spans="1:12">
      <c r="A2357" s="20" t="s">
        <v>1434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961</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934</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1665</v>
      </c>
      <c r="B2360" s="27" t="s">
        <v>930</v>
      </c>
      <c r="C2360" s="27" t="s">
        <v>973</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929</v>
      </c>
      <c r="B2361" s="27" t="s">
        <v>1009</v>
      </c>
      <c r="C2361" s="27" t="s">
        <v>931</v>
      </c>
      <c r="D2361" s="27" t="s">
        <v>932</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1666</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1667</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937</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1372</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934</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1668</v>
      </c>
      <c r="B2367" s="27" t="s">
        <v>955</v>
      </c>
      <c r="C2367" s="27" t="s">
        <v>973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1000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1223</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944</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934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1668</v>
      </c>
      <c r="B2372" s="27" t="s">
        <v>978</v>
      </c>
      <c r="C2372" s="27" t="s">
        <v>973</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1000</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1669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709</v>
      </c>
      <c r="B2375" s="27" t="s">
        <v>1246</v>
      </c>
      <c r="C2375" s="27" t="s">
        <v>946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970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1670</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947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1383</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934</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1671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1672</v>
      </c>
      <c r="B2382" s="27" t="s">
        <v>982</v>
      </c>
      <c r="C2382" s="27" t="s">
        <v>973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1063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1013</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130</v>
      </c>
      <c r="B2385" s="27" t="s">
        <v>1078</v>
      </c>
      <c r="C2385" s="27" t="s">
        <v>973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936</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944</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1032</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1007</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1351</v>
      </c>
      <c r="B2390" s="27" t="s">
        <v>978</v>
      </c>
      <c r="C2390" s="27" t="s">
        <v>1054</v>
      </c>
      <c r="D2390" s="27" t="s">
        <v>932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1000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1007</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130</v>
      </c>
      <c r="B2393" s="27" t="s">
        <v>1246</v>
      </c>
      <c r="C2393" s="27" t="s">
        <v>1054</v>
      </c>
      <c r="D2393" s="27" t="s">
        <v>932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936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967</v>
      </c>
      <c r="B2395" s="27" t="s">
        <v>1200</v>
      </c>
      <c r="C2395" s="27" t="s">
        <v>931</v>
      </c>
      <c r="D2395" s="27" t="s">
        <v>932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970</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1670</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1335</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1534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1459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1673</v>
      </c>
      <c r="B2401" s="27" t="s">
        <v>1167</v>
      </c>
      <c r="C2401" s="27" t="s">
        <v>1097</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967</v>
      </c>
      <c r="B2402" s="27" t="s">
        <v>1251</v>
      </c>
      <c r="C2402" s="27" t="s">
        <v>931</v>
      </c>
      <c r="D2402" s="27" t="s">
        <v>932</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977</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967</v>
      </c>
      <c r="B2404" s="27" t="s">
        <v>1491</v>
      </c>
      <c r="C2404" s="27" t="s">
        <v>931</v>
      </c>
      <c r="D2404" s="27" t="s">
        <v>932</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1065</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1674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1042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1675</v>
      </c>
    </row>
    <row r="2410" spans="1:12">
      <c r="A2410" s="20" t="s">
        <v>1123</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1502</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1668</v>
      </c>
      <c r="B2412" s="27" t="s">
        <v>930</v>
      </c>
      <c r="C2412" s="27" t="s">
        <v>1054</v>
      </c>
      <c r="D2412" s="27" t="s">
        <v>932</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961</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1676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1677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947</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1678</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1336</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52</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1679</v>
      </c>
      <c r="B2420" s="27" t="s">
        <v>939</v>
      </c>
      <c r="C2420" s="27" t="s">
        <v>1097</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936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944</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1007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1669</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709</v>
      </c>
      <c r="B2425" s="27" t="s">
        <v>968</v>
      </c>
      <c r="C2425" s="27" t="s">
        <v>1054</v>
      </c>
      <c r="D2425" s="27" t="s">
        <v>932</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1680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1501</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18</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944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92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1681</v>
      </c>
      <c r="B2431" s="27" t="s">
        <v>949</v>
      </c>
      <c r="C2431" s="27" t="s">
        <v>1097</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1271</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1534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1459</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1673</v>
      </c>
      <c r="B2435" s="27" t="s">
        <v>939</v>
      </c>
      <c r="C2435" s="27" t="s">
        <v>1097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16</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1271</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967</v>
      </c>
      <c r="B2438" s="27" t="s">
        <v>1009</v>
      </c>
      <c r="C2438" s="27" t="s">
        <v>931</v>
      </c>
      <c r="D2438" s="27" t="s">
        <v>932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1065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1374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1674</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1042</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1682</v>
      </c>
    </row>
    <row r="2445" spans="1:12">
      <c r="A2445" s="20" t="s">
        <v>1656</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1152</v>
      </c>
      <c r="B2446" s="27" t="s">
        <v>930</v>
      </c>
      <c r="C2446" s="27" t="s">
        <v>973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1000</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709</v>
      </c>
      <c r="B2448" s="27" t="s">
        <v>939</v>
      </c>
      <c r="C2448" s="27" t="s">
        <v>946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1232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936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966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929</v>
      </c>
      <c r="B2452" s="27" t="s">
        <v>955</v>
      </c>
      <c r="C2452" s="27" t="s">
        <v>931</v>
      </c>
      <c r="D2452" s="27" t="s">
        <v>932</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1683</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947</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1684</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1336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938</v>
      </c>
      <c r="B2457" s="27" t="s">
        <v>978</v>
      </c>
      <c r="C2457" s="27" t="s">
        <v>940</v>
      </c>
      <c r="D2457" s="27" t="s">
        <v>932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1040</v>
      </c>
      <c r="B2458" s="27" t="s">
        <v>1078</v>
      </c>
      <c r="C2458" s="27" t="s">
        <v>1087</v>
      </c>
      <c r="D2458" s="27" t="s">
        <v>932</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936</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958</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954</v>
      </c>
      <c r="B2461" s="27" t="s">
        <v>1009</v>
      </c>
      <c r="C2461" s="27" t="s">
        <v>931</v>
      </c>
      <c r="D2461" s="27" t="s">
        <v>932</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1685</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36</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1399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1609</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947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36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1160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1000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958</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1686</v>
      </c>
      <c r="B2471" s="27" t="s">
        <v>949</v>
      </c>
      <c r="C2471" s="27" t="s">
        <v>999</v>
      </c>
      <c r="D2471" s="27" t="s">
        <v>932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936</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947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45</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709</v>
      </c>
      <c r="B2475" s="27" t="s">
        <v>968</v>
      </c>
      <c r="C2475" s="27" t="s">
        <v>946</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28</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1042</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row>
    <row r="2479" spans="1:12">
      <c r="A2479" s="20" t="s">
        <v>983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1687</v>
      </c>
    </row>
    <row r="2481" spans="1:12">
      <c r="A2481" s="20" t="s">
        <v>1398</v>
      </c>
      <c r="B2481" s="27" t="s">
        <v>930</v>
      </c>
      <c r="C2481" s="27" t="s">
        <v>931</v>
      </c>
      <c r="D2481" s="27" t="s">
        <v>932</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1232</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936</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928</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1688</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709</v>
      </c>
      <c r="B2486" s="27" t="s">
        <v>968</v>
      </c>
      <c r="C2486" s="27" t="s">
        <v>946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384</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947</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1175</v>
      </c>
      <c r="B2489" s="27" t="s">
        <v>939</v>
      </c>
      <c r="C2489" s="27" t="s">
        <v>931</v>
      </c>
      <c r="D2489" s="27" t="s">
        <v>932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1689</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1325</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928</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row>
    <row r="2494" spans="1:12">
      <c r="A2494" s="20" t="s">
        <v>983</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1690</v>
      </c>
    </row>
    <row r="2496" spans="1:12">
      <c r="A2496" s="20" t="s">
        <v>929</v>
      </c>
      <c r="B2496" s="27" t="s">
        <v>930</v>
      </c>
      <c r="C2496" s="27" t="s">
        <v>931</v>
      </c>
      <c r="D2496" s="27" t="s">
        <v>932</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1232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936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928</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1691</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936</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709</v>
      </c>
      <c r="B2502" s="27" t="s">
        <v>968</v>
      </c>
      <c r="C2502" s="27" t="s">
        <v>946</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384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947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1064</v>
      </c>
      <c r="B2505" s="27" t="s">
        <v>939</v>
      </c>
      <c r="C2505" s="27" t="s">
        <v>931</v>
      </c>
      <c r="D2505" s="27" t="s">
        <v>932</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1689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1042</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1692</v>
      </c>
    </row>
    <row r="2510" spans="1:12">
      <c r="A2510" s="20" t="s">
        <v>1398</v>
      </c>
      <c r="B2510" s="27" t="s">
        <v>930</v>
      </c>
      <c r="C2510" s="27" t="s">
        <v>931</v>
      </c>
      <c r="D2510" s="27" t="s">
        <v>932</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384</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947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1064</v>
      </c>
      <c r="B2513" s="27" t="s">
        <v>942</v>
      </c>
      <c r="C2513" s="27" t="s">
        <v>931</v>
      </c>
      <c r="D2513" s="27" t="s">
        <v>932</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1689</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1693</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1271</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967</v>
      </c>
      <c r="B2517" s="27" t="s">
        <v>968</v>
      </c>
      <c r="C2517" s="27" t="s">
        <v>931</v>
      </c>
      <c r="D2517" s="27" t="s">
        <v>932</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139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1694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1064</v>
      </c>
      <c r="B2520" s="27" t="s">
        <v>1183</v>
      </c>
      <c r="C2520" s="27" t="s">
        <v>931</v>
      </c>
      <c r="D2520" s="27" t="s">
        <v>932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1336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1188</v>
      </c>
      <c r="B2522" s="27" t="s">
        <v>1025</v>
      </c>
      <c r="C2522" s="27" t="s">
        <v>940</v>
      </c>
      <c r="D2522" s="27" t="s">
        <v>932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1467</v>
      </c>
      <c r="B2523" s="27" t="s">
        <v>949</v>
      </c>
      <c r="C2523" s="27" t="s">
        <v>1087</v>
      </c>
      <c r="D2523" s="27" t="s">
        <v>932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936</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1242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1188</v>
      </c>
      <c r="B2526" s="27" t="s">
        <v>978</v>
      </c>
      <c r="C2526" s="27" t="s">
        <v>940</v>
      </c>
      <c r="D2526" s="27" t="s">
        <v>932</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1695</v>
      </c>
      <c r="B2527" s="27" t="s">
        <v>1078</v>
      </c>
      <c r="C2527" s="27" t="s">
        <v>1087</v>
      </c>
      <c r="D2527" s="27" t="s">
        <v>932</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1176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1467</v>
      </c>
      <c r="B2529" s="27" t="s">
        <v>1025</v>
      </c>
      <c r="C2529" s="27" t="s">
        <v>1087</v>
      </c>
      <c r="D2529" s="27" t="s">
        <v>932</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936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1242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1188</v>
      </c>
      <c r="B2532" s="27" t="s">
        <v>978</v>
      </c>
      <c r="C2532" s="27" t="s">
        <v>940</v>
      </c>
      <c r="D2532" s="27" t="s">
        <v>932</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1532</v>
      </c>
      <c r="B2533" s="27" t="s">
        <v>1078</v>
      </c>
      <c r="C2533" s="27" t="s">
        <v>1087</v>
      </c>
      <c r="D2533" s="27" t="s">
        <v>932</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1176</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1467</v>
      </c>
      <c r="B2535" s="27" t="s">
        <v>1025</v>
      </c>
      <c r="C2535" s="27" t="s">
        <v>1087</v>
      </c>
      <c r="D2535" s="27" t="s">
        <v>932</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1042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1696</v>
      </c>
    </row>
    <row r="2539" spans="1:12">
      <c r="A2539" s="20" t="s">
        <v>1697</v>
      </c>
      <c r="B2539" s="27" t="s">
        <v>930</v>
      </c>
      <c r="C2539" s="27" t="s">
        <v>946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1201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1698</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1279</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1412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929</v>
      </c>
      <c r="B2544" s="27" t="s">
        <v>968</v>
      </c>
      <c r="C2544" s="27" t="s">
        <v>931</v>
      </c>
      <c r="D2544" s="27" t="s">
        <v>932</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28</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958</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1040</v>
      </c>
      <c r="B2547" s="27" t="s">
        <v>1009</v>
      </c>
      <c r="C2547" s="27" t="s">
        <v>946</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1056</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1007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1699</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1700</v>
      </c>
      <c r="B2551" s="27" t="s">
        <v>939</v>
      </c>
      <c r="C2551" s="27" t="s">
        <v>1054</v>
      </c>
      <c r="D2551" s="27" t="s">
        <v>932</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958</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1701</v>
      </c>
      <c r="B2553" s="27" t="s">
        <v>955</v>
      </c>
      <c r="C2553" s="27" t="s">
        <v>1332</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1599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1042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983</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1702</v>
      </c>
    </row>
    <row r="2559" spans="1:12">
      <c r="A2559" s="20" t="s">
        <v>929</v>
      </c>
      <c r="B2559" s="27" t="s">
        <v>930</v>
      </c>
      <c r="C2559" s="27" t="s">
        <v>931</v>
      </c>
      <c r="D2559" s="27" t="s">
        <v>932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1340</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934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1703</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1096</v>
      </c>
      <c r="B2563" s="27" t="s">
        <v>939</v>
      </c>
      <c r="C2563" s="27" t="s">
        <v>973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1413</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947</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934</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1704</v>
      </c>
      <c r="B2567" s="27" t="s">
        <v>942</v>
      </c>
      <c r="C2567" s="27" t="s">
        <v>973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936</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944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1144</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1705</v>
      </c>
      <c r="B2571" s="27" t="s">
        <v>942</v>
      </c>
      <c r="C2571" s="27" t="s">
        <v>943</v>
      </c>
      <c r="D2571" s="27" t="s">
        <v>932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1000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1007</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1105</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1275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1704</v>
      </c>
      <c r="B2577" s="27" t="s">
        <v>939</v>
      </c>
      <c r="C2577" s="27" t="s">
        <v>1054</v>
      </c>
      <c r="D2577" s="27" t="s">
        <v>932</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936</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272</v>
      </c>
      <c r="B2579" s="27" t="s">
        <v>968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1000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1007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1706</v>
      </c>
      <c r="B2582" s="27" t="s">
        <v>949</v>
      </c>
      <c r="C2582" s="27" t="s">
        <v>1054</v>
      </c>
      <c r="D2582" s="27" t="s">
        <v>932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1707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1064</v>
      </c>
      <c r="B2584" s="27" t="s">
        <v>991</v>
      </c>
      <c r="C2584" s="27" t="s">
        <v>931</v>
      </c>
      <c r="D2584" s="27" t="s">
        <v>932</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1708</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936</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944</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1549</v>
      </c>
      <c r="B2588" s="27" t="s">
        <v>968</v>
      </c>
      <c r="C2588" s="27" t="s">
        <v>931</v>
      </c>
      <c r="D2588" s="27" t="s">
        <v>932</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1232</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936</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928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929</v>
      </c>
      <c r="B2592" s="27" t="s">
        <v>1009</v>
      </c>
      <c r="C2592" s="27" t="s">
        <v>931</v>
      </c>
      <c r="D2592" s="27" t="s">
        <v>932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1709</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1095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1040</v>
      </c>
      <c r="B2595" s="27" t="s">
        <v>949</v>
      </c>
      <c r="C2595" s="27" t="s">
        <v>946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944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929</v>
      </c>
      <c r="B2597" s="27" t="s">
        <v>955</v>
      </c>
      <c r="C2597" s="27" t="s">
        <v>931</v>
      </c>
      <c r="D2597" s="27" t="s">
        <v>932</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1305</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934</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1459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1710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1336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954</v>
      </c>
      <c r="B2603" s="27" t="s">
        <v>1025</v>
      </c>
      <c r="C2603" s="27" t="s">
        <v>931</v>
      </c>
      <c r="D2603" s="27" t="s">
        <v>932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936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1012</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929</v>
      </c>
      <c r="B2606" s="27" t="s">
        <v>968</v>
      </c>
      <c r="C2606" s="27" t="s">
        <v>931</v>
      </c>
      <c r="D2606" s="27" t="s">
        <v>932</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1590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1074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1711</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1317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1327</v>
      </c>
      <c r="B2611" s="27" t="s">
        <v>991</v>
      </c>
      <c r="C2611" s="27" t="s">
        <v>999</v>
      </c>
      <c r="D2611" s="27" t="s">
        <v>932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936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944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929</v>
      </c>
      <c r="B2614" s="27" t="s">
        <v>1009</v>
      </c>
      <c r="C2614" s="27" t="s">
        <v>931</v>
      </c>
      <c r="D2614" s="27" t="s">
        <v>932</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1264</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1119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947</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466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1175</v>
      </c>
      <c r="B2619" s="27" t="s">
        <v>1031</v>
      </c>
      <c r="C2619" s="27" t="s">
        <v>931</v>
      </c>
      <c r="D2619" s="27" t="s">
        <v>932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1261</v>
      </c>
      <c r="B2620" s="27" t="s">
        <v>982</v>
      </c>
      <c r="C2620" s="27" t="s">
        <v>1121</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1175</v>
      </c>
      <c r="B2621" s="27" t="s">
        <v>960</v>
      </c>
      <c r="C2621" s="27" t="s">
        <v>931</v>
      </c>
      <c r="D2621" s="27" t="s">
        <v>932</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42</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1325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928</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row>
    <row r="2626" spans="1:12">
      <c r="A2626" s="20" t="s">
        <v>1712</v>
      </c>
    </row>
    <row r="2627" spans="1:12">
      <c r="A2627" s="20" t="s">
        <v>965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1209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929</v>
      </c>
      <c r="B2629" s="27" t="s">
        <v>930</v>
      </c>
      <c r="C2629" s="27" t="s">
        <v>931</v>
      </c>
      <c r="D2629" s="27" t="s">
        <v>932</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1113</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938</v>
      </c>
      <c r="B2631" s="27" t="s">
        <v>942</v>
      </c>
      <c r="C2631" s="27" t="s">
        <v>940</v>
      </c>
      <c r="D2631" s="27" t="s">
        <v>932</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396</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947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1713</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1537</v>
      </c>
      <c r="B2635" s="27" t="s">
        <v>991</v>
      </c>
      <c r="C2635" s="27" t="s">
        <v>931</v>
      </c>
      <c r="D2635" s="27" t="s">
        <v>932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1058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1714</v>
      </c>
      <c r="B2637" s="27" t="s">
        <v>991</v>
      </c>
      <c r="C2637" s="27" t="s">
        <v>1061</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1271</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929</v>
      </c>
      <c r="B2639" s="27" t="s">
        <v>1009</v>
      </c>
      <c r="C2639" s="27" t="s">
        <v>931</v>
      </c>
      <c r="D2639" s="27" t="s">
        <v>932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1070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1042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row>
    <row r="2643" spans="1:12">
      <c r="A2643" s="20" t="s">
        <v>983</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1715</v>
      </c>
    </row>
    <row r="2645" spans="1:12">
      <c r="A2645" s="20" t="s">
        <v>965</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985</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1549</v>
      </c>
      <c r="B2647" s="27" t="s">
        <v>930</v>
      </c>
      <c r="C2647" s="27" t="s">
        <v>931</v>
      </c>
      <c r="D2647" s="27" t="s">
        <v>932</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1232</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936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928</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1179</v>
      </c>
      <c r="B2651" s="27" t="s">
        <v>1009</v>
      </c>
      <c r="C2651" s="27" t="s">
        <v>931</v>
      </c>
      <c r="D2651" s="27" t="s">
        <v>932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28</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936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938</v>
      </c>
      <c r="B2654" s="27" t="s">
        <v>949</v>
      </c>
      <c r="C2654" s="27" t="s">
        <v>940</v>
      </c>
      <c r="D2654" s="27" t="s">
        <v>932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1716</v>
      </c>
      <c r="B2655" s="27" t="s">
        <v>968</v>
      </c>
      <c r="C2655" s="27" t="s">
        <v>1087</v>
      </c>
      <c r="D2655" s="27" t="s">
        <v>932</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1138</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1717</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181</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1317</v>
      </c>
      <c r="B2659" s="27" t="s">
        <v>991</v>
      </c>
      <c r="C2659" s="27" t="s">
        <v>1061</v>
      </c>
      <c r="D2659" s="27" t="s">
        <v>932</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1042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row>
    <row r="2662" spans="1:12">
      <c r="A2662" s="20" t="s">
        <v>983</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1718</v>
      </c>
    </row>
    <row r="2664" spans="1:12">
      <c r="A2664" s="20" t="s">
        <v>1719</v>
      </c>
      <c r="B2664" s="27" t="s">
        <v>930</v>
      </c>
      <c r="C2664" s="27" t="s">
        <v>931</v>
      </c>
      <c r="D2664" s="27" t="s">
        <v>932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1176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1587</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1007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1216</v>
      </c>
      <c r="B2668" s="27" t="s">
        <v>942</v>
      </c>
      <c r="C2668" s="27" t="s">
        <v>1054</v>
      </c>
      <c r="D2668" s="27" t="s">
        <v>932</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1000</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1720</v>
      </c>
      <c r="B2670" s="27" t="s">
        <v>942</v>
      </c>
      <c r="C2670" s="27" t="s">
        <v>946</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947</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1721</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1317</v>
      </c>
      <c r="B2673" s="27" t="s">
        <v>968</v>
      </c>
      <c r="C2673" s="27" t="s">
        <v>1061</v>
      </c>
      <c r="D2673" s="27" t="s">
        <v>932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1138</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1114</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451</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1116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1722</v>
      </c>
      <c r="B2678" s="27" t="s">
        <v>991</v>
      </c>
      <c r="C2678" s="27" t="s">
        <v>973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936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1209</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936</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1175</v>
      </c>
      <c r="B2682" s="27" t="s">
        <v>968</v>
      </c>
      <c r="C2682" s="27" t="s">
        <v>931</v>
      </c>
      <c r="D2682" s="27" t="s">
        <v>932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28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936</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954</v>
      </c>
      <c r="B2685" s="27" t="s">
        <v>968</v>
      </c>
      <c r="C2685" s="27" t="s">
        <v>931</v>
      </c>
      <c r="D2685" s="27" t="s">
        <v>932</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1176</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1264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1501</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1387</v>
      </c>
      <c r="B2689" s="27" t="s">
        <v>942</v>
      </c>
      <c r="C2689" s="27" t="s">
        <v>931</v>
      </c>
      <c r="D2689" s="27" t="s">
        <v>932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1042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928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row>
    <row r="2693" spans="1:12">
      <c r="A2693" s="20" t="s">
        <v>1723</v>
      </c>
    </row>
    <row r="2694" spans="1:12">
      <c r="A2694" s="20" t="s">
        <v>965</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929</v>
      </c>
      <c r="B2695" s="27" t="s">
        <v>930</v>
      </c>
      <c r="C2695" s="27" t="s">
        <v>931</v>
      </c>
      <c r="D2695" s="27" t="s">
        <v>932</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1232</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936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row>
    <row r="2699" spans="1:12">
      <c r="A2699" s="20" t="s">
        <v>983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1724</v>
      </c>
    </row>
    <row r="2701" spans="1:12">
      <c r="A2701" s="20" t="s">
        <v>928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1691</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936</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958</v>
      </c>
      <c r="B2704" s="27" t="s">
        <v>930</v>
      </c>
      <c r="C2704" s="27" t="s">
        <v>1061</v>
      </c>
      <c r="D2704" s="27" t="s">
        <v>932</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1176</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1725</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1042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928</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row>
    <row r="2710" spans="1:12">
      <c r="A2710" s="20" t="s">
        <v>983</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1726</v>
      </c>
    </row>
    <row r="2712" spans="1:12">
      <c r="A2712" s="20" t="s">
        <v>1727</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1728</v>
      </c>
      <c r="B2713" s="27" t="s">
        <v>942</v>
      </c>
      <c r="C2713" s="27" t="s">
        <v>943</v>
      </c>
      <c r="D2713" s="27" t="s">
        <v>932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1000</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1007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997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1704</v>
      </c>
      <c r="B2717" s="27" t="s">
        <v>939</v>
      </c>
      <c r="C2717" s="27" t="s">
        <v>1054</v>
      </c>
      <c r="D2717" s="27" t="s">
        <v>932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936</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1537</v>
      </c>
      <c r="B2719" s="27" t="s">
        <v>939</v>
      </c>
      <c r="C2719" s="27" t="s">
        <v>940</v>
      </c>
      <c r="D2719" s="27" t="s">
        <v>932</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1716</v>
      </c>
      <c r="B2720" s="27" t="s">
        <v>930</v>
      </c>
      <c r="C2720" s="27" t="s">
        <v>1087</v>
      </c>
      <c r="D2720" s="27" t="s">
        <v>932</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1707</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1064</v>
      </c>
      <c r="B2722" s="27" t="s">
        <v>988</v>
      </c>
      <c r="C2722" s="27" t="s">
        <v>931</v>
      </c>
      <c r="D2722" s="27" t="s">
        <v>932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1708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936</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944</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1729</v>
      </c>
      <c r="B2726" s="27" t="s">
        <v>968</v>
      </c>
      <c r="C2726" s="27" t="s">
        <v>931</v>
      </c>
      <c r="D2726" s="27" t="s">
        <v>932</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1232</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936</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928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1085</v>
      </c>
      <c r="B2730" s="27" t="s">
        <v>1025</v>
      </c>
      <c r="C2730" s="27" t="s">
        <v>940</v>
      </c>
      <c r="D2730" s="27" t="s">
        <v>932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1430</v>
      </c>
      <c r="B2731" s="27" t="s">
        <v>1009</v>
      </c>
      <c r="C2731" s="27" t="s">
        <v>1087</v>
      </c>
      <c r="D2731" s="27" t="s">
        <v>932</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1138</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1114</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42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958</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929</v>
      </c>
      <c r="B2736" s="27" t="s">
        <v>955</v>
      </c>
      <c r="C2736" s="27" t="s">
        <v>931</v>
      </c>
      <c r="D2736" s="27" t="s">
        <v>932</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961</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1587</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1136</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1000</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934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1720</v>
      </c>
      <c r="B2742" s="27" t="s">
        <v>1025</v>
      </c>
      <c r="C2742" s="27" t="s">
        <v>973</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1072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1549</v>
      </c>
      <c r="B2744" s="27" t="s">
        <v>1200</v>
      </c>
      <c r="C2744" s="27" t="s">
        <v>931</v>
      </c>
      <c r="D2744" s="27" t="s">
        <v>932</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1345</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1317</v>
      </c>
      <c r="B2746" s="27" t="s">
        <v>1167</v>
      </c>
      <c r="C2746" s="27" t="s">
        <v>1061</v>
      </c>
      <c r="D2746" s="27" t="s">
        <v>932</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936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1012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929</v>
      </c>
      <c r="B2749" s="27" t="s">
        <v>1196</v>
      </c>
      <c r="C2749" s="27" t="s">
        <v>931</v>
      </c>
      <c r="D2749" s="27" t="s">
        <v>932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1590</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1074</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1730</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995</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1317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1040</v>
      </c>
      <c r="B2755" s="27" t="s">
        <v>1246</v>
      </c>
      <c r="C2755" s="27" t="s">
        <v>999</v>
      </c>
      <c r="D2755" s="27" t="s">
        <v>932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944</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929</v>
      </c>
      <c r="B2757" s="27" t="s">
        <v>1196</v>
      </c>
      <c r="C2757" s="27" t="s">
        <v>931</v>
      </c>
      <c r="D2757" s="27" t="s">
        <v>932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1305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1711</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1016</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1327</v>
      </c>
      <c r="B2761" s="27" t="s">
        <v>1390</v>
      </c>
      <c r="C2761" s="27" t="s">
        <v>1097</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936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944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929</v>
      </c>
      <c r="B2764" s="27" t="s">
        <v>1196</v>
      </c>
      <c r="C2764" s="27" t="s">
        <v>931</v>
      </c>
      <c r="D2764" s="27" t="s">
        <v>932</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1731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1261</v>
      </c>
      <c r="B2766" s="27" t="s">
        <v>1250</v>
      </c>
      <c r="C2766" s="27" t="s">
        <v>1121</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1175</v>
      </c>
      <c r="B2767" s="27" t="s">
        <v>1251</v>
      </c>
      <c r="C2767" s="27" t="s">
        <v>931</v>
      </c>
      <c r="D2767" s="27" t="s">
        <v>932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42</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1325</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928</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row>
    <row r="2772" spans="1:12">
      <c r="A2772" s="20" t="s">
        <v>1732</v>
      </c>
    </row>
    <row r="2773" spans="1:12">
      <c r="A2773" s="20" t="s">
        <v>1398</v>
      </c>
      <c r="B2773" s="27" t="s">
        <v>930</v>
      </c>
      <c r="C2773" s="27" t="s">
        <v>931</v>
      </c>
      <c r="D2773" s="27" t="s">
        <v>932</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970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1733</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1007</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997</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1327</v>
      </c>
      <c r="B2778" s="27" t="s">
        <v>988</v>
      </c>
      <c r="C2778" s="27" t="s">
        <v>1054</v>
      </c>
      <c r="D2778" s="27" t="s">
        <v>932</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937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1338</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1698</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1734</v>
      </c>
      <c r="B2782" s="27" t="s">
        <v>942</v>
      </c>
      <c r="C2782" s="27" t="s">
        <v>1097</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937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1007</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997</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1735</v>
      </c>
      <c r="B2786" s="27" t="s">
        <v>939</v>
      </c>
      <c r="C2786" s="27" t="s">
        <v>1054</v>
      </c>
      <c r="D2786" s="27" t="s">
        <v>932</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1042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row>
    <row r="2789" spans="1:12">
      <c r="A2789" s="20" t="s">
        <v>1736</v>
      </c>
    </row>
    <row r="2790" spans="1:12">
      <c r="A2790" s="20" t="s">
        <v>965</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929</v>
      </c>
      <c r="B2791" s="27" t="s">
        <v>930</v>
      </c>
      <c r="C2791" s="27" t="s">
        <v>931</v>
      </c>
      <c r="D2791" s="27" t="s">
        <v>932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1232</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958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929</v>
      </c>
      <c r="B2794" s="27" t="s">
        <v>968</v>
      </c>
      <c r="C2794" s="27" t="s">
        <v>931</v>
      </c>
      <c r="D2794" s="27" t="s">
        <v>932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977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1737</v>
      </c>
      <c r="B2796" s="27" t="s">
        <v>1009</v>
      </c>
      <c r="C2796" s="27" t="s">
        <v>946</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1678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1007</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1738</v>
      </c>
      <c r="B2799" s="27" t="s">
        <v>1025</v>
      </c>
      <c r="C2799" s="27" t="s">
        <v>1054</v>
      </c>
      <c r="D2799" s="27" t="s">
        <v>932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1739</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36</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1740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1016</v>
      </c>
      <c r="B2803" s="27" t="s">
        <v>1183</v>
      </c>
      <c r="C2803" s="27" t="s">
        <v>1087</v>
      </c>
      <c r="D2803" s="27" t="s">
        <v>932</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1000</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1188</v>
      </c>
      <c r="B2805" s="27" t="s">
        <v>1078</v>
      </c>
      <c r="C2805" s="27" t="s">
        <v>940</v>
      </c>
      <c r="D2805" s="27" t="s">
        <v>932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1741</v>
      </c>
      <c r="B2806" s="27" t="s">
        <v>1025</v>
      </c>
      <c r="C2806" s="27" t="s">
        <v>1087</v>
      </c>
      <c r="D2806" s="27" t="s">
        <v>932</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1042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row>
    <row r="2809" spans="1:12">
      <c r="A2809" s="20" t="s">
        <v>1742</v>
      </c>
    </row>
    <row r="2810" spans="1:12">
      <c r="A2810" s="20" t="s">
        <v>1103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929</v>
      </c>
      <c r="B2811" s="27" t="s">
        <v>930</v>
      </c>
      <c r="C2811" s="27" t="s">
        <v>931</v>
      </c>
      <c r="D2811" s="27" t="s">
        <v>932</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961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1315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1743</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1472</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1007</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1744</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1745</v>
      </c>
      <c r="B2818" s="27" t="s">
        <v>942</v>
      </c>
      <c r="C2818" s="27" t="s">
        <v>1054</v>
      </c>
      <c r="D2818" s="27" t="s">
        <v>932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1000</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1058</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1746</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1747</v>
      </c>
      <c r="B2822" s="27" t="s">
        <v>939</v>
      </c>
      <c r="C2822" s="27" t="s">
        <v>1061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1042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row>
    <row r="2825" spans="1:12">
      <c r="A2825" s="20" t="s">
        <v>1748</v>
      </c>
    </row>
    <row r="2826" spans="1:12">
      <c r="A2826" s="20" t="s">
        <v>1425</v>
      </c>
      <c r="B2826" s="27" t="s">
        <v>930</v>
      </c>
      <c r="C2826" s="27" t="s">
        <v>943</v>
      </c>
      <c r="D2826" s="27" t="s">
        <v>932</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1056</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1209</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1749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1042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row>
    <row r="2832" spans="1:12">
      <c r="A2832" s="20" t="s">
        <v>1750</v>
      </c>
    </row>
    <row r="2833" spans="1:12">
      <c r="A2833" s="20" t="s">
        <v>1215</v>
      </c>
      <c r="B2833" s="27" t="s">
        <v>930</v>
      </c>
      <c r="C2833" s="27" t="s">
        <v>931</v>
      </c>
      <c r="D2833" s="27" t="s">
        <v>932</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1751</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1164</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1209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1136</v>
      </c>
      <c r="B2837" s="27" t="s">
        <v>988</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1000</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1627</v>
      </c>
      <c r="B2839" s="27" t="s">
        <v>949</v>
      </c>
      <c r="C2839" s="27" t="s">
        <v>940</v>
      </c>
      <c r="D2839" s="27" t="s">
        <v>932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1239</v>
      </c>
      <c r="B2840" s="27" t="s">
        <v>939</v>
      </c>
      <c r="C2840" s="27" t="s">
        <v>1087</v>
      </c>
      <c r="D2840" s="27" t="s">
        <v>932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944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1752</v>
      </c>
      <c r="B2842" s="27" t="s">
        <v>949</v>
      </c>
      <c r="C2842" s="27" t="s">
        <v>946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936</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944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1753</v>
      </c>
      <c r="B2845" s="27" t="s">
        <v>939</v>
      </c>
      <c r="C2845" s="27" t="s">
        <v>946</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1336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954</v>
      </c>
      <c r="B2847" s="27" t="s">
        <v>949</v>
      </c>
      <c r="C2847" s="27" t="s">
        <v>931</v>
      </c>
      <c r="D2847" s="27" t="s">
        <v>932</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936</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954</v>
      </c>
      <c r="B2849" s="27" t="s">
        <v>968</v>
      </c>
      <c r="C2849" s="27" t="s">
        <v>931</v>
      </c>
      <c r="D2849" s="27" t="s">
        <v>932</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1587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1252</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451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1007</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1040</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1754</v>
      </c>
      <c r="B2855" s="27" t="s">
        <v>991</v>
      </c>
      <c r="C2855" s="27" t="s">
        <v>1054</v>
      </c>
      <c r="D2855" s="27" t="s">
        <v>932</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1042</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row>
    <row r="2858" spans="1:12">
      <c r="A2858" s="20" t="s">
        <v>1755</v>
      </c>
    </row>
    <row r="2859" spans="1:12">
      <c r="A2859" s="20" t="s">
        <v>965</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985</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929</v>
      </c>
      <c r="B2861" s="27" t="s">
        <v>930</v>
      </c>
      <c r="C2861" s="27" t="s">
        <v>931</v>
      </c>
      <c r="D2861" s="27" t="s">
        <v>932</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1004</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1212</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1336</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969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1007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1756</v>
      </c>
      <c r="B2867" s="27" t="s">
        <v>991</v>
      </c>
      <c r="C2867" s="27" t="s">
        <v>1054</v>
      </c>
      <c r="D2867" s="27" t="s">
        <v>932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709</v>
      </c>
      <c r="B2868" s="27" t="s">
        <v>955</v>
      </c>
      <c r="C2868" s="27" t="s">
        <v>946</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451</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1192</v>
      </c>
      <c r="B2870" s="27" t="s">
        <v>1031</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1460</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1042</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1757</v>
      </c>
    </row>
    <row r="2875" spans="1:12">
      <c r="A2875" s="20" t="s">
        <v>929</v>
      </c>
      <c r="B2875" s="27" t="s">
        <v>930</v>
      </c>
      <c r="C2875" s="27" t="s">
        <v>931</v>
      </c>
      <c r="D2875" s="27" t="s">
        <v>932</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1073</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1311</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1553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1271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934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1758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1759</v>
      </c>
      <c r="B2882" s="27" t="s">
        <v>942</v>
      </c>
      <c r="C2882" s="27" t="s">
        <v>973</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1042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row>
    <row r="2885" spans="1:12">
      <c r="A2885" s="20" t="s">
        <v>1760</v>
      </c>
    </row>
    <row r="2886" spans="1:12">
      <c r="A2886" s="20" t="s">
        <v>929</v>
      </c>
      <c r="B2886" s="27" t="s">
        <v>930</v>
      </c>
      <c r="C2886" s="27" t="s">
        <v>931</v>
      </c>
      <c r="D2886" s="27" t="s">
        <v>932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977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1134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970</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934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1703</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1761</v>
      </c>
      <c r="B2892" s="27" t="s">
        <v>968</v>
      </c>
      <c r="C2892" s="27" t="s">
        <v>973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1000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1313</v>
      </c>
      <c r="B2894" s="27" t="s">
        <v>949</v>
      </c>
      <c r="C2894" s="27" t="s">
        <v>946</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958</v>
      </c>
      <c r="B2895" s="27" t="s">
        <v>960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1762</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936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954</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961</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1763</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1261</v>
      </c>
      <c r="B2901" s="27" t="s">
        <v>1183</v>
      </c>
      <c r="C2901" s="27" t="s">
        <v>1121</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967</v>
      </c>
      <c r="B2902" s="27" t="s">
        <v>960</v>
      </c>
      <c r="C2902" s="27" t="s">
        <v>931</v>
      </c>
      <c r="D2902" s="27" t="s">
        <v>932</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970</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1134</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961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1327</v>
      </c>
      <c r="B2907" s="27" t="s">
        <v>1009</v>
      </c>
      <c r="C2907" s="27" t="s">
        <v>946</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936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1134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970</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1764</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1765</v>
      </c>
      <c r="B2912" s="27" t="s">
        <v>968</v>
      </c>
      <c r="C2912" s="27" t="s">
        <v>946</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936</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1134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961</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1766</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1767</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1358</v>
      </c>
      <c r="B2918" s="27" t="s">
        <v>968</v>
      </c>
      <c r="C2918" s="27" t="s">
        <v>946</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936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944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958</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72</v>
      </c>
      <c r="B2922" s="27" t="s">
        <v>1009</v>
      </c>
      <c r="C2922" s="27" t="s">
        <v>1111</v>
      </c>
      <c r="D2922" s="27" t="s">
        <v>932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1333</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961</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1768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1042</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row>
    <row r="2928" spans="1:12">
      <c r="A2928" s="20" t="s">
        <v>1769</v>
      </c>
    </row>
    <row r="2929" spans="1:12">
      <c r="A2929" s="20" t="s">
        <v>1103</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985</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929</v>
      </c>
      <c r="B2931" s="27" t="s">
        <v>930</v>
      </c>
      <c r="C2931" s="27" t="s">
        <v>931</v>
      </c>
      <c r="D2931" s="27" t="s">
        <v>932</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1620</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1309</v>
      </c>
      <c r="B2933" s="27" t="s">
        <v>988</v>
      </c>
      <c r="C2933" s="27" t="s">
        <v>1111</v>
      </c>
      <c r="D2933" s="27" t="s">
        <v>932</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1042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row>
    <row r="2936" spans="1:12">
      <c r="A2936" s="20" t="s">
        <v>1770</v>
      </c>
    </row>
    <row r="2937" spans="1:12">
      <c r="A2937" s="20" t="s">
        <v>1221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1175</v>
      </c>
      <c r="B2938" s="27" t="s">
        <v>968</v>
      </c>
      <c r="C2938" s="27" t="s">
        <v>931</v>
      </c>
      <c r="D2938" s="27" t="s">
        <v>932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45</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1771</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1772</v>
      </c>
      <c r="B2941" s="27" t="s">
        <v>991</v>
      </c>
      <c r="C2941" s="27" t="s">
        <v>946</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936</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944</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1175</v>
      </c>
      <c r="B2944" s="27" t="s">
        <v>1009</v>
      </c>
      <c r="C2944" s="27" t="s">
        <v>931</v>
      </c>
      <c r="D2944" s="27" t="s">
        <v>932</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290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958</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1773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1144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1627</v>
      </c>
      <c r="B2949" s="27" t="s">
        <v>1246</v>
      </c>
      <c r="C2949" s="27" t="s">
        <v>940</v>
      </c>
      <c r="D2949" s="27" t="s">
        <v>932</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1774</v>
      </c>
      <c r="B2950" s="27" t="s">
        <v>978</v>
      </c>
      <c r="C2950" s="27" t="s">
        <v>1087</v>
      </c>
      <c r="D2950" s="27" t="s">
        <v>932</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1063</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92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1775</v>
      </c>
      <c r="B2953" s="27" t="s">
        <v>978</v>
      </c>
      <c r="C2953" s="27" t="s">
        <v>1097</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1033</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1776</v>
      </c>
      <c r="B2955" s="27" t="s">
        <v>955</v>
      </c>
      <c r="C2955" s="27" t="s">
        <v>1035</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1777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1175</v>
      </c>
      <c r="B2957" s="27" t="s">
        <v>1031</v>
      </c>
      <c r="C2957" s="27" t="s">
        <v>931</v>
      </c>
      <c r="D2957" s="27" t="s">
        <v>932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1460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936</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954</v>
      </c>
      <c r="B2961" s="27" t="s">
        <v>930</v>
      </c>
      <c r="C2961" s="27" t="s">
        <v>931</v>
      </c>
      <c r="D2961" s="27" t="s">
        <v>932</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1778</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451</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1175</v>
      </c>
      <c r="B2964" s="27" t="s">
        <v>988</v>
      </c>
      <c r="C2964" s="27" t="s">
        <v>931</v>
      </c>
      <c r="D2964" s="27" t="s">
        <v>932</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13</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1460</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936</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1012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1175</v>
      </c>
      <c r="B2969" s="27" t="s">
        <v>968</v>
      </c>
      <c r="C2969" s="27" t="s">
        <v>931</v>
      </c>
      <c r="D2969" s="27" t="s">
        <v>932</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1455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45</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1771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1772</v>
      </c>
      <c r="B2973" s="27" t="s">
        <v>991</v>
      </c>
      <c r="C2973" s="27" t="s">
        <v>946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936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944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1175</v>
      </c>
      <c r="B2976" s="27" t="s">
        <v>968</v>
      </c>
      <c r="C2976" s="27" t="s">
        <v>931</v>
      </c>
      <c r="D2976" s="27" t="s">
        <v>932</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1227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1455</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1461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49</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1095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954</v>
      </c>
      <c r="B2982" s="27" t="s">
        <v>939</v>
      </c>
      <c r="C2982" s="27" t="s">
        <v>931</v>
      </c>
      <c r="D2982" s="27" t="s">
        <v>932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1042</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1779</v>
      </c>
    </row>
    <row r="2986" spans="1:12">
      <c r="A2986" s="20" t="s">
        <v>1103</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1072</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1175</v>
      </c>
      <c r="B2988" s="27" t="s">
        <v>1009</v>
      </c>
      <c r="C2988" s="27" t="s">
        <v>931</v>
      </c>
      <c r="D2988" s="27" t="s">
        <v>932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290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958</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1175</v>
      </c>
      <c r="B2991" s="27" t="s">
        <v>955</v>
      </c>
      <c r="C2991" s="27" t="s">
        <v>931</v>
      </c>
      <c r="D2991" s="27" t="s">
        <v>932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45</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1040</v>
      </c>
      <c r="B2993" s="27" t="s">
        <v>1031</v>
      </c>
      <c r="C2993" s="27" t="s">
        <v>946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936</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944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1773</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1144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1627</v>
      </c>
      <c r="B2998" s="27" t="s">
        <v>1078</v>
      </c>
      <c r="C2998" s="27" t="s">
        <v>940</v>
      </c>
      <c r="D2998" s="27" t="s">
        <v>932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1774</v>
      </c>
      <c r="B2999" s="27" t="s">
        <v>1025</v>
      </c>
      <c r="C2999" s="27" t="s">
        <v>1087</v>
      </c>
      <c r="D2999" s="27" t="s">
        <v>932</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1063</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92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1775</v>
      </c>
      <c r="B3002" s="27" t="s">
        <v>1025</v>
      </c>
      <c r="C3002" s="27" t="s">
        <v>1097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1033</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1275</v>
      </c>
      <c r="B3004" s="27" t="s">
        <v>1025</v>
      </c>
      <c r="C3004" s="27" t="s">
        <v>1035</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1777</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1175</v>
      </c>
      <c r="B3006" s="27" t="s">
        <v>991</v>
      </c>
      <c r="C3006" s="27" t="s">
        <v>931</v>
      </c>
      <c r="D3006" s="27" t="s">
        <v>932</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13</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1460</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936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985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954</v>
      </c>
      <c r="B3011" s="27" t="s">
        <v>930</v>
      </c>
      <c r="C3011" s="27" t="s">
        <v>931</v>
      </c>
      <c r="D3011" s="27" t="s">
        <v>932</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1176</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1762</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936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1279</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1040</v>
      </c>
      <c r="B3016" s="27" t="s">
        <v>968</v>
      </c>
      <c r="C3016" s="27" t="s">
        <v>946</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1056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1013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1546</v>
      </c>
      <c r="B3019" s="27" t="s">
        <v>942</v>
      </c>
      <c r="C3019" s="27" t="s">
        <v>973</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1000</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1335</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1175</v>
      </c>
      <c r="B3022" s="27" t="s">
        <v>1009</v>
      </c>
      <c r="C3022" s="27" t="s">
        <v>931</v>
      </c>
      <c r="D3022" s="27" t="s">
        <v>932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13</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936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944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1072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1175</v>
      </c>
      <c r="B3027" s="27" t="s">
        <v>960</v>
      </c>
      <c r="C3027" s="27" t="s">
        <v>931</v>
      </c>
      <c r="D3027" s="27" t="s">
        <v>932</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13</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1460</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936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985</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1175</v>
      </c>
      <c r="B3032" s="27" t="s">
        <v>955</v>
      </c>
      <c r="C3032" s="27" t="s">
        <v>931</v>
      </c>
      <c r="D3032" s="27" t="s">
        <v>932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1201</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1780</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1125</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1223</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1781</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1042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row>
    <row r="3040" spans="1:12">
      <c r="A3040" s="20" t="s">
        <v>1782</v>
      </c>
    </row>
    <row r="3041" spans="1:12">
      <c r="A3041" s="20" t="s">
        <v>1783</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929</v>
      </c>
      <c r="B3042" s="27" t="s">
        <v>930</v>
      </c>
      <c r="C3042" s="27" t="s">
        <v>931</v>
      </c>
      <c r="D3042" s="27" t="s">
        <v>932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1616</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1136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1329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1784</v>
      </c>
      <c r="B3046" s="27" t="s">
        <v>988</v>
      </c>
      <c r="C3046" s="27" t="s">
        <v>946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1000</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1007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1785</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1594</v>
      </c>
      <c r="B3050" s="27" t="s">
        <v>939</v>
      </c>
      <c r="C3050" s="27" t="s">
        <v>1054</v>
      </c>
      <c r="D3050" s="27" t="s">
        <v>932</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1000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1786</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1395</v>
      </c>
      <c r="B3053" s="27" t="s">
        <v>949</v>
      </c>
      <c r="C3053" s="27" t="s">
        <v>946</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1042</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row>
    <row r="3056" spans="1:12">
      <c r="A3056" s="20" t="s">
        <v>1787</v>
      </c>
    </row>
    <row r="3057" spans="1:12">
      <c r="A3057" s="20" t="s">
        <v>965</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929</v>
      </c>
      <c r="B3058" s="27" t="s">
        <v>930</v>
      </c>
      <c r="C3058" s="27" t="s">
        <v>931</v>
      </c>
      <c r="D3058" s="27" t="s">
        <v>932</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462</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1788</v>
      </c>
      <c r="B3060" s="27" t="s">
        <v>988</v>
      </c>
      <c r="C3060" s="27" t="s">
        <v>946</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936</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929</v>
      </c>
      <c r="B3062" s="27" t="s">
        <v>968</v>
      </c>
      <c r="C3062" s="27" t="s">
        <v>931</v>
      </c>
      <c r="D3062" s="27" t="s">
        <v>932</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462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1789</v>
      </c>
      <c r="B3064" s="27" t="s">
        <v>991</v>
      </c>
      <c r="C3064" s="27" t="s">
        <v>946</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1000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1788</v>
      </c>
      <c r="B3066" s="27" t="s">
        <v>949</v>
      </c>
      <c r="C3066" s="27" t="s">
        <v>946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1095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709</v>
      </c>
      <c r="B3068" s="27" t="s">
        <v>939</v>
      </c>
      <c r="C3068" s="27" t="s">
        <v>946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1790</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947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242</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1064</v>
      </c>
      <c r="B3072" s="27" t="s">
        <v>1031</v>
      </c>
      <c r="C3072" s="27" t="s">
        <v>931</v>
      </c>
      <c r="D3072" s="27" t="s">
        <v>932</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1336</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1261</v>
      </c>
      <c r="B3074" s="27" t="s">
        <v>960</v>
      </c>
      <c r="C3074" s="27" t="s">
        <v>1121</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1176</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1762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1063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987</v>
      </c>
      <c r="B3078" s="27" t="s">
        <v>1078</v>
      </c>
      <c r="C3078" s="27" t="s">
        <v>931</v>
      </c>
      <c r="D3078" s="27" t="s">
        <v>932</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1042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row>
    <row r="3081" spans="1:12">
      <c r="A3081" s="20" t="s">
        <v>1791</v>
      </c>
    </row>
    <row r="3082" spans="1:12">
      <c r="A3082" s="20" t="s">
        <v>1792</v>
      </c>
      <c r="B3082" s="27" t="s">
        <v>930</v>
      </c>
      <c r="C3082" s="27" t="s">
        <v>1332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961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1793</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1064</v>
      </c>
      <c r="B3085" s="27" t="s">
        <v>988</v>
      </c>
      <c r="C3085" s="27" t="s">
        <v>931</v>
      </c>
      <c r="D3085" s="27" t="s">
        <v>932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1794</v>
      </c>
      <c r="B3086" s="27" t="s">
        <v>988</v>
      </c>
      <c r="C3086" s="27" t="s">
        <v>946</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1795</v>
      </c>
      <c r="B3087" s="27" t="s">
        <v>942</v>
      </c>
      <c r="C3087" s="27" t="s">
        <v>946</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1336</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1796</v>
      </c>
      <c r="B3089" s="27" t="s">
        <v>942</v>
      </c>
      <c r="C3089" s="27" t="s">
        <v>946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1042</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row>
    <row r="3092" spans="1:12">
      <c r="A3092" s="20" t="s">
        <v>1797</v>
      </c>
    </row>
    <row r="3093" spans="1:12">
      <c r="A3093" s="20" t="s">
        <v>1085</v>
      </c>
      <c r="B3093" s="27" t="s">
        <v>939</v>
      </c>
      <c r="C3093" s="27" t="s">
        <v>940</v>
      </c>
      <c r="D3093" s="27" t="s">
        <v>932</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1798</v>
      </c>
      <c r="B3094" s="27" t="s">
        <v>930</v>
      </c>
      <c r="C3094" s="27" t="s">
        <v>1087</v>
      </c>
      <c r="D3094" s="27" t="s">
        <v>932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1000</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1007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1788</v>
      </c>
      <c r="B3097" s="27" t="s">
        <v>939</v>
      </c>
      <c r="C3097" s="27" t="s">
        <v>1054</v>
      </c>
      <c r="D3097" s="27" t="s">
        <v>932</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958</v>
      </c>
      <c r="B3098" s="27" t="s">
        <v>1031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929</v>
      </c>
      <c r="B3099" s="27" t="s">
        <v>955</v>
      </c>
      <c r="C3099" s="27" t="s">
        <v>931</v>
      </c>
      <c r="D3099" s="27" t="s">
        <v>932</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1099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961</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1007</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272</v>
      </c>
      <c r="B3103" s="27" t="s">
        <v>942</v>
      </c>
      <c r="C3103" s="27" t="s">
        <v>1054</v>
      </c>
      <c r="D3103" s="27" t="s">
        <v>932</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958</v>
      </c>
      <c r="B3104" s="27" t="s">
        <v>968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1799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1095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934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1800</v>
      </c>
      <c r="B3108" s="27" t="s">
        <v>939</v>
      </c>
      <c r="C3108" s="27" t="s">
        <v>973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1069</v>
      </c>
      <c r="B3109" s="27" t="s">
        <v>955</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1801</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944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1232</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958</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1549</v>
      </c>
      <c r="B3114" s="27" t="s">
        <v>1200</v>
      </c>
      <c r="C3114" s="27" t="s">
        <v>931</v>
      </c>
      <c r="D3114" s="27" t="s">
        <v>932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1065</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1802</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1313</v>
      </c>
      <c r="B3117" s="27" t="s">
        <v>1167</v>
      </c>
      <c r="C3117" s="27" t="s">
        <v>946</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936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1327</v>
      </c>
      <c r="B3119" s="27" t="s">
        <v>1246</v>
      </c>
      <c r="C3119" s="27" t="s">
        <v>946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936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1549</v>
      </c>
      <c r="B3121" s="27" t="s">
        <v>960</v>
      </c>
      <c r="C3121" s="27" t="s">
        <v>931</v>
      </c>
      <c r="D3121" s="27" t="s">
        <v>932</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1065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1802</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1629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1136</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72</v>
      </c>
      <c r="B3126" s="27" t="s">
        <v>982</v>
      </c>
      <c r="C3126" s="27" t="s">
        <v>1111</v>
      </c>
      <c r="D3126" s="27" t="s">
        <v>932</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936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944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1549</v>
      </c>
      <c r="B3129" s="27" t="s">
        <v>960</v>
      </c>
      <c r="C3129" s="27" t="s">
        <v>931</v>
      </c>
      <c r="D3129" s="27" t="s">
        <v>932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1065</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1107</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934</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1803</v>
      </c>
      <c r="B3133" s="27" t="s">
        <v>982</v>
      </c>
      <c r="C3133" s="27" t="s">
        <v>973</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944</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1804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929</v>
      </c>
      <c r="B3136" s="27" t="s">
        <v>1200</v>
      </c>
      <c r="C3136" s="27" t="s">
        <v>931</v>
      </c>
      <c r="D3136" s="27" t="s">
        <v>932</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1138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242</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1007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1594</v>
      </c>
      <c r="B3140" s="27" t="s">
        <v>1167</v>
      </c>
      <c r="C3140" s="27" t="s">
        <v>1054</v>
      </c>
      <c r="D3140" s="27" t="s">
        <v>932</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936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944</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958</v>
      </c>
      <c r="B3143" s="27" t="s">
        <v>968</v>
      </c>
      <c r="C3143" s="27" t="s">
        <v>1061</v>
      </c>
      <c r="D3143" s="27" t="s">
        <v>932</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961</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1328</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1459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1117</v>
      </c>
      <c r="B3147" s="27" t="s">
        <v>991</v>
      </c>
      <c r="C3147" s="27" t="s">
        <v>946</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1095</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1805</v>
      </c>
      <c r="B3149" s="27" t="s">
        <v>939</v>
      </c>
      <c r="C3149" s="27" t="s">
        <v>946</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1042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row>
    <row r="3152" spans="1:12">
      <c r="A3152" s="20" t="s">
        <v>1806</v>
      </c>
    </row>
    <row r="3153" spans="1:12">
      <c r="A3153" s="20" t="s">
        <v>1544</v>
      </c>
      <c r="B3153" s="27" t="s">
        <v>930</v>
      </c>
      <c r="C3153" s="27" t="s">
        <v>931</v>
      </c>
      <c r="D3153" s="27" t="s">
        <v>932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1075</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1064</v>
      </c>
      <c r="B3155" s="27" t="s">
        <v>988</v>
      </c>
      <c r="C3155" s="27" t="s">
        <v>931</v>
      </c>
      <c r="D3155" s="27" t="s">
        <v>932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1016</v>
      </c>
      <c r="B3156" s="27" t="s">
        <v>988</v>
      </c>
      <c r="C3156" s="27" t="s">
        <v>1087</v>
      </c>
      <c r="D3156" s="27" t="s">
        <v>932</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1000</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987</v>
      </c>
      <c r="B3158" s="27" t="s">
        <v>939</v>
      </c>
      <c r="C3158" s="27" t="s">
        <v>931</v>
      </c>
      <c r="D3158" s="27" t="s">
        <v>932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1042</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1807</v>
      </c>
    </row>
    <row r="3162" spans="1:12">
      <c r="A3162" s="20" t="s">
        <v>965</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929</v>
      </c>
      <c r="B3163" s="27" t="s">
        <v>930</v>
      </c>
      <c r="C3163" s="27" t="s">
        <v>931</v>
      </c>
      <c r="D3163" s="27" t="s">
        <v>932</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1305</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1125</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1808</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987</v>
      </c>
      <c r="B3167" s="27" t="s">
        <v>988</v>
      </c>
      <c r="C3167" s="27" t="s">
        <v>931</v>
      </c>
      <c r="D3167" s="27" t="s">
        <v>932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1649</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1412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1042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row>
    <row r="3172" spans="1:12">
      <c r="A3172" s="20" t="s">
        <v>1809</v>
      </c>
    </row>
    <row r="3173" spans="1:12">
      <c r="A3173" s="20" t="s">
        <v>929</v>
      </c>
      <c r="B3173" s="27" t="s">
        <v>930</v>
      </c>
      <c r="C3173" s="27" t="s">
        <v>931</v>
      </c>
      <c r="D3173" s="27" t="s">
        <v>932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1810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947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1537</v>
      </c>
      <c r="B3176" s="27" t="s">
        <v>942</v>
      </c>
      <c r="C3176" s="27" t="s">
        <v>931</v>
      </c>
      <c r="D3176" s="27" t="s">
        <v>932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958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1549</v>
      </c>
      <c r="B3178" s="27" t="s">
        <v>968</v>
      </c>
      <c r="C3178" s="27" t="s">
        <v>931</v>
      </c>
      <c r="D3178" s="27" t="s">
        <v>932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1315</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1157</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1811</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1164</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1812</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1813</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1814</v>
      </c>
      <c r="B3185" s="27" t="s">
        <v>991</v>
      </c>
      <c r="C3185" s="27" t="s">
        <v>946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937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1007</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1815</v>
      </c>
      <c r="B3188" s="27" t="s">
        <v>949</v>
      </c>
      <c r="C3188" s="27" t="s">
        <v>1054</v>
      </c>
      <c r="D3188" s="27" t="s">
        <v>932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1042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row>
    <row r="3191" spans="1:12">
      <c r="A3191" s="20" t="s">
        <v>1816</v>
      </c>
    </row>
    <row r="3192" spans="1:12">
      <c r="A3192" s="20" t="s">
        <v>965</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1199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936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966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929</v>
      </c>
      <c r="B3196" s="27" t="s">
        <v>968</v>
      </c>
      <c r="C3196" s="27" t="s">
        <v>931</v>
      </c>
      <c r="D3196" s="27" t="s">
        <v>932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1340</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947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1811</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1032</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1786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1395</v>
      </c>
      <c r="B3202" s="27" t="s">
        <v>949</v>
      </c>
      <c r="C3202" s="27" t="s">
        <v>946</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936</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929</v>
      </c>
      <c r="B3204" s="27" t="s">
        <v>930</v>
      </c>
      <c r="C3204" s="27" t="s">
        <v>931</v>
      </c>
      <c r="D3204" s="27" t="s">
        <v>932</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1315</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1817</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1818</v>
      </c>
      <c r="B3207" s="27" t="s">
        <v>988</v>
      </c>
      <c r="C3207" s="27" t="s">
        <v>946</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1144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942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1395</v>
      </c>
      <c r="B3210" s="27" t="s">
        <v>942</v>
      </c>
      <c r="C3210" s="27" t="s">
        <v>946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1042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row>
    <row r="3213" spans="1:12">
      <c r="A3213" s="20" t="s">
        <v>983</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1819</v>
      </c>
    </row>
    <row r="3215" spans="1:12">
      <c r="A3215" s="20" t="s">
        <v>929</v>
      </c>
      <c r="B3215" s="27" t="s">
        <v>930</v>
      </c>
      <c r="C3215" s="27" t="s">
        <v>931</v>
      </c>
      <c r="D3215" s="27" t="s">
        <v>932</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1340</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963</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934</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1820</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1821</v>
      </c>
      <c r="B3220" s="27" t="s">
        <v>942</v>
      </c>
      <c r="C3220" s="27" t="s">
        <v>973</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937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1822</v>
      </c>
      <c r="B3222" s="27" t="s">
        <v>939</v>
      </c>
      <c r="C3222" s="27" t="s">
        <v>943</v>
      </c>
      <c r="D3222" s="27" t="s">
        <v>932</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958</v>
      </c>
      <c r="B3223" s="27" t="s">
        <v>968</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1823</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934</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1477</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1198</v>
      </c>
      <c r="B3227" s="27" t="s">
        <v>991</v>
      </c>
      <c r="C3227" s="27" t="s">
        <v>1087</v>
      </c>
      <c r="D3227" s="27" t="s">
        <v>932</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1000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1824</v>
      </c>
      <c r="B3229" s="27" t="s">
        <v>1025</v>
      </c>
      <c r="C3229" s="27" t="s">
        <v>946</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1176</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1825</v>
      </c>
      <c r="B3231" s="27" t="s">
        <v>949</v>
      </c>
      <c r="C3231" s="27" t="s">
        <v>1087</v>
      </c>
      <c r="D3231" s="27" t="s">
        <v>932</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944</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958</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929</v>
      </c>
      <c r="B3234" s="27" t="s">
        <v>968</v>
      </c>
      <c r="C3234" s="27" t="s">
        <v>931</v>
      </c>
      <c r="D3234" s="27" t="s">
        <v>932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1305</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1125</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980</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947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1826</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1649</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1412</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936</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1012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934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1703</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1096</v>
      </c>
      <c r="B3246" s="27" t="s">
        <v>949</v>
      </c>
      <c r="C3246" s="27" t="s">
        <v>973</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1827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929</v>
      </c>
      <c r="B3248" s="27" t="s">
        <v>1009</v>
      </c>
      <c r="C3248" s="27" t="s">
        <v>931</v>
      </c>
      <c r="D3248" s="27" t="s">
        <v>932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961</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937</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1828</v>
      </c>
      <c r="B3251" s="27" t="s">
        <v>939</v>
      </c>
      <c r="C3251" s="27" t="s">
        <v>943</v>
      </c>
      <c r="D3251" s="27" t="s">
        <v>932</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936</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1829</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1144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934</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1698</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1830</v>
      </c>
      <c r="B3257" s="27" t="s">
        <v>1025</v>
      </c>
      <c r="C3257" s="27" t="s">
        <v>973</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936</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944</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929</v>
      </c>
      <c r="B3260" s="27" t="s">
        <v>955</v>
      </c>
      <c r="C3260" s="27" t="s">
        <v>931</v>
      </c>
      <c r="D3260" s="27" t="s">
        <v>932</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1831</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947</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1057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938</v>
      </c>
      <c r="B3264" s="27" t="s">
        <v>978</v>
      </c>
      <c r="C3264" s="27" t="s">
        <v>940</v>
      </c>
      <c r="D3264" s="27" t="s">
        <v>932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1467</v>
      </c>
      <c r="B3265" s="27" t="s">
        <v>982</v>
      </c>
      <c r="C3265" s="27" t="s">
        <v>1087</v>
      </c>
      <c r="D3265" s="27" t="s">
        <v>932</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947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1331</v>
      </c>
      <c r="B3267" s="27" t="s">
        <v>978</v>
      </c>
      <c r="C3267" s="27" t="s">
        <v>1332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936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944</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1729</v>
      </c>
      <c r="B3270" s="27" t="s">
        <v>1251</v>
      </c>
      <c r="C3270" s="27" t="s">
        <v>931</v>
      </c>
      <c r="D3270" s="27" t="s">
        <v>932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1232</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936</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928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1429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936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958</v>
      </c>
      <c r="B3276" s="27" t="s">
        <v>1491</v>
      </c>
      <c r="C3276" s="27" t="s">
        <v>1061</v>
      </c>
      <c r="D3276" s="27" t="s">
        <v>932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1176</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1832</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1833</v>
      </c>
      <c r="B3279" s="27" t="s">
        <v>1256</v>
      </c>
      <c r="C3279" s="27" t="s">
        <v>943</v>
      </c>
      <c r="D3279" s="27" t="s">
        <v>932</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936</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944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749</v>
      </c>
      <c r="B3282" s="27" t="s">
        <v>1834</v>
      </c>
      <c r="C3282" s="27" t="s">
        <v>931</v>
      </c>
      <c r="D3282" s="27" t="s">
        <v>932</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1181</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937</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1835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1833</v>
      </c>
      <c r="B3286" s="27" t="s">
        <v>1494</v>
      </c>
      <c r="C3286" s="27" t="s">
        <v>943</v>
      </c>
      <c r="D3286" s="27" t="s">
        <v>932</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936</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944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1391</v>
      </c>
      <c r="B3289" s="27" t="s">
        <v>1836</v>
      </c>
      <c r="C3289" s="27" t="s">
        <v>940</v>
      </c>
      <c r="D3289" s="27" t="s">
        <v>932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1837</v>
      </c>
      <c r="B3290" s="27" t="s">
        <v>1834</v>
      </c>
      <c r="C3290" s="27" t="s">
        <v>1087</v>
      </c>
      <c r="D3290" s="27" t="s">
        <v>932</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1201</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937</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1016</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1756</v>
      </c>
      <c r="B3294" s="27" t="s">
        <v>1494</v>
      </c>
      <c r="C3294" s="27" t="s">
        <v>1097</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1399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1698</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936</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1012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749</v>
      </c>
      <c r="B3299" s="27" t="s">
        <v>1834</v>
      </c>
      <c r="C3299" s="27" t="s">
        <v>931</v>
      </c>
      <c r="D3299" s="27" t="s">
        <v>932</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286</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45</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1016</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1837</v>
      </c>
      <c r="B3303" s="27" t="s">
        <v>1838</v>
      </c>
      <c r="C3303" s="27" t="s">
        <v>1097</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958</v>
      </c>
      <c r="B3304" s="27" t="s">
        <v>1839</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45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1309</v>
      </c>
      <c r="B3306" s="27" t="s">
        <v>1840</v>
      </c>
      <c r="C3306" s="27" t="s">
        <v>1111</v>
      </c>
      <c r="D3306" s="27" t="s">
        <v>932</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937</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1841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995</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1261</v>
      </c>
      <c r="B3310" s="27" t="s">
        <v>1842</v>
      </c>
      <c r="C3310" s="27" t="s">
        <v>1121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1175</v>
      </c>
      <c r="B3311" s="27" t="s">
        <v>1843</v>
      </c>
      <c r="C3311" s="27" t="s">
        <v>931</v>
      </c>
      <c r="D3311" s="27" t="s">
        <v>932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1181</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1844</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1042</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928</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row>
    <row r="3317" spans="1:12">
      <c r="A3317" s="20" t="s">
        <v>983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1845</v>
      </c>
    </row>
    <row r="3319" spans="1:12">
      <c r="A3319" s="20" t="s">
        <v>965</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1729</v>
      </c>
      <c r="B3320" s="27" t="s">
        <v>930</v>
      </c>
      <c r="C3320" s="27" t="s">
        <v>931</v>
      </c>
      <c r="D3320" s="27" t="s">
        <v>932</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1232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936</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928</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1103</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749</v>
      </c>
      <c r="B3325" s="27" t="s">
        <v>968</v>
      </c>
      <c r="C3325" s="27" t="s">
        <v>931</v>
      </c>
      <c r="D3325" s="27" t="s">
        <v>932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1590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1065</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934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1152</v>
      </c>
      <c r="B3329" s="27" t="s">
        <v>991</v>
      </c>
      <c r="C3329" s="27" t="s">
        <v>973</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1000</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1307</v>
      </c>
      <c r="B3331" s="27" t="s">
        <v>949</v>
      </c>
      <c r="C3331" s="27" t="s">
        <v>946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995</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1846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1847</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1848</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1849</v>
      </c>
      <c r="B3336" s="27" t="s">
        <v>1025</v>
      </c>
      <c r="C3336" s="27" t="s">
        <v>946</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936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1850</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1007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1851</v>
      </c>
      <c r="B3340" s="27" t="s">
        <v>991</v>
      </c>
      <c r="C3340" s="27" t="s">
        <v>1054</v>
      </c>
      <c r="D3340" s="27" t="s">
        <v>932</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1069</v>
      </c>
      <c r="B3341" s="27" t="s">
        <v>955</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1799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1649</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1295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1007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1852</v>
      </c>
      <c r="B3346" s="27" t="s">
        <v>1025</v>
      </c>
      <c r="C3346" s="27" t="s">
        <v>1054</v>
      </c>
      <c r="D3346" s="27" t="s">
        <v>932</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1042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928</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row>
    <row r="3350" spans="1:12">
      <c r="A3350" s="20" t="s">
        <v>983</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1853</v>
      </c>
    </row>
    <row r="3352" spans="1:12">
      <c r="A3352" s="20" t="s">
        <v>929</v>
      </c>
      <c r="B3352" s="27" t="s">
        <v>930</v>
      </c>
      <c r="C3352" s="27" t="s">
        <v>931</v>
      </c>
      <c r="D3352" s="27" t="s">
        <v>932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1232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936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928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1151</v>
      </c>
      <c r="B3356" s="27" t="s">
        <v>949</v>
      </c>
      <c r="C3356" s="27" t="s">
        <v>1121</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1216</v>
      </c>
      <c r="B3357" s="27" t="s">
        <v>991</v>
      </c>
      <c r="C3357" s="27" t="s">
        <v>1035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1000</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1307</v>
      </c>
      <c r="B3359" s="27" t="s">
        <v>949</v>
      </c>
      <c r="C3359" s="27" t="s">
        <v>946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1113</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1175</v>
      </c>
      <c r="B3361" s="27" t="s">
        <v>968</v>
      </c>
      <c r="C3361" s="27" t="s">
        <v>931</v>
      </c>
      <c r="D3361" s="27" t="s">
        <v>932</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45</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1325</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928</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983</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1854</v>
      </c>
    </row>
    <row r="3368" spans="1:12">
      <c r="A3368" s="20" t="s">
        <v>965</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1729</v>
      </c>
      <c r="B3369" s="27" t="s">
        <v>930</v>
      </c>
      <c r="C3369" s="27" t="s">
        <v>931</v>
      </c>
      <c r="D3369" s="27" t="s">
        <v>932</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1232</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936</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928</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1429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936</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967</v>
      </c>
      <c r="B3375" s="27" t="s">
        <v>968</v>
      </c>
      <c r="C3375" s="27" t="s">
        <v>931</v>
      </c>
      <c r="D3375" s="27" t="s">
        <v>932</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1138</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286</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1317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1855</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1435</v>
      </c>
      <c r="B3380" s="27" t="s">
        <v>991</v>
      </c>
      <c r="C3380" s="27" t="s">
        <v>999</v>
      </c>
      <c r="D3380" s="27" t="s">
        <v>932</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1042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row>
    <row r="3383" spans="1:12">
      <c r="A3383" s="20" t="s">
        <v>1856</v>
      </c>
    </row>
    <row r="3384" spans="1:12">
      <c r="A3384" s="20" t="s">
        <v>1398</v>
      </c>
      <c r="B3384" s="27" t="s">
        <v>930</v>
      </c>
      <c r="C3384" s="27" t="s">
        <v>931</v>
      </c>
      <c r="D3384" s="27" t="s">
        <v>932</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1113</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1114</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415</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709</v>
      </c>
      <c r="B3388" s="27" t="s">
        <v>988</v>
      </c>
      <c r="C3388" s="27" t="s">
        <v>946</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1160</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937</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1007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1857</v>
      </c>
      <c r="B3392" s="27" t="s">
        <v>942</v>
      </c>
      <c r="C3392" s="27" t="s">
        <v>1054</v>
      </c>
      <c r="D3392" s="27" t="s">
        <v>932</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1858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1175</v>
      </c>
      <c r="B3394" s="27" t="s">
        <v>1009</v>
      </c>
      <c r="C3394" s="27" t="s">
        <v>931</v>
      </c>
      <c r="D3394" s="27" t="s">
        <v>932</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93</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947</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13</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1460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1042</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row>
    <row r="3401" spans="1:12">
      <c r="A3401" s="20" t="s">
        <v>1859</v>
      </c>
    </row>
    <row r="3402" spans="1:12">
      <c r="A3402" s="20" t="s">
        <v>1398</v>
      </c>
      <c r="B3402" s="27" t="s">
        <v>930</v>
      </c>
      <c r="C3402" s="27" t="s">
        <v>931</v>
      </c>
      <c r="D3402" s="27" t="s">
        <v>932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1113</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1114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505</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1860</v>
      </c>
      <c r="B3406" s="27" t="s">
        <v>988</v>
      </c>
      <c r="C3406" s="27" t="s">
        <v>946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1242</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1861</v>
      </c>
      <c r="B3408" s="27" t="s">
        <v>939</v>
      </c>
      <c r="C3408" s="27" t="s">
        <v>946</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947</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462</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709</v>
      </c>
      <c r="B3411" s="27" t="s">
        <v>949</v>
      </c>
      <c r="C3411" s="27" t="s">
        <v>946</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1176</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1825</v>
      </c>
      <c r="B3413" s="27" t="s">
        <v>991</v>
      </c>
      <c r="C3413" s="27" t="s">
        <v>1087</v>
      </c>
      <c r="D3413" s="27" t="s">
        <v>932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980</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1042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row>
    <row r="3417" spans="1:12">
      <c r="A3417" s="20" t="s">
        <v>1862</v>
      </c>
    </row>
    <row r="3418" spans="1:12">
      <c r="A3418" s="20" t="s">
        <v>1398</v>
      </c>
      <c r="B3418" s="27" t="s">
        <v>930</v>
      </c>
      <c r="C3418" s="27" t="s">
        <v>931</v>
      </c>
      <c r="D3418" s="27" t="s">
        <v>932</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1113</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1114</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509</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1007</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1863</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1864</v>
      </c>
      <c r="B3424" s="27" t="s">
        <v>988</v>
      </c>
      <c r="C3424" s="27" t="s">
        <v>1054</v>
      </c>
      <c r="D3424" s="27" t="s">
        <v>932</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1042</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row>
    <row r="3427" spans="1:12">
      <c r="A3427" s="20" t="s">
        <v>1865</v>
      </c>
    </row>
    <row r="3428" spans="1:12">
      <c r="A3428" s="20" t="s">
        <v>1398</v>
      </c>
      <c r="B3428" s="27" t="s">
        <v>930</v>
      </c>
      <c r="C3428" s="27" t="s">
        <v>931</v>
      </c>
      <c r="D3428" s="27" t="s">
        <v>932</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1113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1114</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513</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1007</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1040</v>
      </c>
      <c r="B3433" s="27" t="s">
        <v>988</v>
      </c>
      <c r="C3433" s="27" t="s">
        <v>1054</v>
      </c>
      <c r="D3433" s="27" t="s">
        <v>932</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1271</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1013</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1866</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1867</v>
      </c>
      <c r="B3437" s="27" t="s">
        <v>942</v>
      </c>
      <c r="C3437" s="27" t="s">
        <v>973</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1042</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row>
    <row r="3440" spans="1:12">
      <c r="A3440" s="20" t="s">
        <v>983</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1868</v>
      </c>
    </row>
    <row r="3442" spans="1:12">
      <c r="A3442" s="20" t="s">
        <v>1869</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1261</v>
      </c>
      <c r="B3443" s="27" t="s">
        <v>942</v>
      </c>
      <c r="C3443" s="27" t="s">
        <v>1121</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967</v>
      </c>
      <c r="B3444" s="27" t="s">
        <v>1009</v>
      </c>
      <c r="C3444" s="27" t="s">
        <v>931</v>
      </c>
      <c r="D3444" s="27" t="s">
        <v>932</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1113</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961</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967</v>
      </c>
      <c r="B3447" s="27" t="s">
        <v>930</v>
      </c>
      <c r="C3447" s="27" t="s">
        <v>931</v>
      </c>
      <c r="D3447" s="27" t="s">
        <v>932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1707</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709</v>
      </c>
      <c r="B3449" s="27" t="s">
        <v>988</v>
      </c>
      <c r="C3449" s="27" t="s">
        <v>946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272</v>
      </c>
      <c r="B3450" s="27" t="s">
        <v>988</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1032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934</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1239</v>
      </c>
      <c r="B3453" s="27" t="s">
        <v>942</v>
      </c>
      <c r="C3453" s="27" t="s">
        <v>973</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1341</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1870</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1459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1871</v>
      </c>
      <c r="B3457" s="27" t="s">
        <v>942</v>
      </c>
      <c r="C3457" s="27" t="s">
        <v>946</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944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1065</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987</v>
      </c>
      <c r="B3460" s="27" t="s">
        <v>991</v>
      </c>
      <c r="C3460" s="27" t="s">
        <v>931</v>
      </c>
      <c r="D3460" s="27" t="s">
        <v>932</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384</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1063</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1013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130</v>
      </c>
      <c r="B3464" s="27" t="s">
        <v>949</v>
      </c>
      <c r="C3464" s="27" t="s">
        <v>973</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1336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1596</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1117</v>
      </c>
      <c r="B3467" s="27" t="s">
        <v>1025</v>
      </c>
      <c r="C3467" s="27" t="s">
        <v>946</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958</v>
      </c>
      <c r="B3468" s="27" t="s">
        <v>1200</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1065</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1831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947</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987</v>
      </c>
      <c r="B3472" s="27" t="s">
        <v>978</v>
      </c>
      <c r="C3472" s="27" t="s">
        <v>931</v>
      </c>
      <c r="D3472" s="27" t="s">
        <v>932</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1042</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928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row>
    <row r="3476" spans="1:12">
      <c r="A3476" s="20" t="s">
        <v>1872</v>
      </c>
    </row>
    <row r="3477" spans="1:12">
      <c r="A3477" s="20" t="s">
        <v>1652</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520</v>
      </c>
      <c r="B3478" s="27" t="s">
        <v>942</v>
      </c>
      <c r="C3478" s="27" t="s">
        <v>943</v>
      </c>
      <c r="D3478" s="27" t="s">
        <v>932</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1654</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983</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1873</v>
      </c>
    </row>
    <row r="3483" spans="1:12">
      <c r="A3483" s="20" t="s">
        <v>1719</v>
      </c>
      <c r="B3483" s="27" t="s">
        <v>930</v>
      </c>
      <c r="C3483" s="27" t="s">
        <v>931</v>
      </c>
      <c r="D3483" s="27" t="s">
        <v>932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1232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936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928</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1039</v>
      </c>
      <c r="B3487" s="27" t="s">
        <v>968</v>
      </c>
      <c r="C3487" s="27" t="s">
        <v>931</v>
      </c>
      <c r="D3487" s="27" t="s">
        <v>932</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1065</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947</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466</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987</v>
      </c>
      <c r="B3491" s="27" t="s">
        <v>1183</v>
      </c>
      <c r="C3491" s="27" t="s">
        <v>931</v>
      </c>
      <c r="D3491" s="27" t="s">
        <v>932</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947</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1874</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1007</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1875</v>
      </c>
      <c r="B3495" s="27" t="s">
        <v>1031</v>
      </c>
      <c r="C3495" s="27" t="s">
        <v>1054</v>
      </c>
      <c r="D3495" s="27" t="s">
        <v>932</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1042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928</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row>
    <row r="3499" spans="1:12">
      <c r="A3499" s="20" t="s">
        <v>1876</v>
      </c>
    </row>
    <row r="3500" spans="1:12">
      <c r="A3500" s="20" t="s">
        <v>1877</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1032</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1007</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942</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1351</v>
      </c>
      <c r="B3504" s="27" t="s">
        <v>939</v>
      </c>
      <c r="C3504" s="27" t="s">
        <v>1352</v>
      </c>
      <c r="D3504" s="27" t="s">
        <v>932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1000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1786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1395</v>
      </c>
      <c r="B3507" s="27" t="s">
        <v>949</v>
      </c>
      <c r="C3507" s="27" t="s">
        <v>946</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936</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527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1064</v>
      </c>
      <c r="B3510" s="27" t="s">
        <v>988</v>
      </c>
      <c r="C3510" s="27" t="s">
        <v>931</v>
      </c>
      <c r="D3510" s="27" t="s">
        <v>932</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242</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1175</v>
      </c>
      <c r="B3512" s="27" t="s">
        <v>991</v>
      </c>
      <c r="C3512" s="27" t="s">
        <v>931</v>
      </c>
      <c r="D3512" s="27" t="s">
        <v>932</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1336</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1878</v>
      </c>
      <c r="B3514" s="27" t="s">
        <v>939</v>
      </c>
      <c r="C3514" s="27" t="s">
        <v>943</v>
      </c>
      <c r="D3514" s="27" t="s">
        <v>932</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1879</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1042</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row>
    <row r="3518" spans="1:12">
      <c r="A3518" s="20" t="s">
        <v>1880</v>
      </c>
    </row>
    <row r="3519" spans="1:12">
      <c r="A3519" s="20" t="s">
        <v>1878</v>
      </c>
      <c r="B3519" s="27" t="s">
        <v>930</v>
      </c>
      <c r="C3519" s="27" t="s">
        <v>943</v>
      </c>
      <c r="D3519" s="27" t="s">
        <v>932</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1879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1065</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1007</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1556</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1040</v>
      </c>
      <c r="B3524" s="27" t="s">
        <v>988</v>
      </c>
      <c r="C3524" s="27" t="s">
        <v>1054</v>
      </c>
      <c r="D3524" s="27" t="s">
        <v>932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1277</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958</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929</v>
      </c>
      <c r="B3527" s="27" t="s">
        <v>968</v>
      </c>
      <c r="C3527" s="27" t="s">
        <v>931</v>
      </c>
      <c r="D3527" s="27" t="s">
        <v>932</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1590</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1557</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1558</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937</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934</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1881</v>
      </c>
      <c r="B3533" s="27" t="s">
        <v>939</v>
      </c>
      <c r="C3533" s="27" t="s">
        <v>973</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1042</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row>
    <row r="3536" spans="1:12">
      <c r="A3536" s="20" t="s">
        <v>1882</v>
      </c>
    </row>
    <row r="3537" spans="1:12">
      <c r="A3537" s="20" t="s">
        <v>1719</v>
      </c>
      <c r="B3537" s="27" t="s">
        <v>930</v>
      </c>
      <c r="C3537" s="27" t="s">
        <v>931</v>
      </c>
      <c r="D3537" s="27" t="s">
        <v>932</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961</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1883</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1223</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1042</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row>
    <row r="3543" spans="1:12">
      <c r="A3543" s="20" t="s">
        <v>1884</v>
      </c>
    </row>
    <row r="3544" spans="1:12">
      <c r="A3544" s="20" t="s">
        <v>1719</v>
      </c>
      <c r="B3544" s="27" t="s">
        <v>930</v>
      </c>
      <c r="C3544" s="27" t="s">
        <v>931</v>
      </c>
      <c r="D3544" s="27" t="s">
        <v>932</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961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936</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966</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929</v>
      </c>
      <c r="B3548" s="27" t="s">
        <v>1009</v>
      </c>
      <c r="C3548" s="27" t="s">
        <v>931</v>
      </c>
      <c r="D3548" s="27" t="s">
        <v>932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1885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1886</v>
      </c>
      <c r="B3550" s="27" t="s">
        <v>1183</v>
      </c>
      <c r="C3550" s="27" t="s">
        <v>931</v>
      </c>
      <c r="D3550" s="27" t="s">
        <v>932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936</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1032</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934</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1263</v>
      </c>
      <c r="B3554" s="27" t="s">
        <v>949</v>
      </c>
      <c r="C3554" s="27" t="s">
        <v>973</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1032</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1372</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1033</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1225</v>
      </c>
      <c r="B3558" s="27" t="s">
        <v>1078</v>
      </c>
      <c r="C3558" s="27" t="s">
        <v>1035</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936</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1729</v>
      </c>
      <c r="B3560" s="27" t="s">
        <v>968</v>
      </c>
      <c r="C3560" s="27" t="s">
        <v>931</v>
      </c>
      <c r="D3560" s="27" t="s">
        <v>932</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1138</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45</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1887</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1358</v>
      </c>
      <c r="B3564" s="27" t="s">
        <v>991</v>
      </c>
      <c r="C3564" s="27" t="s">
        <v>946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1042</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row>
    <row r="3567" spans="1:12">
      <c r="A3567" s="20" t="s">
        <v>1888</v>
      </c>
    </row>
    <row r="3568" spans="1:12">
      <c r="A3568" s="20" t="s">
        <v>1889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1729</v>
      </c>
      <c r="B3569" s="27" t="s">
        <v>930</v>
      </c>
      <c r="C3569" s="27" t="s">
        <v>931</v>
      </c>
      <c r="D3569" s="27" t="s">
        <v>932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1138</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13</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1890</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1000</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1891</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1063</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934</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1892</v>
      </c>
      <c r="B3577" s="27" t="s">
        <v>939</v>
      </c>
      <c r="C3577" s="27" t="s">
        <v>973</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1042</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row>
    <row r="3580" spans="1:12">
      <c r="A3580" s="20" t="s">
        <v>1893</v>
      </c>
    </row>
    <row r="3581" spans="1:12">
      <c r="A3581" s="20" t="s">
        <v>1889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1729</v>
      </c>
      <c r="B3582" s="27" t="s">
        <v>930</v>
      </c>
      <c r="C3582" s="27" t="s">
        <v>931</v>
      </c>
      <c r="D3582" s="27" t="s">
        <v>932</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1138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13</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1894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1063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934</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1892</v>
      </c>
      <c r="B3588" s="27" t="s">
        <v>942</v>
      </c>
      <c r="C3588" s="27" t="s">
        <v>973</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1042</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row>
    <row r="3591" spans="1:12">
      <c r="A3591" s="20" t="s">
        <v>1895</v>
      </c>
    </row>
    <row r="3592" spans="1:12">
      <c r="A3592" s="20" t="s">
        <v>1889</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1729</v>
      </c>
      <c r="B3593" s="27" t="s">
        <v>930</v>
      </c>
      <c r="C3593" s="27" t="s">
        <v>931</v>
      </c>
      <c r="D3593" s="27" t="s">
        <v>932</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1138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45</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934</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1892</v>
      </c>
      <c r="B3597" s="27" t="s">
        <v>988</v>
      </c>
      <c r="C3597" s="27" t="s">
        <v>973</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1000</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980</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1896</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1042</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row>
    <row r="3603" spans="1:12">
      <c r="A3603" s="20" t="s">
        <v>1897</v>
      </c>
    </row>
    <row r="3604" spans="1:12">
      <c r="A3604" s="20" t="s">
        <v>965</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985</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1729</v>
      </c>
      <c r="B3606" s="27" t="s">
        <v>930</v>
      </c>
      <c r="C3606" s="27" t="s">
        <v>931</v>
      </c>
      <c r="D3606" s="27" t="s">
        <v>932</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1138</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45</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1432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1887</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1358</v>
      </c>
      <c r="B3611" s="27" t="s">
        <v>988</v>
      </c>
      <c r="C3611" s="27" t="s">
        <v>973</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1042</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row>
    <row r="3614" spans="1:12">
      <c r="A3614" s="20" t="s">
        <v>983</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1898</v>
      </c>
    </row>
    <row r="3616" spans="1:12">
      <c r="A3616" s="20" t="s">
        <v>965</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1729</v>
      </c>
      <c r="B3617" s="27" t="s">
        <v>930</v>
      </c>
      <c r="C3617" s="27" t="s">
        <v>931</v>
      </c>
      <c r="D3617" s="27" t="s">
        <v>932</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1232</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947</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1064</v>
      </c>
      <c r="B3620" s="27" t="s">
        <v>942</v>
      </c>
      <c r="C3620" s="27" t="s">
        <v>931</v>
      </c>
      <c r="D3620" s="27" t="s">
        <v>932</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966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929</v>
      </c>
      <c r="B3622" s="27" t="s">
        <v>1009</v>
      </c>
      <c r="C3622" s="27" t="s">
        <v>931</v>
      </c>
      <c r="D3622" s="27" t="s">
        <v>932</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1885</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1886</v>
      </c>
      <c r="B3624" s="27" t="s">
        <v>1183</v>
      </c>
      <c r="C3624" s="27" t="s">
        <v>931</v>
      </c>
      <c r="D3624" s="27" t="s">
        <v>932</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936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928</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1215</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1176</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1899</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947</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268</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963</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938</v>
      </c>
      <c r="B3633" s="27" t="s">
        <v>1025</v>
      </c>
      <c r="C3633" s="27" t="s">
        <v>940</v>
      </c>
      <c r="D3633" s="27" t="s">
        <v>932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1900</v>
      </c>
      <c r="B3634" s="27" t="s">
        <v>949</v>
      </c>
      <c r="C3634" s="27" t="s">
        <v>1087</v>
      </c>
      <c r="D3634" s="27" t="s">
        <v>932</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1317</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1206</v>
      </c>
      <c r="B3636" s="27" t="s">
        <v>949</v>
      </c>
      <c r="C3636" s="27" t="s">
        <v>999</v>
      </c>
      <c r="D3636" s="27" t="s">
        <v>932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1042</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row>
    <row r="3639" spans="1:12">
      <c r="A3639" s="20" t="s">
        <v>983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1901</v>
      </c>
    </row>
    <row r="3641" spans="1:12">
      <c r="A3641" s="20" t="s">
        <v>929</v>
      </c>
      <c r="B3641" s="27" t="s">
        <v>930</v>
      </c>
      <c r="C3641" s="27" t="s">
        <v>931</v>
      </c>
      <c r="D3641" s="27" t="s">
        <v>932</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1902</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1114</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268</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1144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1317</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1206</v>
      </c>
      <c r="B3647" s="27" t="s">
        <v>942</v>
      </c>
      <c r="C3647" s="27" t="s">
        <v>999</v>
      </c>
      <c r="D3647" s="27" t="s">
        <v>932</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936</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944</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929</v>
      </c>
      <c r="B3650" s="27" t="s">
        <v>968</v>
      </c>
      <c r="C3650" s="27" t="s">
        <v>931</v>
      </c>
      <c r="D3650" s="27" t="s">
        <v>932</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1590</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1384</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1160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1335</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929</v>
      </c>
      <c r="B3655" s="27" t="s">
        <v>1009</v>
      </c>
      <c r="C3655" s="27" t="s">
        <v>931</v>
      </c>
      <c r="D3655" s="27" t="s">
        <v>932</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1305</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980</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947</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1351</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954</v>
      </c>
      <c r="B3660" s="27" t="s">
        <v>1031</v>
      </c>
      <c r="C3660" s="27" t="s">
        <v>931</v>
      </c>
      <c r="D3660" s="27" t="s">
        <v>932</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1072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929</v>
      </c>
      <c r="B3662" s="27" t="s">
        <v>960</v>
      </c>
      <c r="C3662" s="27" t="s">
        <v>931</v>
      </c>
      <c r="D3662" s="27" t="s">
        <v>932</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286</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1114</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462</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1460</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1042</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928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row>
    <row r="3670" spans="1:12">
      <c r="A3670" s="20" t="s">
        <v>983</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1903</v>
      </c>
    </row>
    <row r="3672" spans="1:12">
      <c r="A3672" s="20" t="s">
        <v>928</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1103</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936</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928</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1729</v>
      </c>
      <c r="B3676" s="27" t="s">
        <v>930</v>
      </c>
      <c r="C3676" s="27" t="s">
        <v>931</v>
      </c>
      <c r="D3676" s="27" t="s">
        <v>932</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1232</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947</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1064</v>
      </c>
      <c r="B3679" s="27" t="s">
        <v>942</v>
      </c>
      <c r="C3679" s="27" t="s">
        <v>931</v>
      </c>
      <c r="D3679" s="27" t="s">
        <v>932</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936</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928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929</v>
      </c>
      <c r="B3682" s="27" t="s">
        <v>1009</v>
      </c>
      <c r="C3682" s="27" t="s">
        <v>931</v>
      </c>
      <c r="D3682" s="27" t="s">
        <v>932</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986</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1336</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934</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1904</v>
      </c>
      <c r="B3686" s="27" t="s">
        <v>949</v>
      </c>
      <c r="C3686" s="27" t="s">
        <v>973</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1032</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1905</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1906</v>
      </c>
      <c r="B3689" s="27" t="s">
        <v>1025</v>
      </c>
      <c r="C3689" s="27" t="s">
        <v>943</v>
      </c>
      <c r="D3689" s="27" t="s">
        <v>932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1063</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934</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1907</v>
      </c>
      <c r="B3692" s="27" t="s">
        <v>1025</v>
      </c>
      <c r="C3692" s="27" t="s">
        <v>973</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1908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934</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1909</v>
      </c>
      <c r="B3695" s="27" t="s">
        <v>991</v>
      </c>
      <c r="C3695" s="27" t="s">
        <v>973</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936</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1372</v>
      </c>
      <c r="B3697" s="27" t="s">
        <v>955</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1056</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934</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1771</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1910</v>
      </c>
      <c r="B3701" s="27" t="s">
        <v>949</v>
      </c>
      <c r="C3701" s="27" t="s">
        <v>973</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936</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944</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929</v>
      </c>
      <c r="B3704" s="27" t="s">
        <v>1009</v>
      </c>
      <c r="C3704" s="27" t="s">
        <v>931</v>
      </c>
      <c r="D3704" s="27" t="s">
        <v>932</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42</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929</v>
      </c>
      <c r="B3706" s="27" t="s">
        <v>955</v>
      </c>
      <c r="C3706" s="27" t="s">
        <v>931</v>
      </c>
      <c r="D3706" s="27" t="s">
        <v>932</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1305</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980</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947</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1713</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958</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934</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1911</v>
      </c>
      <c r="B3713" s="27" t="s">
        <v>982</v>
      </c>
      <c r="C3713" s="27" t="s">
        <v>973</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1042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928</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row>
    <row r="3717" spans="1:12">
      <c r="A3717" s="20" t="s">
        <v>1912</v>
      </c>
    </row>
    <row r="3718" spans="1:12">
      <c r="A3718" s="20" t="s">
        <v>965</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929</v>
      </c>
      <c r="B3719" s="27" t="s">
        <v>930</v>
      </c>
      <c r="C3719" s="27" t="s">
        <v>931</v>
      </c>
      <c r="D3719" s="27" t="s">
        <v>932</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562</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1148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1913</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1032</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958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1263</v>
      </c>
      <c r="B3725" s="27" t="s">
        <v>939</v>
      </c>
      <c r="C3725" s="27" t="s">
        <v>999</v>
      </c>
      <c r="D3725" s="27" t="s">
        <v>932</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947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42</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958</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1331</v>
      </c>
      <c r="B3729" s="27" t="s">
        <v>955</v>
      </c>
      <c r="C3729" s="27" t="s">
        <v>1332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1069</v>
      </c>
      <c r="B3730" s="27" t="s">
        <v>1200</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1914</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1065</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1209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1534</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1596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1100</v>
      </c>
      <c r="B3736" s="27" t="s">
        <v>1167</v>
      </c>
      <c r="C3736" s="27" t="s">
        <v>1097</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995</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1209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1534</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1698</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1395</v>
      </c>
      <c r="B3741" s="27" t="s">
        <v>978</v>
      </c>
      <c r="C3741" s="27" t="s">
        <v>1097</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1455</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1065</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1915</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937</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1886</v>
      </c>
      <c r="B3746" s="27" t="s">
        <v>1246</v>
      </c>
      <c r="C3746" s="27" t="s">
        <v>931</v>
      </c>
      <c r="D3746" s="27" t="s">
        <v>932</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936</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1916</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936</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1376</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1917</v>
      </c>
      <c r="B3751" s="27" t="s">
        <v>1078</v>
      </c>
      <c r="C3751" s="27" t="s">
        <v>946</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947</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1289</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1160</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1063</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272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1329</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1042</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row>
    <row r="3760" spans="1:12">
      <c r="A3760" s="20" t="s">
        <v>1918</v>
      </c>
    </row>
    <row r="3761" spans="1:12">
      <c r="A3761" s="20" t="s">
        <v>965</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1729</v>
      </c>
      <c r="B3762" s="27" t="s">
        <v>930</v>
      </c>
      <c r="C3762" s="27" t="s">
        <v>931</v>
      </c>
      <c r="D3762" s="27" t="s">
        <v>932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1065</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1007</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1909</v>
      </c>
      <c r="B3765" s="27" t="s">
        <v>988</v>
      </c>
      <c r="C3765" s="27" t="s">
        <v>1054</v>
      </c>
      <c r="D3765" s="27" t="s">
        <v>932</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936</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944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954</v>
      </c>
      <c r="B3768" s="27" t="s">
        <v>968</v>
      </c>
      <c r="C3768" s="27" t="s">
        <v>931</v>
      </c>
      <c r="D3768" s="27" t="s">
        <v>932</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961</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1453</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1919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1042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row>
    <row r="3774" spans="1:12">
      <c r="A3774" s="20" t="s">
        <v>1920</v>
      </c>
    </row>
    <row r="3775" spans="1:12">
      <c r="A3775" s="20" t="s">
        <v>1719</v>
      </c>
      <c r="B3775" s="27" t="s">
        <v>930</v>
      </c>
      <c r="C3775" s="27" t="s">
        <v>931</v>
      </c>
      <c r="D3775" s="27" t="s">
        <v>932</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1176</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1412</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934</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1532</v>
      </c>
      <c r="B3779" s="27" t="s">
        <v>942</v>
      </c>
      <c r="C3779" s="27" t="s">
        <v>1087</v>
      </c>
      <c r="D3779" s="27" t="s">
        <v>932</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1000</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1921</v>
      </c>
      <c r="B3781" s="27" t="s">
        <v>942</v>
      </c>
      <c r="C3781" s="27" t="s">
        <v>1111</v>
      </c>
      <c r="D3781" s="27" t="s">
        <v>932</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1042</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row>
    <row r="3784" spans="1:12">
      <c r="A3784" s="20" t="s">
        <v>1922</v>
      </c>
    </row>
    <row r="3785" spans="1:12">
      <c r="A3785" s="20" t="s">
        <v>1719</v>
      </c>
      <c r="B3785" s="27" t="s">
        <v>930</v>
      </c>
      <c r="C3785" s="27" t="s">
        <v>931</v>
      </c>
      <c r="D3785" s="27" t="s">
        <v>932</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1599</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934</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1923</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1430</v>
      </c>
      <c r="B3789" s="27" t="s">
        <v>988</v>
      </c>
      <c r="C3789" s="27" t="s">
        <v>973</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944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1338</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1924</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1925</v>
      </c>
      <c r="B3793" s="27" t="s">
        <v>939</v>
      </c>
      <c r="C3793" s="27" t="s">
        <v>1097</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1042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row>
    <row r="3796" spans="1:12">
      <c r="A3796" s="20" t="s">
        <v>983</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1926</v>
      </c>
    </row>
    <row r="3798" spans="1:12">
      <c r="A3798" s="20" t="s">
        <v>1719</v>
      </c>
      <c r="B3798" s="27" t="s">
        <v>930</v>
      </c>
      <c r="C3798" s="27" t="s">
        <v>931</v>
      </c>
      <c r="D3798" s="27" t="s">
        <v>932</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1801</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1064</v>
      </c>
      <c r="B3800" s="27" t="s">
        <v>988</v>
      </c>
      <c r="C3800" s="27" t="s">
        <v>931</v>
      </c>
      <c r="D3800" s="27" t="s">
        <v>932</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934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1927</v>
      </c>
      <c r="B3802" s="27" t="s">
        <v>988</v>
      </c>
      <c r="C3802" s="27" t="s">
        <v>973</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1007</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1928</v>
      </c>
      <c r="B3804" s="27" t="s">
        <v>939</v>
      </c>
      <c r="C3804" s="27" t="s">
        <v>943</v>
      </c>
      <c r="D3804" s="27" t="s">
        <v>932</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1295</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1007</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1910</v>
      </c>
      <c r="B3807" s="27" t="s">
        <v>949</v>
      </c>
      <c r="C3807" s="27" t="s">
        <v>1054</v>
      </c>
      <c r="D3807" s="27" t="s">
        <v>932</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936</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928</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1085</v>
      </c>
      <c r="B3810" s="27" t="s">
        <v>949</v>
      </c>
      <c r="C3810" s="27" t="s">
        <v>940</v>
      </c>
      <c r="D3810" s="27" t="s">
        <v>932</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1304</v>
      </c>
      <c r="B3811" s="27" t="s">
        <v>968</v>
      </c>
      <c r="C3811" s="27" t="s">
        <v>1087</v>
      </c>
      <c r="D3811" s="27" t="s">
        <v>932</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1075</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1064</v>
      </c>
      <c r="B3813" s="27" t="s">
        <v>991</v>
      </c>
      <c r="C3813" s="27" t="s">
        <v>931</v>
      </c>
      <c r="D3813" s="27" t="s">
        <v>932</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1338</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1929</v>
      </c>
      <c r="B3815" s="27" t="s">
        <v>991</v>
      </c>
      <c r="C3815" s="27" t="s">
        <v>1097</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1317</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1539</v>
      </c>
      <c r="B3817" s="27" t="s">
        <v>939</v>
      </c>
      <c r="C3817" s="27" t="s">
        <v>999</v>
      </c>
      <c r="D3817" s="27" t="s">
        <v>932</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936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1930</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936</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934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1931</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1932</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1933</v>
      </c>
      <c r="B3824" s="27" t="s">
        <v>988</v>
      </c>
      <c r="C3824" s="27" t="s">
        <v>973</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1095</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1123</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1934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1935</v>
      </c>
      <c r="B3828" s="27" t="s">
        <v>939</v>
      </c>
      <c r="C3828" s="27" t="s">
        <v>1054</v>
      </c>
      <c r="D3828" s="27" t="s">
        <v>932</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958</v>
      </c>
      <c r="B3829" s="27" t="s">
        <v>1031</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929</v>
      </c>
      <c r="B3830" s="27" t="s">
        <v>955</v>
      </c>
      <c r="C3830" s="27" t="s">
        <v>931</v>
      </c>
      <c r="D3830" s="27" t="s">
        <v>932</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1113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1114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1587</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134</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936</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1012</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929</v>
      </c>
      <c r="B3837" s="27" t="s">
        <v>968</v>
      </c>
      <c r="C3837" s="27" t="s">
        <v>931</v>
      </c>
      <c r="D3837" s="27" t="s">
        <v>932</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1345</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1729</v>
      </c>
      <c r="B3839" s="27" t="s">
        <v>1009</v>
      </c>
      <c r="C3839" s="27" t="s">
        <v>931</v>
      </c>
      <c r="D3839" s="27" t="s">
        <v>932</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961</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1936</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954</v>
      </c>
      <c r="B3842" s="27" t="s">
        <v>1183</v>
      </c>
      <c r="C3842" s="27" t="s">
        <v>931</v>
      </c>
      <c r="D3842" s="27" t="s">
        <v>932</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947</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1064</v>
      </c>
      <c r="B3844" s="27" t="s">
        <v>949</v>
      </c>
      <c r="C3844" s="27" t="s">
        <v>931</v>
      </c>
      <c r="D3844" s="27" t="s">
        <v>932</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947</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1937</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1007</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1938</v>
      </c>
      <c r="B3848" s="27" t="s">
        <v>1031</v>
      </c>
      <c r="C3848" s="27" t="s">
        <v>1054</v>
      </c>
      <c r="D3848" s="27" t="s">
        <v>932</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958</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929</v>
      </c>
      <c r="B3850" s="27" t="s">
        <v>1200</v>
      </c>
      <c r="C3850" s="27" t="s">
        <v>931</v>
      </c>
      <c r="D3850" s="27" t="s">
        <v>932</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1305</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1354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1144</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938</v>
      </c>
      <c r="B3854" s="27" t="s">
        <v>1246</v>
      </c>
      <c r="C3854" s="27" t="s">
        <v>940</v>
      </c>
      <c r="D3854" s="27" t="s">
        <v>932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1643</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944</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45</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934</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1939</v>
      </c>
      <c r="B3859" s="27" t="s">
        <v>1390</v>
      </c>
      <c r="C3859" s="27" t="s">
        <v>973</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929</v>
      </c>
      <c r="B3860" s="27" t="s">
        <v>1491</v>
      </c>
      <c r="C3860" s="27" t="s">
        <v>931</v>
      </c>
      <c r="D3860" s="27" t="s">
        <v>932</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1940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947</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903</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1042</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row>
    <row r="3866" spans="1:12">
      <c r="A3866" s="20" t="s">
        <v>1941</v>
      </c>
    </row>
    <row r="3867" spans="1:12">
      <c r="A3867" s="20" t="s">
        <v>965</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1007</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942</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1942</v>
      </c>
      <c r="B3870" s="27" t="s">
        <v>930</v>
      </c>
      <c r="C3870" s="27" t="s">
        <v>1352</v>
      </c>
      <c r="D3870" s="27" t="s">
        <v>932</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961</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934</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1943</v>
      </c>
      <c r="B3873" s="27" t="s">
        <v>942</v>
      </c>
      <c r="C3873" s="27" t="s">
        <v>1087</v>
      </c>
      <c r="D3873" s="27" t="s">
        <v>932</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1000</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938</v>
      </c>
      <c r="B3875" s="27" t="s">
        <v>939</v>
      </c>
      <c r="C3875" s="27" t="s">
        <v>940</v>
      </c>
      <c r="D3875" s="27" t="s">
        <v>932</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1944</v>
      </c>
      <c r="B3876" s="27" t="s">
        <v>942</v>
      </c>
      <c r="C3876" s="27" t="s">
        <v>1087</v>
      </c>
      <c r="D3876" s="27" t="s">
        <v>932</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936</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1069</v>
      </c>
      <c r="B3878" s="27" t="s">
        <v>968</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1945</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1946</v>
      </c>
      <c r="B3880" s="27" t="s">
        <v>991</v>
      </c>
      <c r="C3880" s="27" t="s">
        <v>946</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1042</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row>
    <row r="3883" spans="1:12">
      <c r="A3883" s="20" t="s">
        <v>1947</v>
      </c>
    </row>
    <row r="3884" spans="1:12">
      <c r="A3884" s="20" t="s">
        <v>1006</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929</v>
      </c>
      <c r="B3885" s="27" t="s">
        <v>968</v>
      </c>
      <c r="C3885" s="27" t="s">
        <v>931</v>
      </c>
      <c r="D3885" s="27" t="s">
        <v>932</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1948</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954</v>
      </c>
      <c r="B3887" s="27" t="s">
        <v>991</v>
      </c>
      <c r="C3887" s="27" t="s">
        <v>931</v>
      </c>
      <c r="D3887" s="27" t="s">
        <v>932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936</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929</v>
      </c>
      <c r="B3889" s="27" t="s">
        <v>930</v>
      </c>
      <c r="C3889" s="27" t="s">
        <v>931</v>
      </c>
      <c r="D3889" s="27" t="s">
        <v>932</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1004</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947</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1949</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936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944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938</v>
      </c>
      <c r="B3895" s="27" t="s">
        <v>949</v>
      </c>
      <c r="C3895" s="27" t="s">
        <v>940</v>
      </c>
      <c r="D3895" s="27" t="s">
        <v>932</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1086</v>
      </c>
      <c r="B3896" s="27" t="s">
        <v>968</v>
      </c>
      <c r="C3896" s="27" t="s">
        <v>1087</v>
      </c>
      <c r="D3896" s="27" t="s">
        <v>932</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1799</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1228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944</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1232</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936</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1561</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1950</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1175</v>
      </c>
      <c r="B3904" s="27" t="s">
        <v>955</v>
      </c>
      <c r="C3904" s="27" t="s">
        <v>931</v>
      </c>
      <c r="D3904" s="27" t="s">
        <v>932</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1951</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1279</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1000</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1007</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1952</v>
      </c>
      <c r="B3909" s="27" t="s">
        <v>1025</v>
      </c>
      <c r="C3909" s="27" t="s">
        <v>1054</v>
      </c>
      <c r="D3909" s="27" t="s">
        <v>932</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1175</v>
      </c>
      <c r="B3910" s="27" t="s">
        <v>1200</v>
      </c>
      <c r="C3910" s="27" t="s">
        <v>931</v>
      </c>
      <c r="D3910" s="27" t="s">
        <v>932</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1717</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1345</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1325</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1561</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row>
    <row r="3916" spans="1:12">
      <c r="A3916" s="20" t="s">
        <v>1953</v>
      </c>
    </row>
    <row r="3917" spans="1:12">
      <c r="A3917" s="20" t="s">
        <v>965</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929</v>
      </c>
      <c r="B3918" s="27" t="s">
        <v>930</v>
      </c>
      <c r="C3918" s="27" t="s">
        <v>931</v>
      </c>
      <c r="D3918" s="27" t="s">
        <v>932</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1232</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936</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1561</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1544</v>
      </c>
      <c r="B3922" s="27" t="s">
        <v>968</v>
      </c>
      <c r="C3922" s="27" t="s">
        <v>931</v>
      </c>
      <c r="D3922" s="27" t="s">
        <v>932</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1065</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1007</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997</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1954</v>
      </c>
      <c r="B3926" s="27" t="s">
        <v>991</v>
      </c>
      <c r="C3926" s="27" t="s">
        <v>1054</v>
      </c>
      <c r="D3926" s="27" t="s">
        <v>932</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929</v>
      </c>
      <c r="B3927" s="27" t="s">
        <v>955</v>
      </c>
      <c r="C3927" s="27" t="s">
        <v>931</v>
      </c>
      <c r="D3927" s="27" t="s">
        <v>932</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45</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1042</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1561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row>
    <row r="3932" spans="1:12">
      <c r="A3932" s="20" t="s">
        <v>1955</v>
      </c>
    </row>
    <row r="3933" spans="1:12">
      <c r="A3933" s="20" t="s">
        <v>929</v>
      </c>
      <c r="B3933" s="27" t="s">
        <v>930</v>
      </c>
      <c r="C3933" s="27" t="s">
        <v>931</v>
      </c>
      <c r="D3933" s="27" t="s">
        <v>932</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1305</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1951</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1412</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1271</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929</v>
      </c>
      <c r="B3938" s="27" t="s">
        <v>968</v>
      </c>
      <c r="C3938" s="27" t="s">
        <v>931</v>
      </c>
      <c r="D3938" s="27" t="s">
        <v>932</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1684</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947</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1175</v>
      </c>
      <c r="B3941" s="27" t="s">
        <v>939</v>
      </c>
      <c r="C3941" s="27" t="s">
        <v>931</v>
      </c>
      <c r="D3941" s="27" t="s">
        <v>932</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1042</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row>
    <row r="3944" spans="1:12">
      <c r="A3944" s="20" t="s">
        <v>1956</v>
      </c>
    </row>
    <row r="3945" spans="1:12">
      <c r="A3945" s="20" t="s">
        <v>1215</v>
      </c>
      <c r="B3945" s="27" t="s">
        <v>930</v>
      </c>
      <c r="C3945" s="27" t="s">
        <v>931</v>
      </c>
      <c r="D3945" s="27" t="s">
        <v>932</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1176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1125</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958</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929</v>
      </c>
      <c r="B3949" s="27" t="s">
        <v>930</v>
      </c>
      <c r="C3949" s="27" t="s">
        <v>931</v>
      </c>
      <c r="D3949" s="27" t="s">
        <v>932</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1305</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1209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1457</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936</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1012</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929</v>
      </c>
      <c r="B3955" s="27" t="s">
        <v>968</v>
      </c>
      <c r="C3955" s="27" t="s">
        <v>931</v>
      </c>
      <c r="D3955" s="27" t="s">
        <v>932</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462</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1957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936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929</v>
      </c>
      <c r="B3959" s="27" t="s">
        <v>1009</v>
      </c>
      <c r="C3959" s="27" t="s">
        <v>931</v>
      </c>
      <c r="D3959" s="27" t="s">
        <v>932</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42</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936</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1279</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929</v>
      </c>
      <c r="B3963" s="27" t="s">
        <v>968</v>
      </c>
      <c r="C3963" s="27" t="s">
        <v>931</v>
      </c>
      <c r="D3963" s="27" t="s">
        <v>932</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1070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45</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1674</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1067</v>
      </c>
      <c r="B3967" s="27" t="s">
        <v>991</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936</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1012</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938</v>
      </c>
      <c r="B3970" s="27" t="s">
        <v>1025</v>
      </c>
      <c r="C3970" s="27" t="s">
        <v>940</v>
      </c>
      <c r="D3970" s="27" t="s">
        <v>932</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1560</v>
      </c>
      <c r="B3971" s="27" t="s">
        <v>1009</v>
      </c>
      <c r="C3971" s="27" t="s">
        <v>1087</v>
      </c>
      <c r="D3971" s="27" t="s">
        <v>932</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950</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1064</v>
      </c>
      <c r="B3973" s="27" t="s">
        <v>1183</v>
      </c>
      <c r="C3973" s="27" t="s">
        <v>931</v>
      </c>
      <c r="D3973" s="27" t="s">
        <v>932</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980</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936</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944</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1209</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1113</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1007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1958</v>
      </c>
      <c r="B3980" s="27" t="s">
        <v>982</v>
      </c>
      <c r="C3980" s="27" t="s">
        <v>1054</v>
      </c>
      <c r="D3980" s="27" t="s">
        <v>932</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936</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944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929</v>
      </c>
      <c r="B3983" s="27" t="s">
        <v>968</v>
      </c>
      <c r="C3983" s="27" t="s">
        <v>931</v>
      </c>
      <c r="D3983" s="27" t="s">
        <v>932</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1065</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1007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1910</v>
      </c>
      <c r="B3986" s="27" t="s">
        <v>991</v>
      </c>
      <c r="C3986" s="27" t="s">
        <v>1054</v>
      </c>
      <c r="D3986" s="27" t="s">
        <v>932</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1042</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row>
    <row r="3989" spans="1:12">
      <c r="A3989" s="20" t="s">
        <v>1959</v>
      </c>
    </row>
    <row r="3990" spans="1:12">
      <c r="A3990" s="20" t="s">
        <v>929</v>
      </c>
      <c r="B3990" s="27" t="s">
        <v>930</v>
      </c>
      <c r="C3990" s="27" t="s">
        <v>931</v>
      </c>
      <c r="D3990" s="27" t="s">
        <v>932</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1305</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1266</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944</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1411</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1042</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row>
    <row r="3997" spans="1:12">
      <c r="A3997" s="20" t="s">
        <v>983</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1960</v>
      </c>
    </row>
    <row r="3999" spans="1:12">
      <c r="A3999" s="20" t="s">
        <v>1039</v>
      </c>
      <c r="B3999" s="27" t="s">
        <v>930</v>
      </c>
      <c r="C3999" s="27" t="s">
        <v>931</v>
      </c>
      <c r="D3999" s="27" t="s">
        <v>932</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602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937</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1007</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1649</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1239</v>
      </c>
      <c r="B4004" s="27" t="s">
        <v>942</v>
      </c>
      <c r="C4004" s="27" t="s">
        <v>1054</v>
      </c>
      <c r="D4004" s="27" t="s">
        <v>932</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936</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1260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1072</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954</v>
      </c>
      <c r="B4008" s="27" t="s">
        <v>968</v>
      </c>
      <c r="C4008" s="27" t="s">
        <v>931</v>
      </c>
      <c r="D4008" s="27" t="s">
        <v>932</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1252</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1114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1066</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13</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974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954</v>
      </c>
      <c r="B4014" s="27" t="s">
        <v>939</v>
      </c>
      <c r="C4014" s="27" t="s">
        <v>931</v>
      </c>
      <c r="D4014" s="27" t="s">
        <v>932</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1042</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928</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row>
    <row r="4018" spans="1:12">
      <c r="A4018" s="20" t="s">
        <v>1961</v>
      </c>
    </row>
    <row r="4019" spans="1:12">
      <c r="A4019" s="20" t="s">
        <v>929</v>
      </c>
      <c r="B4019" s="27" t="s">
        <v>930</v>
      </c>
      <c r="C4019" s="27" t="s">
        <v>931</v>
      </c>
      <c r="D4019" s="27" t="s">
        <v>932</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961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1743</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1472</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1007</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1938</v>
      </c>
      <c r="B4024" s="27" t="s">
        <v>942</v>
      </c>
      <c r="C4024" s="27" t="s">
        <v>1054</v>
      </c>
      <c r="D4024" s="27" t="s">
        <v>932</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958</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1040</v>
      </c>
      <c r="B4026" s="27" t="s">
        <v>968</v>
      </c>
      <c r="C4026" s="27" t="s">
        <v>946</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1056</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1962</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1963</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947</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36</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934</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1964</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936</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1846</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936</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1965</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16</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1966</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1435</v>
      </c>
      <c r="B4040" s="27" t="s">
        <v>1025</v>
      </c>
      <c r="C4040" s="27" t="s">
        <v>946</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936</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944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929</v>
      </c>
      <c r="B4043" s="27" t="s">
        <v>968</v>
      </c>
      <c r="C4043" s="27" t="s">
        <v>931</v>
      </c>
      <c r="D4043" s="27" t="s">
        <v>932</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1340</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947</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1811</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1032</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1335</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954</v>
      </c>
      <c r="B4049" s="27" t="s">
        <v>955</v>
      </c>
      <c r="C4049" s="27" t="s">
        <v>931</v>
      </c>
      <c r="D4049" s="27" t="s">
        <v>932</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1967</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937</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934</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1968</v>
      </c>
      <c r="B4053" s="27" t="s">
        <v>1025</v>
      </c>
      <c r="C4053" s="27" t="s">
        <v>973</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1000</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942</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1969</v>
      </c>
      <c r="B4056" s="27" t="s">
        <v>1078</v>
      </c>
      <c r="C4056" s="27" t="s">
        <v>946</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936</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944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272</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1000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1007</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1117</v>
      </c>
      <c r="B4062" s="27" t="s">
        <v>939</v>
      </c>
      <c r="C4062" s="27" t="s">
        <v>1054</v>
      </c>
      <c r="D4062" s="27" t="s">
        <v>932</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929</v>
      </c>
      <c r="B4063" s="27" t="s">
        <v>955</v>
      </c>
      <c r="C4063" s="27" t="s">
        <v>931</v>
      </c>
      <c r="D4063" s="27" t="s">
        <v>932</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961</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1185</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1970</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937</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961</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1040</v>
      </c>
      <c r="B4069" s="27" t="s">
        <v>1025</v>
      </c>
      <c r="C4069" s="27" t="s">
        <v>946</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1971</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1007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1972</v>
      </c>
      <c r="B4072" s="27" t="s">
        <v>1078</v>
      </c>
      <c r="C4072" s="27" t="s">
        <v>1054</v>
      </c>
      <c r="D4072" s="27" t="s">
        <v>932</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1042</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row>
    <row r="4075" spans="1:12">
      <c r="A4075" s="20" t="s">
        <v>1973</v>
      </c>
    </row>
    <row r="4076" spans="1:12">
      <c r="A4076" s="20" t="s">
        <v>965</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1209</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929</v>
      </c>
      <c r="B4078" s="27" t="s">
        <v>930</v>
      </c>
      <c r="C4078" s="27" t="s">
        <v>931</v>
      </c>
      <c r="D4078" s="27" t="s">
        <v>932</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1340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1160</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947</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1911</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947</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1811</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1032</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1261</v>
      </c>
      <c r="B4086" s="27" t="s">
        <v>955</v>
      </c>
      <c r="C4086" s="27" t="s">
        <v>1121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961</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1148</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1415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1063</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1974</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709</v>
      </c>
      <c r="B4092" s="27" t="s">
        <v>1025</v>
      </c>
      <c r="C4092" s="27" t="s">
        <v>946</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995</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1040</v>
      </c>
      <c r="B4094" s="27" t="s">
        <v>1078</v>
      </c>
      <c r="C4094" s="27" t="s">
        <v>946</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1042</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row>
    <row r="4097" spans="1:12">
      <c r="A4097" s="20" t="s">
        <v>1975</v>
      </c>
    </row>
    <row r="4098" spans="1:12">
      <c r="A4098" s="20" t="s">
        <v>965</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1261</v>
      </c>
      <c r="B4099" s="27" t="s">
        <v>930</v>
      </c>
      <c r="C4099" s="27" t="s">
        <v>1121</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929</v>
      </c>
      <c r="B4100" s="27" t="s">
        <v>1009</v>
      </c>
      <c r="C4100" s="27" t="s">
        <v>931</v>
      </c>
      <c r="D4100" s="27" t="s">
        <v>932</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1620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1056</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958</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1974</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709</v>
      </c>
      <c r="B4105" s="27" t="s">
        <v>968</v>
      </c>
      <c r="C4105" s="27" t="s">
        <v>946</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1201</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1976</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1125</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1148</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1977</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1063</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1040</v>
      </c>
      <c r="B4112" s="27" t="s">
        <v>939</v>
      </c>
      <c r="C4112" s="27" t="s">
        <v>946</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1042</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row>
    <row r="4115" spans="1:12">
      <c r="A4115" s="20" t="s">
        <v>1978</v>
      </c>
    </row>
    <row r="4116" spans="1:12">
      <c r="A4116" s="20" t="s">
        <v>1425</v>
      </c>
      <c r="B4116" s="27" t="s">
        <v>930</v>
      </c>
      <c r="C4116" s="27" t="s">
        <v>943</v>
      </c>
      <c r="D4116" s="27" t="s">
        <v>932</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1056</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1007</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1979</v>
      </c>
      <c r="B4119" s="27" t="s">
        <v>942</v>
      </c>
      <c r="C4119" s="27" t="s">
        <v>1054</v>
      </c>
      <c r="D4119" s="27" t="s">
        <v>932</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1000</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934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1980</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1981</v>
      </c>
      <c r="B4123" s="27" t="s">
        <v>942</v>
      </c>
      <c r="C4123" s="27" t="s">
        <v>973</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936</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1372</v>
      </c>
      <c r="B4125" s="27" t="s">
        <v>1009</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1056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1982</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1983</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1984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937</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1007</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1985</v>
      </c>
      <c r="B4132" s="27" t="s">
        <v>949</v>
      </c>
      <c r="C4132" s="27" t="s">
        <v>1054</v>
      </c>
      <c r="D4132" s="27" t="s">
        <v>932</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936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944</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1740</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1473</v>
      </c>
      <c r="B4136" s="27" t="s">
        <v>942</v>
      </c>
      <c r="C4136" s="27" t="s">
        <v>946</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936</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1372</v>
      </c>
      <c r="B4138" s="27" t="s">
        <v>1009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1201</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1986</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947</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36</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1329</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1498</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1063</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709</v>
      </c>
      <c r="B4146" s="27" t="s">
        <v>1025</v>
      </c>
      <c r="C4146" s="27" t="s">
        <v>946</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1069</v>
      </c>
      <c r="B4147" s="27" t="s">
        <v>1200</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1201</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1987</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1042</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row>
    <row r="4152" spans="1:12">
      <c r="A4152" s="20" t="s">
        <v>983</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1988</v>
      </c>
    </row>
    <row r="4154" spans="1:12">
      <c r="A4154" s="20" t="s">
        <v>965</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1199</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954</v>
      </c>
      <c r="B4156" s="27" t="s">
        <v>930</v>
      </c>
      <c r="C4156" s="27" t="s">
        <v>931</v>
      </c>
      <c r="D4156" s="27" t="s">
        <v>932</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1989</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1160</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958</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1072</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1175</v>
      </c>
      <c r="B4161" s="27" t="s">
        <v>1009</v>
      </c>
      <c r="C4161" s="27" t="s">
        <v>931</v>
      </c>
      <c r="D4161" s="27" t="s">
        <v>932</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45</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934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1587</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1923</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1349</v>
      </c>
      <c r="B4166" s="27" t="s">
        <v>1183</v>
      </c>
      <c r="C4166" s="27" t="s">
        <v>973</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1012</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13</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1990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969</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1007</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1239</v>
      </c>
      <c r="B4172" s="27" t="s">
        <v>1078</v>
      </c>
      <c r="C4172" s="27" t="s">
        <v>1054</v>
      </c>
      <c r="D4172" s="27" t="s">
        <v>932</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936</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1175</v>
      </c>
      <c r="B4174" s="27" t="s">
        <v>968</v>
      </c>
      <c r="C4174" s="27" t="s">
        <v>931</v>
      </c>
      <c r="D4174" s="27" t="s">
        <v>932</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42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936</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928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1991</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286</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929</v>
      </c>
      <c r="B4180" s="27" t="s">
        <v>1009</v>
      </c>
      <c r="C4180" s="27" t="s">
        <v>931</v>
      </c>
      <c r="D4180" s="27" t="s">
        <v>932</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13</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974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1317</v>
      </c>
      <c r="B4183" s="27" t="s">
        <v>949</v>
      </c>
      <c r="C4183" s="27" t="s">
        <v>1061</v>
      </c>
      <c r="D4183" s="27" t="s">
        <v>932</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1325</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row>
    <row r="4186" spans="1:12">
      <c r="A4186" s="20" t="s">
        <v>983</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1992</v>
      </c>
    </row>
    <row r="4188" spans="1:12">
      <c r="A4188" s="20" t="s">
        <v>929</v>
      </c>
      <c r="B4188" s="27" t="s">
        <v>930</v>
      </c>
      <c r="C4188" s="27" t="s">
        <v>931</v>
      </c>
      <c r="D4188" s="27" t="s">
        <v>932</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1685</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45</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1040</v>
      </c>
      <c r="B4191" s="27" t="s">
        <v>988</v>
      </c>
      <c r="C4191" s="27" t="s">
        <v>946</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1042</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928</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row>
    <row r="4195" spans="1:12">
      <c r="A4195" s="20" t="s">
        <v>1993</v>
      </c>
    </row>
    <row r="4196" spans="1:12">
      <c r="A4196" s="20" t="s">
        <v>965</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1175</v>
      </c>
      <c r="B4197" s="27" t="s">
        <v>930</v>
      </c>
      <c r="C4197" s="27" t="s">
        <v>931</v>
      </c>
      <c r="D4197" s="27" t="s">
        <v>932</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1219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1160</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947</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54</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1358</v>
      </c>
      <c r="B4202" s="27" t="s">
        <v>991</v>
      </c>
      <c r="C4202" s="27" t="s">
        <v>946</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1063</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954</v>
      </c>
      <c r="B4204" s="27" t="s">
        <v>939</v>
      </c>
      <c r="C4204" s="27" t="s">
        <v>931</v>
      </c>
      <c r="D4204" s="27" t="s">
        <v>932</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1042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row>
    <row r="4207" spans="1:12">
      <c r="A4207" s="20" t="s">
        <v>983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1994</v>
      </c>
    </row>
    <row r="4209" spans="1:12">
      <c r="A4209" s="20" t="s">
        <v>1103</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1072</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1175</v>
      </c>
      <c r="B4211" s="27" t="s">
        <v>968</v>
      </c>
      <c r="C4211" s="27" t="s">
        <v>931</v>
      </c>
      <c r="D4211" s="27" t="s">
        <v>932</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45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934</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1995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1996</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1349</v>
      </c>
      <c r="B4216" s="27" t="s">
        <v>991</v>
      </c>
      <c r="C4216" s="27" t="s">
        <v>973</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936</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944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1175</v>
      </c>
      <c r="B4219" s="27" t="s">
        <v>1009</v>
      </c>
      <c r="C4219" s="27" t="s">
        <v>931</v>
      </c>
      <c r="D4219" s="27" t="s">
        <v>932</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13</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1990</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969</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1007</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1239</v>
      </c>
      <c r="B4224" s="27" t="s">
        <v>1025</v>
      </c>
      <c r="C4224" s="27" t="s">
        <v>1054</v>
      </c>
      <c r="D4224" s="27" t="s">
        <v>932</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936</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1007</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1206</v>
      </c>
      <c r="B4227" s="27" t="s">
        <v>930</v>
      </c>
      <c r="C4227" s="27" t="s">
        <v>1054</v>
      </c>
      <c r="D4227" s="27" t="s">
        <v>932</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1175</v>
      </c>
      <c r="B4228" s="27" t="s">
        <v>1009</v>
      </c>
      <c r="C4228" s="27" t="s">
        <v>931</v>
      </c>
      <c r="D4228" s="27" t="s">
        <v>932</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13</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1056</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1997</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995</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1627</v>
      </c>
      <c r="B4233" s="27" t="s">
        <v>939</v>
      </c>
      <c r="C4233" s="27" t="s">
        <v>940</v>
      </c>
      <c r="D4233" s="27" t="s">
        <v>932</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1349</v>
      </c>
      <c r="B4234" s="27" t="s">
        <v>942</v>
      </c>
      <c r="C4234" s="27" t="s">
        <v>1087</v>
      </c>
      <c r="D4234" s="27" t="s">
        <v>932</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936</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944</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954</v>
      </c>
      <c r="B4237" s="27" t="s">
        <v>968</v>
      </c>
      <c r="C4237" s="27" t="s">
        <v>931</v>
      </c>
      <c r="D4237" s="27" t="s">
        <v>932</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1252</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1114</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1998</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947</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1175</v>
      </c>
      <c r="B4242" s="27" t="s">
        <v>939</v>
      </c>
      <c r="C4242" s="27" t="s">
        <v>931</v>
      </c>
      <c r="D4242" s="27" t="s">
        <v>932</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947</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42</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936</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928</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1999</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1317</v>
      </c>
      <c r="B4248" s="27" t="s">
        <v>955</v>
      </c>
      <c r="C4248" s="27" t="s">
        <v>1061</v>
      </c>
      <c r="D4248" s="27" t="s">
        <v>932</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1056</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2000</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1042</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928</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row>
    <row r="4254" spans="1:12">
      <c r="A4254" s="20" t="s">
        <v>2001</v>
      </c>
    </row>
    <row r="4255" spans="1:12">
      <c r="A4255" s="20" t="s">
        <v>965</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1209</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749</v>
      </c>
      <c r="B4257" s="27" t="s">
        <v>930</v>
      </c>
      <c r="C4257" s="27" t="s">
        <v>931</v>
      </c>
      <c r="D4257" s="27" t="s">
        <v>932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45</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1013</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2002</v>
      </c>
      <c r="B4260" s="27" t="s">
        <v>988</v>
      </c>
      <c r="C4260" s="27" t="s">
        <v>973</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937</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1317</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1875</v>
      </c>
      <c r="B4263" s="27" t="s">
        <v>939</v>
      </c>
      <c r="C4263" s="27" t="s">
        <v>999</v>
      </c>
      <c r="D4263" s="27" t="s">
        <v>932</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1000</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1040</v>
      </c>
      <c r="B4265" s="27" t="s">
        <v>949</v>
      </c>
      <c r="C4265" s="27" t="s">
        <v>946</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1971</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1987</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709</v>
      </c>
      <c r="B4268" s="27" t="s">
        <v>939</v>
      </c>
      <c r="C4268" s="27" t="s">
        <v>946</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958</v>
      </c>
      <c r="B4269" s="27" t="s">
        <v>955</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1176</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1125</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1148</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2003</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1164</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944</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958</v>
      </c>
      <c r="B4276" s="27" t="s">
        <v>960</v>
      </c>
      <c r="C4276" s="27" t="s">
        <v>1061</v>
      </c>
      <c r="D4276" s="27" t="s">
        <v>932</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1176</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1125</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1148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1977</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944</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958</v>
      </c>
      <c r="B4282" s="27" t="s">
        <v>1200</v>
      </c>
      <c r="C4282" s="27" t="s">
        <v>1061</v>
      </c>
      <c r="D4282" s="27" t="s">
        <v>932</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1176</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1125</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1148</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2004</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936</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944</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954</v>
      </c>
      <c r="B4289" s="27" t="s">
        <v>968</v>
      </c>
      <c r="C4289" s="27" t="s">
        <v>931</v>
      </c>
      <c r="D4289" s="27" t="s">
        <v>932</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1176</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934</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2005</v>
      </c>
      <c r="B4292" s="27" t="s">
        <v>942</v>
      </c>
      <c r="C4292" s="27" t="s">
        <v>973</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1000</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934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2006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2007</v>
      </c>
      <c r="B4296" s="27" t="s">
        <v>939</v>
      </c>
      <c r="C4296" s="27" t="s">
        <v>973</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1042</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row>
    <row r="4299" spans="1:12">
      <c r="A4299" s="20" t="s">
        <v>2008</v>
      </c>
    </row>
    <row r="4300" spans="1:12">
      <c r="A4300" s="20" t="s">
        <v>965</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1209</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929</v>
      </c>
      <c r="B4302" s="27" t="s">
        <v>930</v>
      </c>
      <c r="C4302" s="27" t="s">
        <v>931</v>
      </c>
      <c r="D4302" s="27" t="s">
        <v>932</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1107</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1013</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2009</v>
      </c>
      <c r="B4305" s="27" t="s">
        <v>988</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1069</v>
      </c>
      <c r="B4306" s="27" t="s">
        <v>1009</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961</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1210</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934</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2010</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1830</v>
      </c>
      <c r="B4311" s="27" t="s">
        <v>1183</v>
      </c>
      <c r="C4311" s="27" t="s">
        <v>973</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937</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2011</v>
      </c>
      <c r="B4313" s="27" t="s">
        <v>1025</v>
      </c>
      <c r="C4313" s="27" t="s">
        <v>1087</v>
      </c>
      <c r="D4313" s="27" t="s">
        <v>932</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2012</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1000</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2013</v>
      </c>
      <c r="B4316" s="27" t="s">
        <v>1078</v>
      </c>
      <c r="C4316" s="27" t="s">
        <v>943</v>
      </c>
      <c r="D4316" s="27" t="s">
        <v>932</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936</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1858</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1549</v>
      </c>
      <c r="B4319" s="27" t="s">
        <v>968</v>
      </c>
      <c r="C4319" s="27" t="s">
        <v>931</v>
      </c>
      <c r="D4319" s="27" t="s">
        <v>932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2003</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1164</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2014</v>
      </c>
      <c r="B4322" s="27" t="s">
        <v>991</v>
      </c>
      <c r="C4322" s="27" t="s">
        <v>946</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1069</v>
      </c>
      <c r="B4323" s="27" t="s">
        <v>955</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1065</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76</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937</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1063</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942</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1848</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1741</v>
      </c>
      <c r="B4330" s="27" t="s">
        <v>1025</v>
      </c>
      <c r="C4330" s="27" t="s">
        <v>946</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944</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2015</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987</v>
      </c>
      <c r="B4333" s="27" t="s">
        <v>982</v>
      </c>
      <c r="C4333" s="27" t="s">
        <v>931</v>
      </c>
      <c r="D4333" s="27" t="s">
        <v>932</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995</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1040</v>
      </c>
      <c r="B4335" s="27" t="s">
        <v>1078</v>
      </c>
      <c r="C4335" s="27" t="s">
        <v>946</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936</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944</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985</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2016</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1254</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1255</v>
      </c>
      <c r="B4341" s="27" t="s">
        <v>982</v>
      </c>
      <c r="C4341" s="27" t="s">
        <v>1097</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1000</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1007</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2017</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1904</v>
      </c>
      <c r="B4345" s="27" t="s">
        <v>978</v>
      </c>
      <c r="C4345" s="27" t="s">
        <v>1054</v>
      </c>
      <c r="D4345" s="27" t="s">
        <v>932</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1042</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row>
    <row r="4348" spans="1:12">
      <c r="A4348" s="20" t="s">
        <v>2018</v>
      </c>
    </row>
    <row r="4349" spans="1:12">
      <c r="A4349" s="20" t="s">
        <v>1514</v>
      </c>
      <c r="B4349" s="27" t="s">
        <v>930</v>
      </c>
      <c r="C4349" s="27" t="s">
        <v>1087</v>
      </c>
      <c r="D4349" s="27" t="s">
        <v>932</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1000</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987</v>
      </c>
      <c r="B4351" s="27" t="s">
        <v>939</v>
      </c>
      <c r="C4351" s="27" t="s">
        <v>931</v>
      </c>
      <c r="D4351" s="27" t="s">
        <v>932</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936</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2019</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936</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1799</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937</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936</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944</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1317</v>
      </c>
      <c r="B4359" s="27" t="s">
        <v>968</v>
      </c>
      <c r="C4359" s="27" t="s">
        <v>1061</v>
      </c>
      <c r="D4359" s="27" t="s">
        <v>932</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1056</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1261</v>
      </c>
      <c r="B4361" s="27" t="s">
        <v>942</v>
      </c>
      <c r="C4361" s="27" t="s">
        <v>1121</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1549</v>
      </c>
      <c r="B4362" s="27" t="s">
        <v>1009</v>
      </c>
      <c r="C4362" s="27" t="s">
        <v>931</v>
      </c>
      <c r="D4362" s="27" t="s">
        <v>932</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1232</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1007</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1275</v>
      </c>
      <c r="B4365" s="27" t="s">
        <v>949</v>
      </c>
      <c r="C4365" s="27" t="s">
        <v>1054</v>
      </c>
      <c r="D4365" s="27" t="s">
        <v>932</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1549</v>
      </c>
      <c r="B4366" s="27" t="s">
        <v>960</v>
      </c>
      <c r="C4366" s="27" t="s">
        <v>931</v>
      </c>
      <c r="D4366" s="27" t="s">
        <v>932</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1799</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937</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1042</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row>
    <row r="4371" spans="1:12">
      <c r="A4371" s="20" t="s">
        <v>2020</v>
      </c>
    </row>
    <row r="4372" spans="1:12">
      <c r="A4372" s="20" t="s">
        <v>1544</v>
      </c>
      <c r="B4372" s="27" t="s">
        <v>930</v>
      </c>
      <c r="C4372" s="27" t="s">
        <v>931</v>
      </c>
      <c r="D4372" s="27" t="s">
        <v>932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1232</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936</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944</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1549</v>
      </c>
      <c r="B4376" s="27" t="s">
        <v>968</v>
      </c>
      <c r="C4376" s="27" t="s">
        <v>931</v>
      </c>
      <c r="D4376" s="27" t="s">
        <v>932</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961</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934</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1800</v>
      </c>
      <c r="B4379" s="27" t="s">
        <v>942</v>
      </c>
      <c r="C4379" s="27" t="s">
        <v>973</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936</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1472</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1007</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1206</v>
      </c>
      <c r="B4383" s="27" t="s">
        <v>939</v>
      </c>
      <c r="C4383" s="27" t="s">
        <v>1054</v>
      </c>
      <c r="D4383" s="27" t="s">
        <v>932</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936</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1069</v>
      </c>
      <c r="B4385" s="27" t="s">
        <v>955</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1065</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2021</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1925</v>
      </c>
      <c r="B4388" s="27" t="s">
        <v>1031</v>
      </c>
      <c r="C4388" s="27" t="s">
        <v>1097</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1042</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row>
    <row r="4391" spans="1:12">
      <c r="A4391" s="20" t="s">
        <v>983</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2022</v>
      </c>
    </row>
    <row r="4393" spans="1:12">
      <c r="A4393" s="20" t="s">
        <v>1544</v>
      </c>
      <c r="B4393" s="27" t="s">
        <v>930</v>
      </c>
      <c r="C4393" s="27" t="s">
        <v>931</v>
      </c>
      <c r="D4393" s="27" t="s">
        <v>932</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1232</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936</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928</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929</v>
      </c>
      <c r="B4397" s="27" t="s">
        <v>968</v>
      </c>
      <c r="C4397" s="27" t="s">
        <v>931</v>
      </c>
      <c r="D4397" s="27" t="s">
        <v>932</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2023</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947</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45</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934</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1939</v>
      </c>
      <c r="B4402" s="27" t="s">
        <v>1183</v>
      </c>
      <c r="C4402" s="27" t="s">
        <v>973</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1012</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929</v>
      </c>
      <c r="B4404" s="27" t="s">
        <v>1009</v>
      </c>
      <c r="C4404" s="27" t="s">
        <v>931</v>
      </c>
      <c r="D4404" s="27" t="s">
        <v>932</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1065</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947</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1713</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954</v>
      </c>
      <c r="B4408" s="27" t="s">
        <v>1031</v>
      </c>
      <c r="C4408" s="27" t="s">
        <v>931</v>
      </c>
      <c r="D4408" s="27" t="s">
        <v>932</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1164</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1279</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929</v>
      </c>
      <c r="B4411" s="27" t="s">
        <v>960</v>
      </c>
      <c r="C4411" s="27" t="s">
        <v>931</v>
      </c>
      <c r="D4411" s="27" t="s">
        <v>932</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1070</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1114</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268</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1160</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1000</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1007</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2024</v>
      </c>
      <c r="B4418" s="27" t="s">
        <v>1078</v>
      </c>
      <c r="C4418" s="27" t="s">
        <v>1054</v>
      </c>
      <c r="D4418" s="27" t="s">
        <v>932</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1042</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row>
    <row r="4421" spans="1:12">
      <c r="A4421" s="20" t="s">
        <v>2025</v>
      </c>
    </row>
    <row r="4422" spans="1:12">
      <c r="A4422" s="20" t="s">
        <v>929</v>
      </c>
      <c r="B4422" s="27" t="s">
        <v>930</v>
      </c>
      <c r="C4422" s="27" t="s">
        <v>931</v>
      </c>
      <c r="D4422" s="27" t="s">
        <v>932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45</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1414</v>
      </c>
      <c r="B4424" s="27" t="s">
        <v>988</v>
      </c>
      <c r="C4424" s="27" t="s">
        <v>1111</v>
      </c>
      <c r="D4424" s="27" t="s">
        <v>932</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947</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290</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947</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938</v>
      </c>
      <c r="B4428" s="27" t="s">
        <v>1025</v>
      </c>
      <c r="C4428" s="27" t="s">
        <v>940</v>
      </c>
      <c r="D4428" s="27" t="s">
        <v>932</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1925</v>
      </c>
      <c r="B4429" s="27" t="s">
        <v>949</v>
      </c>
      <c r="C4429" s="27" t="s">
        <v>1087</v>
      </c>
      <c r="D4429" s="27" t="s">
        <v>932</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1042</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row>
    <row r="4432" spans="1:12">
      <c r="A4432" s="20" t="s">
        <v>983</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2026</v>
      </c>
    </row>
    <row r="4434" spans="1:12">
      <c r="A4434" s="20" t="s">
        <v>1080</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1007</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1776</v>
      </c>
      <c r="B4436" s="27" t="s">
        <v>942</v>
      </c>
      <c r="C4436" s="27" t="s">
        <v>1054</v>
      </c>
      <c r="D4436" s="27" t="s">
        <v>932</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936</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929</v>
      </c>
      <c r="B4438" s="27" t="s">
        <v>930</v>
      </c>
      <c r="C4438" s="27" t="s">
        <v>931</v>
      </c>
      <c r="D4438" s="27" t="s">
        <v>932</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1902</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1114</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653</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1063</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987</v>
      </c>
      <c r="B4443" s="27" t="s">
        <v>968</v>
      </c>
      <c r="C4443" s="27" t="s">
        <v>931</v>
      </c>
      <c r="D4443" s="27" t="s">
        <v>932</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947</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1874</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936</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944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985</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929</v>
      </c>
      <c r="B4449" s="27" t="s">
        <v>968</v>
      </c>
      <c r="C4449" s="27" t="s">
        <v>931</v>
      </c>
      <c r="D4449" s="27" t="s">
        <v>932</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2027</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937</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1281</v>
      </c>
      <c r="B4452" s="27" t="s">
        <v>939</v>
      </c>
      <c r="C4452" s="27" t="s">
        <v>946</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944</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2028</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1007</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2029</v>
      </c>
      <c r="B4456" s="27" t="s">
        <v>991</v>
      </c>
      <c r="C4456" s="27" t="s">
        <v>1054</v>
      </c>
      <c r="D4456" s="27" t="s">
        <v>932</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1228</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938</v>
      </c>
      <c r="B4458" s="27" t="s">
        <v>949</v>
      </c>
      <c r="C4458" s="27" t="s">
        <v>940</v>
      </c>
      <c r="D4458" s="27" t="s">
        <v>932</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1774</v>
      </c>
      <c r="B4459" s="27" t="s">
        <v>939</v>
      </c>
      <c r="C4459" s="27" t="s">
        <v>1087</v>
      </c>
      <c r="D4459" s="27" t="s">
        <v>932</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936</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944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1105</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2030</v>
      </c>
      <c r="B4463" s="27" t="s">
        <v>942</v>
      </c>
      <c r="C4463" s="27" t="s">
        <v>1097</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966</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967</v>
      </c>
      <c r="B4465" s="27" t="s">
        <v>955</v>
      </c>
      <c r="C4465" s="27" t="s">
        <v>931</v>
      </c>
      <c r="D4465" s="27" t="s">
        <v>932</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76</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1139</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936</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954</v>
      </c>
      <c r="B4469" s="27" t="s">
        <v>1009</v>
      </c>
      <c r="C4469" s="27" t="s">
        <v>931</v>
      </c>
      <c r="D4469" s="27" t="s">
        <v>932</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1264</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1659</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1209</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2031</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1042</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928</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row>
    <row r="4477" spans="1:12">
      <c r="A4477" s="20" t="s">
        <v>983</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2032</v>
      </c>
    </row>
    <row r="4479" spans="1:12">
      <c r="A4479" s="20" t="s">
        <v>1544</v>
      </c>
      <c r="B4479" s="27" t="s">
        <v>930</v>
      </c>
      <c r="C4479" s="27" t="s">
        <v>931</v>
      </c>
      <c r="D4479" s="27" t="s">
        <v>932</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1232</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936</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928</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929</v>
      </c>
      <c r="B4483" s="27" t="s">
        <v>968</v>
      </c>
      <c r="C4483" s="27" t="s">
        <v>931</v>
      </c>
      <c r="D4483" s="27" t="s">
        <v>932</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1590</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1074</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1711</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934</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1152</v>
      </c>
      <c r="B4488" s="27" t="s">
        <v>991</v>
      </c>
      <c r="C4488" s="27" t="s">
        <v>1087</v>
      </c>
      <c r="D4488" s="27" t="s">
        <v>932</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1000</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2033</v>
      </c>
      <c r="B4490" s="27" t="s">
        <v>949</v>
      </c>
      <c r="C4490" s="27" t="s">
        <v>943</v>
      </c>
      <c r="D4490" s="27" t="s">
        <v>932</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936</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2034</v>
      </c>
      <c r="B4492" s="27" t="s">
        <v>991</v>
      </c>
      <c r="C4492" s="27" t="s">
        <v>1111</v>
      </c>
      <c r="D4492" s="27" t="s">
        <v>932</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929</v>
      </c>
      <c r="B4493" s="27" t="s">
        <v>955</v>
      </c>
      <c r="C4493" s="27" t="s">
        <v>931</v>
      </c>
      <c r="D4493" s="27" t="s">
        <v>932</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1230</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415</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1209</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958</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929</v>
      </c>
      <c r="B4498" s="27" t="s">
        <v>960</v>
      </c>
      <c r="C4498" s="27" t="s">
        <v>931</v>
      </c>
      <c r="D4498" s="27" t="s">
        <v>932</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1230</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2035</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1329</v>
      </c>
      <c r="B4501" s="27" t="s">
        <v>1031</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1042</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row>
    <row r="4504" spans="1:12">
      <c r="A4504" s="20" t="s">
        <v>2036</v>
      </c>
    </row>
    <row r="4505" spans="1:12">
      <c r="A4505" s="20" t="s">
        <v>1085</v>
      </c>
      <c r="B4505" s="27" t="s">
        <v>939</v>
      </c>
      <c r="C4505" s="27" t="s">
        <v>940</v>
      </c>
      <c r="D4505" s="27" t="s">
        <v>932</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1716</v>
      </c>
      <c r="B4506" s="27" t="s">
        <v>930</v>
      </c>
      <c r="C4506" s="27" t="s">
        <v>1087</v>
      </c>
      <c r="D4506" s="27" t="s">
        <v>932</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1599</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1074</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1694</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1064</v>
      </c>
      <c r="B4510" s="27" t="s">
        <v>988</v>
      </c>
      <c r="C4510" s="27" t="s">
        <v>931</v>
      </c>
      <c r="D4510" s="27" t="s">
        <v>932</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929</v>
      </c>
      <c r="B4511" s="27" t="s">
        <v>968</v>
      </c>
      <c r="C4511" s="27" t="s">
        <v>931</v>
      </c>
      <c r="D4511" s="27" t="s">
        <v>932</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1305</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2037</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936</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929</v>
      </c>
      <c r="B4515" s="27" t="s">
        <v>968</v>
      </c>
      <c r="C4515" s="27" t="s">
        <v>931</v>
      </c>
      <c r="D4515" s="27" t="s">
        <v>932</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1305</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2038</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1042</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row>
    <row r="4520" spans="1:12">
      <c r="A4520" s="20" t="s">
        <v>983</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2039</v>
      </c>
    </row>
    <row r="4522" spans="1:12">
      <c r="A4522" s="20" t="s">
        <v>929</v>
      </c>
      <c r="B4522" s="27" t="s">
        <v>930</v>
      </c>
      <c r="C4522" s="27" t="s">
        <v>931</v>
      </c>
      <c r="D4522" s="27" t="s">
        <v>932</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663</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929</v>
      </c>
      <c r="B4524" s="27" t="s">
        <v>968</v>
      </c>
      <c r="C4524" s="27" t="s">
        <v>931</v>
      </c>
      <c r="D4524" s="27" t="s">
        <v>932</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1070</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2040</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1007</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2041</v>
      </c>
      <c r="B4528" s="27" t="s">
        <v>991</v>
      </c>
      <c r="C4528" s="27" t="s">
        <v>1054</v>
      </c>
      <c r="D4528" s="27" t="s">
        <v>932</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1042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928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row>
    <row r="4532" spans="1:12">
      <c r="A4532" s="20" t="s">
        <v>983</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2042</v>
      </c>
    </row>
    <row r="4534" spans="1:12">
      <c r="A4534" s="20" t="s">
        <v>1429</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936</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1549</v>
      </c>
      <c r="B4536" s="27" t="s">
        <v>930</v>
      </c>
      <c r="C4536" s="27" t="s">
        <v>931</v>
      </c>
      <c r="D4536" s="27" t="s">
        <v>932</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961</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2043</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1341</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1317</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2017</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1904</v>
      </c>
      <c r="B4542" s="27" t="s">
        <v>942</v>
      </c>
      <c r="C4542" s="27" t="s">
        <v>999</v>
      </c>
      <c r="D4542" s="27" t="s">
        <v>932</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936</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944</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966</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929</v>
      </c>
      <c r="B4546" s="27" t="s">
        <v>1009</v>
      </c>
      <c r="C4546" s="27" t="s">
        <v>931</v>
      </c>
      <c r="D4546" s="27" t="s">
        <v>932</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1511</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1537</v>
      </c>
      <c r="B4548" s="27" t="s">
        <v>1025</v>
      </c>
      <c r="C4548" s="27" t="s">
        <v>940</v>
      </c>
      <c r="D4548" s="27" t="s">
        <v>932</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1254</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1255</v>
      </c>
      <c r="B4550" s="27" t="s">
        <v>1183</v>
      </c>
      <c r="C4550" s="27" t="s">
        <v>1087</v>
      </c>
      <c r="D4550" s="27" t="s">
        <v>932</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1106</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936</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1549</v>
      </c>
      <c r="B4553" s="27" t="s">
        <v>968</v>
      </c>
      <c r="C4553" s="27" t="s">
        <v>931</v>
      </c>
      <c r="D4553" s="27" t="s">
        <v>932</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1065</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1552</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934</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1939</v>
      </c>
      <c r="B4557" s="27" t="s">
        <v>991</v>
      </c>
      <c r="C4557" s="27" t="s">
        <v>973</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1829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937</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2044</v>
      </c>
      <c r="B4560" s="27" t="s">
        <v>1025</v>
      </c>
      <c r="C4560" s="27" t="s">
        <v>946</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1063</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1007</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2045</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2046</v>
      </c>
      <c r="B4564" s="27" t="s">
        <v>1025</v>
      </c>
      <c r="C4564" s="27" t="s">
        <v>943</v>
      </c>
      <c r="D4564" s="27" t="s">
        <v>932</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936</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1549</v>
      </c>
      <c r="B4566" s="27" t="s">
        <v>968</v>
      </c>
      <c r="C4566" s="27" t="s">
        <v>931</v>
      </c>
      <c r="D4566" s="27" t="s">
        <v>932</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1065</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2047</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1007</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2048</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1716</v>
      </c>
      <c r="B4571" s="27" t="s">
        <v>991</v>
      </c>
      <c r="C4571" s="27" t="s">
        <v>1054</v>
      </c>
      <c r="D4571" s="27" t="s">
        <v>932</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936</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944</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1549</v>
      </c>
      <c r="B4574" s="27" t="s">
        <v>968</v>
      </c>
      <c r="C4574" s="27" t="s">
        <v>931</v>
      </c>
      <c r="D4574" s="27" t="s">
        <v>932</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1232</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947</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1064</v>
      </c>
      <c r="B4577" s="27" t="s">
        <v>939</v>
      </c>
      <c r="C4577" s="27" t="s">
        <v>931</v>
      </c>
      <c r="D4577" s="27" t="s">
        <v>932</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936</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928</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1085</v>
      </c>
      <c r="B4580" s="27" t="s">
        <v>949</v>
      </c>
      <c r="C4580" s="27" t="s">
        <v>940</v>
      </c>
      <c r="D4580" s="27" t="s">
        <v>932</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2049</v>
      </c>
      <c r="B4581" s="27" t="s">
        <v>968</v>
      </c>
      <c r="C4581" s="27" t="s">
        <v>1087</v>
      </c>
      <c r="D4581" s="27" t="s">
        <v>932</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1201</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1209</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1136</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2050</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1412</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1042</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928</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row>
    <row r="4590" spans="1:12">
      <c r="A4590" s="20" t="s">
        <v>983</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2051</v>
      </c>
    </row>
    <row r="4592" spans="1:12">
      <c r="A4592" s="20" t="s">
        <v>1544</v>
      </c>
      <c r="B4592" s="27" t="s">
        <v>930</v>
      </c>
      <c r="C4592" s="27" t="s">
        <v>931</v>
      </c>
      <c r="D4592" s="27" t="s">
        <v>932</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1232</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936</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928</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1434</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1176</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272</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2052</v>
      </c>
      <c r="B4599" s="27" t="s">
        <v>968</v>
      </c>
      <c r="C4599" s="27" t="s">
        <v>1097</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937</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938</v>
      </c>
      <c r="B4601" s="27" t="s">
        <v>1025</v>
      </c>
      <c r="C4601" s="27" t="s">
        <v>940</v>
      </c>
      <c r="D4601" s="27" t="s">
        <v>932</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2053</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2054</v>
      </c>
      <c r="B4603" s="27" t="s">
        <v>949</v>
      </c>
      <c r="C4603" s="27" t="s">
        <v>1087</v>
      </c>
      <c r="D4603" s="27" t="s">
        <v>932</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1063</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1007</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2055</v>
      </c>
      <c r="B4606" s="27" t="s">
        <v>1025</v>
      </c>
      <c r="C4606" s="27" t="s">
        <v>1054</v>
      </c>
      <c r="D4606" s="27" t="s">
        <v>932</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944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272</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2052</v>
      </c>
      <c r="B4609" s="27" t="s">
        <v>1078</v>
      </c>
      <c r="C4609" s="27" t="s">
        <v>1097</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1063</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1007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2056</v>
      </c>
      <c r="B4612" s="27" t="s">
        <v>1078</v>
      </c>
      <c r="C4612" s="27" t="s">
        <v>1054</v>
      </c>
      <c r="D4612" s="27" t="s">
        <v>932</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936</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1012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1032</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2057</v>
      </c>
      <c r="B4616" s="27" t="s">
        <v>939</v>
      </c>
      <c r="C4616" s="27" t="s">
        <v>946</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936</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967</v>
      </c>
      <c r="B4618" s="27" t="s">
        <v>968</v>
      </c>
      <c r="C4618" s="27" t="s">
        <v>931</v>
      </c>
      <c r="D4618" s="27" t="s">
        <v>932</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1181</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1264</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969</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1164</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1144</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938</v>
      </c>
      <c r="B4624" s="27" t="s">
        <v>949</v>
      </c>
      <c r="C4624" s="27" t="s">
        <v>940</v>
      </c>
      <c r="D4624" s="27" t="s">
        <v>932</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1281</v>
      </c>
      <c r="B4625" s="27" t="s">
        <v>939</v>
      </c>
      <c r="C4625" s="27" t="s">
        <v>1087</v>
      </c>
      <c r="D4625" s="27" t="s">
        <v>932</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936</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944</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749</v>
      </c>
      <c r="B4628" s="27" t="s">
        <v>968</v>
      </c>
      <c r="C4628" s="27" t="s">
        <v>931</v>
      </c>
      <c r="D4628" s="27" t="s">
        <v>932</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1181</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1210</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2058</v>
      </c>
      <c r="B4631" s="27" t="s">
        <v>991</v>
      </c>
      <c r="C4631" s="27" t="s">
        <v>946</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969</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2059</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944</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72</v>
      </c>
      <c r="B4635" s="27" t="s">
        <v>949</v>
      </c>
      <c r="C4635" s="27" t="s">
        <v>1111</v>
      </c>
      <c r="D4635" s="27" t="s">
        <v>932</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1042</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row>
    <row r="4638" spans="1:12">
      <c r="A4638" s="20" t="s">
        <v>2060</v>
      </c>
    </row>
    <row r="4639" spans="1:12">
      <c r="A4639" s="20" t="s">
        <v>1514</v>
      </c>
      <c r="B4639" s="27" t="s">
        <v>930</v>
      </c>
      <c r="C4639" s="27" t="s">
        <v>1087</v>
      </c>
      <c r="D4639" s="27" t="s">
        <v>932</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1000</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987</v>
      </c>
      <c r="B4641" s="27" t="s">
        <v>939</v>
      </c>
      <c r="C4641" s="27" t="s">
        <v>931</v>
      </c>
      <c r="D4641" s="27" t="s">
        <v>932</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2061</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947</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36</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934</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2062</v>
      </c>
      <c r="B4646" s="27" t="s">
        <v>942</v>
      </c>
      <c r="C4646" s="27" t="s">
        <v>973</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936</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272</v>
      </c>
      <c r="B4648" s="27" t="s">
        <v>968</v>
      </c>
      <c r="C4648" s="27" t="s">
        <v>1087</v>
      </c>
      <c r="D4648" s="27" t="s">
        <v>932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1000</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987</v>
      </c>
      <c r="B4650" s="27" t="s">
        <v>949</v>
      </c>
      <c r="C4650" s="27" t="s">
        <v>931</v>
      </c>
      <c r="D4650" s="27" t="s">
        <v>932</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2061</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947</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36</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934</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2063</v>
      </c>
      <c r="B4655" s="27" t="s">
        <v>939</v>
      </c>
      <c r="C4655" s="27" t="s">
        <v>973</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936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944</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272</v>
      </c>
      <c r="B4658" s="27" t="s">
        <v>1009</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1000</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1007</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2056</v>
      </c>
      <c r="B4661" s="27" t="s">
        <v>1025</v>
      </c>
      <c r="C4661" s="27" t="s">
        <v>1054</v>
      </c>
      <c r="D4661" s="27" t="s">
        <v>932</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2064</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1549</v>
      </c>
      <c r="B4663" s="27" t="s">
        <v>955</v>
      </c>
      <c r="C4663" s="27" t="s">
        <v>931</v>
      </c>
      <c r="D4663" s="27" t="s">
        <v>932</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1176</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980</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947</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36</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934</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2065</v>
      </c>
      <c r="B4669" s="27" t="s">
        <v>1025</v>
      </c>
      <c r="C4669" s="27" t="s">
        <v>973</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1042</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row>
    <row r="4672" spans="1:12">
      <c r="A4672" s="20" t="s">
        <v>2066</v>
      </c>
    </row>
    <row r="4673" spans="1:12">
      <c r="A4673" s="20" t="s">
        <v>1398</v>
      </c>
      <c r="B4673" s="27" t="s">
        <v>930</v>
      </c>
      <c r="C4673" s="27" t="s">
        <v>931</v>
      </c>
      <c r="D4673" s="27" t="s">
        <v>932</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286</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1114</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1949</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974</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967</v>
      </c>
      <c r="B4678" s="27" t="s">
        <v>968</v>
      </c>
      <c r="C4678" s="27" t="s">
        <v>931</v>
      </c>
      <c r="D4678" s="27" t="s">
        <v>932</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2023</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947</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936</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944</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967</v>
      </c>
      <c r="B4683" s="27" t="s">
        <v>968</v>
      </c>
      <c r="C4683" s="27" t="s">
        <v>931</v>
      </c>
      <c r="D4683" s="27" t="s">
        <v>932</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286</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1114</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1342</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974</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967</v>
      </c>
      <c r="B4688" s="27" t="s">
        <v>1009</v>
      </c>
      <c r="C4688" s="27" t="s">
        <v>931</v>
      </c>
      <c r="D4688" s="27" t="s">
        <v>932</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1113</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1042</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row>
    <row r="4692" spans="1:12">
      <c r="A4692" s="20" t="s">
        <v>2067</v>
      </c>
    </row>
    <row r="4693" spans="1:12">
      <c r="A4693" s="20" t="s">
        <v>1647</v>
      </c>
      <c r="B4693" s="27" t="s">
        <v>930</v>
      </c>
      <c r="C4693" s="27" t="s">
        <v>1061</v>
      </c>
      <c r="D4693" s="27" t="s">
        <v>932</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1176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969</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929</v>
      </c>
      <c r="B4696" s="27" t="s">
        <v>968</v>
      </c>
      <c r="C4696" s="27" t="s">
        <v>931</v>
      </c>
      <c r="D4696" s="27" t="s">
        <v>932</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134</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1412</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936</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1056</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938</v>
      </c>
      <c r="B4701" s="27" t="s">
        <v>939</v>
      </c>
      <c r="C4701" s="27" t="s">
        <v>940</v>
      </c>
      <c r="D4701" s="27" t="s">
        <v>932</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2049</v>
      </c>
      <c r="B4702" s="27" t="s">
        <v>942</v>
      </c>
      <c r="C4702" s="27" t="s">
        <v>1087</v>
      </c>
      <c r="D4702" s="27" t="s">
        <v>932</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1042</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row>
    <row r="4705" spans="1:12">
      <c r="A4705" s="20" t="s">
        <v>2068</v>
      </c>
    </row>
    <row r="4706" spans="1:12">
      <c r="A4706" s="20" t="s">
        <v>1697</v>
      </c>
      <c r="B4706" s="27" t="s">
        <v>930</v>
      </c>
      <c r="C4706" s="27" t="s">
        <v>946</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20</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1144</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2069</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936</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1007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1206</v>
      </c>
      <c r="B4712" s="27" t="s">
        <v>988</v>
      </c>
      <c r="C4712" s="27" t="s">
        <v>1054</v>
      </c>
      <c r="D4712" s="27" t="s">
        <v>932</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929</v>
      </c>
      <c r="B4713" s="27" t="s">
        <v>1009</v>
      </c>
      <c r="C4713" s="27" t="s">
        <v>931</v>
      </c>
      <c r="D4713" s="27" t="s">
        <v>932</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2070</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936</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1007</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1206</v>
      </c>
      <c r="B4717" s="27" t="s">
        <v>988</v>
      </c>
      <c r="C4717" s="27" t="s">
        <v>1054</v>
      </c>
      <c r="D4717" s="27" t="s">
        <v>932</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929</v>
      </c>
      <c r="B4718" s="27" t="s">
        <v>1009</v>
      </c>
      <c r="C4718" s="27" t="s">
        <v>931</v>
      </c>
      <c r="D4718" s="27" t="s">
        <v>932</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13</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936</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1007</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1206</v>
      </c>
      <c r="B4722" s="27" t="s">
        <v>939</v>
      </c>
      <c r="C4722" s="27" t="s">
        <v>1054</v>
      </c>
      <c r="D4722" s="27" t="s">
        <v>932</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929</v>
      </c>
      <c r="B4723" s="27" t="s">
        <v>955</v>
      </c>
      <c r="C4723" s="27" t="s">
        <v>931</v>
      </c>
      <c r="D4723" s="27" t="s">
        <v>932</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2071</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1042</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row>
    <row r="4727" spans="1:12">
      <c r="A4727" s="20" t="s">
        <v>2072</v>
      </c>
    </row>
    <row r="4728" spans="1:12">
      <c r="A4728" s="20" t="s">
        <v>929</v>
      </c>
      <c r="B4728" s="27" t="s">
        <v>930</v>
      </c>
      <c r="C4728" s="27" t="s">
        <v>931</v>
      </c>
      <c r="D4728" s="27" t="s">
        <v>932</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1230</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268</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2012</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1125</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1148</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1259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1781</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936</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944</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929</v>
      </c>
      <c r="B4738" s="27" t="s">
        <v>968</v>
      </c>
      <c r="C4738" s="27" t="s">
        <v>931</v>
      </c>
      <c r="D4738" s="27" t="s">
        <v>932</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286</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1114</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42</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996</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1596</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2073</v>
      </c>
      <c r="B4744" s="27" t="s">
        <v>1009</v>
      </c>
      <c r="C4744" s="27" t="s">
        <v>999</v>
      </c>
      <c r="D4744" s="27" t="s">
        <v>932</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1201</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2074</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1092</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936</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944</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1072</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954</v>
      </c>
      <c r="B4751" s="27" t="s">
        <v>1009</v>
      </c>
      <c r="C4751" s="27" t="s">
        <v>931</v>
      </c>
      <c r="D4751" s="27" t="s">
        <v>932</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970</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1114</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1063</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2075</v>
      </c>
      <c r="B4755" s="27" t="s">
        <v>949</v>
      </c>
      <c r="C4755" s="27" t="s">
        <v>943</v>
      </c>
      <c r="D4755" s="27" t="s">
        <v>932</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2076</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944</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958</v>
      </c>
      <c r="B4758" s="27" t="s">
        <v>1025</v>
      </c>
      <c r="C4758" s="27" t="s">
        <v>1061</v>
      </c>
      <c r="D4758" s="27" t="s">
        <v>932</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936</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929</v>
      </c>
      <c r="B4760" s="27" t="s">
        <v>1009</v>
      </c>
      <c r="C4760" s="27" t="s">
        <v>931</v>
      </c>
      <c r="D4760" s="27" t="s">
        <v>932</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1138</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1455</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36</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1032</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1139</v>
      </c>
      <c r="B4765" s="27" t="s">
        <v>939</v>
      </c>
      <c r="C4765" s="27" t="s">
        <v>946</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995</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1007</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2029</v>
      </c>
      <c r="B4768" s="27" t="s">
        <v>949</v>
      </c>
      <c r="C4768" s="27" t="s">
        <v>1054</v>
      </c>
      <c r="D4768" s="27" t="s">
        <v>932</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2077</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1228</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938</v>
      </c>
      <c r="B4771" s="27" t="s">
        <v>978</v>
      </c>
      <c r="C4771" s="27" t="s">
        <v>940</v>
      </c>
      <c r="D4771" s="27" t="s">
        <v>932</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1774</v>
      </c>
      <c r="B4772" s="27" t="s">
        <v>982</v>
      </c>
      <c r="C4772" s="27" t="s">
        <v>1087</v>
      </c>
      <c r="D4772" s="27" t="s">
        <v>932</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936</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1072</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929</v>
      </c>
      <c r="B4775" s="27" t="s">
        <v>968</v>
      </c>
      <c r="C4775" s="27" t="s">
        <v>931</v>
      </c>
      <c r="D4775" s="27" t="s">
        <v>932</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970</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1455</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1266</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1032</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969</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1042</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row>
    <row r="4783" spans="1:12">
      <c r="A4783" s="20" t="s">
        <v>983</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2078</v>
      </c>
    </row>
    <row r="4785" spans="1:12">
      <c r="A4785" s="20" t="s">
        <v>929</v>
      </c>
      <c r="B4785" s="27" t="s">
        <v>930</v>
      </c>
      <c r="C4785" s="27" t="s">
        <v>931</v>
      </c>
      <c r="D4785" s="27" t="s">
        <v>932</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1670</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1007</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2079</v>
      </c>
      <c r="B4788" s="27" t="s">
        <v>988</v>
      </c>
      <c r="C4788" s="27" t="s">
        <v>943</v>
      </c>
      <c r="D4788" s="27" t="s">
        <v>932</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947</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474</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1064</v>
      </c>
      <c r="B4791" s="27" t="s">
        <v>991</v>
      </c>
      <c r="C4791" s="27" t="s">
        <v>931</v>
      </c>
      <c r="D4791" s="27" t="s">
        <v>932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1013</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2080</v>
      </c>
      <c r="B4793" s="27" t="s">
        <v>991</v>
      </c>
      <c r="C4793" s="27" t="s">
        <v>973</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936</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944</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1719</v>
      </c>
      <c r="B4796" s="27" t="s">
        <v>968</v>
      </c>
      <c r="C4796" s="27" t="s">
        <v>931</v>
      </c>
      <c r="D4796" s="27" t="s">
        <v>932</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986</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938</v>
      </c>
      <c r="B4798" s="27" t="s">
        <v>949</v>
      </c>
      <c r="C4798" s="27" t="s">
        <v>940</v>
      </c>
      <c r="D4798" s="27" t="s">
        <v>932</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2081</v>
      </c>
      <c r="B4799" s="27" t="s">
        <v>991</v>
      </c>
      <c r="C4799" s="27" t="s">
        <v>1087</v>
      </c>
      <c r="D4799" s="27" t="s">
        <v>932</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1042</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928</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row>
    <row r="4803" spans="1:12">
      <c r="A4803" s="20" t="s">
        <v>2082</v>
      </c>
    </row>
    <row r="4804" spans="1:12">
      <c r="A4804" s="20" t="s">
        <v>929</v>
      </c>
      <c r="B4804" s="27" t="s">
        <v>930</v>
      </c>
      <c r="C4804" s="27" t="s">
        <v>931</v>
      </c>
      <c r="D4804" s="27" t="s">
        <v>932</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961</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1587</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1091</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1472</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2083</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1100</v>
      </c>
      <c r="B4810" s="27" t="s">
        <v>942</v>
      </c>
      <c r="C4810" s="27" t="s">
        <v>999</v>
      </c>
      <c r="D4810" s="27" t="s">
        <v>932</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936</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944</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929</v>
      </c>
      <c r="B4813" s="27" t="s">
        <v>968</v>
      </c>
      <c r="C4813" s="27" t="s">
        <v>931</v>
      </c>
      <c r="D4813" s="27" t="s">
        <v>932</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2084</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958</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929</v>
      </c>
      <c r="B4816" s="27" t="s">
        <v>1009</v>
      </c>
      <c r="C4816" s="27" t="s">
        <v>931</v>
      </c>
      <c r="D4816" s="27" t="s">
        <v>932</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1119</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947</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1684</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1336</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987</v>
      </c>
      <c r="B4821" s="27" t="s">
        <v>1025</v>
      </c>
      <c r="C4821" s="27" t="s">
        <v>931</v>
      </c>
      <c r="D4821" s="27" t="s">
        <v>932</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1125</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1267</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937</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934</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2085</v>
      </c>
      <c r="B4826" s="27" t="s">
        <v>1025</v>
      </c>
      <c r="C4826" s="27" t="s">
        <v>973</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929</v>
      </c>
      <c r="B4827" s="27" t="s">
        <v>1200</v>
      </c>
      <c r="C4827" s="27" t="s">
        <v>931</v>
      </c>
      <c r="D4827" s="27" t="s">
        <v>932</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961</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1829</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1144</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936</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1012</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1315</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937</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1013</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2086</v>
      </c>
      <c r="B4836" s="27" t="s">
        <v>942</v>
      </c>
      <c r="C4836" s="27" t="s">
        <v>973</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936</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944</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929</v>
      </c>
      <c r="B4839" s="27" t="s">
        <v>968</v>
      </c>
      <c r="C4839" s="27" t="s">
        <v>931</v>
      </c>
      <c r="D4839" s="27" t="s">
        <v>932</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1099</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934</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2087</v>
      </c>
      <c r="B4842" s="27" t="s">
        <v>991</v>
      </c>
      <c r="C4842" s="27" t="s">
        <v>973</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1095</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1123</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2088</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2089</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2090</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2091</v>
      </c>
      <c r="B4848" s="27" t="s">
        <v>939</v>
      </c>
      <c r="C4848" s="27" t="s">
        <v>943</v>
      </c>
      <c r="D4848" s="27" t="s">
        <v>932</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947</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1684</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1336</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1040</v>
      </c>
      <c r="B4852" s="27" t="s">
        <v>949</v>
      </c>
      <c r="C4852" s="27" t="s">
        <v>946</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1971</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1007</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1972</v>
      </c>
      <c r="B4855" s="27" t="s">
        <v>1025</v>
      </c>
      <c r="C4855" s="27" t="s">
        <v>1054</v>
      </c>
      <c r="D4855" s="27" t="s">
        <v>932</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1042</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row>
    <row r="4858" spans="1:12">
      <c r="A4858" s="20" t="s">
        <v>983</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2092</v>
      </c>
    </row>
    <row r="4860" spans="1:12">
      <c r="A4860" s="20" t="s">
        <v>965</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929</v>
      </c>
      <c r="B4861" s="27" t="s">
        <v>930</v>
      </c>
      <c r="C4861" s="27" t="s">
        <v>931</v>
      </c>
      <c r="D4861" s="27" t="s">
        <v>932</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2093</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937</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938</v>
      </c>
      <c r="B4864" s="27" t="s">
        <v>939</v>
      </c>
      <c r="C4864" s="27" t="s">
        <v>940</v>
      </c>
      <c r="D4864" s="27" t="s">
        <v>932</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2094</v>
      </c>
      <c r="B4865" s="27" t="s">
        <v>988</v>
      </c>
      <c r="C4865" s="27" t="s">
        <v>1087</v>
      </c>
      <c r="D4865" s="27" t="s">
        <v>932</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936</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944</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938</v>
      </c>
      <c r="B4868" s="27" t="s">
        <v>949</v>
      </c>
      <c r="C4868" s="27" t="s">
        <v>940</v>
      </c>
      <c r="D4868" s="27" t="s">
        <v>932</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2095</v>
      </c>
      <c r="B4869" s="27" t="s">
        <v>968</v>
      </c>
      <c r="C4869" s="27" t="s">
        <v>1087</v>
      </c>
      <c r="D4869" s="27" t="s">
        <v>932</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1908</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1064</v>
      </c>
      <c r="B4871" s="27" t="s">
        <v>991</v>
      </c>
      <c r="C4871" s="27" t="s">
        <v>931</v>
      </c>
      <c r="D4871" s="27" t="s">
        <v>932</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944</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1232</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936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928</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1039</v>
      </c>
      <c r="B4876" s="27" t="s">
        <v>955</v>
      </c>
      <c r="C4876" s="27" t="s">
        <v>931</v>
      </c>
      <c r="D4876" s="27" t="s">
        <v>932</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1587</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1902</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1114</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2096</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1317</v>
      </c>
      <c r="B4881" s="27" t="s">
        <v>1031</v>
      </c>
      <c r="C4881" s="27" t="s">
        <v>1061</v>
      </c>
      <c r="D4881" s="27" t="s">
        <v>932</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1042</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928</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row>
    <row r="4885" spans="1:12">
      <c r="A4885" s="20" t="s">
        <v>983</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2097</v>
      </c>
    </row>
    <row r="4887" spans="1:12">
      <c r="A4887" s="20" t="s">
        <v>965</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929</v>
      </c>
      <c r="B4888" s="27" t="s">
        <v>930</v>
      </c>
      <c r="C4888" s="27" t="s">
        <v>931</v>
      </c>
      <c r="D4888" s="27" t="s">
        <v>932</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1232</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936</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928</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1991</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1125</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1325</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928</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row>
    <row r="4897" spans="1:12">
      <c r="A4897" s="20" t="s">
        <v>983</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2098</v>
      </c>
    </row>
    <row r="4899" spans="1:12">
      <c r="A4899" s="20" t="s">
        <v>965</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1549</v>
      </c>
      <c r="B4900" s="27" t="s">
        <v>930</v>
      </c>
      <c r="C4900" s="27" t="s">
        <v>931</v>
      </c>
      <c r="D4900" s="27" t="s">
        <v>932</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1232</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936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928</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1215</v>
      </c>
      <c r="B4904" s="27" t="s">
        <v>968</v>
      </c>
      <c r="C4904" s="27" t="s">
        <v>931</v>
      </c>
      <c r="D4904" s="27" t="s">
        <v>932</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1264</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1056</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1135</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2099</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2100</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1042</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row>
    <row r="4912" spans="1:12">
      <c r="A4912" s="20" t="s">
        <v>2101</v>
      </c>
    </row>
    <row r="4913" spans="1:12">
      <c r="A4913" s="20" t="s">
        <v>2102</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709</v>
      </c>
      <c r="B4914" s="27" t="s">
        <v>942</v>
      </c>
      <c r="C4914" s="27" t="s">
        <v>999</v>
      </c>
      <c r="D4914" s="27" t="s">
        <v>932</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1069</v>
      </c>
      <c r="B4915" s="27" t="s">
        <v>968</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1201</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1890</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1000</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1032</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1007</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1399</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2103</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2104</v>
      </c>
      <c r="B4923" s="27" t="s">
        <v>942</v>
      </c>
      <c r="C4923" s="27" t="s">
        <v>1054</v>
      </c>
      <c r="D4923" s="27" t="s">
        <v>932</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1000</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2105</v>
      </c>
      <c r="B4925" s="27" t="s">
        <v>939</v>
      </c>
      <c r="C4925" s="27" t="s">
        <v>946</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944</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985</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967</v>
      </c>
      <c r="B4928" s="27" t="s">
        <v>1009</v>
      </c>
      <c r="C4928" s="27" t="s">
        <v>931</v>
      </c>
      <c r="D4928" s="27" t="s">
        <v>932</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462</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934</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1703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1255</v>
      </c>
      <c r="B4932" s="27" t="s">
        <v>1183</v>
      </c>
      <c r="C4932" s="27" t="s">
        <v>973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1000</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1358</v>
      </c>
      <c r="B4934" s="27" t="s">
        <v>1025</v>
      </c>
      <c r="C4934" s="27" t="s">
        <v>946</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944</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967</v>
      </c>
      <c r="B4936" s="27" t="s">
        <v>1009</v>
      </c>
      <c r="C4936" s="27" t="s">
        <v>931</v>
      </c>
      <c r="D4936" s="27" t="s">
        <v>932</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1181</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2106</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2107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947</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2108</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2109</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2110</v>
      </c>
      <c r="B4943" s="27" t="s">
        <v>1031</v>
      </c>
      <c r="C4943" s="27" t="s">
        <v>943</v>
      </c>
      <c r="D4943" s="27" t="s">
        <v>932</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1325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row>
    <row r="4946" spans="1:12">
      <c r="A4946" s="20" t="s">
        <v>983</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2111</v>
      </c>
    </row>
    <row r="4948" spans="1:12">
      <c r="A4948" s="20" t="s">
        <v>1215</v>
      </c>
      <c r="B4948" s="27" t="s">
        <v>930</v>
      </c>
      <c r="C4948" s="27" t="s">
        <v>931</v>
      </c>
      <c r="D4948" s="27" t="s">
        <v>932</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1176</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1264</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1135</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2112</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1042</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928</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row>
    <row r="4956" spans="1:12">
      <c r="A4956" s="20" t="s">
        <v>983</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2113</v>
      </c>
    </row>
    <row r="4958" spans="1:12">
      <c r="A4958" s="20" t="s">
        <v>1544</v>
      </c>
      <c r="B4958" s="27" t="s">
        <v>930</v>
      </c>
      <c r="C4958" s="27" t="s">
        <v>931</v>
      </c>
      <c r="D4958" s="27" t="s">
        <v>932</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1232</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936</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928</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929</v>
      </c>
      <c r="B4962" s="27" t="s">
        <v>968</v>
      </c>
      <c r="C4962" s="27" t="s">
        <v>931</v>
      </c>
      <c r="D4962" s="27" t="s">
        <v>932</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t="s">
        <v>1590</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1717</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1260</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986</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1000</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2034</v>
      </c>
      <c r="B4968" s="27" t="s">
        <v>939</v>
      </c>
      <c r="C4968" s="27" t="s">
        <v>1111</v>
      </c>
      <c r="D4968" s="27" t="s">
        <v>932</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974</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954</v>
      </c>
      <c r="B4970" s="27" t="s">
        <v>949</v>
      </c>
      <c r="C4970" s="27" t="s">
        <v>931</v>
      </c>
      <c r="D4970" s="27" t="s">
        <v>932</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1042</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928</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row>
    <row r="4974" spans="1:12">
      <c r="A4974" s="20" t="s">
        <v>983</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2114</v>
      </c>
    </row>
    <row r="4976" spans="1:12">
      <c r="A4976" s="20" t="s">
        <v>965</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929</v>
      </c>
      <c r="B4977" s="27" t="s">
        <v>930</v>
      </c>
      <c r="C4977" s="27" t="s">
        <v>931</v>
      </c>
      <c r="D4977" s="27" t="s">
        <v>932</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1232</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936</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928</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1123</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1938</v>
      </c>
      <c r="B4982" s="27" t="s">
        <v>930</v>
      </c>
      <c r="C4982" s="27" t="s">
        <v>1054</v>
      </c>
      <c r="D4982" s="27" t="s">
        <v>932</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958</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1175</v>
      </c>
      <c r="B4984" s="27" t="s">
        <v>1009</v>
      </c>
      <c r="C4984" s="27" t="s">
        <v>931</v>
      </c>
      <c r="D4984" s="27" t="s">
        <v>932</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1590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1717</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986</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1000</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954</v>
      </c>
      <c r="B4989" s="27" t="s">
        <v>955</v>
      </c>
      <c r="C4989" s="27" t="s">
        <v>931</v>
      </c>
      <c r="D4989" s="27" t="s">
        <v>932</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1056</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1013</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2115</v>
      </c>
      <c r="B4992" s="27" t="s">
        <v>949</v>
      </c>
      <c r="C4992" s="27" t="s">
        <v>973</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958</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954</v>
      </c>
      <c r="B4994" s="27" t="s">
        <v>960</v>
      </c>
      <c r="C4994" s="27" t="s">
        <v>931</v>
      </c>
      <c r="D4994" s="27" t="s">
        <v>932</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1056</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2116</v>
      </c>
      <c r="B4996" s="27" t="s">
        <v>1025</v>
      </c>
      <c r="C4996" s="27" t="s">
        <v>946</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1042</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928</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row>
    <row r="5000" spans="1:12">
      <c r="A5000" s="20" t="s">
        <v>983</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2117</v>
      </c>
    </row>
    <row r="5002" spans="1:12">
      <c r="A5002" s="20" t="s">
        <v>928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965</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1175</v>
      </c>
      <c r="B5004" s="27" t="s">
        <v>930</v>
      </c>
      <c r="C5004" s="27" t="s">
        <v>931</v>
      </c>
      <c r="D5004" s="27" t="s">
        <v>932</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1201</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934</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2116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2118</v>
      </c>
      <c r="B5008" s="27" t="s">
        <v>942</v>
      </c>
      <c r="C5008" s="27" t="s">
        <v>973</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1042</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928</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row>
    <row r="5012" spans="1:12">
      <c r="A5012" s="20" t="s">
        <v>2119</v>
      </c>
    </row>
    <row r="5013" spans="1:12">
      <c r="A5013" s="20" t="s">
        <v>1783</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1295</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934</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1764</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2120</v>
      </c>
      <c r="B5017" s="27" t="s">
        <v>942</v>
      </c>
      <c r="C5017" s="27" t="s">
        <v>973</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1000</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2121</v>
      </c>
      <c r="B5019" s="27" t="s">
        <v>939</v>
      </c>
      <c r="C5019" s="27" t="s">
        <v>946</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936</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967</v>
      </c>
      <c r="B5021" s="27" t="s">
        <v>930</v>
      </c>
      <c r="C5021" s="27" t="s">
        <v>931</v>
      </c>
      <c r="D5021" s="27" t="s">
        <v>932</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2122</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947</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954</v>
      </c>
      <c r="B5024" s="27" t="s">
        <v>942</v>
      </c>
      <c r="C5024" s="27" t="s">
        <v>931</v>
      </c>
      <c r="D5024" s="27" t="s">
        <v>932</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1042</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row>
    <row r="5027" spans="1:12">
      <c r="A5027" s="20" t="s">
        <v>2123</v>
      </c>
    </row>
    <row r="5028" spans="1:12">
      <c r="A5028" s="20" t="s">
        <v>1103</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929</v>
      </c>
      <c r="B5029" s="27" t="s">
        <v>930</v>
      </c>
      <c r="C5029" s="27" t="s">
        <v>931</v>
      </c>
      <c r="D5029" s="27" t="s">
        <v>932</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42</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934</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1152</v>
      </c>
      <c r="B5032" s="27" t="s">
        <v>988</v>
      </c>
      <c r="C5032" s="27" t="s">
        <v>973</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1000</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1261</v>
      </c>
      <c r="B5034" s="27" t="s">
        <v>939</v>
      </c>
      <c r="C5034" s="27" t="s">
        <v>1121</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967</v>
      </c>
      <c r="B5035" s="27" t="s">
        <v>955</v>
      </c>
      <c r="C5035" s="27" t="s">
        <v>931</v>
      </c>
      <c r="D5035" s="27" t="s">
        <v>932</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1232</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961</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2124</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937</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1016</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1017</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1206</v>
      </c>
      <c r="B5042" s="27" t="s">
        <v>1078</v>
      </c>
      <c r="C5042" s="27" t="s">
        <v>1097</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947</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1317</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2125</v>
      </c>
      <c r="B5045" s="27" t="s">
        <v>978</v>
      </c>
      <c r="C5045" s="27" t="s">
        <v>999</v>
      </c>
      <c r="D5045" s="27" t="s">
        <v>932</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958</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709</v>
      </c>
      <c r="B5047" s="27" t="s">
        <v>1200</v>
      </c>
      <c r="C5047" s="27" t="s">
        <v>946</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1455</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45</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1063</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1007</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2126</v>
      </c>
      <c r="B5052" s="27" t="s">
        <v>978</v>
      </c>
      <c r="C5052" s="27" t="s">
        <v>1054</v>
      </c>
      <c r="D5052" s="27" t="s">
        <v>932</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1000</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1358</v>
      </c>
      <c r="B5054" s="27" t="s">
        <v>1246</v>
      </c>
      <c r="C5054" s="27" t="s">
        <v>946</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936</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1007</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2127</v>
      </c>
      <c r="B5057" s="27" t="s">
        <v>978</v>
      </c>
      <c r="C5057" s="27" t="s">
        <v>1054</v>
      </c>
      <c r="D5057" s="27" t="s">
        <v>932</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958</v>
      </c>
      <c r="B5058" s="27" t="s">
        <v>1251</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1302</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1072</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749</v>
      </c>
      <c r="B5061" s="27" t="s">
        <v>1491</v>
      </c>
      <c r="C5061" s="27" t="s">
        <v>931</v>
      </c>
      <c r="D5061" s="27" t="s">
        <v>932</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1340</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1160</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944</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1977</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934</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1152</v>
      </c>
      <c r="B5067" s="27" t="s">
        <v>1838</v>
      </c>
      <c r="C5067" s="27" t="s">
        <v>973</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1000</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709</v>
      </c>
      <c r="B5069" s="27" t="s">
        <v>1836</v>
      </c>
      <c r="C5069" s="27" t="s">
        <v>946</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937</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1972</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2128</v>
      </c>
      <c r="B5072" s="27" t="s">
        <v>1836</v>
      </c>
      <c r="C5072" s="27" t="s">
        <v>946</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936</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958</v>
      </c>
      <c r="B5074" s="27" t="s">
        <v>1251</v>
      </c>
      <c r="C5074" s="27" t="s">
        <v>1061</v>
      </c>
      <c r="D5074" s="27" t="s">
        <v>932</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1138</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36</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2129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936</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1279</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749</v>
      </c>
      <c r="B5080" s="27" t="s">
        <v>1196</v>
      </c>
      <c r="C5080" s="27" t="s">
        <v>931</v>
      </c>
      <c r="D5080" s="27" t="s">
        <v>932</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1138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36</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2069</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987</v>
      </c>
      <c r="B5084" s="27" t="s">
        <v>1390</v>
      </c>
      <c r="C5084" s="27" t="s">
        <v>931</v>
      </c>
      <c r="D5084" s="27" t="s">
        <v>932</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1042</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row>
    <row r="5087" spans="1:12">
      <c r="A5087" s="20" t="s">
        <v>2130</v>
      </c>
    </row>
    <row r="5088" spans="1:12">
      <c r="A5088" s="20" t="s">
        <v>1434</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1056</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1317</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2131</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2132</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2133</v>
      </c>
      <c r="B5093" s="27" t="s">
        <v>930</v>
      </c>
      <c r="C5093" s="27" t="s">
        <v>999</v>
      </c>
      <c r="D5093" s="27" t="s">
        <v>932</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958</v>
      </c>
      <c r="B5094" s="27" t="s">
        <v>1009</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2134</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947</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36</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969</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1207</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1387</v>
      </c>
      <c r="B5100" s="27" t="s">
        <v>1025</v>
      </c>
      <c r="C5100" s="27" t="s">
        <v>931</v>
      </c>
      <c r="D5100" s="27" t="s">
        <v>932</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936</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958</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1358</v>
      </c>
      <c r="B5103" s="27" t="s">
        <v>942</v>
      </c>
      <c r="C5103" s="27" t="s">
        <v>999</v>
      </c>
      <c r="D5103" s="27" t="s">
        <v>932</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1000</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1040</v>
      </c>
      <c r="B5105" s="27" t="s">
        <v>939</v>
      </c>
      <c r="C5105" s="27" t="s">
        <v>946</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936</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1007</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1312</v>
      </c>
      <c r="B5108" s="27" t="s">
        <v>942</v>
      </c>
      <c r="C5108" s="27" t="s">
        <v>1054</v>
      </c>
      <c r="D5108" s="27" t="s">
        <v>932</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944</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1209</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1144</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936</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1201</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1013</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t="s">
        <v>2135</v>
      </c>
      <c r="B5115" s="27" t="s">
        <v>942</v>
      </c>
      <c r="C5115" s="27" t="s">
        <v>973</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936</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944</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958</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954</v>
      </c>
      <c r="B5119" s="27" t="s">
        <v>1009</v>
      </c>
      <c r="C5119" s="27" t="s">
        <v>931</v>
      </c>
      <c r="D5119" s="27" t="s">
        <v>932</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1176</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1125</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2136</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1042</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row>
    <row r="5125" spans="1:12">
      <c r="A5125" s="20" t="s">
        <v>2137</v>
      </c>
    </row>
    <row r="5126" spans="1:12">
      <c r="A5126" s="20" t="s">
        <v>965</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929</v>
      </c>
      <c r="B5127" s="27" t="s">
        <v>930</v>
      </c>
      <c r="C5127" s="27" t="s">
        <v>931</v>
      </c>
      <c r="D5127" s="27" t="s">
        <v>932</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42</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958</v>
      </c>
      <c r="B5129" s="27" t="s">
        <v>968</v>
      </c>
      <c r="C5129" s="27" t="s">
        <v>1061</v>
      </c>
      <c r="D5129" s="27" t="s">
        <v>932</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1176</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1399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2138</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1042</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row>
    <row r="5135" spans="1:12">
      <c r="A5135" s="20" t="s">
        <v>2139</v>
      </c>
    </row>
    <row r="5136" spans="1:12">
      <c r="A5136" s="20" t="s">
        <v>1215</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1138</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36</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2136</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t="s">
        <v>1063</v>
      </c>
      <c r="E5140" s="21">
        <f>IF(D5140="?OLD","!!!","")</f>
        <v/>
      </c>
      <c r="F5140" s="22" t="str">
        <f>IF(OR(E5140="",E5140="!!!"),"",IF(NOT(ISNA(VLOOKUP(E5140,E$1:E5139,1,FALSE()))),"OLD",IF(AND(E5140&lt;&gt;"",E5140&lt;&gt;"!!!"),"NEW","")))</f>
        <v> </v>
      </c>
      <c r="G5140" s="23" t="str">
        <f>IF(OR(E5140="",E5140="!!!"),"",IF(OR(J5140=0,AND(J5140=1,K5140=1),AND(J5140=1,I5140="SBJ"),AND(J5140=1,I5140=0)),"?IN_FOCUS",IF(J5140&lt;=2,"?ACTIVATED",IF(J5140&lt;&gt;"","?FAMILIAR",IF(F5140="NEW",IF(ISNA(VLOOKUP(E5140,#REF!,1,FALSE())),"?TYPE_IDENTIFIABLE","?REFERENTIAL"),"_")))))</f>
        <v> </v>
      </c>
      <c r="H5140" s="24" t="str">
        <f>IF(J5140&lt;&gt;1,"",IF(I5140="SBJ","CB","?"))</f>
        <v> </v>
      </c>
      <c r="I5140" s="25" t="str">
        <f>IF(OR(E5140="",E5140="!!!",F5140="NEW"),"",INDEX(B5139:B$2,-1+SUMPRODUCT(MAX(ROW(E5139:E$2)*(E5140=E5139:E$2)))))</f>
        <v> </v>
      </c>
      <c r="J5140" s="25" t="str">
        <f>IF(OR(E5140="",E5140="!!!",F5140="NEW"),"",COUNTBLANK(OFFSET(A$1,,,SUMPRODUCT(MAX(ROW(E$2:E5140)*(E5140=E$2:E5140)))))-COUNTBLANK(OFFSET(A$1,,,SUMPRODUCT(MAX(ROW(E$1:E5139)*(E2=E$1:E5139))))))</f>
        <v> </v>
      </c>
      <c r="K5140" s="25" t="str">
        <f>IF(OR(E5140="",E5140="!!!",F5140="NEW"),"",INDEX(J$1:J5139,SUMPRODUCT(MAX(ROW(E$1:E5139)*(E5140=E$1:E5139)))))</f>
        <v> </v>
      </c>
      <c r="L5140" s="26"/>
    </row>
    <row r="5141" spans="1:12">
      <c r="A5141" s="20" t="s">
        <v>709</v>
      </c>
      <c r="B5141" s="27" t="s">
        <v>949</v>
      </c>
      <c r="C5141" s="27" t="s">
        <v>946</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1176</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2140</v>
      </c>
      <c r="B5143" s="27" t="s">
        <v>968</v>
      </c>
      <c r="C5143" s="27" t="s">
        <v>1087</v>
      </c>
      <c r="D5143" s="27" t="s">
        <v>932</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947</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2141</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1160</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936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1012</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1134</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1056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1584</v>
      </c>
      <c r="B5151" s="27" t="s">
        <v>968</v>
      </c>
      <c r="C5151" s="27" t="s">
        <v>1111</v>
      </c>
      <c r="D5151" s="27" t="s">
        <v>932</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2142</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2143</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2144</v>
      </c>
      <c r="B5154" s="27" t="s">
        <v>1025</v>
      </c>
      <c r="C5154" s="27" t="s">
        <v>946</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936</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1032</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1631</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1125</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937</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938</v>
      </c>
      <c r="B5160" s="27" t="s">
        <v>939</v>
      </c>
      <c r="C5160" s="27" t="s">
        <v>940</v>
      </c>
      <c r="D5160" s="27" t="s">
        <v>932</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2145</v>
      </c>
      <c r="B5161" s="27" t="s">
        <v>942</v>
      </c>
      <c r="C5161" s="27" t="s">
        <v>1087</v>
      </c>
      <c r="D5161" s="27" t="s">
        <v>932</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1042</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row>
    <row r="5164" spans="1:12">
      <c r="A5164" s="20" t="s">
        <v>983</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2146</v>
      </c>
    </row>
    <row r="5166" spans="1:12">
      <c r="A5166" s="20" t="s">
        <v>1479</v>
      </c>
      <c r="B5166" s="27" t="s">
        <v>930</v>
      </c>
      <c r="C5166" s="27" t="s">
        <v>946</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985</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290</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936</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928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1103</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1056</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1114</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1040</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2147</v>
      </c>
      <c r="B5175" s="27" t="s">
        <v>942</v>
      </c>
      <c r="C5175" s="27" t="s">
        <v>946</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1000</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1261</v>
      </c>
      <c r="B5177" s="27" t="s">
        <v>939</v>
      </c>
      <c r="C5177" s="27" t="s">
        <v>1121</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709</v>
      </c>
      <c r="B5178" s="27" t="s">
        <v>955</v>
      </c>
      <c r="C5178" s="27" t="s">
        <v>946</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1201</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2148</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947</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1467</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1325</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row>
    <row r="5185" spans="1:12">
      <c r="A5185" s="20" t="s">
        <v>2149</v>
      </c>
    </row>
    <row r="5186" spans="1:12">
      <c r="A5186" s="20" t="s">
        <v>2150</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1114</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749</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2151</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947</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45</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1040</v>
      </c>
      <c r="B5192" s="27" t="s">
        <v>991</v>
      </c>
      <c r="C5192" s="27" t="s">
        <v>946</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1325</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row>
    <row r="5195" spans="1:12">
      <c r="A5195" s="20" t="s">
        <v>983</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2152</v>
      </c>
    </row>
    <row r="5197" spans="1:12">
      <c r="A5197" s="20" t="s">
        <v>2153</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1114</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954</v>
      </c>
      <c r="B5199" s="27" t="s">
        <v>942</v>
      </c>
      <c r="C5199" s="27" t="s">
        <v>940</v>
      </c>
      <c r="D5199" s="27" t="s">
        <v>932</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2147</v>
      </c>
      <c r="B5200" s="27" t="s">
        <v>942</v>
      </c>
      <c r="C5200" s="27" t="s">
        <v>1087</v>
      </c>
      <c r="D5200" s="27" t="s">
        <v>932</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1000</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1627</v>
      </c>
      <c r="B5202" s="27" t="s">
        <v>939</v>
      </c>
      <c r="C5202" s="27" t="s">
        <v>940</v>
      </c>
      <c r="D5202" s="27" t="s">
        <v>932</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1393</v>
      </c>
      <c r="B5203" s="27" t="s">
        <v>942</v>
      </c>
      <c r="C5203" s="27" t="s">
        <v>1087</v>
      </c>
      <c r="D5203" s="27" t="s">
        <v>932</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1325</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928</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row>
    <row r="5207" spans="1:12">
      <c r="A5207" s="20" t="s">
        <v>2154</v>
      </c>
    </row>
    <row r="5208" spans="1:12">
      <c r="A5208" s="20" t="s">
        <v>1646</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1372</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929</v>
      </c>
      <c r="B5210" s="27" t="s">
        <v>930</v>
      </c>
      <c r="C5210" s="27" t="s">
        <v>931</v>
      </c>
      <c r="D5210" s="27" t="s">
        <v>932</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1138</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290</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936</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1597</v>
      </c>
      <c r="B5214" s="27" t="s">
        <v>968</v>
      </c>
      <c r="C5214" s="27" t="s">
        <v>946</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1056</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2155</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1042</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row>
    <row r="5219" spans="1:12">
      <c r="A5219" s="20" t="s">
        <v>2156</v>
      </c>
    </row>
    <row r="5220" spans="1:12">
      <c r="A5220" s="20" t="s">
        <v>1011</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1046</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947</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45</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1447</v>
      </c>
      <c r="B5224" s="27" t="s">
        <v>991</v>
      </c>
      <c r="C5224" s="27" t="s">
        <v>1097</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944</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2157</v>
      </c>
      <c r="B5226" s="27" t="s">
        <v>949</v>
      </c>
      <c r="C5226" s="27" t="s">
        <v>946</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944</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2158</v>
      </c>
      <c r="B5228" s="27" t="s">
        <v>949</v>
      </c>
      <c r="C5228" s="27" t="s">
        <v>946</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944</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2159</v>
      </c>
      <c r="B5230" s="27" t="s">
        <v>1025</v>
      </c>
      <c r="C5230" s="27" t="s">
        <v>946</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t="s">
        <v>944</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t="s">
        <v>969</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1000</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1007</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942</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2160</v>
      </c>
      <c r="B5236" s="27" t="s">
        <v>1025</v>
      </c>
      <c r="C5236" s="27" t="s">
        <v>1352</v>
      </c>
      <c r="D5236" s="27" t="s">
        <v>932</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958</v>
      </c>
      <c r="B5237" s="27" t="s">
        <v>1167</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749</v>
      </c>
      <c r="B5238" s="27" t="s">
        <v>1200</v>
      </c>
      <c r="C5238" s="27" t="s">
        <v>931</v>
      </c>
      <c r="D5238" s="27" t="s">
        <v>932</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45</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936</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958</v>
      </c>
      <c r="B5241" s="27" t="s">
        <v>968</v>
      </c>
      <c r="C5241" s="27" t="s">
        <v>1061</v>
      </c>
      <c r="D5241" s="27" t="s">
        <v>932</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1176</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1453</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2161</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1042</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row>
    <row r="5247" spans="1:12">
      <c r="A5247" s="20" t="s">
        <v>2162</v>
      </c>
    </row>
    <row r="5248" spans="1:12">
      <c r="A5248" s="20" t="s">
        <v>965</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2163</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1040</v>
      </c>
      <c r="B5250" s="27" t="s">
        <v>930</v>
      </c>
      <c r="C5250" s="27" t="s">
        <v>946</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1056</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1309</v>
      </c>
      <c r="B5252" s="27" t="s">
        <v>942</v>
      </c>
      <c r="C5252" s="27" t="s">
        <v>1111</v>
      </c>
      <c r="D5252" s="27" t="s">
        <v>932</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958</v>
      </c>
      <c r="B5253" s="27" t="s">
        <v>968</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2164</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966</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958</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2165</v>
      </c>
      <c r="B5257" s="27" t="s">
        <v>1009</v>
      </c>
      <c r="C5257" s="27" t="s">
        <v>999</v>
      </c>
      <c r="D5257" s="27" t="s">
        <v>932</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1172</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2166</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1042</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row>
    <row r="5262" spans="1:12">
      <c r="A5262" s="20" t="s">
        <v>2167</v>
      </c>
    </row>
    <row r="5263" spans="1:12">
      <c r="A5263" s="20" t="s">
        <v>1215</v>
      </c>
      <c r="B5263" s="27" t="s">
        <v>930</v>
      </c>
      <c r="C5263" s="27" t="s">
        <v>931</v>
      </c>
      <c r="D5263" s="27" t="s">
        <v>932</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1176</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2168</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1042</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row>
    <row r="5268" spans="1:12">
      <c r="A5268" s="20" t="s">
        <v>983</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2169</v>
      </c>
    </row>
    <row r="5270" spans="1:12">
      <c r="A5270" s="20" t="s">
        <v>1479</v>
      </c>
      <c r="B5270" s="27" t="s">
        <v>930</v>
      </c>
      <c r="C5270" s="27" t="s">
        <v>946</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1418</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76</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947</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1064</v>
      </c>
      <c r="B5274" s="27" t="s">
        <v>942</v>
      </c>
      <c r="C5274" s="27" t="s">
        <v>931</v>
      </c>
      <c r="D5274" s="27" t="s">
        <v>932</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944</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290</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936</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928</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929</v>
      </c>
      <c r="B5279" s="27" t="s">
        <v>1009</v>
      </c>
      <c r="C5279" s="27" t="s">
        <v>931</v>
      </c>
      <c r="D5279" s="27" t="s">
        <v>932</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42</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936</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2170</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936</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1072</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929</v>
      </c>
      <c r="B5285" s="27" t="s">
        <v>968</v>
      </c>
      <c r="C5285" s="27" t="s">
        <v>931</v>
      </c>
      <c r="D5285" s="27" t="s">
        <v>932</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1264</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2171</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954</v>
      </c>
      <c r="B5288" s="27" t="s">
        <v>991</v>
      </c>
      <c r="C5288" s="27" t="s">
        <v>931</v>
      </c>
      <c r="D5288" s="27" t="s">
        <v>932</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1160</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1063</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1432</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1539</v>
      </c>
      <c r="B5292" s="27" t="s">
        <v>939</v>
      </c>
      <c r="C5292" s="27" t="s">
        <v>973</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936</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929</v>
      </c>
      <c r="B5294" s="27" t="s">
        <v>968</v>
      </c>
      <c r="C5294" s="27" t="s">
        <v>931</v>
      </c>
      <c r="D5294" s="27" t="s">
        <v>932</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42</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929</v>
      </c>
      <c r="B5296" s="27" t="s">
        <v>1009</v>
      </c>
      <c r="C5296" s="27" t="s">
        <v>931</v>
      </c>
      <c r="D5296" s="27" t="s">
        <v>932</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1230</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1264</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462</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963</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1317</v>
      </c>
      <c r="B5301" s="27" t="s">
        <v>949</v>
      </c>
      <c r="C5301" s="27" t="s">
        <v>1061</v>
      </c>
      <c r="D5301" s="27" t="s">
        <v>932</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1042</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928</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row>
    <row r="5305" spans="1:12">
      <c r="A5305" s="20" t="s">
        <v>983</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2172</v>
      </c>
    </row>
    <row r="5307" spans="1:12">
      <c r="A5307" s="20" t="s">
        <v>965</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929</v>
      </c>
      <c r="B5308" s="27" t="s">
        <v>930</v>
      </c>
      <c r="C5308" s="27" t="s">
        <v>931</v>
      </c>
      <c r="D5308" s="27" t="s">
        <v>932</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1066</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290</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947</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t="s">
        <v>987</v>
      </c>
      <c r="B5312" s="27" t="s">
        <v>942</v>
      </c>
      <c r="C5312" s="27" t="s">
        <v>931</v>
      </c>
      <c r="D5312" s="27" t="s">
        <v>932</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936</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928</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1179</v>
      </c>
      <c r="B5315" s="27" t="s">
        <v>968</v>
      </c>
      <c r="C5315" s="27" t="s">
        <v>931</v>
      </c>
      <c r="D5315" s="27" t="s">
        <v>932</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1778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462</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963</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954</v>
      </c>
      <c r="B5319" s="27" t="s">
        <v>939</v>
      </c>
      <c r="C5319" s="27" t="s">
        <v>931</v>
      </c>
      <c r="D5319" s="27" t="s">
        <v>932</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936</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1012</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1175</v>
      </c>
      <c r="B5322" s="27" t="s">
        <v>968</v>
      </c>
      <c r="C5322" s="27" t="s">
        <v>931</v>
      </c>
      <c r="D5322" s="27" t="s">
        <v>932</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1227</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1717</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36</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159</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1002</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1042</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row>
    <row r="5330" spans="1:12">
      <c r="A5330" s="20" t="s">
        <v>2173</v>
      </c>
    </row>
    <row r="5331" spans="1:12">
      <c r="A5331" s="20" t="s">
        <v>2174</v>
      </c>
      <c r="B5331" s="27" t="s">
        <v>930</v>
      </c>
      <c r="C5331" s="27" t="s">
        <v>946</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t="s">
        <v>1056</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2175</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936</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944</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958</v>
      </c>
      <c r="B5336" s="27" t="s">
        <v>968</v>
      </c>
      <c r="C5336" s="27" t="s">
        <v>1061</v>
      </c>
      <c r="D5336" s="27" t="s">
        <v>932</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1176</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934</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1863</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1539</v>
      </c>
      <c r="B5340" s="27" t="s">
        <v>942</v>
      </c>
      <c r="C5340" s="27" t="s">
        <v>973</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1175</v>
      </c>
      <c r="B5341" s="27" t="s">
        <v>1009</v>
      </c>
      <c r="C5341" s="27" t="s">
        <v>931</v>
      </c>
      <c r="D5341" s="27" t="s">
        <v>932</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1181</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2176</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1336</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1936</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1164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1042</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row>
    <row r="5349" spans="1:12">
      <c r="A5349" s="20" t="s">
        <v>983</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2177</v>
      </c>
    </row>
    <row r="5351" spans="1:12">
      <c r="A5351" s="20" t="s">
        <v>2178</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954</v>
      </c>
      <c r="B5352" s="27" t="s">
        <v>988</v>
      </c>
      <c r="C5352" s="27" t="s">
        <v>931</v>
      </c>
      <c r="D5352" s="27" t="s">
        <v>932</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963</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1042</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928</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row>
    <row r="5357" spans="1:12">
      <c r="A5357" s="20" t="s">
        <v>2179</v>
      </c>
    </row>
    <row r="5358" spans="1:12">
      <c r="A5358" s="20" t="s">
        <v>1215</v>
      </c>
      <c r="B5358" s="27" t="s">
        <v>930</v>
      </c>
      <c r="C5358" s="27" t="s">
        <v>931</v>
      </c>
      <c r="D5358" s="27" t="s">
        <v>932</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1176</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934</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1017</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t="s">
        <v>2180</v>
      </c>
      <c r="B5362" s="27" t="s">
        <v>942</v>
      </c>
      <c r="C5362" s="27" t="s">
        <v>973</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1000</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1007</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2181</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1048</v>
      </c>
      <c r="B5366" s="27" t="s">
        <v>942</v>
      </c>
      <c r="C5366" s="27" t="s">
        <v>1054</v>
      </c>
      <c r="D5366" s="27" t="s">
        <v>932</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936</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944</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2182</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1000</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1534</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942</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2183</v>
      </c>
      <c r="B5373" s="27" t="s">
        <v>942</v>
      </c>
      <c r="C5373" s="27" t="s">
        <v>1097</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936</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958</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749</v>
      </c>
      <c r="B5376" s="27" t="s">
        <v>968</v>
      </c>
      <c r="C5376" s="27" t="s">
        <v>931</v>
      </c>
      <c r="D5376" s="27" t="s">
        <v>932</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2184</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1317</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997</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2185</v>
      </c>
      <c r="B5380" s="27" t="s">
        <v>991</v>
      </c>
      <c r="C5380" s="27" t="s">
        <v>999</v>
      </c>
      <c r="D5380" s="27" t="s">
        <v>932</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936</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1040</v>
      </c>
      <c r="B5382" s="27" t="s">
        <v>949</v>
      </c>
      <c r="C5382" s="27" t="s">
        <v>946</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936</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947</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1057</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1335</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934</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2186</v>
      </c>
      <c r="B5388" s="27" t="s">
        <v>955</v>
      </c>
      <c r="C5388" s="27" t="s">
        <v>973</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2187</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966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954</v>
      </c>
      <c r="B5391" s="27" t="s">
        <v>960</v>
      </c>
      <c r="C5391" s="27" t="s">
        <v>931</v>
      </c>
      <c r="D5391" s="27" t="s">
        <v>932</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2188</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1144</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1642</v>
      </c>
      <c r="B5394" s="27" t="s">
        <v>978</v>
      </c>
      <c r="C5394" s="27" t="s">
        <v>940</v>
      </c>
      <c r="D5394" s="27" t="s">
        <v>932</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2189</v>
      </c>
      <c r="B5395" s="27" t="s">
        <v>1078</v>
      </c>
      <c r="C5395" s="27" t="s">
        <v>1087</v>
      </c>
      <c r="D5395" s="27" t="s">
        <v>932</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936</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944</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947</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1057</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1335</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2190</v>
      </c>
      <c r="B5401" s="27" t="s">
        <v>1009</v>
      </c>
      <c r="C5401" s="27" t="s">
        <v>1111</v>
      </c>
      <c r="D5401" s="27" t="s">
        <v>932</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2187</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1007</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2191</v>
      </c>
      <c r="B5404" s="27" t="s">
        <v>1183</v>
      </c>
      <c r="C5404" s="27" t="s">
        <v>1054</v>
      </c>
      <c r="D5404" s="27" t="s">
        <v>932</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2192</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967</v>
      </c>
      <c r="B5406" s="27" t="s">
        <v>955</v>
      </c>
      <c r="C5406" s="27" t="s">
        <v>931</v>
      </c>
      <c r="D5406" s="27" t="s">
        <v>932</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2193</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1946</v>
      </c>
      <c r="B5408" s="27" t="s">
        <v>1031</v>
      </c>
      <c r="C5408" s="27" t="s">
        <v>946</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1042</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row>
    <row r="5411" spans="1:12">
      <c r="A5411" s="20" t="s">
        <v>983</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2194</v>
      </c>
    </row>
    <row r="5413" spans="1:12">
      <c r="A5413" s="20" t="s">
        <v>1479</v>
      </c>
      <c r="B5413" s="27" t="s">
        <v>930</v>
      </c>
      <c r="C5413" s="27" t="s">
        <v>946</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290</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947</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1064</v>
      </c>
      <c r="B5416" s="27" t="s">
        <v>942</v>
      </c>
      <c r="C5416" s="27" t="s">
        <v>931</v>
      </c>
      <c r="D5416" s="27" t="s">
        <v>932</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936</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928</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1429</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936</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t="s">
        <v>1056</v>
      </c>
      <c r="E5421" s="21">
        <f>IF(D5421="?OLD","!!!","")</f>
        <v/>
      </c>
      <c r="F5421" s="22" t="str">
        <f>IF(OR(E5421="",E5421="!!!"),"",IF(NOT(ISNA(VLOOKUP(E5421,E$1:E5420,1,FALSE()))),"OLD",IF(AND(E5421&lt;&gt;"",E5421&lt;&gt;"!!!"),"NEW","")))</f>
        <v> </v>
      </c>
      <c r="G5421" s="23" t="str">
        <f>IF(OR(E5421="",E5421="!!!"),"",IF(OR(J5421=0,AND(J5421=1,K5421=1),AND(J5421=1,I5421="SBJ"),AND(J5421=1,I5421=0)),"?IN_FOCUS",IF(J5421&lt;=2,"?ACTIVATED",IF(J5421&lt;&gt;"","?FAMILIAR",IF(F5421="NEW",IF(ISNA(VLOOKUP(E5421,#REF!,1,FALSE())),"?TYPE_IDENTIFIABLE","?REFERENTIAL"),"_")))))</f>
        <v> </v>
      </c>
      <c r="H5421" s="24" t="str">
        <f>IF(J5421&lt;&gt;1,"",IF(I5421="SBJ","CB","?"))</f>
        <v> </v>
      </c>
      <c r="I5421" s="25" t="str">
        <f>IF(OR(E5421="",E5421="!!!",F5421="NEW"),"",INDEX(B5420:B$2,-1+SUMPRODUCT(MAX(ROW(E5420:E$2)*(E5421=E5420:E$2)))))</f>
        <v> </v>
      </c>
      <c r="J5421" s="25" t="str">
        <f>IF(OR(E5421="",E5421="!!!",F5421="NEW"),"",COUNTBLANK(OFFSET(A$1,,,SUMPRODUCT(MAX(ROW(E$2:E5421)*(E5421=E$2:E5421)))))-COUNTBLANK(OFFSET(A$1,,,SUMPRODUCT(MAX(ROW(E$1:E5420)*(E2=E$1:E5420))))))</f>
        <v> </v>
      </c>
      <c r="K5421" s="25" t="str">
        <f>IF(OR(E5421="",E5421="!!!",F5421="NEW"),"",INDEX(J$1:J5420,SUMPRODUCT(MAX(ROW(E$1:E5420)*(E5421=E$1:E5420)))))</f>
        <v> </v>
      </c>
      <c r="L5421" s="26"/>
    </row>
    <row r="5422" spans="1:12">
      <c r="A5422" s="20" t="s">
        <v>954</v>
      </c>
      <c r="B5422" s="27" t="s">
        <v>968</v>
      </c>
      <c r="C5422" s="27" t="s">
        <v>931</v>
      </c>
      <c r="D5422" s="27" t="s">
        <v>932</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2195</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995</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2196</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1447</v>
      </c>
      <c r="B5426" s="27" t="s">
        <v>939</v>
      </c>
      <c r="C5426" s="27" t="s">
        <v>946</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1325</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928</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row>
    <row r="5430" spans="1:12">
      <c r="A5430" s="20" t="s">
        <v>2197</v>
      </c>
    </row>
    <row r="5431" spans="1:12">
      <c r="A5431" s="20" t="s">
        <v>965</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929</v>
      </c>
      <c r="B5432" s="27" t="s">
        <v>930</v>
      </c>
      <c r="C5432" s="27" t="s">
        <v>931</v>
      </c>
      <c r="D5432" s="27" t="s">
        <v>932</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290</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936</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937</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934</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1206</v>
      </c>
      <c r="B5437" s="27" t="s">
        <v>942</v>
      </c>
      <c r="C5437" s="27" t="s">
        <v>973</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954</v>
      </c>
      <c r="B5438" s="27" t="s">
        <v>1009</v>
      </c>
      <c r="C5438" s="27" t="s">
        <v>931</v>
      </c>
      <c r="D5438" s="27" t="s">
        <v>932</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1176</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2195</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995</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2196</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1447</v>
      </c>
      <c r="B5443" s="27" t="s">
        <v>949</v>
      </c>
      <c r="C5443" s="27" t="s">
        <v>946</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1042</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row>
    <row r="5446" spans="1:12">
      <c r="A5446" s="20" t="s">
        <v>2198</v>
      </c>
    </row>
    <row r="5447" spans="1:12">
      <c r="A5447" s="20" t="s">
        <v>1434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1056</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934</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1764</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2120</v>
      </c>
      <c r="B5451" s="27" t="s">
        <v>930</v>
      </c>
      <c r="C5451" s="27" t="s">
        <v>973</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1000</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2199</v>
      </c>
      <c r="B5453" s="27" t="s">
        <v>939</v>
      </c>
      <c r="C5453" s="27" t="s">
        <v>946</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936</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1012</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954</v>
      </c>
      <c r="B5456" s="27" t="s">
        <v>968</v>
      </c>
      <c r="C5456" s="27" t="s">
        <v>931</v>
      </c>
      <c r="D5456" s="27" t="s">
        <v>932</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1176</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1007</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997</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1206</v>
      </c>
      <c r="B5460" s="27" t="s">
        <v>942</v>
      </c>
      <c r="C5460" s="27" t="s">
        <v>1054</v>
      </c>
      <c r="D5460" s="27" t="s">
        <v>932</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1134</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1176</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2199</v>
      </c>
      <c r="B5463" s="27" t="s">
        <v>1009</v>
      </c>
      <c r="C5463" s="27" t="s">
        <v>946</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1501</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2200</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1013</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2201</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2202</v>
      </c>
      <c r="B5468" s="27" t="s">
        <v>982</v>
      </c>
      <c r="C5468" s="27" t="s">
        <v>973</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2012</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1627</v>
      </c>
      <c r="B5470" s="27" t="s">
        <v>1246</v>
      </c>
      <c r="C5470" s="27" t="s">
        <v>940</v>
      </c>
      <c r="D5470" s="27" t="s">
        <v>932</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2024</v>
      </c>
      <c r="B5471" s="27" t="s">
        <v>978</v>
      </c>
      <c r="C5471" s="27" t="s">
        <v>1087</v>
      </c>
      <c r="D5471" s="27" t="s">
        <v>932</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958</v>
      </c>
      <c r="B5472" s="27" t="s">
        <v>1196</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1172</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934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1459</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2203</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2204</v>
      </c>
      <c r="B5477" s="27" t="s">
        <v>1390</v>
      </c>
      <c r="C5477" s="27" t="s">
        <v>973</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958</v>
      </c>
      <c r="B5478" s="27" t="s">
        <v>2205</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1175</v>
      </c>
      <c r="B5479" s="27" t="s">
        <v>1491</v>
      </c>
      <c r="C5479" s="27" t="s">
        <v>931</v>
      </c>
      <c r="D5479" s="27" t="s">
        <v>932</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45</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947</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2206</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1553</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944</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286</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934</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1459</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2207</v>
      </c>
      <c r="B5488" s="27" t="s">
        <v>2208</v>
      </c>
      <c r="C5488" s="27" t="s">
        <v>973</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936</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944</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1261</v>
      </c>
      <c r="B5491" s="27" t="s">
        <v>968</v>
      </c>
      <c r="C5491" s="27" t="s">
        <v>1121</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2164</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1072</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1175</v>
      </c>
      <c r="B5494" s="27" t="s">
        <v>1009</v>
      </c>
      <c r="C5494" s="27" t="s">
        <v>931</v>
      </c>
      <c r="D5494" s="27" t="s">
        <v>932</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1874</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1007</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2024</v>
      </c>
      <c r="B5497" s="27" t="s">
        <v>1183</v>
      </c>
      <c r="C5497" s="27" t="s">
        <v>1054</v>
      </c>
      <c r="D5497" s="27" t="s">
        <v>932</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1063</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395</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1096</v>
      </c>
      <c r="B5500" s="27" t="s">
        <v>949</v>
      </c>
      <c r="C5500" s="27" t="s">
        <v>1097</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944</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954</v>
      </c>
      <c r="B5502" s="27" t="s">
        <v>955</v>
      </c>
      <c r="C5502" s="27" t="s">
        <v>931</v>
      </c>
      <c r="D5502" s="27" t="s">
        <v>932</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2209</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963</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2210</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954</v>
      </c>
      <c r="B5506" s="27" t="s">
        <v>960</v>
      </c>
      <c r="C5506" s="27" t="s">
        <v>931</v>
      </c>
      <c r="D5506" s="27" t="s">
        <v>932</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1176</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1267</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934</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2211</v>
      </c>
      <c r="B5510" s="27" t="s">
        <v>1025</v>
      </c>
      <c r="C5510" s="27" t="s">
        <v>973</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1000</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2212</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2213</v>
      </c>
      <c r="B5513" s="27" t="s">
        <v>1078</v>
      </c>
      <c r="C5513" s="27" t="s">
        <v>946</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1042</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row>
    <row r="5516" spans="1:12">
      <c r="A5516" s="20" t="s">
        <v>2214</v>
      </c>
    </row>
    <row r="5517" spans="1:12">
      <c r="A5517" s="20" t="s">
        <v>965</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954</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1176</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958</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2212</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2213</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2204</v>
      </c>
      <c r="B5523" s="27" t="s">
        <v>968</v>
      </c>
      <c r="C5523" s="27" t="s">
        <v>946</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936</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958</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2212</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2213</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1366</v>
      </c>
      <c r="B5528" s="27" t="s">
        <v>949</v>
      </c>
      <c r="C5528" s="27" t="s">
        <v>999</v>
      </c>
      <c r="D5528" s="27" t="s">
        <v>932</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936</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958</v>
      </c>
      <c r="B5530" s="27" t="s">
        <v>968</v>
      </c>
      <c r="C5530" s="27" t="s">
        <v>1061</v>
      </c>
      <c r="D5530" s="27" t="s">
        <v>932</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1176</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1007</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t="s">
        <v>272</v>
      </c>
      <c r="B5533" s="27" t="s">
        <v>930</v>
      </c>
      <c r="C5533" s="27" t="s">
        <v>1054</v>
      </c>
      <c r="D5533" s="27" t="s">
        <v>932</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749</v>
      </c>
      <c r="B5534" s="27" t="s">
        <v>1009</v>
      </c>
      <c r="C5534" s="27" t="s">
        <v>931</v>
      </c>
      <c r="D5534" s="27" t="s">
        <v>932</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1181</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2215</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1160</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947</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2216</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1042</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row>
    <row r="5542" spans="1:12">
      <c r="A5542" s="20" t="s">
        <v>983</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2217</v>
      </c>
    </row>
    <row r="5544" spans="1:12">
      <c r="A5544" s="20" t="s">
        <v>1783</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1412</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709</v>
      </c>
      <c r="B5546" s="27" t="s">
        <v>930</v>
      </c>
      <c r="C5546" s="27" t="s">
        <v>946</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290</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936</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928</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1179</v>
      </c>
      <c r="B5550" s="27" t="s">
        <v>968</v>
      </c>
      <c r="C5550" s="27" t="s">
        <v>931</v>
      </c>
      <c r="D5550" s="27" t="s">
        <v>932</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415</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2083</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2218</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2219</v>
      </c>
      <c r="B5554" s="27" t="s">
        <v>991</v>
      </c>
      <c r="C5554" s="27" t="s">
        <v>999</v>
      </c>
      <c r="D5554" s="27" t="s">
        <v>932</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936</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944</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286</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1175</v>
      </c>
      <c r="B5558" s="27" t="s">
        <v>968</v>
      </c>
      <c r="C5558" s="27" t="s">
        <v>931</v>
      </c>
      <c r="D5558" s="27" t="s">
        <v>932</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13</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2218</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1325</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928</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row>
    <row r="5564" spans="1:12">
      <c r="A5564" s="20" t="s">
        <v>2220</v>
      </c>
    </row>
    <row r="5565" spans="1:12">
      <c r="A5565" s="20" t="s">
        <v>965</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929</v>
      </c>
      <c r="B5566" s="27" t="s">
        <v>930</v>
      </c>
      <c r="C5566" s="27" t="s">
        <v>931</v>
      </c>
      <c r="D5566" s="27" t="s">
        <v>932</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286</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1114</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1042</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row>
    <row r="5571" spans="1:12">
      <c r="A5571" s="20" t="s">
        <v>2221</v>
      </c>
    </row>
    <row r="5572" spans="1:12">
      <c r="A5572" s="20" t="s">
        <v>1103</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929</v>
      </c>
      <c r="B5573" s="27" t="s">
        <v>930</v>
      </c>
      <c r="C5573" s="27" t="s">
        <v>931</v>
      </c>
      <c r="D5573" s="27" t="s">
        <v>932</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286</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1114</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13</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1457</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1336</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2200</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947</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1190</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1158</v>
      </c>
      <c r="B5582" s="27" t="s">
        <v>1031</v>
      </c>
      <c r="C5582" s="27" t="s">
        <v>946</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936</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t="s">
        <v>944</v>
      </c>
      <c r="E5584" s="21">
        <f>IF(D5584="?OLD","!!!","")</f>
        <v/>
      </c>
      <c r="F5584" s="22" t="str">
        <f>IF(OR(E5584="",E5584="!!!"),"",IF(NOT(ISNA(VLOOKUP(E5584,E$1:E5583,1,FALSE()))),"OLD",IF(AND(E5584&lt;&gt;"",E5584&lt;&gt;"!!!"),"NEW","")))</f>
        <v> </v>
      </c>
      <c r="G5584" s="23" t="str">
        <f>IF(OR(E5584="",E5584="!!!"),"",IF(OR(J5584=0,AND(J5584=1,K5584=1),AND(J5584=1,I5584="SBJ"),AND(J5584=1,I5584=0)),"?IN_FOCUS",IF(J5584&lt;=2,"?ACTIVATED",IF(J5584&lt;&gt;"","?FAMILIAR",IF(F5584="NEW",IF(ISNA(VLOOKUP(E5584,#REF!,1,FALSE())),"?TYPE_IDENTIFIABLE","?REFERENTIAL"),"_")))))</f>
        <v> </v>
      </c>
      <c r="H5584" s="24" t="str">
        <f>IF(J5584&lt;&gt;1,"",IF(I5584="SBJ","CB","?"))</f>
        <v> </v>
      </c>
      <c r="I5584" s="25" t="str">
        <f>IF(OR(E5584="",E5584="!!!",F5584="NEW"),"",INDEX(B5583:B$2,-1+SUMPRODUCT(MAX(ROW(E5583:E$2)*(E5584=E5583:E$2)))))</f>
        <v> </v>
      </c>
      <c r="J5584" s="25" t="str">
        <f>IF(OR(E5584="",E5584="!!!",F5584="NEW"),"",COUNTBLANK(OFFSET(A$1,,,SUMPRODUCT(MAX(ROW(E$2:E5584)*(E5584=E$2:E5584)))))-COUNTBLANK(OFFSET(A$1,,,SUMPRODUCT(MAX(ROW(E$1:E5583)*(E2=E$1:E5583))))))</f>
        <v> </v>
      </c>
      <c r="K5584" s="25" t="str">
        <f>IF(OR(E5584="",E5584="!!!",F5584="NEW"),"",INDEX(J$1:J5583,SUMPRODUCT(MAX(ROW(E$1:E5583)*(E5584=E$1:E5583)))))</f>
        <v> </v>
      </c>
      <c r="L5584" s="26"/>
    </row>
    <row r="5585" spans="1:12">
      <c r="A5585" s="20" t="s">
        <v>929</v>
      </c>
      <c r="B5585" s="27" t="s">
        <v>968</v>
      </c>
      <c r="C5585" s="27" t="s">
        <v>931</v>
      </c>
      <c r="D5585" s="27" t="s">
        <v>932</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286</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1114</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13</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1457</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1336</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938</v>
      </c>
      <c r="B5591" s="27" t="s">
        <v>1025</v>
      </c>
      <c r="C5591" s="27" t="s">
        <v>940</v>
      </c>
      <c r="D5591" s="27" t="s">
        <v>932</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1145</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1146</v>
      </c>
      <c r="B5593" s="27" t="s">
        <v>949</v>
      </c>
      <c r="C5593" s="27" t="s">
        <v>1087</v>
      </c>
      <c r="D5593" s="27" t="s">
        <v>932</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936</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1336</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1711</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934</v>
      </c>
      <c r="E5597" s="21">
        <f>IF(D5597="?OLD","!!!","")</f>
        <v/>
      </c>
      <c r="F5597" s="22" t="str">
        <f>IF(OR(E5597="",E5597="!!!"),"",IF(NOT(ISNA(VLOOKUP(E5597,E$1:E5596,1,FALSE()))),"OLD",IF(AND(E5597&lt;&gt;"",E5597&lt;&gt;"!!!"),"NEW","")))</f>
        <v> </v>
      </c>
      <c r="G5597" s="23" t="str">
        <f>IF(OR(E5597="",E5597="!!!"),"",IF(OR(J5597=0,AND(J5597=1,K5597=1),AND(J5597=1,I5597="SBJ"),AND(J5597=1,I5597=0)),"?IN_FOCUS",IF(J5597&lt;=2,"?ACTIVATED",IF(J5597&lt;&gt;"","?FAMILIAR",IF(F5597="NEW",IF(ISNA(VLOOKUP(E5597,#REF!,1,FALSE())),"?TYPE_IDENTIFIABLE","?REFERENTIAL"),"_")))))</f>
        <v> </v>
      </c>
      <c r="H5597" s="24" t="str">
        <f>IF(J5597&lt;&gt;1,"",IF(I5597="SBJ","CB","?"))</f>
        <v> </v>
      </c>
      <c r="I5597" s="25" t="str">
        <f>IF(OR(E5597="",E5597="!!!",F5597="NEW"),"",INDEX(B5596:B$2,-1+SUMPRODUCT(MAX(ROW(E5596:E$2)*(E5597=E5596:E$2)))))</f>
        <v> </v>
      </c>
      <c r="J5597" s="25" t="str">
        <f>IF(OR(E5597="",E5597="!!!",F5597="NEW"),"",COUNTBLANK(OFFSET(A$1,,,SUMPRODUCT(MAX(ROW(E$2:E5597)*(E5597=E$2:E5597)))))-COUNTBLANK(OFFSET(A$1,,,SUMPRODUCT(MAX(ROW(E$1:E5596)*(E2=E$1:E5596))))))</f>
        <v> </v>
      </c>
      <c r="K5597" s="25" t="str">
        <f>IF(OR(E5597="",E5597="!!!",F5597="NEW"),"",INDEX(J$1:J5596,SUMPRODUCT(MAX(ROW(E$1:E5596)*(E5597=E$1:E5596)))))</f>
        <v> </v>
      </c>
      <c r="L5597" s="26"/>
    </row>
    <row r="5598" spans="1:12">
      <c r="A5598" s="20" t="s">
        <v>1193</v>
      </c>
      <c r="B5598" s="27" t="s">
        <v>1183</v>
      </c>
      <c r="C5598" s="27" t="s">
        <v>973</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t="s">
        <v>1042</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row>
    <row r="5601" spans="1:12">
      <c r="A5601" s="20" t="s">
        <v>2222</v>
      </c>
    </row>
    <row r="5602" spans="1:12">
      <c r="A5602" s="20" t="s">
        <v>929</v>
      </c>
      <c r="B5602" s="27" t="s">
        <v>930</v>
      </c>
      <c r="C5602" s="27" t="s">
        <v>931</v>
      </c>
      <c r="D5602" s="27" t="s">
        <v>932</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13</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1329</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936</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937</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1938</v>
      </c>
      <c r="B5607" s="27" t="s">
        <v>939</v>
      </c>
      <c r="C5607" s="27" t="s">
        <v>946</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936</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929</v>
      </c>
      <c r="B5609" s="27" t="s">
        <v>968</v>
      </c>
      <c r="C5609" s="27" t="s">
        <v>931</v>
      </c>
      <c r="D5609" s="27" t="s">
        <v>932</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42</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936</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1279</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t="s">
        <v>929</v>
      </c>
      <c r="B5613" s="27" t="s">
        <v>1009</v>
      </c>
      <c r="C5613" s="27" t="s">
        <v>931</v>
      </c>
      <c r="D5613" s="27" t="s">
        <v>932</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1230</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13</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1447</v>
      </c>
      <c r="B5616" s="27" t="s">
        <v>1183</v>
      </c>
      <c r="C5616" s="27" t="s">
        <v>946</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1436</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1217</v>
      </c>
      <c r="B5618" s="27" t="s">
        <v>949</v>
      </c>
      <c r="C5618" s="27" t="s">
        <v>946</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1042</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row>
    <row r="5621" spans="1:12">
      <c r="A5621" s="20" t="s">
        <v>2223</v>
      </c>
    </row>
    <row r="5622" spans="1:12">
      <c r="A5622" s="20" t="s">
        <v>929</v>
      </c>
      <c r="B5622" s="27" t="s">
        <v>930</v>
      </c>
      <c r="C5622" s="27" t="s">
        <v>931</v>
      </c>
      <c r="D5622" s="27" t="s">
        <v>932</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13</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1457</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1336</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2224</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2225</v>
      </c>
      <c r="B5627" s="27" t="s">
        <v>939</v>
      </c>
      <c r="C5627" s="27" t="s">
        <v>946</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936</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1336</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t="s">
        <v>2226</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2227</v>
      </c>
      <c r="B5631" s="27" t="s">
        <v>942</v>
      </c>
      <c r="C5631" s="27" t="s">
        <v>946</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936</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1336</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2228</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2229</v>
      </c>
      <c r="B5635" s="27" t="s">
        <v>939</v>
      </c>
      <c r="C5635" s="27" t="s">
        <v>946</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t="s">
        <v>1042</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row>
    <row r="5638" spans="1:12">
      <c r="A5638" s="20" t="s">
        <v>2230</v>
      </c>
    </row>
    <row r="5639" spans="1:12">
      <c r="A5639" s="20" t="s">
        <v>2231</v>
      </c>
      <c r="B5639" s="27" t="s">
        <v>930</v>
      </c>
      <c r="C5639" s="27" t="s">
        <v>1061</v>
      </c>
      <c r="D5639" s="27" t="s">
        <v>932</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1201</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1007</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1117</v>
      </c>
      <c r="B5642" s="27" t="s">
        <v>942</v>
      </c>
      <c r="C5642" s="27" t="s">
        <v>1054</v>
      </c>
      <c r="D5642" s="27" t="s">
        <v>932</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958</v>
      </c>
      <c r="B5643" s="27" t="s">
        <v>991</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929</v>
      </c>
      <c r="B5644" s="27" t="s">
        <v>968</v>
      </c>
      <c r="C5644" s="27" t="s">
        <v>931</v>
      </c>
      <c r="D5644" s="27" t="s">
        <v>932</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13</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1457</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1336</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1412</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1042</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row>
    <row r="5651" spans="1:12">
      <c r="A5651" s="20" t="s">
        <v>2232</v>
      </c>
    </row>
    <row r="5652" spans="1:12">
      <c r="A5652" s="20" t="s">
        <v>965</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929</v>
      </c>
      <c r="B5653" s="27" t="s">
        <v>930</v>
      </c>
      <c r="C5653" s="27" t="s">
        <v>931</v>
      </c>
      <c r="D5653" s="27" t="s">
        <v>932</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1232</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947</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1067</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936</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1350</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936</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1261</v>
      </c>
      <c r="B5660" s="27" t="s">
        <v>942</v>
      </c>
      <c r="C5660" s="27" t="s">
        <v>1121</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1056</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1007</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2233</v>
      </c>
      <c r="B5663" s="27" t="s">
        <v>968</v>
      </c>
      <c r="C5663" s="27" t="s">
        <v>1054</v>
      </c>
      <c r="D5663" s="27" t="s">
        <v>932</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1325</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row>
    <row r="5666" spans="1:12">
      <c r="A5666" s="20" t="s">
        <v>2234</v>
      </c>
    </row>
    <row r="5667" spans="1:12">
      <c r="A5667" s="20" t="s">
        <v>2235</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1113</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996</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t="s">
        <v>709</v>
      </c>
      <c r="B5670" s="27" t="s">
        <v>968</v>
      </c>
      <c r="C5670" s="27" t="s">
        <v>999</v>
      </c>
      <c r="D5670" s="27" t="s">
        <v>932</v>
      </c>
      <c r="E5670" s="21">
        <f>IF(D5670="?OLD","!!!","")</f>
        <v/>
      </c>
      <c r="F5670" s="22" t="str">
        <f>IF(OR(E5670="",E5670="!!!"),"",IF(NOT(ISNA(VLOOKUP(E5670,E$1:E5669,1,FALSE()))),"OLD",IF(AND(E5670&lt;&gt;"",E5670&lt;&gt;"!!!"),"NEW","")))</f>
        <v> </v>
      </c>
      <c r="G5670" s="23" t="str">
        <f>IF(OR(E5670="",E5670="!!!"),"",IF(OR(J5670=0,AND(J5670=1,K5670=1),AND(J5670=1,I5670="SBJ"),AND(J5670=1,I5670=0)),"?IN_FOCUS",IF(J5670&lt;=2,"?ACTIVATED",IF(J5670&lt;&gt;"","?FAMILIAR",IF(F5670="NEW",IF(ISNA(VLOOKUP(E5670,#REF!,1,FALSE())),"?TYPE_IDENTIFIABLE","?REFERENTIAL"),"_")))))</f>
        <v> </v>
      </c>
      <c r="H5670" s="24" t="str">
        <f>IF(J5670&lt;&gt;1,"",IF(I5670="SBJ","CB","?"))</f>
        <v> </v>
      </c>
      <c r="I5670" s="25" t="str">
        <f>IF(OR(E5670="",E5670="!!!",F5670="NEW"),"",INDEX(B5669:B$2,-1+SUMPRODUCT(MAX(ROW(E5669:E$2)*(E5670=E5669:E$2)))))</f>
        <v> </v>
      </c>
      <c r="J5670" s="25" t="str">
        <f>IF(OR(E5670="",E5670="!!!",F5670="NEW"),"",COUNTBLANK(OFFSET(A$1,,,SUMPRODUCT(MAX(ROW(E$2:E5670)*(E5670=E$2:E5670)))))-COUNTBLANK(OFFSET(A$1,,,SUMPRODUCT(MAX(ROW(E$1:E5669)*(E2=E$1:E5669))))))</f>
        <v> </v>
      </c>
      <c r="K5670" s="25" t="str">
        <f>IF(OR(E5670="",E5670="!!!",F5670="NEW"),"",INDEX(J$1:J5669,SUMPRODUCT(MAX(ROW(E$1:E5669)*(E5670=E$1:E5669)))))</f>
        <v> </v>
      </c>
      <c r="L5670" s="26"/>
    </row>
    <row r="5671" spans="1:12">
      <c r="A5671" s="20" t="s">
        <v>1069</v>
      </c>
      <c r="B5671" s="27" t="s">
        <v>955</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45</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1460</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1499</v>
      </c>
      <c r="B5674" s="27" t="s">
        <v>1031</v>
      </c>
      <c r="C5674" s="27" t="s">
        <v>946</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1260</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995</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t="s">
        <v>2236</v>
      </c>
      <c r="E5677" s="21">
        <f>IF(D5677="?OLD","!!!","")</f>
        <v/>
      </c>
      <c r="F5677" s="22" t="str">
        <f>IF(OR(E5677="",E5677="!!!"),"",IF(NOT(ISNA(VLOOKUP(E5677,E$1:E5676,1,FALSE()))),"OLD",IF(AND(E5677&lt;&gt;"",E5677&lt;&gt;"!!!"),"NEW","")))</f>
        <v> </v>
      </c>
      <c r="G5677" s="23" t="str">
        <f>IF(OR(E5677="",E5677="!!!"),"",IF(OR(J5677=0,AND(J5677=1,K5677=1),AND(J5677=1,I5677="SBJ"),AND(J5677=1,I5677=0)),"?IN_FOCUS",IF(J5677&lt;=2,"?ACTIVATED",IF(J5677&lt;&gt;"","?FAMILIAR",IF(F5677="NEW",IF(ISNA(VLOOKUP(E5677,#REF!,1,FALSE())),"?TYPE_IDENTIFIABLE","?REFERENTIAL"),"_")))))</f>
        <v> </v>
      </c>
      <c r="H5677" s="24" t="str">
        <f>IF(J5677&lt;&gt;1,"",IF(I5677="SBJ","CB","?"))</f>
        <v> </v>
      </c>
      <c r="I5677" s="25" t="str">
        <f>IF(OR(E5677="",E5677="!!!",F5677="NEW"),"",INDEX(B5676:B$2,-1+SUMPRODUCT(MAX(ROW(E5676:E$2)*(E5677=E5676:E$2)))))</f>
        <v> </v>
      </c>
      <c r="J5677" s="25" t="str">
        <f>IF(OR(E5677="",E5677="!!!",F5677="NEW"),"",COUNTBLANK(OFFSET(A$1,,,SUMPRODUCT(MAX(ROW(E$2:E5677)*(E5677=E$2:E5677)))))-COUNTBLANK(OFFSET(A$1,,,SUMPRODUCT(MAX(ROW(E$1:E5676)*(E2=E$1:E5676))))))</f>
        <v> </v>
      </c>
      <c r="K5677" s="25" t="str">
        <f>IF(OR(E5677="",E5677="!!!",F5677="NEW"),"",INDEX(J$1:J5676,SUMPRODUCT(MAX(ROW(E$1:E5676)*(E5677=E$1:E5676)))))</f>
        <v> </v>
      </c>
      <c r="L5677" s="26"/>
    </row>
    <row r="5678" spans="1:12">
      <c r="A5678" s="20" t="s">
        <v>1040</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1186</v>
      </c>
      <c r="B5679" s="27" t="s">
        <v>1025</v>
      </c>
      <c r="C5679" s="27" t="s">
        <v>946</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947</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462</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963</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1325</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row>
    <row r="5685" spans="1:12">
      <c r="A5685" s="20" t="s">
        <v>2237</v>
      </c>
    </row>
    <row r="5686" spans="1:12">
      <c r="A5686" s="20" t="s">
        <v>1151</v>
      </c>
      <c r="B5686" s="27" t="s">
        <v>942</v>
      </c>
      <c r="C5686" s="27" t="s">
        <v>1121</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1056</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1007</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2238</v>
      </c>
      <c r="B5689" s="27" t="s">
        <v>930</v>
      </c>
      <c r="C5689" s="27" t="s">
        <v>1054</v>
      </c>
      <c r="D5689" s="27" t="s">
        <v>932</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1000</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2239</v>
      </c>
      <c r="B5691" s="27" t="s">
        <v>939</v>
      </c>
      <c r="C5691" s="27" t="s">
        <v>946</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1325</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row>
    <row r="5694" spans="1:12">
      <c r="A5694" s="20" t="s">
        <v>983</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2240</v>
      </c>
    </row>
    <row r="5696" spans="1:12">
      <c r="A5696" s="20" t="s">
        <v>965</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1261</v>
      </c>
      <c r="B5697" s="27" t="s">
        <v>930</v>
      </c>
      <c r="C5697" s="27" t="s">
        <v>1121</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929</v>
      </c>
      <c r="B5698" s="27" t="s">
        <v>1009</v>
      </c>
      <c r="C5698" s="27" t="s">
        <v>931</v>
      </c>
      <c r="D5698" s="27" t="s">
        <v>932</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1799</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1164</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995</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1228</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1239</v>
      </c>
      <c r="B5703" s="27" t="s">
        <v>949</v>
      </c>
      <c r="C5703" s="27" t="s">
        <v>946</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961</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958</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1007</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709</v>
      </c>
      <c r="B5707" s="27" t="s">
        <v>960</v>
      </c>
      <c r="C5707" s="27" t="s">
        <v>1054</v>
      </c>
      <c r="D5707" s="27" t="s">
        <v>932</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1069</v>
      </c>
      <c r="B5708" s="27" t="s">
        <v>1196</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2241</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1188</v>
      </c>
      <c r="B5710" s="27" t="s">
        <v>1256</v>
      </c>
      <c r="C5710" s="27" t="s">
        <v>940</v>
      </c>
      <c r="D5710" s="27" t="s">
        <v>932</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1467</v>
      </c>
      <c r="B5711" s="27" t="s">
        <v>1390</v>
      </c>
      <c r="C5711" s="27" t="s">
        <v>1087</v>
      </c>
      <c r="D5711" s="27" t="s">
        <v>932</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936</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944</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290</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936</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928</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929</v>
      </c>
      <c r="B5717" s="27" t="s">
        <v>1491</v>
      </c>
      <c r="C5717" s="27" t="s">
        <v>931</v>
      </c>
      <c r="D5717" s="27" t="s">
        <v>932</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961</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1223</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934</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1226</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1239</v>
      </c>
      <c r="B5722" s="27" t="s">
        <v>2242</v>
      </c>
      <c r="C5722" s="27" t="s">
        <v>973</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1413</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936</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929</v>
      </c>
      <c r="B5725" s="27" t="s">
        <v>960</v>
      </c>
      <c r="C5725" s="27" t="s">
        <v>931</v>
      </c>
      <c r="D5725" s="27" t="s">
        <v>932</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1717</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1115</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t="s">
        <v>947</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42</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1336</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954</v>
      </c>
      <c r="B5731" s="27" t="s">
        <v>978</v>
      </c>
      <c r="C5731" s="27" t="s">
        <v>931</v>
      </c>
      <c r="D5731" s="27" t="s">
        <v>932</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1002</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936</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929</v>
      </c>
      <c r="B5734" s="27" t="s">
        <v>930</v>
      </c>
      <c r="C5734" s="27" t="s">
        <v>931</v>
      </c>
      <c r="D5734" s="27" t="s">
        <v>932</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1305</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1125</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980</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947</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1811</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1032</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954</v>
      </c>
      <c r="B5741" s="27" t="s">
        <v>939</v>
      </c>
      <c r="C5741" s="27" t="s">
        <v>931</v>
      </c>
      <c r="D5741" s="27" t="s">
        <v>932</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944</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929</v>
      </c>
      <c r="B5743" s="27" t="s">
        <v>968</v>
      </c>
      <c r="C5743" s="27" t="s">
        <v>931</v>
      </c>
      <c r="D5743" s="27" t="s">
        <v>932</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1305</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1264</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980</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947</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462</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1144</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995</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938</v>
      </c>
      <c r="B5751" s="27" t="s">
        <v>1025</v>
      </c>
      <c r="C5751" s="27" t="s">
        <v>940</v>
      </c>
      <c r="D5751" s="27" t="s">
        <v>932</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1349</v>
      </c>
      <c r="B5752" s="27" t="s">
        <v>949</v>
      </c>
      <c r="C5752" s="27" t="s">
        <v>1087</v>
      </c>
      <c r="D5752" s="27" t="s">
        <v>932</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936</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928</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2243</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936</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996</v>
      </c>
      <c r="B5757" s="27" t="s">
        <v>968</v>
      </c>
      <c r="C5757" s="27" t="s">
        <v>1061</v>
      </c>
      <c r="D5757" s="27" t="s">
        <v>932</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1201</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1007</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709</v>
      </c>
      <c r="B5760" s="27" t="s">
        <v>942</v>
      </c>
      <c r="C5760" s="27" t="s">
        <v>1054</v>
      </c>
      <c r="D5760" s="27" t="s">
        <v>932</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1069</v>
      </c>
      <c r="B5761" s="27" t="s">
        <v>1009</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1201</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1185</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t="s">
        <v>2244</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1472</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t="s">
        <v>1261</v>
      </c>
      <c r="B5766" s="27" t="s">
        <v>949</v>
      </c>
      <c r="C5766" s="27" t="s">
        <v>1121</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967</v>
      </c>
      <c r="B5767" s="27" t="s">
        <v>960</v>
      </c>
      <c r="C5767" s="27" t="s">
        <v>931</v>
      </c>
      <c r="D5767" s="27" t="s">
        <v>932</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45</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1042</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row>
    <row r="5771" spans="1:12">
      <c r="A5771" s="20" t="s">
        <v>2245</v>
      </c>
    </row>
    <row r="5772" spans="1:12">
      <c r="A5772" s="20" t="s">
        <v>2246</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1160</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1007</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1040</v>
      </c>
      <c r="B5775" s="27" t="s">
        <v>968</v>
      </c>
      <c r="C5775" s="27" t="s">
        <v>1054</v>
      </c>
      <c r="D5775" s="27" t="s">
        <v>932</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2247</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954</v>
      </c>
      <c r="B5777" s="27" t="s">
        <v>991</v>
      </c>
      <c r="C5777" s="27" t="s">
        <v>931</v>
      </c>
      <c r="D5777" s="27" t="s">
        <v>932</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1042</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row>
    <row r="5780" spans="1:12">
      <c r="A5780" s="20" t="s">
        <v>2248</v>
      </c>
    </row>
    <row r="5781" spans="1:12">
      <c r="A5781" s="20" t="s">
        <v>2249</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1175</v>
      </c>
      <c r="B5782" s="27" t="s">
        <v>968</v>
      </c>
      <c r="C5782" s="27" t="s">
        <v>931</v>
      </c>
      <c r="D5782" s="27" t="s">
        <v>932</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419</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1095</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954</v>
      </c>
      <c r="B5785" s="27" t="s">
        <v>939</v>
      </c>
      <c r="C5785" s="27" t="s">
        <v>931</v>
      </c>
      <c r="D5785" s="27" t="s">
        <v>932</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936</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954</v>
      </c>
      <c r="B5787" s="27" t="s">
        <v>930</v>
      </c>
      <c r="C5787" s="27" t="s">
        <v>931</v>
      </c>
      <c r="D5787" s="27" t="s">
        <v>932</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2250</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1042</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row>
    <row r="5791" spans="1:12">
      <c r="A5791" s="20" t="s">
        <v>2251</v>
      </c>
    </row>
    <row r="5792" spans="1:12">
      <c r="A5792" s="20" t="s">
        <v>965</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1007</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709</v>
      </c>
      <c r="B5794" s="27" t="s">
        <v>930</v>
      </c>
      <c r="C5794" s="27" t="s">
        <v>1054</v>
      </c>
      <c r="D5794" s="27" t="s">
        <v>932</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1069</v>
      </c>
      <c r="B5795" s="27" t="s">
        <v>1009</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286</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1460</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1201</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1007</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1851</v>
      </c>
      <c r="B5800" s="27" t="s">
        <v>942</v>
      </c>
      <c r="C5800" s="27" t="s">
        <v>1054</v>
      </c>
      <c r="D5800" s="27" t="s">
        <v>932</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1069</v>
      </c>
      <c r="B5801" s="27" t="s">
        <v>968</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1201</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1046</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947</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t="s">
        <v>2252</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1007</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1938</v>
      </c>
      <c r="B5807" s="27" t="s">
        <v>1183</v>
      </c>
      <c r="C5807" s="27" t="s">
        <v>1054</v>
      </c>
      <c r="D5807" s="27" t="s">
        <v>932</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958</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967</v>
      </c>
      <c r="B5809" s="27" t="s">
        <v>960</v>
      </c>
      <c r="C5809" s="27" t="s">
        <v>931</v>
      </c>
      <c r="D5809" s="27" t="s">
        <v>932</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45</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1317</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2253</v>
      </c>
      <c r="B5812" s="27" t="s">
        <v>982</v>
      </c>
      <c r="C5812" s="27" t="s">
        <v>999</v>
      </c>
      <c r="D5812" s="27" t="s">
        <v>932</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1042</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row>
    <row r="5815" spans="1:12">
      <c r="A5815" s="20" t="s">
        <v>2254</v>
      </c>
    </row>
    <row r="5816" spans="1:12">
      <c r="A5816" s="20" t="s">
        <v>2231</v>
      </c>
      <c r="B5816" s="27" t="s">
        <v>930</v>
      </c>
      <c r="C5816" s="27" t="s">
        <v>1061</v>
      </c>
      <c r="D5816" s="27" t="s">
        <v>932</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1069</v>
      </c>
      <c r="B5817" s="27" t="s">
        <v>1009</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1230</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2252</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1188</v>
      </c>
      <c r="B5820" s="27" t="s">
        <v>1025</v>
      </c>
      <c r="C5820" s="27" t="s">
        <v>940</v>
      </c>
      <c r="D5820" s="27" t="s">
        <v>932</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1040</v>
      </c>
      <c r="B5821" s="27" t="s">
        <v>1183</v>
      </c>
      <c r="C5821" s="27" t="s">
        <v>1087</v>
      </c>
      <c r="D5821" s="27" t="s">
        <v>932</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1201</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1007</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1851</v>
      </c>
      <c r="B5824" s="27" t="s">
        <v>942</v>
      </c>
      <c r="C5824" s="27" t="s">
        <v>1054</v>
      </c>
      <c r="D5824" s="27" t="s">
        <v>932</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1069</v>
      </c>
      <c r="B5825" s="27" t="s">
        <v>968</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t="s">
        <v>2255</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2239</v>
      </c>
      <c r="B5827" s="27" t="s">
        <v>991</v>
      </c>
      <c r="C5827" s="27" t="s">
        <v>946</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t="s">
        <v>1042</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row>
    <row r="5830" spans="1:12">
      <c r="A5830" s="20" t="s">
        <v>983</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2256</v>
      </c>
    </row>
    <row r="5832" spans="1:12">
      <c r="A5832" s="20" t="s">
        <v>1783</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1878</v>
      </c>
      <c r="B5833" s="27" t="s">
        <v>930</v>
      </c>
      <c r="C5833" s="27" t="s">
        <v>943</v>
      </c>
      <c r="D5833" s="27" t="s">
        <v>932</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1879</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1232</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947</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1064</v>
      </c>
      <c r="B5837" s="27" t="s">
        <v>942</v>
      </c>
      <c r="C5837" s="27" t="s">
        <v>931</v>
      </c>
      <c r="D5837" s="27" t="s">
        <v>932</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936</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928</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1221</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929</v>
      </c>
      <c r="B5841" s="27" t="s">
        <v>1009</v>
      </c>
      <c r="C5841" s="27" t="s">
        <v>931</v>
      </c>
      <c r="D5841" s="27" t="s">
        <v>932</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1065</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934</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286</v>
      </c>
      <c r="B5844" s="27" t="s">
        <v>1183</v>
      </c>
      <c r="C5844" s="27" t="s">
        <v>973</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16</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1228</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936</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929</v>
      </c>
      <c r="B5848" s="27" t="s">
        <v>968</v>
      </c>
      <c r="C5848" s="27" t="s">
        <v>931</v>
      </c>
      <c r="D5848" s="27" t="s">
        <v>932</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2257</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929</v>
      </c>
      <c r="B5850" s="27" t="s">
        <v>1009</v>
      </c>
      <c r="C5850" s="27" t="s">
        <v>931</v>
      </c>
      <c r="D5850" s="27" t="s">
        <v>932</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1138</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1114</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286</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954</v>
      </c>
      <c r="B5854" s="27" t="s">
        <v>1183</v>
      </c>
      <c r="C5854" s="27" t="s">
        <v>931</v>
      </c>
      <c r="D5854" s="27" t="s">
        <v>932</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1317</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1206</v>
      </c>
      <c r="B5856" s="27" t="s">
        <v>949</v>
      </c>
      <c r="C5856" s="27" t="s">
        <v>999</v>
      </c>
      <c r="D5856" s="27" t="s">
        <v>932</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936</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1012</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937</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934</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1017</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1206</v>
      </c>
      <c r="B5862" s="27" t="s">
        <v>1025</v>
      </c>
      <c r="C5862" s="27" t="s">
        <v>973</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936</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929</v>
      </c>
      <c r="B5864" s="27" t="s">
        <v>955</v>
      </c>
      <c r="C5864" s="27" t="s">
        <v>931</v>
      </c>
      <c r="D5864" s="27" t="s">
        <v>932</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1305</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1411</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1063</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1261</v>
      </c>
      <c r="B5868" s="27" t="s">
        <v>1025</v>
      </c>
      <c r="C5868" s="27" t="s">
        <v>1121</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929</v>
      </c>
      <c r="B5869" s="27" t="s">
        <v>1200</v>
      </c>
      <c r="C5869" s="27" t="s">
        <v>931</v>
      </c>
      <c r="D5869" s="27" t="s">
        <v>932</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1590</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1486</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1042</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row>
    <row r="5874" spans="1:12">
      <c r="A5874" s="20" t="s">
        <v>2258</v>
      </c>
    </row>
    <row r="5875" spans="1:12">
      <c r="A5875" s="20" t="s">
        <v>929</v>
      </c>
      <c r="B5875" s="27" t="s">
        <v>930</v>
      </c>
      <c r="C5875" s="27" t="s">
        <v>931</v>
      </c>
      <c r="D5875" s="27" t="s">
        <v>932</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1305</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2259</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947</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45</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1074</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t="s">
        <v>937</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1007</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2260</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170</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1681</v>
      </c>
      <c r="B5885" s="27" t="s">
        <v>942</v>
      </c>
      <c r="C5885" s="27" t="s">
        <v>946</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1042</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row>
    <row r="5888" spans="1:12">
      <c r="A5888" s="20" t="s">
        <v>983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2261</v>
      </c>
    </row>
    <row r="5890" spans="1:12">
      <c r="A5890" s="20" t="s">
        <v>1215</v>
      </c>
      <c r="B5890" s="27" t="s">
        <v>930</v>
      </c>
      <c r="C5890" s="27" t="s">
        <v>931</v>
      </c>
      <c r="D5890" s="27" t="s">
        <v>932</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2262</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1064</v>
      </c>
      <c r="B5892" s="27" t="s">
        <v>988</v>
      </c>
      <c r="C5892" s="27" t="s">
        <v>931</v>
      </c>
      <c r="D5892" s="27" t="s">
        <v>932</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1209</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1136</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1336</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903</v>
      </c>
      <c r="B5896" s="27" t="s">
        <v>942</v>
      </c>
      <c r="C5896" s="27" t="s">
        <v>946</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936</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944</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938</v>
      </c>
      <c r="B5899" s="27" t="s">
        <v>949</v>
      </c>
      <c r="C5899" s="27" t="s">
        <v>940</v>
      </c>
      <c r="D5899" s="27" t="s">
        <v>932</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1089</v>
      </c>
      <c r="B5900" s="27" t="s">
        <v>968</v>
      </c>
      <c r="C5900" s="27" t="s">
        <v>1087</v>
      </c>
      <c r="D5900" s="27" t="s">
        <v>932</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995</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938</v>
      </c>
      <c r="B5902" s="27" t="s">
        <v>1025</v>
      </c>
      <c r="C5902" s="27" t="s">
        <v>940</v>
      </c>
      <c r="D5902" s="27" t="s">
        <v>932</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1560</v>
      </c>
      <c r="B5903" s="27" t="s">
        <v>949</v>
      </c>
      <c r="C5903" s="27" t="s">
        <v>1087</v>
      </c>
      <c r="D5903" s="27" t="s">
        <v>932</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944</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938</v>
      </c>
      <c r="B5905" s="27" t="s">
        <v>949</v>
      </c>
      <c r="C5905" s="27" t="s">
        <v>940</v>
      </c>
      <c r="D5905" s="27" t="s">
        <v>932</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1958</v>
      </c>
      <c r="B5906" s="27" t="s">
        <v>968</v>
      </c>
      <c r="C5906" s="27" t="s">
        <v>1087</v>
      </c>
      <c r="D5906" s="27" t="s">
        <v>932</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1599</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1074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t="s">
        <v>1209</v>
      </c>
      <c r="E5909" s="21">
        <f>IF(D5909="?OLD","!!!","")</f>
        <v/>
      </c>
      <c r="F5909" s="22" t="str">
        <f>IF(OR(E5909="",E5909="!!!"),"",IF(NOT(ISNA(VLOOKUP(E5909,E$1:E5908,1,FALSE()))),"OLD",IF(AND(E5909&lt;&gt;"",E5909&lt;&gt;"!!!"),"NEW","")))</f>
        <v> </v>
      </c>
      <c r="G5909" s="23" t="str">
        <f>IF(OR(E5909="",E5909="!!!"),"",IF(OR(J5909=0,AND(J5909=1,K5909=1),AND(J5909=1,I5909="SBJ"),AND(J5909=1,I5909=0)),"?IN_FOCUS",IF(J5909&lt;=2,"?ACTIVATED",IF(J5909&lt;&gt;"","?FAMILIAR",IF(F5909="NEW",IF(ISNA(VLOOKUP(E5909,#REF!,1,FALSE())),"?TYPE_IDENTIFIABLE","?REFERENTIAL"),"_")))))</f>
        <v> </v>
      </c>
      <c r="H5909" s="24" t="str">
        <f>IF(J5909&lt;&gt;1,"",IF(I5909="SBJ","CB","?"))</f>
        <v> </v>
      </c>
      <c r="I5909" s="25" t="str">
        <f>IF(OR(E5909="",E5909="!!!",F5909="NEW"),"",INDEX(B5908:B$2,-1+SUMPRODUCT(MAX(ROW(E5908:E$2)*(E5909=E5908:E$2)))))</f>
        <v> </v>
      </c>
      <c r="J5909" s="25" t="str">
        <f>IF(OR(E5909="",E5909="!!!",F5909="NEW"),"",COUNTBLANK(OFFSET(A$1,,,SUMPRODUCT(MAX(ROW(E$2:E5909)*(E5909=E$2:E5909)))))-COUNTBLANK(OFFSET(A$1,,,SUMPRODUCT(MAX(ROW(E$1:E5908)*(E2=E$1:E5908))))))</f>
        <v> </v>
      </c>
      <c r="K5909" s="25" t="str">
        <f>IF(OR(E5909="",E5909="!!!",F5909="NEW"),"",INDEX(J$1:J5908,SUMPRODUCT(MAX(ROW(E$1:E5908)*(E5909=E$1:E5908)))))</f>
        <v> </v>
      </c>
      <c r="L5909" s="26"/>
    </row>
    <row r="5910" spans="1:12">
      <c r="A5910" s="20" t="s">
        <v>2263</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947</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1064</v>
      </c>
      <c r="B5912" s="27" t="s">
        <v>939</v>
      </c>
      <c r="C5912" s="27" t="s">
        <v>931</v>
      </c>
      <c r="D5912" s="27" t="s">
        <v>932</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936</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944</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1418</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36</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1066</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1042</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928</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row>
    <row r="5921" spans="1:12">
      <c r="A5921" s="20" t="s">
        <v>983</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2264</v>
      </c>
    </row>
    <row r="5923" spans="1:12">
      <c r="A5923" s="20" t="s">
        <v>965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1570</v>
      </c>
      <c r="B5924" s="27" t="s">
        <v>930</v>
      </c>
      <c r="C5924" s="27" t="s">
        <v>943</v>
      </c>
      <c r="D5924" s="27" t="s">
        <v>932</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t="s">
        <v>1571</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t="s">
        <v>1232</v>
      </c>
      <c r="E5926" s="21">
        <f>IF(D5926="?OLD","!!!","")</f>
        <v/>
      </c>
      <c r="F5926" s="22" t="str">
        <f>IF(OR(E5926="",E5926="!!!"),"",IF(NOT(ISNA(VLOOKUP(E5926,E$1:E5925,1,FALSE()))),"OLD",IF(AND(E5926&lt;&gt;"",E5926&lt;&gt;"!!!"),"NEW","")))</f>
        <v> </v>
      </c>
      <c r="G5926" s="23" t="str">
        <f>IF(OR(E5926="",E5926="!!!"),"",IF(OR(J5926=0,AND(J5926=1,K5926=1),AND(J5926=1,I5926="SBJ"),AND(J5926=1,I5926=0)),"?IN_FOCUS",IF(J5926&lt;=2,"?ACTIVATED",IF(J5926&lt;&gt;"","?FAMILIAR",IF(F5926="NEW",IF(ISNA(VLOOKUP(E5926,#REF!,1,FALSE())),"?TYPE_IDENTIFIABLE","?REFERENTIAL"),"_")))))</f>
        <v> </v>
      </c>
      <c r="H5926" s="24" t="str">
        <f>IF(J5926&lt;&gt;1,"",IF(I5926="SBJ","CB","?"))</f>
        <v> </v>
      </c>
      <c r="I5926" s="25" t="str">
        <f>IF(OR(E5926="",E5926="!!!",F5926="NEW"),"",INDEX(B5925:B$2,-1+SUMPRODUCT(MAX(ROW(E5925:E$2)*(E5926=E5925:E$2)))))</f>
        <v> </v>
      </c>
      <c r="J5926" s="25" t="str">
        <f>IF(OR(E5926="",E5926="!!!",F5926="NEW"),"",COUNTBLANK(OFFSET(A$1,,,SUMPRODUCT(MAX(ROW(E$2:E5926)*(E5926=E$2:E5926)))))-COUNTBLANK(OFFSET(A$1,,,SUMPRODUCT(MAX(ROW(E$1:E5925)*(E2=E$1:E5925))))))</f>
        <v> </v>
      </c>
      <c r="K5926" s="25" t="str">
        <f>IF(OR(E5926="",E5926="!!!",F5926="NEW"),"",INDEX(J$1:J5925,SUMPRODUCT(MAX(ROW(E$1:E5925)*(E5926=E$1:E5925)))))</f>
        <v> </v>
      </c>
      <c r="L5926" s="26"/>
    </row>
    <row r="5927" spans="1:12">
      <c r="A5927" s="20" t="s">
        <v>936</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928</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929</v>
      </c>
      <c r="B5929" s="27" t="s">
        <v>968</v>
      </c>
      <c r="C5929" s="27" t="s">
        <v>931</v>
      </c>
      <c r="D5929" s="27" t="s">
        <v>932</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2023</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947</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2265</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937</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1013</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2266</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2267</v>
      </c>
      <c r="B5936" s="27" t="s">
        <v>949</v>
      </c>
      <c r="C5936" s="27" t="s">
        <v>973</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936</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944</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929</v>
      </c>
      <c r="B5939" s="27" t="s">
        <v>1009</v>
      </c>
      <c r="C5939" s="27" t="s">
        <v>931</v>
      </c>
      <c r="D5939" s="27" t="s">
        <v>932</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1138</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1264</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t="s">
        <v>384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944</v>
      </c>
      <c r="E5943" s="21">
        <f>IF(D5943="?OLD","!!!","")</f>
        <v/>
      </c>
      <c r="F5943" s="22" t="str">
        <f>IF(OR(E5943="",E5943="!!!"),"",IF(NOT(ISNA(VLOOKUP(E5943,E$1:E5942,1,FALSE()))),"OLD",IF(AND(E5943&lt;&gt;"",E5943&lt;&gt;"!!!"),"NEW","")))</f>
        <v> </v>
      </c>
      <c r="G5943" s="23" t="str">
        <f>IF(OR(E5943="",E5943="!!!"),"",IF(OR(J5943=0,AND(J5943=1,K5943=1),AND(J5943=1,I5943="SBJ"),AND(J5943=1,I5943=0)),"?IN_FOCUS",IF(J5943&lt;=2,"?ACTIVATED",IF(J5943&lt;&gt;"","?FAMILIAR",IF(F5943="NEW",IF(ISNA(VLOOKUP(E5943,#REF!,1,FALSE())),"?TYPE_IDENTIFIABLE","?REFERENTIAL"),"_")))))</f>
        <v> </v>
      </c>
      <c r="H5943" s="24" t="str">
        <f>IF(J5943&lt;&gt;1,"",IF(I5943="SBJ","CB","?"))</f>
        <v> </v>
      </c>
      <c r="I5943" s="25" t="str">
        <f>IF(OR(E5943="",E5943="!!!",F5943="NEW"),"",INDEX(B5942:B$2,-1+SUMPRODUCT(MAX(ROW(E5942:E$2)*(E5943=E5942:E$2)))))</f>
        <v> </v>
      </c>
      <c r="J5943" s="25" t="str">
        <f>IF(OR(E5943="",E5943="!!!",F5943="NEW"),"",COUNTBLANK(OFFSET(A$1,,,SUMPRODUCT(MAX(ROW(E$2:E5943)*(E5943=E$2:E5943)))))-COUNTBLANK(OFFSET(A$1,,,SUMPRODUCT(MAX(ROW(E$1:E5942)*(E2=E$1:E5942))))))</f>
        <v> </v>
      </c>
      <c r="K5943" s="25" t="str">
        <f>IF(OR(E5943="",E5943="!!!",F5943="NEW"),"",INDEX(J$1:J5942,SUMPRODUCT(MAX(ROW(E$1:E5942)*(E5943=E$1:E5942)))))</f>
        <v> </v>
      </c>
      <c r="L5943" s="26"/>
    </row>
    <row r="5944" spans="1:12">
      <c r="A5944" s="20" t="s">
        <v>384</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944</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384</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936</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944</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1007</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709</v>
      </c>
      <c r="B5950" s="27" t="s">
        <v>968</v>
      </c>
      <c r="C5950" s="27" t="s">
        <v>1054</v>
      </c>
      <c r="D5950" s="27" t="s">
        <v>932</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929</v>
      </c>
      <c r="B5951" s="27" t="s">
        <v>955</v>
      </c>
      <c r="C5951" s="27" t="s">
        <v>931</v>
      </c>
      <c r="D5951" s="27" t="s">
        <v>932</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961</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1730</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995</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970</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1114</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1399</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2268</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936</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944</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929</v>
      </c>
      <c r="B5961" s="27" t="s">
        <v>968</v>
      </c>
      <c r="C5961" s="27" t="s">
        <v>931</v>
      </c>
      <c r="D5961" s="27" t="s">
        <v>932</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977</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936</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1561</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1647</v>
      </c>
      <c r="B5965" s="27" t="s">
        <v>1009</v>
      </c>
      <c r="C5965" s="27" t="s">
        <v>1061</v>
      </c>
      <c r="D5965" s="27" t="s">
        <v>932</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1176</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1125</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1399</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2269</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1242</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2270</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1000</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987</v>
      </c>
      <c r="B5973" s="27" t="s">
        <v>949</v>
      </c>
      <c r="C5973" s="27" t="s">
        <v>931</v>
      </c>
      <c r="D5973" s="27" t="s">
        <v>932</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1042</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1561</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928</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row>
    <row r="5978" spans="1:12">
      <c r="A5978" s="20" t="s">
        <v>983</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2271</v>
      </c>
    </row>
    <row r="5980" spans="1:12">
      <c r="A5980" s="20" t="s">
        <v>928</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965</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985</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929</v>
      </c>
      <c r="B5983" s="27" t="s">
        <v>930</v>
      </c>
      <c r="C5983" s="27" t="s">
        <v>931</v>
      </c>
      <c r="D5983" s="27" t="s">
        <v>932</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2272</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936</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t="s">
        <v>929</v>
      </c>
      <c r="B5986" s="27" t="s">
        <v>968</v>
      </c>
      <c r="C5986" s="27" t="s">
        <v>931</v>
      </c>
      <c r="D5986" s="27" t="s">
        <v>932</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2272</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958</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967</v>
      </c>
      <c r="B5989" s="27" t="s">
        <v>1009</v>
      </c>
      <c r="C5989" s="27" t="s">
        <v>931</v>
      </c>
      <c r="D5989" s="27" t="s">
        <v>932</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t="s">
        <v>970</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1114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980</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947</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286</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1329</v>
      </c>
      <c r="B5995" s="27" t="s">
        <v>1031</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1237</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451</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996</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1344</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t="s">
        <v>1703</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1775</v>
      </c>
      <c r="B6001" s="27" t="s">
        <v>982</v>
      </c>
      <c r="C6001" s="27" t="s">
        <v>999</v>
      </c>
      <c r="D6001" s="27" t="s">
        <v>932</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1000</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t="s">
        <v>2273</v>
      </c>
      <c r="E6003" s="21">
        <f>IF(D6003="?OLD","!!!","")</f>
        <v/>
      </c>
      <c r="F6003" s="22" t="str">
        <f>IF(OR(E6003="",E6003="!!!"),"",IF(NOT(ISNA(VLOOKUP(E6003,E$1:E6002,1,FALSE()))),"OLD",IF(AND(E6003&lt;&gt;"",E6003&lt;&gt;"!!!"),"NEW","")))</f>
        <v> </v>
      </c>
      <c r="G6003" s="23" t="str">
        <f>IF(OR(E6003="",E6003="!!!"),"",IF(OR(J6003=0,AND(J6003=1,K6003=1),AND(J6003=1,I6003="SBJ"),AND(J6003=1,I6003=0)),"?IN_FOCUS",IF(J6003&lt;=2,"?ACTIVATED",IF(J6003&lt;&gt;"","?FAMILIAR",IF(F6003="NEW",IF(ISNA(VLOOKUP(E6003,#REF!,1,FALSE())),"?TYPE_IDENTIFIABLE","?REFERENTIAL"),"_")))))</f>
        <v> </v>
      </c>
      <c r="H6003" s="24" t="str">
        <f>IF(J6003&lt;&gt;1,"",IF(I6003="SBJ","CB","?"))</f>
        <v> </v>
      </c>
      <c r="I6003" s="25" t="str">
        <f>IF(OR(E6003="",E6003="!!!",F6003="NEW"),"",INDEX(B6002:B$2,-1+SUMPRODUCT(MAX(ROW(E6002:E$2)*(E6003=E6002:E$2)))))</f>
        <v> </v>
      </c>
      <c r="J6003" s="25" t="str">
        <f>IF(OR(E6003="",E6003="!!!",F6003="NEW"),"",COUNTBLANK(OFFSET(A$1,,,SUMPRODUCT(MAX(ROW(E$2:E6003)*(E6003=E$2:E6003)))))-COUNTBLANK(OFFSET(A$1,,,SUMPRODUCT(MAX(ROW(E$1:E6002)*(E2=E$1:E6002))))))</f>
        <v> </v>
      </c>
      <c r="K6003" s="25" t="str">
        <f>IF(OR(E6003="",E6003="!!!",F6003="NEW"),"",INDEX(J$1:J6002,SUMPRODUCT(MAX(ROW(E$1:E6002)*(E6003=E$1:E6002)))))</f>
        <v> </v>
      </c>
      <c r="L6003" s="26"/>
    </row>
    <row r="6004" spans="1:12">
      <c r="A6004" s="20" t="s">
        <v>384</v>
      </c>
      <c r="B6004" s="27" t="s">
        <v>978</v>
      </c>
      <c r="C6004" s="27" t="s">
        <v>946</v>
      </c>
      <c r="E6004" s="21">
        <f>IF(D6004="?OLD","!!!","")</f>
        <v/>
      </c>
      <c r="F6004" s="22" t="str">
        <f>IF(OR(E6004="",E6004="!!!"),"",IF(NOT(ISNA(VLOOKUP(E6004,E$1:E6003,1,FALSE()))),"OLD",IF(AND(E6004&lt;&gt;"",E6004&lt;&gt;"!!!"),"NEW","")))</f>
        <v> </v>
      </c>
      <c r="G6004" s="23" t="str">
        <f>IF(OR(E6004="",E6004="!!!"),"",IF(OR(J6004=0,AND(J6004=1,K6004=1),AND(J6004=1,I6004="SBJ"),AND(J6004=1,I6004=0)),"?IN_FOCUS",IF(J6004&lt;=2,"?ACTIVATED",IF(J6004&lt;&gt;"","?FAMILIAR",IF(F6004="NEW",IF(ISNA(VLOOKUP(E6004,#REF!,1,FALSE())),"?TYPE_IDENTIFIABLE","?REFERENTIAL"),"_")))))</f>
        <v> </v>
      </c>
      <c r="H6004" s="24" t="str">
        <f>IF(J6004&lt;&gt;1,"",IF(I6004="SBJ","CB","?"))</f>
        <v> </v>
      </c>
      <c r="I6004" s="25" t="str">
        <f>IF(OR(E6004="",E6004="!!!",F6004="NEW"),"",INDEX(B6003:B$2,-1+SUMPRODUCT(MAX(ROW(E6003:E$2)*(E6004=E6003:E$2)))))</f>
        <v> </v>
      </c>
      <c r="J6004" s="25" t="str">
        <f>IF(OR(E6004="",E6004="!!!",F6004="NEW"),"",COUNTBLANK(OFFSET(A$1,,,SUMPRODUCT(MAX(ROW(E$2:E6004)*(E6004=E$2:E6004)))))-COUNTBLANK(OFFSET(A$1,,,SUMPRODUCT(MAX(ROW(E$1:E6003)*(E2=E$1:E6003))))))</f>
        <v> </v>
      </c>
      <c r="K6004" s="25" t="str">
        <f>IF(OR(E6004="",E6004="!!!",F6004="NEW"),"",INDEX(J$1:J6003,SUMPRODUCT(MAX(ROW(E$1:E6003)*(E6004=E$1:E6003)))))</f>
        <v> </v>
      </c>
      <c r="L6004" s="26"/>
    </row>
    <row r="6005" spans="1:12">
      <c r="A6005" s="20" t="s">
        <v>1042</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row>
    <row r="6007" spans="1:12">
      <c r="A6007" s="20" t="s">
        <v>2274</v>
      </c>
    </row>
    <row r="6008" spans="1:12">
      <c r="A6008" s="20" t="s">
        <v>1215</v>
      </c>
      <c r="B6008" s="27" t="s">
        <v>930</v>
      </c>
      <c r="C6008" s="27" t="s">
        <v>931</v>
      </c>
      <c r="D6008" s="27" t="s">
        <v>932</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961</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2275</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980</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947</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36</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1013</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2276</v>
      </c>
      <c r="B6015" s="27" t="s">
        <v>942</v>
      </c>
      <c r="C6015" s="27" t="s">
        <v>973</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1858</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929</v>
      </c>
      <c r="B6017" s="27" t="s">
        <v>1009</v>
      </c>
      <c r="C6017" s="27" t="s">
        <v>931</v>
      </c>
      <c r="D6017" s="27" t="s">
        <v>932</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1113</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1114</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45</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2266</v>
      </c>
      <c r="B6021" s="27" t="s">
        <v>1183</v>
      </c>
      <c r="C6021" s="27" t="s">
        <v>946</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944</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929</v>
      </c>
      <c r="B6023" s="27" t="s">
        <v>1009</v>
      </c>
      <c r="C6023" s="27" t="s">
        <v>931</v>
      </c>
      <c r="D6023" s="27" t="s">
        <v>932</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961</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1114</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2277</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936</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1012</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1070</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2252</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1007</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1938</v>
      </c>
      <c r="B6032" s="27" t="s">
        <v>991</v>
      </c>
      <c r="C6032" s="27" t="s">
        <v>1054</v>
      </c>
      <c r="D6032" s="27" t="s">
        <v>932</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958</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967</v>
      </c>
      <c r="B6034" s="27" t="s">
        <v>955</v>
      </c>
      <c r="C6034" s="27" t="s">
        <v>931</v>
      </c>
      <c r="D6034" s="27" t="s">
        <v>932</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1113</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944</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967</v>
      </c>
      <c r="B6037" s="27" t="s">
        <v>960</v>
      </c>
      <c r="C6037" s="27" t="s">
        <v>931</v>
      </c>
      <c r="D6037" s="27" t="s">
        <v>932</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970</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1042</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row>
    <row r="6041" spans="1:12">
      <c r="A6041" s="20" t="s">
        <v>2278</v>
      </c>
    </row>
    <row r="6042" spans="1:12">
      <c r="A6042" s="20" t="s">
        <v>2279</v>
      </c>
      <c r="B6042" s="27" t="s">
        <v>939</v>
      </c>
      <c r="C6042" s="27" t="s">
        <v>940</v>
      </c>
      <c r="D6042" s="27" t="s">
        <v>932</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1607</v>
      </c>
      <c r="B6043" s="27" t="s">
        <v>930</v>
      </c>
      <c r="C6043" s="27" t="s">
        <v>1087</v>
      </c>
      <c r="D6043" s="27" t="s">
        <v>932</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t="s">
        <v>1201</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1391</v>
      </c>
      <c r="B6045" s="27" t="s">
        <v>942</v>
      </c>
      <c r="C6045" s="27" t="s">
        <v>940</v>
      </c>
      <c r="D6045" s="27" t="s">
        <v>932</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2280</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2281</v>
      </c>
      <c r="B6047" s="27" t="s">
        <v>942</v>
      </c>
      <c r="C6047" s="27" t="s">
        <v>1087</v>
      </c>
      <c r="D6047" s="27" t="s">
        <v>932</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1042</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row>
    <row r="6050" spans="1:12">
      <c r="A6050" s="20" t="s">
        <v>983</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t="s">
        <v>2282</v>
      </c>
    </row>
    <row r="6052" spans="1:12">
      <c r="A6052" s="20" t="s">
        <v>1215</v>
      </c>
      <c r="B6052" s="27" t="s">
        <v>930</v>
      </c>
      <c r="C6052" s="27" t="s">
        <v>931</v>
      </c>
      <c r="D6052" s="27" t="s">
        <v>932</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1989</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1160</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929</v>
      </c>
      <c r="B6055" s="27" t="s">
        <v>968</v>
      </c>
      <c r="C6055" s="27" t="s">
        <v>931</v>
      </c>
      <c r="D6055" s="27" t="s">
        <v>932</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1590</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2283</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947</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1713</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969</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1007</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1117</v>
      </c>
      <c r="B6062" s="27" t="s">
        <v>1183</v>
      </c>
      <c r="C6062" s="27" t="s">
        <v>1054</v>
      </c>
      <c r="D6062" s="27" t="s">
        <v>932</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929</v>
      </c>
      <c r="B6063" s="27" t="s">
        <v>960</v>
      </c>
      <c r="C6063" s="27" t="s">
        <v>931</v>
      </c>
      <c r="D6063" s="27" t="s">
        <v>932</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134</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1042</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928</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row>
    <row r="6068" spans="1:12">
      <c r="A6068" s="20" t="s">
        <v>2284</v>
      </c>
    </row>
    <row r="6069" spans="1:12">
      <c r="A6069" s="20" t="s">
        <v>2285</v>
      </c>
      <c r="E6069" s="21">
        <f>IF(D6069="?OLD","!!!","")</f>
        <v/>
      </c>
      <c r="F6069" s="22" t="str">
        <f>IF(OR(E6069="",E6069="!!!"),"",IF(NOT(ISNA(VLOOKUP(E6069,E$1:E6068,1,FALSE()))),"OLD",IF(AND(E6069&lt;&gt;"",E6069&lt;&gt;"!!!"),"NEW","")))</f>
        <v> </v>
      </c>
      <c r="G6069" s="23" t="str">
        <f>IF(OR(E6069="",E6069="!!!"),"",IF(OR(J6069=0,AND(J6069=1,K6069=1),AND(J6069=1,I6069="SBJ"),AND(J6069=1,I6069=0)),"?IN_FOCUS",IF(J6069&lt;=2,"?ACTIVATED",IF(J6069&lt;&gt;"","?FAMILIAR",IF(F6069="NEW",IF(ISNA(VLOOKUP(E6069,#REF!,1,FALSE())),"?TYPE_IDENTIFIABLE","?REFERENTIAL"),"_")))))</f>
        <v> </v>
      </c>
      <c r="H6069" s="24" t="str">
        <f>IF(J6069&lt;&gt;1,"",IF(I6069="SBJ","CB","?"))</f>
        <v> </v>
      </c>
      <c r="I6069" s="25" t="str">
        <f>IF(OR(E6069="",E6069="!!!",F6069="NEW"),"",INDEX(B6068:B$2,-1+SUMPRODUCT(MAX(ROW(E6068:E$2)*(E6069=E6068:E$2)))))</f>
        <v> </v>
      </c>
      <c r="J6069" s="25" t="str">
        <f>IF(OR(E6069="",E6069="!!!",F6069="NEW"),"",COUNTBLANK(OFFSET(A$1,,,SUMPRODUCT(MAX(ROW(E$2:E6069)*(E6069=E$2:E6069)))))-COUNTBLANK(OFFSET(A$1,,,SUMPRODUCT(MAX(ROW(E$1:E6068)*(E2=E$1:E6068))))))</f>
        <v> </v>
      </c>
      <c r="K6069" s="25" t="str">
        <f>IF(OR(E6069="",E6069="!!!",F6069="NEW"),"",INDEX(J$1:J6068,SUMPRODUCT(MAX(ROW(E$1:E6068)*(E6069=E$1:E6068)))))</f>
        <v> </v>
      </c>
      <c r="L6069" s="26"/>
    </row>
    <row r="6070" spans="1:12">
      <c r="A6070" s="20" t="s">
        <v>272</v>
      </c>
      <c r="B6070" s="27" t="s">
        <v>949</v>
      </c>
      <c r="C6070" s="27" t="s">
        <v>940</v>
      </c>
      <c r="D6070" s="27" t="s">
        <v>932</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1176</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1040</v>
      </c>
      <c r="B6072" s="27" t="s">
        <v>991</v>
      </c>
      <c r="C6072" s="27" t="s">
        <v>1087</v>
      </c>
      <c r="D6072" s="27" t="s">
        <v>932</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1252</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1125</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878</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934</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2286</v>
      </c>
      <c r="B6077" s="27" t="s">
        <v>988</v>
      </c>
      <c r="C6077" s="27" t="s">
        <v>973</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936</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1012</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954</v>
      </c>
      <c r="B6080" s="27" t="s">
        <v>968</v>
      </c>
      <c r="C6080" s="27" t="s">
        <v>931</v>
      </c>
      <c r="D6080" s="27" t="s">
        <v>932</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1778</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451</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1007</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2287</v>
      </c>
      <c r="B6084" s="27" t="s">
        <v>991</v>
      </c>
      <c r="C6084" s="27" t="s">
        <v>1054</v>
      </c>
      <c r="D6084" s="27" t="s">
        <v>932</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1000</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2286</v>
      </c>
      <c r="B6086" s="27" t="s">
        <v>949</v>
      </c>
      <c r="C6086" s="27" t="s">
        <v>946</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944</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1260</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2286</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1464</v>
      </c>
      <c r="B6090" s="27" t="s">
        <v>1183</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1602</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t="s">
        <v>947</v>
      </c>
      <c r="E6092" s="21">
        <f>IF(D6092="?OLD","!!!","")</f>
        <v/>
      </c>
      <c r="F6092" s="22" t="str">
        <f>IF(OR(E6092="",E6092="!!!"),"",IF(NOT(ISNA(VLOOKUP(E6092,E$1:E6091,1,FALSE()))),"OLD",IF(AND(E6092&lt;&gt;"",E6092&lt;&gt;"!!!"),"NEW","")))</f>
        <v> </v>
      </c>
      <c r="G6092" s="23" t="str">
        <f>IF(OR(E6092="",E6092="!!!"),"",IF(OR(J6092=0,AND(J6092=1,K6092=1),AND(J6092=1,I6092="SBJ"),AND(J6092=1,I6092=0)),"?IN_FOCUS",IF(J6092&lt;=2,"?ACTIVATED",IF(J6092&lt;&gt;"","?FAMILIAR",IF(F6092="NEW",IF(ISNA(VLOOKUP(E6092,#REF!,1,FALSE())),"?TYPE_IDENTIFIABLE","?REFERENTIAL"),"_")))))</f>
        <v> </v>
      </c>
      <c r="H6092" s="24" t="str">
        <f>IF(J6092&lt;&gt;1,"",IF(I6092="SBJ","CB","?"))</f>
        <v> </v>
      </c>
      <c r="I6092" s="25" t="str">
        <f>IF(OR(E6092="",E6092="!!!",F6092="NEW"),"",INDEX(B6091:B$2,-1+SUMPRODUCT(MAX(ROW(E6091:E$2)*(E6092=E6091:E$2)))))</f>
        <v> </v>
      </c>
      <c r="J6092" s="25" t="str">
        <f>IF(OR(E6092="",E6092="!!!",F6092="NEW"),"",COUNTBLANK(OFFSET(A$1,,,SUMPRODUCT(MAX(ROW(E$2:E6092)*(E6092=E$2:E6092)))))-COUNTBLANK(OFFSET(A$1,,,SUMPRODUCT(MAX(ROW(E$1:E6091)*(E2=E$1:E6091))))))</f>
        <v> </v>
      </c>
      <c r="K6092" s="25" t="str">
        <f>IF(OR(E6092="",E6092="!!!",F6092="NEW"),"",INDEX(J$1:J6091,SUMPRODUCT(MAX(ROW(E$1:E6091)*(E6092=E$1:E6091)))))</f>
        <v> </v>
      </c>
      <c r="L6092" s="26"/>
    </row>
    <row r="6093" spans="1:12">
      <c r="A6093" s="20" t="s">
        <v>2252</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1042</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row>
    <row r="6096" spans="1:12">
      <c r="A6096" s="20" t="s">
        <v>2288</v>
      </c>
    </row>
    <row r="6097" spans="1:12">
      <c r="A6097" s="20" t="s">
        <v>1123</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1319</v>
      </c>
      <c r="B6098" s="27" t="s">
        <v>930</v>
      </c>
      <c r="C6098" s="27" t="s">
        <v>1054</v>
      </c>
      <c r="D6098" s="27" t="s">
        <v>932</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1056</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1125</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1209</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1136</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1000</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2289</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1477</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2290</v>
      </c>
      <c r="B6106" s="27" t="s">
        <v>991</v>
      </c>
      <c r="C6106" s="27" t="s">
        <v>946</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944</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2291</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1627</v>
      </c>
      <c r="B6109" s="27" t="s">
        <v>1025</v>
      </c>
      <c r="C6109" s="27" t="s">
        <v>940</v>
      </c>
      <c r="D6109" s="27" t="s">
        <v>932</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1040</v>
      </c>
      <c r="B6110" s="27" t="s">
        <v>1183</v>
      </c>
      <c r="C6110" s="27" t="s">
        <v>1087</v>
      </c>
      <c r="D6110" s="27" t="s">
        <v>932</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1599</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1074</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1399</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2292</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1042</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row>
    <row r="6117" spans="1:12">
      <c r="A6117" s="20" t="s">
        <v>983</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2293</v>
      </c>
    </row>
    <row r="6119" spans="1:12">
      <c r="A6119" s="20" t="s">
        <v>1215</v>
      </c>
      <c r="B6119" s="27" t="s">
        <v>930</v>
      </c>
      <c r="C6119" s="27" t="s">
        <v>931</v>
      </c>
      <c r="D6119" s="27" t="s">
        <v>932</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1176</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1000</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2294</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958</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2290</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944</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1212</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936</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966</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954</v>
      </c>
      <c r="B6129" s="27" t="s">
        <v>1009</v>
      </c>
      <c r="C6129" s="27" t="s">
        <v>931</v>
      </c>
      <c r="D6129" s="27" t="s">
        <v>932</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1659</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1002</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936</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928</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2295</v>
      </c>
      <c r="B6134" s="27" t="s">
        <v>968</v>
      </c>
      <c r="C6134" s="27" t="s">
        <v>1061</v>
      </c>
      <c r="D6134" s="27" t="s">
        <v>932</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1418</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t="s">
        <v>36</v>
      </c>
      <c r="E6136" s="21">
        <f>IF(D6136="?OLD","!!!","")</f>
        <v/>
      </c>
      <c r="F6136" s="22" t="str">
        <f>IF(OR(E6136="",E6136="!!!"),"",IF(NOT(ISNA(VLOOKUP(E6136,E$1:E6135,1,FALSE()))),"OLD",IF(AND(E6136&lt;&gt;"",E6136&lt;&gt;"!!!"),"NEW","")))</f>
        <v> </v>
      </c>
      <c r="G6136" s="23" t="str">
        <f>IF(OR(E6136="",E6136="!!!"),"",IF(OR(J6136=0,AND(J6136=1,K6136=1),AND(J6136=1,I6136="SBJ"),AND(J6136=1,I6136=0)),"?IN_FOCUS",IF(J6136&lt;=2,"?ACTIVATED",IF(J6136&lt;&gt;"","?FAMILIAR",IF(F6136="NEW",IF(ISNA(VLOOKUP(E6136,#REF!,1,FALSE())),"?TYPE_IDENTIFIABLE","?REFERENTIAL"),"_")))))</f>
        <v> </v>
      </c>
      <c r="H6136" s="24" t="str">
        <f>IF(J6136&lt;&gt;1,"",IF(I6136="SBJ","CB","?"))</f>
        <v> </v>
      </c>
      <c r="I6136" s="25" t="str">
        <f>IF(OR(E6136="",E6136="!!!",F6136="NEW"),"",INDEX(B6135:B$2,-1+SUMPRODUCT(MAX(ROW(E6135:E$2)*(E6136=E6135:E$2)))))</f>
        <v> </v>
      </c>
      <c r="J6136" s="25" t="str">
        <f>IF(OR(E6136="",E6136="!!!",F6136="NEW"),"",COUNTBLANK(OFFSET(A$1,,,SUMPRODUCT(MAX(ROW(E$2:E6136)*(E6136=E$2:E6136)))))-COUNTBLANK(OFFSET(A$1,,,SUMPRODUCT(MAX(ROW(E$1:E6135)*(E2=E$1:E6135))))))</f>
        <v> </v>
      </c>
      <c r="K6136" s="25" t="str">
        <f>IF(OR(E6136="",E6136="!!!",F6136="NEW"),"",INDEX(J$1:J6135,SUMPRODUCT(MAX(ROW(E$1:E6135)*(E6136=E$1:E6135)))))</f>
        <v> </v>
      </c>
      <c r="L6136" s="26"/>
    </row>
    <row r="6137" spans="1:12">
      <c r="A6137" s="20" t="s">
        <v>2296</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936</v>
      </c>
      <c r="E6138" s="21">
        <f>IF(D6138="?OLD","!!!","")</f>
        <v/>
      </c>
      <c r="F6138" s="22" t="str">
        <f>IF(OR(E6138="",E6138="!!!"),"",IF(NOT(ISNA(VLOOKUP(E6138,E$1:E6137,1,FALSE()))),"OLD",IF(AND(E6138&lt;&gt;"",E6138&lt;&gt;"!!!"),"NEW","")))</f>
        <v> </v>
      </c>
      <c r="G6138" s="23" t="str">
        <f>IF(OR(E6138="",E6138="!!!"),"",IF(OR(J6138=0,AND(J6138=1,K6138=1),AND(J6138=1,I6138="SBJ"),AND(J6138=1,I6138=0)),"?IN_FOCUS",IF(J6138&lt;=2,"?ACTIVATED",IF(J6138&lt;&gt;"","?FAMILIAR",IF(F6138="NEW",IF(ISNA(VLOOKUP(E6138,#REF!,1,FALSE())),"?TYPE_IDENTIFIABLE","?REFERENTIAL"),"_")))))</f>
        <v> </v>
      </c>
      <c r="H6138" s="24" t="str">
        <f>IF(J6138&lt;&gt;1,"",IF(I6138="SBJ","CB","?"))</f>
        <v> </v>
      </c>
      <c r="I6138" s="25" t="str">
        <f>IF(OR(E6138="",E6138="!!!",F6138="NEW"),"",INDEX(B6137:B$2,-1+SUMPRODUCT(MAX(ROW(E6137:E$2)*(E6138=E6137:E$2)))))</f>
        <v> </v>
      </c>
      <c r="J6138" s="25" t="str">
        <f>IF(OR(E6138="",E6138="!!!",F6138="NEW"),"",COUNTBLANK(OFFSET(A$1,,,SUMPRODUCT(MAX(ROW(E$2:E6138)*(E6138=E$2:E6138)))))-COUNTBLANK(OFFSET(A$1,,,SUMPRODUCT(MAX(ROW(E$1:E6137)*(E2=E$1:E6137))))))</f>
        <v> </v>
      </c>
      <c r="K6138" s="25" t="str">
        <f>IF(OR(E6138="",E6138="!!!",F6138="NEW"),"",INDEX(J$1:J6137,SUMPRODUCT(MAX(ROW(E$1:E6137)*(E6138=E$1:E6137)))))</f>
        <v> </v>
      </c>
      <c r="L6138" s="26"/>
    </row>
    <row r="6139" spans="1:12">
      <c r="A6139" s="20" t="s">
        <v>1012</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929</v>
      </c>
      <c r="B6140" s="27" t="s">
        <v>968</v>
      </c>
      <c r="C6140" s="27" t="s">
        <v>931</v>
      </c>
      <c r="D6140" s="27" t="s">
        <v>932</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1418</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2297</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1309</v>
      </c>
      <c r="B6143" s="27" t="s">
        <v>991</v>
      </c>
      <c r="C6143" s="27" t="s">
        <v>1111</v>
      </c>
      <c r="D6143" s="27" t="s">
        <v>932</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1095</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954</v>
      </c>
      <c r="B6145" s="27" t="s">
        <v>949</v>
      </c>
      <c r="C6145" s="27" t="s">
        <v>931</v>
      </c>
      <c r="D6145" s="27" t="s">
        <v>932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1042</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928</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row>
    <row r="6149" spans="1:12">
      <c r="A6149" s="20" t="s">
        <v>2298</v>
      </c>
    </row>
    <row r="6150" spans="1:12">
      <c r="A6150" s="20" t="s">
        <v>929</v>
      </c>
      <c r="B6150" s="27" t="s">
        <v>930</v>
      </c>
      <c r="C6150" s="27" t="s">
        <v>931</v>
      </c>
      <c r="D6150" s="27" t="s">
        <v>932</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45</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2283</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937</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938</v>
      </c>
      <c r="B6154" s="27" t="s">
        <v>939</v>
      </c>
      <c r="C6154" s="27" t="s">
        <v>940</v>
      </c>
      <c r="D6154" s="27" t="s">
        <v>932</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1643</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t="s">
        <v>1040</v>
      </c>
      <c r="B6156" s="27" t="s">
        <v>942</v>
      </c>
      <c r="C6156" s="27" t="s">
        <v>1087</v>
      </c>
      <c r="D6156" s="27" t="s">
        <v>932</v>
      </c>
      <c r="E6156" s="21">
        <f>IF(D6156="?OLD","!!!","")</f>
        <v/>
      </c>
      <c r="F6156" s="22" t="str">
        <f>IF(OR(E6156="",E6156="!!!"),"",IF(NOT(ISNA(VLOOKUP(E6156,E$1:E6155,1,FALSE()))),"OLD",IF(AND(E6156&lt;&gt;"",E6156&lt;&gt;"!!!"),"NEW","")))</f>
        <v> </v>
      </c>
      <c r="G6156" s="23" t="str">
        <f>IF(OR(E6156="",E6156="!!!"),"",IF(OR(J6156=0,AND(J6156=1,K6156=1),AND(J6156=1,I6156="SBJ"),AND(J6156=1,I6156=0)),"?IN_FOCUS",IF(J6156&lt;=2,"?ACTIVATED",IF(J6156&lt;&gt;"","?FAMILIAR",IF(F6156="NEW",IF(ISNA(VLOOKUP(E6156,#REF!,1,FALSE())),"?TYPE_IDENTIFIABLE","?REFERENTIAL"),"_")))))</f>
        <v> </v>
      </c>
      <c r="H6156" s="24" t="str">
        <f>IF(J6156&lt;&gt;1,"",IF(I6156="SBJ","CB","?"))</f>
        <v> </v>
      </c>
      <c r="I6156" s="25" t="str">
        <f>IF(OR(E6156="",E6156="!!!",F6156="NEW"),"",INDEX(B6155:B$2,-1+SUMPRODUCT(MAX(ROW(E6155:E$2)*(E6156=E6155:E$2)))))</f>
        <v> </v>
      </c>
      <c r="J6156" s="25" t="str">
        <f>IF(OR(E6156="",E6156="!!!",F6156="NEW"),"",COUNTBLANK(OFFSET(A$1,,,SUMPRODUCT(MAX(ROW(E$2:E6156)*(E6156=E$2:E6156)))))-COUNTBLANK(OFFSET(A$1,,,SUMPRODUCT(MAX(ROW(E$1:E6155)*(E2=E$1:E6155))))))</f>
        <v> </v>
      </c>
      <c r="K6156" s="25" t="str">
        <f>IF(OR(E6156="",E6156="!!!",F6156="NEW"),"",INDEX(J$1:J6155,SUMPRODUCT(MAX(ROW(E$1:E6155)*(E6156=E$1:E6155)))))</f>
        <v> </v>
      </c>
      <c r="L6156" s="26"/>
    </row>
    <row r="6157" spans="1:12">
      <c r="A6157" s="20" t="s">
        <v>1335</v>
      </c>
      <c r="E6157" s="21">
        <f>IF(D6157="?OLD","!!!","")</f>
        <v/>
      </c>
      <c r="F6157" s="22" t="str">
        <f>IF(OR(E6157="",E6157="!!!"),"",IF(NOT(ISNA(VLOOKUP(E6157,E$1:E6156,1,FALSE()))),"OLD",IF(AND(E6157&lt;&gt;"",E6157&lt;&gt;"!!!"),"NEW","")))</f>
        <v> </v>
      </c>
      <c r="G6157" s="23" t="str">
        <f>IF(OR(E6157="",E6157="!!!"),"",IF(OR(J6157=0,AND(J6157=1,K6157=1),AND(J6157=1,I6157="SBJ"),AND(J6157=1,I6157=0)),"?IN_FOCUS",IF(J6157&lt;=2,"?ACTIVATED",IF(J6157&lt;&gt;"","?FAMILIAR",IF(F6157="NEW",IF(ISNA(VLOOKUP(E6157,#REF!,1,FALSE())),"?TYPE_IDENTIFIABLE","?REFERENTIAL"),"_")))))</f>
        <v> </v>
      </c>
      <c r="H6157" s="24" t="str">
        <f>IF(J6157&lt;&gt;1,"",IF(I6157="SBJ","CB","?"))</f>
        <v> </v>
      </c>
      <c r="I6157" s="25" t="str">
        <f>IF(OR(E6157="",E6157="!!!",F6157="NEW"),"",INDEX(B6156:B$2,-1+SUMPRODUCT(MAX(ROW(E6156:E$2)*(E6157=E6156:E$2)))))</f>
        <v> </v>
      </c>
      <c r="J6157" s="25" t="str">
        <f>IF(OR(E6157="",E6157="!!!",F6157="NEW"),"",COUNTBLANK(OFFSET(A$1,,,SUMPRODUCT(MAX(ROW(E$2:E6157)*(E6157=E$2:E6157)))))-COUNTBLANK(OFFSET(A$1,,,SUMPRODUCT(MAX(ROW(E$1:E6156)*(E2=E$1:E6156))))))</f>
        <v> </v>
      </c>
      <c r="K6157" s="25" t="str">
        <f>IF(OR(E6157="",E6157="!!!",F6157="NEW"),"",INDEX(J$1:J6156,SUMPRODUCT(MAX(ROW(E$1:E6156)*(E6157=E$1:E6156)))))</f>
        <v> </v>
      </c>
      <c r="L6157" s="26"/>
    </row>
    <row r="6158" spans="1:12">
      <c r="A6158" s="20" t="s">
        <v>1197</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1013</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2299</v>
      </c>
      <c r="B6160" s="27" t="s">
        <v>968</v>
      </c>
      <c r="C6160" s="27" t="s">
        <v>973</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1230</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36</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936</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1335</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t="s">
        <v>954</v>
      </c>
      <c r="B6165" s="27" t="s">
        <v>968</v>
      </c>
      <c r="C6165" s="27" t="s">
        <v>931</v>
      </c>
      <c r="D6165" s="27" t="s">
        <v>932</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1230</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36</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1329</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2300</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1237</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t="s">
        <v>2301</v>
      </c>
      <c r="B6171" s="27" t="s">
        <v>939</v>
      </c>
      <c r="C6171" s="27" t="s">
        <v>946</v>
      </c>
      <c r="E6171" s="21">
        <f>IF(D6171="?OLD","!!!","")</f>
        <v/>
      </c>
      <c r="F6171" s="22" t="str">
        <f>IF(OR(E6171="",E6171="!!!"),"",IF(NOT(ISNA(VLOOKUP(E6171,E$1:E6170,1,FALSE()))),"OLD",IF(AND(E6171&lt;&gt;"",E6171&lt;&gt;"!!!"),"NEW","")))</f>
        <v> </v>
      </c>
      <c r="G6171" s="23" t="str">
        <f>IF(OR(E6171="",E6171="!!!"),"",IF(OR(J6171=0,AND(J6171=1,K6171=1),AND(J6171=1,I6171="SBJ"),AND(J6171=1,I6171=0)),"?IN_FOCUS",IF(J6171&lt;=2,"?ACTIVATED",IF(J6171&lt;&gt;"","?FAMILIAR",IF(F6171="NEW",IF(ISNA(VLOOKUP(E6171,#REF!,1,FALSE())),"?TYPE_IDENTIFIABLE","?REFERENTIAL"),"_")))))</f>
        <v> </v>
      </c>
      <c r="H6171" s="24" t="str">
        <f>IF(J6171&lt;&gt;1,"",IF(I6171="SBJ","CB","?"))</f>
        <v> </v>
      </c>
      <c r="I6171" s="25" t="str">
        <f>IF(OR(E6171="",E6171="!!!",F6171="NEW"),"",INDEX(B6170:B$2,-1+SUMPRODUCT(MAX(ROW(E6170:E$2)*(E6171=E6170:E$2)))))</f>
        <v> </v>
      </c>
      <c r="J6171" s="25" t="str">
        <f>IF(OR(E6171="",E6171="!!!",F6171="NEW"),"",COUNTBLANK(OFFSET(A$1,,,SUMPRODUCT(MAX(ROW(E$2:E6171)*(E6171=E$2:E6171)))))-COUNTBLANK(OFFSET(A$1,,,SUMPRODUCT(MAX(ROW(E$1:E6170)*(E2=E$1:E6170))))))</f>
        <v> </v>
      </c>
      <c r="K6171" s="25" t="str">
        <f>IF(OR(E6171="",E6171="!!!",F6171="NEW"),"",INDEX(J$1:J6170,SUMPRODUCT(MAX(ROW(E$1:E6170)*(E6171=E$1:E6170)))))</f>
        <v> </v>
      </c>
      <c r="L6171" s="26"/>
    </row>
    <row r="6172" spans="1:12">
      <c r="A6172" s="20" t="s">
        <v>936</v>
      </c>
      <c r="E6172" s="21">
        <f>IF(D6172="?OLD","!!!","")</f>
        <v/>
      </c>
      <c r="F6172" s="22" t="str">
        <f>IF(OR(E6172="",E6172="!!!"),"",IF(NOT(ISNA(VLOOKUP(E6172,E$1:E6171,1,FALSE()))),"OLD",IF(AND(E6172&lt;&gt;"",E6172&lt;&gt;"!!!"),"NEW","")))</f>
        <v> </v>
      </c>
      <c r="G6172" s="23" t="str">
        <f>IF(OR(E6172="",E6172="!!!"),"",IF(OR(J6172=0,AND(J6172=1,K6172=1),AND(J6172=1,I6172="SBJ"),AND(J6172=1,I6172=0)),"?IN_FOCUS",IF(J6172&lt;=2,"?ACTIVATED",IF(J6172&lt;&gt;"","?FAMILIAR",IF(F6172="NEW",IF(ISNA(VLOOKUP(E6172,#REF!,1,FALSE())),"?TYPE_IDENTIFIABLE","?REFERENTIAL"),"_")))))</f>
        <v> </v>
      </c>
      <c r="H6172" s="24" t="str">
        <f>IF(J6172&lt;&gt;1,"",IF(I6172="SBJ","CB","?"))</f>
        <v> </v>
      </c>
      <c r="I6172" s="25" t="str">
        <f>IF(OR(E6172="",E6172="!!!",F6172="NEW"),"",INDEX(B6171:B$2,-1+SUMPRODUCT(MAX(ROW(E6171:E$2)*(E6172=E6171:E$2)))))</f>
        <v> </v>
      </c>
      <c r="J6172" s="25" t="str">
        <f>IF(OR(E6172="",E6172="!!!",F6172="NEW"),"",COUNTBLANK(OFFSET(A$1,,,SUMPRODUCT(MAX(ROW(E$2:E6172)*(E6172=E$2:E6172)))))-COUNTBLANK(OFFSET(A$1,,,SUMPRODUCT(MAX(ROW(E$1:E6171)*(E2=E$1:E6171))))))</f>
        <v> </v>
      </c>
      <c r="K6172" s="25" t="str">
        <f>IF(OR(E6172="",E6172="!!!",F6172="NEW"),"",INDEX(J$1:J6171,SUMPRODUCT(MAX(ROW(E$1:E6171)*(E6172=E$1:E6171)))))</f>
        <v> </v>
      </c>
      <c r="L6172" s="26"/>
    </row>
    <row r="6173" spans="1:12">
      <c r="A6173" s="20" t="s">
        <v>944</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929</v>
      </c>
      <c r="B6174" s="27" t="s">
        <v>968</v>
      </c>
      <c r="C6174" s="27" t="s">
        <v>931</v>
      </c>
      <c r="D6174" s="27" t="s">
        <v>932</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45</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1107</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958</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958</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1467</v>
      </c>
      <c r="B6179" s="27" t="s">
        <v>1009</v>
      </c>
      <c r="C6179" s="27" t="s">
        <v>999</v>
      </c>
      <c r="D6179" s="27" t="s">
        <v>932</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1599</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2302</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1064</v>
      </c>
      <c r="B6182" s="27" t="s">
        <v>1183</v>
      </c>
      <c r="C6182" s="27" t="s">
        <v>931</v>
      </c>
      <c r="D6182" s="27" t="s">
        <v>932</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947</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1467</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2303</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2299</v>
      </c>
      <c r="B6186" s="27" t="s">
        <v>1031</v>
      </c>
      <c r="C6186" s="27" t="s">
        <v>946</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937</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t="s">
        <v>934</v>
      </c>
      <c r="E6188" s="21">
        <f>IF(D6188="?OLD","!!!","")</f>
        <v/>
      </c>
      <c r="F6188" s="22" t="str">
        <f>IF(OR(E6188="",E6188="!!!"),"",IF(NOT(ISNA(VLOOKUP(E6188,E$1:E6187,1,FALSE()))),"OLD",IF(AND(E6188&lt;&gt;"",E6188&lt;&gt;"!!!"),"NEW","")))</f>
        <v> </v>
      </c>
      <c r="G6188" s="23" t="str">
        <f>IF(OR(E6188="",E6188="!!!"),"",IF(OR(J6188=0,AND(J6188=1,K6188=1),AND(J6188=1,I6188="SBJ"),AND(J6188=1,I6188=0)),"?IN_FOCUS",IF(J6188&lt;=2,"?ACTIVATED",IF(J6188&lt;&gt;"","?FAMILIAR",IF(F6188="NEW",IF(ISNA(VLOOKUP(E6188,#REF!,1,FALSE())),"?TYPE_IDENTIFIABLE","?REFERENTIAL"),"_")))))</f>
        <v> </v>
      </c>
      <c r="H6188" s="24" t="str">
        <f>IF(J6188&lt;&gt;1,"",IF(I6188="SBJ","CB","?"))</f>
        <v> </v>
      </c>
      <c r="I6188" s="25" t="str">
        <f>IF(OR(E6188="",E6188="!!!",F6188="NEW"),"",INDEX(B6187:B$2,-1+SUMPRODUCT(MAX(ROW(E6187:E$2)*(E6188=E6187:E$2)))))</f>
        <v> </v>
      </c>
      <c r="J6188" s="25" t="str">
        <f>IF(OR(E6188="",E6188="!!!",F6188="NEW"),"",COUNTBLANK(OFFSET(A$1,,,SUMPRODUCT(MAX(ROW(E$2:E6188)*(E6188=E$2:E6188)))))-COUNTBLANK(OFFSET(A$1,,,SUMPRODUCT(MAX(ROW(E$1:E6187)*(E2=E$1:E6187))))))</f>
        <v> </v>
      </c>
      <c r="K6188" s="25" t="str">
        <f>IF(OR(E6188="",E6188="!!!",F6188="NEW"),"",INDEX(J$1:J6187,SUMPRODUCT(MAX(ROW(E$1:E6187)*(E6188=E$1:E6187)))))</f>
        <v> </v>
      </c>
      <c r="L6188" s="26"/>
    </row>
    <row r="6189" spans="1:12">
      <c r="A6189" s="20" t="s">
        <v>1329</v>
      </c>
      <c r="E6189" s="21">
        <f>IF(D6189="?OLD","!!!","")</f>
        <v/>
      </c>
      <c r="F6189" s="22" t="str">
        <f>IF(OR(E6189="",E6189="!!!"),"",IF(NOT(ISNA(VLOOKUP(E6189,E$1:E6188,1,FALSE()))),"OLD",IF(AND(E6189&lt;&gt;"",E6189&lt;&gt;"!!!"),"NEW","")))</f>
        <v> </v>
      </c>
      <c r="G6189" s="23" t="str">
        <f>IF(OR(E6189="",E6189="!!!"),"",IF(OR(J6189=0,AND(J6189=1,K6189=1),AND(J6189=1,I6189="SBJ"),AND(J6189=1,I6189=0)),"?IN_FOCUS",IF(J6189&lt;=2,"?ACTIVATED",IF(J6189&lt;&gt;"","?FAMILIAR",IF(F6189="NEW",IF(ISNA(VLOOKUP(E6189,#REF!,1,FALSE())),"?TYPE_IDENTIFIABLE","?REFERENTIAL"),"_")))))</f>
        <v> </v>
      </c>
      <c r="H6189" s="24" t="str">
        <f>IF(J6189&lt;&gt;1,"",IF(I6189="SBJ","CB","?"))</f>
        <v> </v>
      </c>
      <c r="I6189" s="25" t="str">
        <f>IF(OR(E6189="",E6189="!!!",F6189="NEW"),"",INDEX(B6188:B$2,-1+SUMPRODUCT(MAX(ROW(E6188:E$2)*(E6189=E6188:E$2)))))</f>
        <v> </v>
      </c>
      <c r="J6189" s="25" t="str">
        <f>IF(OR(E6189="",E6189="!!!",F6189="NEW"),"",COUNTBLANK(OFFSET(A$1,,,SUMPRODUCT(MAX(ROW(E$2:E6189)*(E6189=E$2:E6189)))))-COUNTBLANK(OFFSET(A$1,,,SUMPRODUCT(MAX(ROW(E$1:E6188)*(E2=E$1:E6188))))))</f>
        <v> </v>
      </c>
      <c r="K6189" s="25" t="str">
        <f>IF(OR(E6189="",E6189="!!!",F6189="NEW"),"",INDEX(J$1:J6188,SUMPRODUCT(MAX(ROW(E$1:E6188)*(E6189=E$1:E6188)))))</f>
        <v> </v>
      </c>
      <c r="L6189" s="26"/>
    </row>
    <row r="6190" spans="1:12">
      <c r="A6190" s="20" t="s">
        <v>2304</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t="s">
        <v>944</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1329</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2305</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1206</v>
      </c>
      <c r="B6194" s="27" t="s">
        <v>1025</v>
      </c>
      <c r="C6194" s="27" t="s">
        <v>973</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1042</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row>
    <row r="6197" spans="1:12">
      <c r="A6197" s="20" t="s">
        <v>2306</v>
      </c>
    </row>
    <row r="6198" spans="1:12">
      <c r="A6198" s="20" t="s">
        <v>1056</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1125</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1126</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936</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t="s">
        <v>1012</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1127</v>
      </c>
      <c r="B6203" s="27" t="s">
        <v>942</v>
      </c>
      <c r="C6203" s="27" t="s">
        <v>946</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t="s">
        <v>936</v>
      </c>
      <c r="E6204" s="21">
        <f>IF(D6204="?OLD","!!!","")</f>
        <v/>
      </c>
      <c r="F6204" s="22" t="str">
        <f>IF(OR(E6204="",E6204="!!!"),"",IF(NOT(ISNA(VLOOKUP(E6204,E$1:E6203,1,FALSE()))),"OLD",IF(AND(E6204&lt;&gt;"",E6204&lt;&gt;"!!!"),"NEW","")))</f>
        <v> </v>
      </c>
      <c r="G6204" s="23" t="str">
        <f>IF(OR(E6204="",E6204="!!!"),"",IF(OR(J6204=0,AND(J6204=1,K6204=1),AND(J6204=1,I6204="SBJ"),AND(J6204=1,I6204=0)),"?IN_FOCUS",IF(J6204&lt;=2,"?ACTIVATED",IF(J6204&lt;&gt;"","?FAMILIAR",IF(F6204="NEW",IF(ISNA(VLOOKUP(E6204,#REF!,1,FALSE())),"?TYPE_IDENTIFIABLE","?REFERENTIAL"),"_")))))</f>
        <v> </v>
      </c>
      <c r="H6204" s="24" t="str">
        <f>IF(J6204&lt;&gt;1,"",IF(I6204="SBJ","CB","?"))</f>
        <v> </v>
      </c>
      <c r="I6204" s="25" t="str">
        <f>IF(OR(E6204="",E6204="!!!",F6204="NEW"),"",INDEX(B6203:B$2,-1+SUMPRODUCT(MAX(ROW(E6203:E$2)*(E6204=E6203:E$2)))))</f>
        <v> </v>
      </c>
      <c r="J6204" s="25" t="str">
        <f>IF(OR(E6204="",E6204="!!!",F6204="NEW"),"",COUNTBLANK(OFFSET(A$1,,,SUMPRODUCT(MAX(ROW(E$2:E6204)*(E6204=E$2:E6204)))))-COUNTBLANK(OFFSET(A$1,,,SUMPRODUCT(MAX(ROW(E$1:E6203)*(E2=E$1:E6203))))))</f>
        <v> </v>
      </c>
      <c r="K6204" s="25" t="str">
        <f>IF(OR(E6204="",E6204="!!!",F6204="NEW"),"",INDEX(J$1:J6203,SUMPRODUCT(MAX(ROW(E$1:E6203)*(E6204=E$1:E6203)))))</f>
        <v> </v>
      </c>
      <c r="L6204" s="26"/>
    </row>
    <row r="6205" spans="1:12">
      <c r="A6205" s="20" t="s">
        <v>944</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2083</v>
      </c>
      <c r="E6206" s="21">
        <f>IF(D6206="?OLD","!!!","")</f>
        <v/>
      </c>
      <c r="F6206" s="22" t="str">
        <f>IF(OR(E6206="",E6206="!!!"),"",IF(NOT(ISNA(VLOOKUP(E6206,E$1:E6205,1,FALSE()))),"OLD",IF(AND(E6206&lt;&gt;"",E6206&lt;&gt;"!!!"),"NEW","")))</f>
        <v> </v>
      </c>
      <c r="G6206" s="23" t="str">
        <f>IF(OR(E6206="",E6206="!!!"),"",IF(OR(J6206=0,AND(J6206=1,K6206=1),AND(J6206=1,I6206="SBJ"),AND(J6206=1,I6206=0)),"?IN_FOCUS",IF(J6206&lt;=2,"?ACTIVATED",IF(J6206&lt;&gt;"","?FAMILIAR",IF(F6206="NEW",IF(ISNA(VLOOKUP(E6206,#REF!,1,FALSE())),"?TYPE_IDENTIFIABLE","?REFERENTIAL"),"_")))))</f>
        <v> </v>
      </c>
      <c r="H6206" s="24" t="str">
        <f>IF(J6206&lt;&gt;1,"",IF(I6206="SBJ","CB","?"))</f>
        <v> </v>
      </c>
      <c r="I6206" s="25" t="str">
        <f>IF(OR(E6206="",E6206="!!!",F6206="NEW"),"",INDEX(B6205:B$2,-1+SUMPRODUCT(MAX(ROW(E6205:E$2)*(E6206=E6205:E$2)))))</f>
        <v> </v>
      </c>
      <c r="J6206" s="25" t="str">
        <f>IF(OR(E6206="",E6206="!!!",F6206="NEW"),"",COUNTBLANK(OFFSET(A$1,,,SUMPRODUCT(MAX(ROW(E$2:E6206)*(E6206=E$2:E6206)))))-COUNTBLANK(OFFSET(A$1,,,SUMPRODUCT(MAX(ROW(E$1:E6205)*(E2=E$1:E6205))))))</f>
        <v> </v>
      </c>
      <c r="K6206" s="25" t="str">
        <f>IF(OR(E6206="",E6206="!!!",F6206="NEW"),"",INDEX(J$1:J6205,SUMPRODUCT(MAX(ROW(E$1:E6205)*(E6206=E$1:E6205)))))</f>
        <v> </v>
      </c>
      <c r="L6206" s="26"/>
    </row>
    <row r="6207" spans="1:12">
      <c r="A6207" s="20" t="s">
        <v>2307</v>
      </c>
      <c r="B6207" s="27" t="s">
        <v>942</v>
      </c>
      <c r="C6207" s="27" t="s">
        <v>999</v>
      </c>
      <c r="D6207" s="27" t="s">
        <v>932</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936</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938</v>
      </c>
      <c r="B6209" s="27" t="s">
        <v>949</v>
      </c>
      <c r="C6209" s="27" t="s">
        <v>940</v>
      </c>
      <c r="D6209" s="27" t="s">
        <v>932</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1349</v>
      </c>
      <c r="B6210" s="27" t="s">
        <v>968</v>
      </c>
      <c r="C6210" s="27" t="s">
        <v>1087</v>
      </c>
      <c r="D6210" s="27" t="s">
        <v>932</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1056</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2308</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936</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1260</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t="s">
        <v>1144</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1007</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2307</v>
      </c>
      <c r="B6217" s="27" t="s">
        <v>939</v>
      </c>
      <c r="C6217" s="27" t="s">
        <v>1054</v>
      </c>
      <c r="D6217" s="27" t="s">
        <v>932</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966</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929</v>
      </c>
      <c r="B6219" s="27" t="s">
        <v>1009</v>
      </c>
      <c r="C6219" s="27" t="s">
        <v>931</v>
      </c>
      <c r="D6219" s="27" t="s">
        <v>932</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1305</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1457</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1042</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row>
    <row r="6224" spans="1:12">
      <c r="A6224" s="20" t="s">
        <v>2309</v>
      </c>
    </row>
    <row r="6225" spans="1:12">
      <c r="A6225" s="20" t="s">
        <v>929</v>
      </c>
      <c r="B6225" s="27" t="s">
        <v>930</v>
      </c>
      <c r="C6225" s="27" t="s">
        <v>931</v>
      </c>
      <c r="D6225" s="27" t="s">
        <v>932</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933</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t="s">
        <v>958</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2310</v>
      </c>
      <c r="B6228" s="27" t="s">
        <v>988</v>
      </c>
      <c r="C6228" s="27" t="s">
        <v>999</v>
      </c>
      <c r="D6228" s="27" t="s">
        <v>932</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937</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t="s">
        <v>938</v>
      </c>
      <c r="B6230" s="27" t="s">
        <v>939</v>
      </c>
      <c r="C6230" s="27" t="s">
        <v>940</v>
      </c>
      <c r="D6230" s="27" t="s">
        <v>932</v>
      </c>
      <c r="E6230" s="21">
        <f>IF(D6230="?OLD","!!!","")</f>
        <v/>
      </c>
      <c r="F6230" s="22" t="str">
        <f>IF(OR(E6230="",E6230="!!!"),"",IF(NOT(ISNA(VLOOKUP(E6230,E$1:E6229,1,FALSE()))),"OLD",IF(AND(E6230&lt;&gt;"",E6230&lt;&gt;"!!!"),"NEW","")))</f>
        <v> </v>
      </c>
      <c r="G6230" s="23" t="str">
        <f>IF(OR(E6230="",E6230="!!!"),"",IF(OR(J6230=0,AND(J6230=1,K6230=1),AND(J6230=1,I6230="SBJ"),AND(J6230=1,I6230=0)),"?IN_FOCUS",IF(J6230&lt;=2,"?ACTIVATED",IF(J6230&lt;&gt;"","?FAMILIAR",IF(F6230="NEW",IF(ISNA(VLOOKUP(E6230,#REF!,1,FALSE())),"?TYPE_IDENTIFIABLE","?REFERENTIAL"),"_")))))</f>
        <v> </v>
      </c>
      <c r="H6230" s="24" t="str">
        <f>IF(J6230&lt;&gt;1,"",IF(I6230="SBJ","CB","?"))</f>
        <v> </v>
      </c>
      <c r="I6230" s="25" t="str">
        <f>IF(OR(E6230="",E6230="!!!",F6230="NEW"),"",INDEX(B6229:B$2,-1+SUMPRODUCT(MAX(ROW(E6229:E$2)*(E6230=E6229:E$2)))))</f>
        <v> </v>
      </c>
      <c r="J6230" s="25" t="str">
        <f>IF(OR(E6230="",E6230="!!!",F6230="NEW"),"",COUNTBLANK(OFFSET(A$1,,,SUMPRODUCT(MAX(ROW(E$2:E6230)*(E6230=E$2:E6230)))))-COUNTBLANK(OFFSET(A$1,,,SUMPRODUCT(MAX(ROW(E$1:E6229)*(E2=E$1:E6229))))))</f>
        <v> </v>
      </c>
      <c r="K6230" s="25" t="str">
        <f>IF(OR(E6230="",E6230="!!!",F6230="NEW"),"",INDEX(J$1:J6229,SUMPRODUCT(MAX(ROW(E$1:E6229)*(E6230=E$1:E6229)))))</f>
        <v> </v>
      </c>
      <c r="L6230" s="26"/>
    </row>
    <row r="6231" spans="1:12">
      <c r="A6231" s="20" t="s">
        <v>1771</v>
      </c>
      <c r="B6231" s="27" t="s">
        <v>942</v>
      </c>
      <c r="C6231" s="27" t="s">
        <v>1087</v>
      </c>
      <c r="D6231" s="27" t="s">
        <v>932</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936</v>
      </c>
      <c r="E6232" s="21">
        <f>IF(D6232="?OLD","!!!","")</f>
        <v/>
      </c>
      <c r="F6232" s="22" t="str">
        <f>IF(OR(E6232="",E6232="!!!"),"",IF(NOT(ISNA(VLOOKUP(E6232,E$1:E6231,1,FALSE()))),"OLD",IF(AND(E6232&lt;&gt;"",E6232&lt;&gt;"!!!"),"NEW","")))</f>
        <v> </v>
      </c>
      <c r="G6232" s="23" t="str">
        <f>IF(OR(E6232="",E6232="!!!"),"",IF(OR(J6232=0,AND(J6232=1,K6232=1),AND(J6232=1,I6232="SBJ"),AND(J6232=1,I6232=0)),"?IN_FOCUS",IF(J6232&lt;=2,"?ACTIVATED",IF(J6232&lt;&gt;"","?FAMILIAR",IF(F6232="NEW",IF(ISNA(VLOOKUP(E6232,#REF!,1,FALSE())),"?TYPE_IDENTIFIABLE","?REFERENTIAL"),"_")))))</f>
        <v> </v>
      </c>
      <c r="H6232" s="24" t="str">
        <f>IF(J6232&lt;&gt;1,"",IF(I6232="SBJ","CB","?"))</f>
        <v> </v>
      </c>
      <c r="I6232" s="25" t="str">
        <f>IF(OR(E6232="",E6232="!!!",F6232="NEW"),"",INDEX(B6231:B$2,-1+SUMPRODUCT(MAX(ROW(E6231:E$2)*(E6232=E6231:E$2)))))</f>
        <v> </v>
      </c>
      <c r="J6232" s="25" t="str">
        <f>IF(OR(E6232="",E6232="!!!",F6232="NEW"),"",COUNTBLANK(OFFSET(A$1,,,SUMPRODUCT(MAX(ROW(E$2:E6232)*(E6232=E$2:E6232)))))-COUNTBLANK(OFFSET(A$1,,,SUMPRODUCT(MAX(ROW(E$1:E6231)*(E2=E$1:E6231))))))</f>
        <v> </v>
      </c>
      <c r="K6232" s="25" t="str">
        <f>IF(OR(E6232="",E6232="!!!",F6232="NEW"),"",INDEX(J$1:J6231,SUMPRODUCT(MAX(ROW(E$1:E6231)*(E6232=E$1:E6231)))))</f>
        <v> </v>
      </c>
      <c r="L6232" s="26"/>
    </row>
    <row r="6233" spans="1:12">
      <c r="A6233" s="20" t="s">
        <v>944</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929</v>
      </c>
      <c r="B6234" s="27" t="s">
        <v>968</v>
      </c>
      <c r="C6234" s="27" t="s">
        <v>931</v>
      </c>
      <c r="D6234" s="27" t="s">
        <v>932</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1559</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1224</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947</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1007</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2311</v>
      </c>
      <c r="B6239" s="27" t="s">
        <v>939</v>
      </c>
      <c r="C6239" s="27" t="s">
        <v>1054</v>
      </c>
      <c r="D6239" s="27" t="s">
        <v>932</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1032</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1007</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t="s">
        <v>2312</v>
      </c>
      <c r="B6242" s="27" t="s">
        <v>949</v>
      </c>
      <c r="C6242" s="27" t="s">
        <v>1054</v>
      </c>
      <c r="D6242" s="27" t="s">
        <v>932</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1000</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1007</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1594</v>
      </c>
      <c r="B6245" s="27" t="s">
        <v>1025</v>
      </c>
      <c r="C6245" s="27" t="s">
        <v>1054</v>
      </c>
      <c r="D6245" s="27" t="s">
        <v>932</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936</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944</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929</v>
      </c>
      <c r="B6248" s="27" t="s">
        <v>968</v>
      </c>
      <c r="C6248" s="27" t="s">
        <v>931</v>
      </c>
      <c r="D6248" s="27" t="s">
        <v>932</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t="s">
        <v>45</v>
      </c>
      <c r="E6249" s="21">
        <f>IF(D6249="?OLD","!!!","")</f>
        <v/>
      </c>
      <c r="F6249" s="22" t="str">
        <f>IF(OR(E6249="",E6249="!!!"),"",IF(NOT(ISNA(VLOOKUP(E6249,E$1:E6248,1,FALSE()))),"OLD",IF(AND(E6249&lt;&gt;"",E6249&lt;&gt;"!!!"),"NEW","")))</f>
        <v> </v>
      </c>
      <c r="G6249" s="23" t="str">
        <f>IF(OR(E6249="",E6249="!!!"),"",IF(OR(J6249=0,AND(J6249=1,K6249=1),AND(J6249=1,I6249="SBJ"),AND(J6249=1,I6249=0)),"?IN_FOCUS",IF(J6249&lt;=2,"?ACTIVATED",IF(J6249&lt;&gt;"","?FAMILIAR",IF(F6249="NEW",IF(ISNA(VLOOKUP(E6249,#REF!,1,FALSE())),"?TYPE_IDENTIFIABLE","?REFERENTIAL"),"_")))))</f>
        <v> </v>
      </c>
      <c r="H6249" s="24" t="str">
        <f>IF(J6249&lt;&gt;1,"",IF(I6249="SBJ","CB","?"))</f>
        <v> </v>
      </c>
      <c r="I6249" s="25" t="str">
        <f>IF(OR(E6249="",E6249="!!!",F6249="NEW"),"",INDEX(B6248:B$2,-1+SUMPRODUCT(MAX(ROW(E6248:E$2)*(E6249=E6248:E$2)))))</f>
        <v> </v>
      </c>
      <c r="J6249" s="25" t="str">
        <f>IF(OR(E6249="",E6249="!!!",F6249="NEW"),"",COUNTBLANK(OFFSET(A$1,,,SUMPRODUCT(MAX(ROW(E$2:E6249)*(E6249=E$2:E6249)))))-COUNTBLANK(OFFSET(A$1,,,SUMPRODUCT(MAX(ROW(E$1:E6248)*(E2=E$1:E6248))))))</f>
        <v> </v>
      </c>
      <c r="K6249" s="25" t="str">
        <f>IF(OR(E6249="",E6249="!!!",F6249="NEW"),"",INDEX(J$1:J6248,SUMPRODUCT(MAX(ROW(E$1:E6248)*(E6249=E$1:E6248)))))</f>
        <v> </v>
      </c>
      <c r="L6249" s="26"/>
    </row>
    <row r="6250" spans="1:12">
      <c r="A6250" s="20" t="s">
        <v>1620</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1309</v>
      </c>
      <c r="B6251" s="27" t="s">
        <v>991</v>
      </c>
      <c r="C6251" s="27" t="s">
        <v>1111</v>
      </c>
      <c r="D6251" s="27" t="s">
        <v>932</v>
      </c>
      <c r="E6251" s="21">
        <f>IF(D6251="?OLD","!!!","")</f>
        <v/>
      </c>
      <c r="F6251" s="22" t="str">
        <f>IF(OR(E6251="",E6251="!!!"),"",IF(NOT(ISNA(VLOOKUP(E6251,E$1:E6250,1,FALSE()))),"OLD",IF(AND(E6251&lt;&gt;"",E6251&lt;&gt;"!!!"),"NEW","")))</f>
        <v> </v>
      </c>
      <c r="G6251" s="23" t="str">
        <f>IF(OR(E6251="",E6251="!!!"),"",IF(OR(J6251=0,AND(J6251=1,K6251=1),AND(J6251=1,I6251="SBJ"),AND(J6251=1,I6251=0)),"?IN_FOCUS",IF(J6251&lt;=2,"?ACTIVATED",IF(J6251&lt;&gt;"","?FAMILIAR",IF(F6251="NEW",IF(ISNA(VLOOKUP(E6251,#REF!,1,FALSE())),"?TYPE_IDENTIFIABLE","?REFERENTIAL"),"_")))))</f>
        <v> </v>
      </c>
      <c r="H6251" s="24" t="str">
        <f>IF(J6251&lt;&gt;1,"",IF(I6251="SBJ","CB","?"))</f>
        <v> </v>
      </c>
      <c r="I6251" s="25" t="str">
        <f>IF(OR(E6251="",E6251="!!!",F6251="NEW"),"",INDEX(B6250:B$2,-1+SUMPRODUCT(MAX(ROW(E6250:E$2)*(E6251=E6250:E$2)))))</f>
        <v> </v>
      </c>
      <c r="J6251" s="25" t="str">
        <f>IF(OR(E6251="",E6251="!!!",F6251="NEW"),"",COUNTBLANK(OFFSET(A$1,,,SUMPRODUCT(MAX(ROW(E$2:E6251)*(E6251=E$2:E6251)))))-COUNTBLANK(OFFSET(A$1,,,SUMPRODUCT(MAX(ROW(E$1:E6250)*(E2=E$1:E6250))))))</f>
        <v> </v>
      </c>
      <c r="K6251" s="25" t="str">
        <f>IF(OR(E6251="",E6251="!!!",F6251="NEW"),"",INDEX(J$1:J6250,SUMPRODUCT(MAX(ROW(E$1:E6250)*(E6251=E$1:E6250)))))</f>
        <v> </v>
      </c>
      <c r="L6251" s="26"/>
    </row>
    <row r="6252" spans="1:12">
      <c r="A6252" s="20" t="s">
        <v>1606</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1000</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1067</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958</v>
      </c>
      <c r="B6255" s="27" t="s">
        <v>1031</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929</v>
      </c>
      <c r="B6256" s="27" t="s">
        <v>955</v>
      </c>
      <c r="C6256" s="27" t="s">
        <v>931</v>
      </c>
      <c r="D6256" s="27" t="s">
        <v>932</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1138</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t="s">
        <v>45</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947</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1153</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934</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2313</v>
      </c>
      <c r="B6262" s="27" t="s">
        <v>982</v>
      </c>
      <c r="C6262" s="27" t="s">
        <v>973</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958</v>
      </c>
      <c r="B6263" s="27" t="s">
        <v>1390</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929</v>
      </c>
      <c r="B6264" s="27" t="s">
        <v>1196</v>
      </c>
      <c r="C6264" s="27" t="s">
        <v>931</v>
      </c>
      <c r="D6264" s="27" t="s">
        <v>932</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1065</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t="s">
        <v>1717</v>
      </c>
      <c r="E6266" s="21">
        <f>IF(D6266="?OLD","!!!","")</f>
        <v/>
      </c>
      <c r="F6266" s="22" t="str">
        <f>IF(OR(E6266="",E6266="!!!"),"",IF(NOT(ISNA(VLOOKUP(E6266,E$1:E6265,1,FALSE()))),"OLD",IF(AND(E6266&lt;&gt;"",E6266&lt;&gt;"!!!"),"NEW","")))</f>
        <v> </v>
      </c>
      <c r="G6266" s="23" t="str">
        <f>IF(OR(E6266="",E6266="!!!"),"",IF(OR(J6266=0,AND(J6266=1,K6266=1),AND(J6266=1,I6266="SBJ"),AND(J6266=1,I6266=0)),"?IN_FOCUS",IF(J6266&lt;=2,"?ACTIVATED",IF(J6266&lt;&gt;"","?FAMILIAR",IF(F6266="NEW",IF(ISNA(VLOOKUP(E6266,#REF!,1,FALSE())),"?TYPE_IDENTIFIABLE","?REFERENTIAL"),"_")))))</f>
        <v> </v>
      </c>
      <c r="H6266" s="24" t="str">
        <f>IF(J6266&lt;&gt;1,"",IF(I6266="SBJ","CB","?"))</f>
        <v> </v>
      </c>
      <c r="I6266" s="25" t="str">
        <f>IF(OR(E6266="",E6266="!!!",F6266="NEW"),"",INDEX(B6265:B$2,-1+SUMPRODUCT(MAX(ROW(E6265:E$2)*(E6266=E6265:E$2)))))</f>
        <v> </v>
      </c>
      <c r="J6266" s="25" t="str">
        <f>IF(OR(E6266="",E6266="!!!",F6266="NEW"),"",COUNTBLANK(OFFSET(A$1,,,SUMPRODUCT(MAX(ROW(E$2:E6266)*(E6266=E$2:E6266)))))-COUNTBLANK(OFFSET(A$1,,,SUMPRODUCT(MAX(ROW(E$1:E6265)*(E2=E$1:E6265))))))</f>
        <v> </v>
      </c>
      <c r="K6266" s="25" t="str">
        <f>IF(OR(E6266="",E6266="!!!",F6266="NEW"),"",INDEX(J$1:J6265,SUMPRODUCT(MAX(ROW(E$1:E6265)*(E6266=E$1:E6265)))))</f>
        <v> </v>
      </c>
      <c r="L6266" s="26"/>
    </row>
    <row r="6267" spans="1:12">
      <c r="A6267" s="20" t="s">
        <v>2314</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2210</v>
      </c>
      <c r="E6268" s="21">
        <f>IF(D6268="?OLD","!!!","")</f>
        <v/>
      </c>
      <c r="F6268" s="22" t="str">
        <f>IF(OR(E6268="",E6268="!!!"),"",IF(NOT(ISNA(VLOOKUP(E6268,E$1:E6267,1,FALSE()))),"OLD",IF(AND(E6268&lt;&gt;"",E6268&lt;&gt;"!!!"),"NEW","")))</f>
        <v> </v>
      </c>
      <c r="G6268" s="23" t="str">
        <f>IF(OR(E6268="",E6268="!!!"),"",IF(OR(J6268=0,AND(J6268=1,K6268=1),AND(J6268=1,I6268="SBJ"),AND(J6268=1,I6268=0)),"?IN_FOCUS",IF(J6268&lt;=2,"?ACTIVATED",IF(J6268&lt;&gt;"","?FAMILIAR",IF(F6268="NEW",IF(ISNA(VLOOKUP(E6268,#REF!,1,FALSE())),"?TYPE_IDENTIFIABLE","?REFERENTIAL"),"_")))))</f>
        <v> </v>
      </c>
      <c r="H6268" s="24" t="str">
        <f>IF(J6268&lt;&gt;1,"",IF(I6268="SBJ","CB","?"))</f>
        <v> </v>
      </c>
      <c r="I6268" s="25" t="str">
        <f>IF(OR(E6268="",E6268="!!!",F6268="NEW"),"",INDEX(B6267:B$2,-1+SUMPRODUCT(MAX(ROW(E6267:E$2)*(E6268=E6267:E$2)))))</f>
        <v> </v>
      </c>
      <c r="J6268" s="25" t="str">
        <f>IF(OR(E6268="",E6268="!!!",F6268="NEW"),"",COUNTBLANK(OFFSET(A$1,,,SUMPRODUCT(MAX(ROW(E$2:E6268)*(E6268=E$2:E6268)))))-COUNTBLANK(OFFSET(A$1,,,SUMPRODUCT(MAX(ROW(E$1:E6267)*(E2=E$1:E6267))))))</f>
        <v> </v>
      </c>
      <c r="K6268" s="25" t="str">
        <f>IF(OR(E6268="",E6268="!!!",F6268="NEW"),"",INDEX(J$1:J6267,SUMPRODUCT(MAX(ROW(E$1:E6267)*(E6268=E$1:E6267)))))</f>
        <v> </v>
      </c>
      <c r="L6268" s="26"/>
    </row>
    <row r="6269" spans="1:12">
      <c r="A6269" s="20" t="s">
        <v>958</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1275</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92</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1096</v>
      </c>
      <c r="B6272" s="27" t="s">
        <v>1494</v>
      </c>
      <c r="C6272" s="27" t="s">
        <v>999</v>
      </c>
      <c r="D6272" s="27" t="s">
        <v>932</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1413</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966</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t="s">
        <v>2315</v>
      </c>
      <c r="B6275" s="27" t="s">
        <v>1251</v>
      </c>
      <c r="C6275" s="27" t="s">
        <v>946</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1799</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947</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2316</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1064</v>
      </c>
      <c r="B6279" s="27" t="s">
        <v>2205</v>
      </c>
      <c r="C6279" s="27" t="s">
        <v>931</v>
      </c>
      <c r="D6279" s="27" t="s">
        <v>932</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934</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2317</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2318</v>
      </c>
      <c r="B6282" s="27" t="s">
        <v>2205</v>
      </c>
      <c r="C6282" s="27" t="s">
        <v>973</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1042</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row>
    <row r="6285" spans="1:12">
      <c r="A6285" s="20" t="s">
        <v>2319</v>
      </c>
    </row>
    <row r="6286" spans="1:12">
      <c r="A6286" s="20" t="s">
        <v>929</v>
      </c>
      <c r="B6286" s="27" t="s">
        <v>930</v>
      </c>
      <c r="C6286" s="27" t="s">
        <v>931</v>
      </c>
      <c r="D6286" s="27" t="s">
        <v>932</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42</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958</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1180</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929</v>
      </c>
      <c r="B6290" s="27" t="s">
        <v>1009</v>
      </c>
      <c r="C6290" s="27" t="s">
        <v>931</v>
      </c>
      <c r="D6290" s="27" t="s">
        <v>932</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t="s">
        <v>2320</v>
      </c>
      <c r="E6291" s="21">
        <f>IF(D6291="?OLD","!!!","")</f>
        <v/>
      </c>
      <c r="F6291" s="22" t="str">
        <f>IF(OR(E6291="",E6291="!!!"),"",IF(NOT(ISNA(VLOOKUP(E6291,E$1:E6290,1,FALSE()))),"OLD",IF(AND(E6291&lt;&gt;"",E6291&lt;&gt;"!!!"),"NEW","")))</f>
        <v> </v>
      </c>
      <c r="G6291" s="23" t="str">
        <f>IF(OR(E6291="",E6291="!!!"),"",IF(OR(J6291=0,AND(J6291=1,K6291=1),AND(J6291=1,I6291="SBJ"),AND(J6291=1,I6291=0)),"?IN_FOCUS",IF(J6291&lt;=2,"?ACTIVATED",IF(J6291&lt;&gt;"","?FAMILIAR",IF(F6291="NEW",IF(ISNA(VLOOKUP(E6291,#REF!,1,FALSE())),"?TYPE_IDENTIFIABLE","?REFERENTIAL"),"_")))))</f>
        <v> </v>
      </c>
      <c r="H6291" s="24" t="str">
        <f>IF(J6291&lt;&gt;1,"",IF(I6291="SBJ","CB","?"))</f>
        <v> </v>
      </c>
      <c r="I6291" s="25" t="str">
        <f>IF(OR(E6291="",E6291="!!!",F6291="NEW"),"",INDEX(B6290:B$2,-1+SUMPRODUCT(MAX(ROW(E6290:E$2)*(E6291=E6290:E$2)))))</f>
        <v> </v>
      </c>
      <c r="J6291" s="25" t="str">
        <f>IF(OR(E6291="",E6291="!!!",F6291="NEW"),"",COUNTBLANK(OFFSET(A$1,,,SUMPRODUCT(MAX(ROW(E$2:E6291)*(E6291=E$2:E6291)))))-COUNTBLANK(OFFSET(A$1,,,SUMPRODUCT(MAX(ROW(E$1:E6290)*(E2=E$1:E6290))))))</f>
        <v> </v>
      </c>
      <c r="K6291" s="25" t="str">
        <f>IF(OR(E6291="",E6291="!!!",F6291="NEW"),"",INDEX(J$1:J6290,SUMPRODUCT(MAX(ROW(E$1:E6290)*(E6291=E$1:E6290)))))</f>
        <v> </v>
      </c>
      <c r="L6291" s="26"/>
    </row>
    <row r="6292" spans="1:12">
      <c r="A6292" s="20" t="s">
        <v>1148</v>
      </c>
      <c r="E6292" s="21">
        <f>IF(D6292="?OLD","!!!","")</f>
        <v/>
      </c>
      <c r="F6292" s="22" t="str">
        <f>IF(OR(E6292="",E6292="!!!"),"",IF(NOT(ISNA(VLOOKUP(E6292,E$1:E6291,1,FALSE()))),"OLD",IF(AND(E6292&lt;&gt;"",E6292&lt;&gt;"!!!"),"NEW","")))</f>
        <v> </v>
      </c>
      <c r="G6292" s="23" t="str">
        <f>IF(OR(E6292="",E6292="!!!"),"",IF(OR(J6292=0,AND(J6292=1,K6292=1),AND(J6292=1,I6292="SBJ"),AND(J6292=1,I6292=0)),"?IN_FOCUS",IF(J6292&lt;=2,"?ACTIVATED",IF(J6292&lt;&gt;"","?FAMILIAR",IF(F6292="NEW",IF(ISNA(VLOOKUP(E6292,#REF!,1,FALSE())),"?TYPE_IDENTIFIABLE","?REFERENTIAL"),"_")))))</f>
        <v> </v>
      </c>
      <c r="H6292" s="24" t="str">
        <f>IF(J6292&lt;&gt;1,"",IF(I6292="SBJ","CB","?"))</f>
        <v> </v>
      </c>
      <c r="I6292" s="25" t="str">
        <f>IF(OR(E6292="",E6292="!!!",F6292="NEW"),"",INDEX(B6291:B$2,-1+SUMPRODUCT(MAX(ROW(E6291:E$2)*(E6292=E6291:E$2)))))</f>
        <v> </v>
      </c>
      <c r="J6292" s="25" t="str">
        <f>IF(OR(E6292="",E6292="!!!",F6292="NEW"),"",COUNTBLANK(OFFSET(A$1,,,SUMPRODUCT(MAX(ROW(E$2:E6292)*(E6292=E$2:E6292)))))-COUNTBLANK(OFFSET(A$1,,,SUMPRODUCT(MAX(ROW(E$1:E6291)*(E2=E$1:E6291))))))</f>
        <v> </v>
      </c>
      <c r="K6292" s="25" t="str">
        <f>IF(OR(E6292="",E6292="!!!",F6292="NEW"),"",INDEX(J$1:J6291,SUMPRODUCT(MAX(ROW(E$1:E6291)*(E6292=E$1:E6291)))))</f>
        <v> </v>
      </c>
      <c r="L6292" s="26"/>
    </row>
    <row r="6293" spans="1:12">
      <c r="A6293" s="20" t="s">
        <v>1223</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944</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1138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2321</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947</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36</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t="s">
        <v>1223</v>
      </c>
      <c r="E6299" s="21">
        <f>IF(D6299="?OLD","!!!","")</f>
        <v/>
      </c>
      <c r="F6299" s="22" t="str">
        <f>IF(OR(E6299="",E6299="!!!"),"",IF(NOT(ISNA(VLOOKUP(E6299,E$1:E6298,1,FALSE()))),"OLD",IF(AND(E6299&lt;&gt;"",E6299&lt;&gt;"!!!"),"NEW","")))</f>
        <v> </v>
      </c>
      <c r="G6299" s="23" t="str">
        <f>IF(OR(E6299="",E6299="!!!"),"",IF(OR(J6299=0,AND(J6299=1,K6299=1),AND(J6299=1,I6299="SBJ"),AND(J6299=1,I6299=0)),"?IN_FOCUS",IF(J6299&lt;=2,"?ACTIVATED",IF(J6299&lt;&gt;"","?FAMILIAR",IF(F6299="NEW",IF(ISNA(VLOOKUP(E6299,#REF!,1,FALSE())),"?TYPE_IDENTIFIABLE","?REFERENTIAL"),"_")))))</f>
        <v> </v>
      </c>
      <c r="H6299" s="24" t="str">
        <f>IF(J6299&lt;&gt;1,"",IF(I6299="SBJ","CB","?"))</f>
        <v> </v>
      </c>
      <c r="I6299" s="25" t="str">
        <f>IF(OR(E6299="",E6299="!!!",F6299="NEW"),"",INDEX(B6298:B$2,-1+SUMPRODUCT(MAX(ROW(E6298:E$2)*(E6299=E6298:E$2)))))</f>
        <v> </v>
      </c>
      <c r="J6299" s="25" t="str">
        <f>IF(OR(E6299="",E6299="!!!",F6299="NEW"),"",COUNTBLANK(OFFSET(A$1,,,SUMPRODUCT(MAX(ROW(E$2:E6299)*(E6299=E$2:E6299)))))-COUNTBLANK(OFFSET(A$1,,,SUMPRODUCT(MAX(ROW(E$1:E6298)*(E2=E$1:E6298))))))</f>
        <v> </v>
      </c>
      <c r="K6299" s="25" t="str">
        <f>IF(OR(E6299="",E6299="!!!",F6299="NEW"),"",INDEX(J$1:J6298,SUMPRODUCT(MAX(ROW(E$1:E6298)*(E6299=E$1:E6298)))))</f>
        <v> </v>
      </c>
      <c r="L6299" s="26"/>
    </row>
    <row r="6300" spans="1:12">
      <c r="A6300" s="20" t="s">
        <v>1002</v>
      </c>
      <c r="E6300" s="21">
        <f>IF(D6300="?OLD","!!!","")</f>
        <v/>
      </c>
      <c r="F6300" s="22" t="str">
        <f>IF(OR(E6300="",E6300="!!!"),"",IF(NOT(ISNA(VLOOKUP(E6300,E$1:E6299,1,FALSE()))),"OLD",IF(AND(E6300&lt;&gt;"",E6300&lt;&gt;"!!!"),"NEW","")))</f>
        <v> </v>
      </c>
      <c r="G6300" s="23" t="str">
        <f>IF(OR(E6300="",E6300="!!!"),"",IF(OR(J6300=0,AND(J6300=1,K6300=1),AND(J6300=1,I6300="SBJ"),AND(J6300=1,I6300=0)),"?IN_FOCUS",IF(J6300&lt;=2,"?ACTIVATED",IF(J6300&lt;&gt;"","?FAMILIAR",IF(F6300="NEW",IF(ISNA(VLOOKUP(E6300,#REF!,1,FALSE())),"?TYPE_IDENTIFIABLE","?REFERENTIAL"),"_")))))</f>
        <v> </v>
      </c>
      <c r="H6300" s="24" t="str">
        <f>IF(J6300&lt;&gt;1,"",IF(I6300="SBJ","CB","?"))</f>
        <v> </v>
      </c>
      <c r="I6300" s="25" t="str">
        <f>IF(OR(E6300="",E6300="!!!",F6300="NEW"),"",INDEX(B6299:B$2,-1+SUMPRODUCT(MAX(ROW(E6299:E$2)*(E6300=E6299:E$2)))))</f>
        <v> </v>
      </c>
      <c r="J6300" s="25" t="str">
        <f>IF(OR(E6300="",E6300="!!!",F6300="NEW"),"",COUNTBLANK(OFFSET(A$1,,,SUMPRODUCT(MAX(ROW(E$2:E6300)*(E6300=E$2:E6300)))))-COUNTBLANK(OFFSET(A$1,,,SUMPRODUCT(MAX(ROW(E$1:E6299)*(E2=E$1:E6299))))))</f>
        <v> </v>
      </c>
      <c r="K6300" s="25" t="str">
        <f>IF(OR(E6300="",E6300="!!!",F6300="NEW"),"",INDEX(J$1:J6299,SUMPRODUCT(MAX(ROW(E$1:E6299)*(E6300=E$1:E6299)))))</f>
        <v> </v>
      </c>
      <c r="L6300" s="26"/>
    </row>
    <row r="6301" spans="1:12">
      <c r="A6301" s="20" t="s">
        <v>936</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929</v>
      </c>
      <c r="B6302" s="27" t="s">
        <v>968</v>
      </c>
      <c r="C6302" s="27" t="s">
        <v>931</v>
      </c>
      <c r="D6302" s="27" t="s">
        <v>932</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1590</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1107</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934</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1206</v>
      </c>
      <c r="B6306" s="27" t="s">
        <v>991</v>
      </c>
      <c r="C6306" s="27" t="s">
        <v>973</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947</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903</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938</v>
      </c>
      <c r="B6309" s="27" t="s">
        <v>1078</v>
      </c>
      <c r="C6309" s="27" t="s">
        <v>940</v>
      </c>
      <c r="D6309" s="27" t="s">
        <v>932</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1040</v>
      </c>
      <c r="B6310" s="27" t="s">
        <v>1031</v>
      </c>
      <c r="C6310" s="27" t="s">
        <v>1087</v>
      </c>
      <c r="D6310" s="27" t="s">
        <v>932</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1042</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row>
    <row r="6313" spans="1:12">
      <c r="A6313" s="20" t="s">
        <v>2322</v>
      </c>
    </row>
    <row r="6314" spans="1:12">
      <c r="A6314" s="20" t="s">
        <v>929</v>
      </c>
      <c r="B6314" s="27" t="s">
        <v>930</v>
      </c>
      <c r="C6314" s="27" t="s">
        <v>931</v>
      </c>
      <c r="D6314" s="27" t="s">
        <v>932</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t="s">
        <v>903</v>
      </c>
      <c r="E6315" s="21">
        <f>IF(D6315="?OLD","!!!","")</f>
        <v/>
      </c>
      <c r="F6315" s="22" t="str">
        <f>IF(OR(E6315="",E6315="!!!"),"",IF(NOT(ISNA(VLOOKUP(E6315,E$1:E6314,1,FALSE()))),"OLD",IF(AND(E6315&lt;&gt;"",E6315&lt;&gt;"!!!"),"NEW","")))</f>
        <v> </v>
      </c>
      <c r="G6315" s="23" t="str">
        <f>IF(OR(E6315="",E6315="!!!"),"",IF(OR(J6315=0,AND(J6315=1,K6315=1),AND(J6315=1,I6315="SBJ"),AND(J6315=1,I6315=0)),"?IN_FOCUS",IF(J6315&lt;=2,"?ACTIVATED",IF(J6315&lt;&gt;"","?FAMILIAR",IF(F6315="NEW",IF(ISNA(VLOOKUP(E6315,#REF!,1,FALSE())),"?TYPE_IDENTIFIABLE","?REFERENTIAL"),"_")))))</f>
        <v> </v>
      </c>
      <c r="H6315" s="24" t="str">
        <f>IF(J6315&lt;&gt;1,"",IF(I6315="SBJ","CB","?"))</f>
        <v> </v>
      </c>
      <c r="I6315" s="25" t="str">
        <f>IF(OR(E6315="",E6315="!!!",F6315="NEW"),"",INDEX(B6314:B$2,-1+SUMPRODUCT(MAX(ROW(E6314:E$2)*(E6315=E6314:E$2)))))</f>
        <v> </v>
      </c>
      <c r="J6315" s="25" t="str">
        <f>IF(OR(E6315="",E6315="!!!",F6315="NEW"),"",COUNTBLANK(OFFSET(A$1,,,SUMPRODUCT(MAX(ROW(E$2:E6315)*(E6315=E$2:E6315)))))-COUNTBLANK(OFFSET(A$1,,,SUMPRODUCT(MAX(ROW(E$1:E6314)*(E2=E$1:E6314))))))</f>
        <v> </v>
      </c>
      <c r="K6315" s="25" t="str">
        <f>IF(OR(E6315="",E6315="!!!",F6315="NEW"),"",INDEX(J$1:J6314,SUMPRODUCT(MAX(ROW(E$1:E6314)*(E6315=E$1:E6314)))))</f>
        <v> </v>
      </c>
      <c r="L6315" s="26"/>
    </row>
    <row r="6316" spans="1:12">
      <c r="A6316" s="20" t="s">
        <v>954</v>
      </c>
      <c r="B6316" s="27" t="s">
        <v>988</v>
      </c>
      <c r="C6316" s="27" t="s">
        <v>931</v>
      </c>
      <c r="D6316" s="27" t="s">
        <v>932</v>
      </c>
      <c r="E6316" s="21">
        <f>IF(D6316="?OLD","!!!","")</f>
        <v/>
      </c>
      <c r="F6316" s="22" t="str">
        <f>IF(OR(E6316="",E6316="!!!"),"",IF(NOT(ISNA(VLOOKUP(E6316,E$1:E6315,1,FALSE()))),"OLD",IF(AND(E6316&lt;&gt;"",E6316&lt;&gt;"!!!"),"NEW","")))</f>
        <v> </v>
      </c>
      <c r="G6316" s="23" t="str">
        <f>IF(OR(E6316="",E6316="!!!"),"",IF(OR(J6316=0,AND(J6316=1,K6316=1),AND(J6316=1,I6316="SBJ"),AND(J6316=1,I6316=0)),"?IN_FOCUS",IF(J6316&lt;=2,"?ACTIVATED",IF(J6316&lt;&gt;"","?FAMILIAR",IF(F6316="NEW",IF(ISNA(VLOOKUP(E6316,#REF!,1,FALSE())),"?TYPE_IDENTIFIABLE","?REFERENTIAL"),"_")))))</f>
        <v> </v>
      </c>
      <c r="H6316" s="24" t="str">
        <f>IF(J6316&lt;&gt;1,"",IF(I6316="SBJ","CB","?"))</f>
        <v> </v>
      </c>
      <c r="I6316" s="25" t="str">
        <f>IF(OR(E6316="",E6316="!!!",F6316="NEW"),"",INDEX(B6315:B$2,-1+SUMPRODUCT(MAX(ROW(E6315:E$2)*(E6316=E6315:E$2)))))</f>
        <v> </v>
      </c>
      <c r="J6316" s="25" t="str">
        <f>IF(OR(E6316="",E6316="!!!",F6316="NEW"),"",COUNTBLANK(OFFSET(A$1,,,SUMPRODUCT(MAX(ROW(E$2:E6316)*(E6316=E$2:E6316)))))-COUNTBLANK(OFFSET(A$1,,,SUMPRODUCT(MAX(ROW(E$1:E6315)*(E2=E$1:E6315))))))</f>
        <v> </v>
      </c>
      <c r="K6316" s="25" t="str">
        <f>IF(OR(E6316="",E6316="!!!",F6316="NEW"),"",INDEX(J$1:J6315,SUMPRODUCT(MAX(ROW(E$1:E6315)*(E6316=E$1:E6315)))))</f>
        <v> </v>
      </c>
      <c r="L6316" s="26"/>
    </row>
    <row r="6317" spans="1:12">
      <c r="A6317" s="20" t="s">
        <v>1279</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954</v>
      </c>
      <c r="B6318" s="27" t="s">
        <v>968</v>
      </c>
      <c r="C6318" s="27" t="s">
        <v>931</v>
      </c>
      <c r="D6318" s="27" t="s">
        <v>932</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1599</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2323</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1064</v>
      </c>
      <c r="B6321" s="27" t="s">
        <v>991</v>
      </c>
      <c r="C6321" s="27" t="s">
        <v>931</v>
      </c>
      <c r="D6321" s="27" t="s">
        <v>932</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947</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54</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944</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2324</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947</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2158</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1042</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row>
    <row r="6330" spans="1:12">
      <c r="A6330" s="20" t="s">
        <v>2325</v>
      </c>
    </row>
    <row r="6331" spans="1:12">
      <c r="A6331" s="20" t="s">
        <v>929</v>
      </c>
      <c r="B6331" s="27" t="s">
        <v>930</v>
      </c>
      <c r="C6331" s="27" t="s">
        <v>931</v>
      </c>
      <c r="D6331" s="27" t="s">
        <v>932</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903</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954</v>
      </c>
      <c r="B6333" s="27" t="s">
        <v>988</v>
      </c>
      <c r="C6333" s="27" t="s">
        <v>931</v>
      </c>
      <c r="D6333" s="27" t="s">
        <v>932</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1279</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2326</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1275</v>
      </c>
      <c r="B6336" s="27" t="s">
        <v>939</v>
      </c>
      <c r="C6336" s="27" t="s">
        <v>1035</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929</v>
      </c>
      <c r="B6337" s="27" t="s">
        <v>968</v>
      </c>
      <c r="C6337" s="27" t="s">
        <v>931</v>
      </c>
      <c r="D6337" s="27" t="s">
        <v>932</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1156</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936</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2327</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t="s">
        <v>2328</v>
      </c>
      <c r="E6341" s="21">
        <f>IF(D6341="?OLD","!!!","")</f>
        <v/>
      </c>
      <c r="F6341" s="22" t="str">
        <f>IF(OR(E6341="",E6341="!!!"),"",IF(NOT(ISNA(VLOOKUP(E6341,E$1:E6340,1,FALSE()))),"OLD",IF(AND(E6341&lt;&gt;"",E6341&lt;&gt;"!!!"),"NEW","")))</f>
        <v> </v>
      </c>
      <c r="G6341" s="23" t="str">
        <f>IF(OR(E6341="",E6341="!!!"),"",IF(OR(J6341=0,AND(J6341=1,K6341=1),AND(J6341=1,I6341="SBJ"),AND(J6341=1,I6341=0)),"?IN_FOCUS",IF(J6341&lt;=2,"?ACTIVATED",IF(J6341&lt;&gt;"","?FAMILIAR",IF(F6341="NEW",IF(ISNA(VLOOKUP(E6341,#REF!,1,FALSE())),"?TYPE_IDENTIFIABLE","?REFERENTIAL"),"_")))))</f>
        <v> </v>
      </c>
      <c r="H6341" s="24" t="str">
        <f>IF(J6341&lt;&gt;1,"",IF(I6341="SBJ","CB","?"))</f>
        <v> </v>
      </c>
      <c r="I6341" s="25" t="str">
        <f>IF(OR(E6341="",E6341="!!!",F6341="NEW"),"",INDEX(B6340:B$2,-1+SUMPRODUCT(MAX(ROW(E6340:E$2)*(E6341=E6340:E$2)))))</f>
        <v> </v>
      </c>
      <c r="J6341" s="25" t="str">
        <f>IF(OR(E6341="",E6341="!!!",F6341="NEW"),"",COUNTBLANK(OFFSET(A$1,,,SUMPRODUCT(MAX(ROW(E$2:E6341)*(E6341=E$2:E6341)))))-COUNTBLANK(OFFSET(A$1,,,SUMPRODUCT(MAX(ROW(E$1:E6340)*(E2=E$1:E6340))))))</f>
        <v> </v>
      </c>
      <c r="K6341" s="25" t="str">
        <f>IF(OR(E6341="",E6341="!!!",F6341="NEW"),"",INDEX(J$1:J6340,SUMPRODUCT(MAX(ROW(E$1:E6340)*(E6341=E$1:E6340)))))</f>
        <v> </v>
      </c>
      <c r="L6341" s="26"/>
    </row>
    <row r="6342" spans="1:12">
      <c r="A6342" s="20" t="s">
        <v>936</v>
      </c>
      <c r="E6342" s="21">
        <f>IF(D6342="?OLD","!!!","")</f>
        <v/>
      </c>
      <c r="F6342" s="22" t="str">
        <f>IF(OR(E6342="",E6342="!!!"),"",IF(NOT(ISNA(VLOOKUP(E6342,E$1:E6341,1,FALSE()))),"OLD",IF(AND(E6342&lt;&gt;"",E6342&lt;&gt;"!!!"),"NEW","")))</f>
        <v> </v>
      </c>
      <c r="G6342" s="23" t="str">
        <f>IF(OR(E6342="",E6342="!!!"),"",IF(OR(J6342=0,AND(J6342=1,K6342=1),AND(J6342=1,I6342="SBJ"),AND(J6342=1,I6342=0)),"?IN_FOCUS",IF(J6342&lt;=2,"?ACTIVATED",IF(J6342&lt;&gt;"","?FAMILIAR",IF(F6342="NEW",IF(ISNA(VLOOKUP(E6342,#REF!,1,FALSE())),"?TYPE_IDENTIFIABLE","?REFERENTIAL"),"_")))))</f>
        <v> </v>
      </c>
      <c r="H6342" s="24" t="str">
        <f>IF(J6342&lt;&gt;1,"",IF(I6342="SBJ","CB","?"))</f>
        <v> </v>
      </c>
      <c r="I6342" s="25" t="str">
        <f>IF(OR(E6342="",E6342="!!!",F6342="NEW"),"",INDEX(B6341:B$2,-1+SUMPRODUCT(MAX(ROW(E6341:E$2)*(E6342=E6341:E$2)))))</f>
        <v> </v>
      </c>
      <c r="J6342" s="25" t="str">
        <f>IF(OR(E6342="",E6342="!!!",F6342="NEW"),"",COUNTBLANK(OFFSET(A$1,,,SUMPRODUCT(MAX(ROW(E$2:E6342)*(E6342=E$2:E6342)))))-COUNTBLANK(OFFSET(A$1,,,SUMPRODUCT(MAX(ROW(E$1:E6341)*(E2=E$1:E6341))))))</f>
        <v> </v>
      </c>
      <c r="K6342" s="25" t="str">
        <f>IF(OR(E6342="",E6342="!!!",F6342="NEW"),"",INDEX(J$1:J6341,SUMPRODUCT(MAX(ROW(E$1:E6341)*(E6342=E$1:E6341)))))</f>
        <v> </v>
      </c>
      <c r="L6342" s="26"/>
    </row>
    <row r="6343" spans="1:12">
      <c r="A6343" s="20" t="s">
        <v>944</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2327</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2143</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1007</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1131</v>
      </c>
      <c r="B6347" s="27" t="s">
        <v>939</v>
      </c>
      <c r="C6347" s="27" t="s">
        <v>1054</v>
      </c>
      <c r="D6347" s="27" t="s">
        <v>932</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1176</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1268</v>
      </c>
      <c r="B6349" s="27" t="s">
        <v>942</v>
      </c>
      <c r="C6349" s="27" t="s">
        <v>1087</v>
      </c>
      <c r="D6349" s="27" t="s">
        <v>932</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936</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947</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2329</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947</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1007</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2330</v>
      </c>
      <c r="B6355" s="27" t="s">
        <v>949</v>
      </c>
      <c r="C6355" s="27" t="s">
        <v>1054</v>
      </c>
      <c r="D6355" s="27" t="s">
        <v>932</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1063</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1354</v>
      </c>
      <c r="B6357" s="27" t="s">
        <v>1025</v>
      </c>
      <c r="C6357" s="27" t="s">
        <v>946</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1042</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row>
    <row r="6360" spans="1:12">
      <c r="A6360" s="20" t="s">
        <v>2331</v>
      </c>
    </row>
    <row r="6361" spans="1:12">
      <c r="A6361" s="20" t="s">
        <v>965</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958</v>
      </c>
      <c r="B6362" s="27" t="s">
        <v>930</v>
      </c>
      <c r="C6362" s="27" t="s">
        <v>1061</v>
      </c>
      <c r="D6362" s="27" t="s">
        <v>932</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936</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929</v>
      </c>
      <c r="B6364" s="27" t="s">
        <v>930</v>
      </c>
      <c r="C6364" s="27" t="s">
        <v>931</v>
      </c>
      <c r="D6364" s="27" t="s">
        <v>932</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42</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t="s">
        <v>936</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1056</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934</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2332</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2333</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2334</v>
      </c>
      <c r="B6371" s="27" t="s">
        <v>942</v>
      </c>
      <c r="C6371" s="27" t="s">
        <v>973</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t="s">
        <v>1042</v>
      </c>
      <c r="E6372" s="21">
        <f>IF(D6372="?OLD","!!!","")</f>
        <v/>
      </c>
      <c r="F6372" s="22" t="str">
        <f>IF(OR(E6372="",E6372="!!!"),"",IF(NOT(ISNA(VLOOKUP(E6372,E$1:E6371,1,FALSE()))),"OLD",IF(AND(E6372&lt;&gt;"",E6372&lt;&gt;"!!!"),"NEW","")))</f>
        <v> </v>
      </c>
      <c r="G6372" s="23" t="str">
        <f>IF(OR(E6372="",E6372="!!!"),"",IF(OR(J6372=0,AND(J6372=1,K6372=1),AND(J6372=1,I6372="SBJ"),AND(J6372=1,I6372=0)),"?IN_FOCUS",IF(J6372&lt;=2,"?ACTIVATED",IF(J6372&lt;&gt;"","?FAMILIAR",IF(F6372="NEW",IF(ISNA(VLOOKUP(E6372,#REF!,1,FALSE())),"?TYPE_IDENTIFIABLE","?REFERENTIAL"),"_")))))</f>
        <v> </v>
      </c>
      <c r="H6372" s="24" t="str">
        <f>IF(J6372&lt;&gt;1,"",IF(I6372="SBJ","CB","?"))</f>
        <v> </v>
      </c>
      <c r="I6372" s="25" t="str">
        <f>IF(OR(E6372="",E6372="!!!",F6372="NEW"),"",INDEX(B6371:B$2,-1+SUMPRODUCT(MAX(ROW(E6371:E$2)*(E6372=E6371:E$2)))))</f>
        <v> </v>
      </c>
      <c r="J6372" s="25" t="str">
        <f>IF(OR(E6372="",E6372="!!!",F6372="NEW"),"",COUNTBLANK(OFFSET(A$1,,,SUMPRODUCT(MAX(ROW(E$2:E6372)*(E6372=E$2:E6372)))))-COUNTBLANK(OFFSET(A$1,,,SUMPRODUCT(MAX(ROW(E$1:E6371)*(E2=E$1:E6371))))))</f>
        <v> </v>
      </c>
      <c r="K6372" s="25" t="str">
        <f>IF(OR(E6372="",E6372="!!!",F6372="NEW"),"",INDEX(J$1:J6371,SUMPRODUCT(MAX(ROW(E$1:E6371)*(E6372=E$1:E6371)))))</f>
        <v> </v>
      </c>
      <c r="L6372" s="26"/>
    </row>
    <row r="6373" spans="1:12">
      <c r="A6373" s="20"/>
    </row>
    <row r="6374" spans="1:12">
      <c r="A6374" s="20" t="s">
        <v>2335</v>
      </c>
    </row>
    <row r="6375" spans="1:12">
      <c r="A6375" s="20" t="s">
        <v>2336</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1175</v>
      </c>
      <c r="B6376" s="27" t="s">
        <v>988</v>
      </c>
      <c r="C6376" s="27" t="s">
        <v>931</v>
      </c>
      <c r="D6376" s="27" t="s">
        <v>932</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1042</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2024-12-05T17:59:45Z</dcterms:created>
  <dcterms:modified xsi:type="dcterms:W3CDTF">2024-12-05T17:59:45Z</dcterms:modified>
</cp:coreProperties>
</file>