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<sst xmlns="http://schemas.openxmlformats.org/spreadsheetml/2006/main" count="12324" uniqueCount="2337">
  <si>
    <t>ID</t>
  </si>
  <si>
    <t>PRED_ID</t>
  </si>
  <si>
    <t>MARKER_AUTO</t>
  </si>
  <si>
    <t>PREDICATE</t>
  </si>
  <si>
    <t>TEXT</t>
  </si>
  <si>
    <t>SENTENCE</t>
  </si>
  <si>
    <t>MARKER</t>
  </si>
  <si>
    <t>TARGET</t>
  </si>
  <si>
    <t>RELATION</t>
  </si>
  <si>
    <t>COMMENT</t>
  </si>
  <si>
    <t>1</t>
  </si>
  <si>
    <t>3</t>
  </si>
  <si>
    <t>and?</t>
  </si>
  <si>
    <t>feel</t>
  </si>
  <si>
    <t>&amp;quot; I felt a Funeral , in my Brain , and Mourners to and fro kept treading treading till [ it seemed ] that Sense was breaking through</t>
  </si>
  <si>
    <t>file://conllu/en/teddy-1323.conllu#s1_0</t>
  </si>
  <si>
    <t>_</t>
  </si>
  <si>
    <t>2</t>
  </si>
  <si>
    <t>15</t>
  </si>
  <si>
    <t>when?</t>
  </si>
  <si>
    <t>keep</t>
  </si>
  <si>
    <t>And when they all were seated , a Service , like a Drum kept beating beating till I [ thought ] my Mind was going numb</t>
  </si>
  <si>
    <t>file://conllu/en/teddy-1323.conllu#s2_0</t>
  </si>
  <si>
    <t>4</t>
  </si>
  <si>
    <t>then?</t>
  </si>
  <si>
    <t>hear</t>
  </si>
  <si>
    <t>And then I heard them lift a Box and creak across my Soul with those same Boots of Lead , again , then Space began to toll , As [ all ] the Heavens were a Bell , and Being , [ but ] an Ear , and I , and Silence , some strange Race , wrecked , solitary , here [ And ] then a Plank in Reason , broke , and I fell down and down and hit a World , at every plunge , and Finished knowing then &amp;quot;</t>
  </si>
  <si>
    <t>file://conllu/en/teddy-1323.conllu#s3_0</t>
  </si>
  <si>
    <t>know</t>
  </si>
  <si>
    <t>We know depression through metaphors .</t>
  </si>
  <si>
    <t>file://conllu/en/teddy-1323.conllu#s4_0</t>
  </si>
  <si>
    <t>5</t>
  </si>
  <si>
    <t>be (be able)</t>
  </si>
  <si>
    <t>Emily Dickinson was able to convey it in language , Goya in an image .</t>
  </si>
  <si>
    <t>file://conllu/en/teddy-1323.conllu#s5_0</t>
  </si>
  <si>
    <t>6</t>
  </si>
  <si>
    <t>be</t>
  </si>
  <si>
    <t>Half the purpose of art is to describe such iconic states .</t>
  </si>
  <si>
    <t>file://conllu/en/teddy-1323.conllu#s6_0</t>
  </si>
  <si>
    <t>7</t>
  </si>
  <si>
    <t>8</t>
  </si>
  <si>
    <t>as?</t>
  </si>
  <si>
    <t>think</t>
  </si>
  <si>
    <t>As for me , I had always thought myself tough , one of the people who could survive if I 'd been sent to a concentration camp .</t>
  </si>
  <si>
    <t>file://conllu/en/teddy-1323.conllu#s7_0</t>
  </si>
  <si>
    <t>have</t>
  </si>
  <si>
    <t>In 1991 , I had a series of losses .</t>
  </si>
  <si>
    <t>file://conllu/en/teddy-1323.conllu#s8_0</t>
  </si>
  <si>
    <t>9</t>
  </si>
  <si>
    <t>die</t>
  </si>
  <si>
    <t>My mother died , a relationship I 'd been in ended , I moved back to the United States from some years abroad , and I got through all of those experiences intact .</t>
  </si>
  <si>
    <t>file://conllu/en/teddy-1323.conllu#s9_0</t>
  </si>
  <si>
    <t>10</t>
  </si>
  <si>
    <t>later?</t>
  </si>
  <si>
    <t>find</t>
  </si>
  <si>
    <t>But in 1994 , three years later , I found myself losing interest in almost everything .</t>
  </si>
  <si>
    <t>file://conllu/en/teddy-1323.conllu#s10_0</t>
  </si>
  <si>
    <t>11</t>
  </si>
  <si>
    <t>22</t>
  </si>
  <si>
    <t>know (know want)</t>
  </si>
  <si>
    <t>I did n't want to do any of the things I had previously wanted to do , and I did n't know why .</t>
  </si>
  <si>
    <t>file://conllu/en/teddy-1323.conllu#s11_0</t>
  </si>
  <si>
    <t>12</t>
  </si>
  <si>
    <t>but?</t>
  </si>
  <si>
    <t>be (be happiness)</t>
  </si>
  <si>
    <t>The opposite of depression is not happiness , but vitality .</t>
  </si>
  <si>
    <t>file://conllu/en/teddy-1323.conllu#s12_0</t>
  </si>
  <si>
    <t>13</t>
  </si>
  <si>
    <t>be (be vitality)</t>
  </si>
  <si>
    <t>And it was vitality that seemed to seep away from me in that moment .</t>
  </si>
  <si>
    <t>file://conllu/en/teddy-1323.conllu#s13_0</t>
  </si>
  <si>
    <t>14</t>
  </si>
  <si>
    <t>everything</t>
  </si>
  <si>
    <t>Everything there was to do seemed like too much work .</t>
  </si>
  <si>
    <t>file://conllu/en/teddy-1323.conllu#s14_0</t>
  </si>
  <si>
    <t>instead?</t>
  </si>
  <si>
    <t>come</t>
  </si>
  <si>
    <t>I would come home and I would see the red light flashing on my answering machine , and instead of being thrilled to hear from my friends , I would think , &amp;quot; What a lot of people that is to have to call back . &amp;quot;</t>
  </si>
  <si>
    <t>file://conllu/en/teddy-1323.conllu#s15_0</t>
  </si>
  <si>
    <t>16</t>
  </si>
  <si>
    <t>think (think decide)</t>
  </si>
  <si>
    <t>Or I would decide I should have lunch , and then I would think , but I 'd have to get the food out and put it on a plate and cut it up and chew it and swallow it , and it felt to me like the Stations of the Cross .</t>
  </si>
  <si>
    <t>file://conllu/en/teddy-1323.conllu#s16_0</t>
  </si>
  <si>
    <t>17</t>
  </si>
  <si>
    <t>And one of the things that often gets lost in discussions of depression is that you know it 's ridiculous .</t>
  </si>
  <si>
    <t>file://conllu/en/teddy-1323.conllu#s17_0</t>
  </si>
  <si>
    <t>18</t>
  </si>
  <si>
    <t>You know it 's ridiculous while you 're experiencing it .</t>
  </si>
  <si>
    <t>file://conllu/en/teddy-1323.conllu#s18_0</t>
  </si>
  <si>
    <t>19</t>
  </si>
  <si>
    <t>You know that most people manage to listen to their messages and eat lunch and organize themselves to take a shower and go out the front door and that it 's not a big deal , and yet you are nonetheless in its grip and you are unable to figure out any way around it .</t>
  </si>
  <si>
    <t>file://conllu/en/teddy-1323.conllu#s19_0</t>
  </si>
  <si>
    <t>20</t>
  </si>
  <si>
    <t>begin</t>
  </si>
  <si>
    <t>And so I began to feel myself doing less and thinking less and feeling less .</t>
  </si>
  <si>
    <t>file://conllu/en/teddy-1323.conllu#s20_0</t>
  </si>
  <si>
    <t>21</t>
  </si>
  <si>
    <t>be (be kind)</t>
  </si>
  <si>
    <t>It was a kind of nullity .</t>
  </si>
  <si>
    <t>file://conllu/en/teddy-1323.conllu#s21_0</t>
  </si>
  <si>
    <t>anxiety</t>
  </si>
  <si>
    <t>And then the anxiety set in .</t>
  </si>
  <si>
    <t>file://conllu/en/teddy-1323.conllu#s22_0</t>
  </si>
  <si>
    <t>23</t>
  </si>
  <si>
    <t>if?</t>
  </si>
  <si>
    <t>tell (tell say)</t>
  </si>
  <si>
    <t>If you told me that I 'd have to be depressed for the next month , I would say , &amp;quot; As long I know it 'll be over in November , I can do it . &amp;quot;</t>
  </si>
  <si>
    <t>file://conllu/en/teddy-1323.conllu#s23_0</t>
  </si>
  <si>
    <t>24</t>
  </si>
  <si>
    <t>rather?</t>
  </si>
  <si>
    <t>But if you said to me , &amp;quot; You have to have acute anxiety for the next month , &amp;quot; I would rather slit my wrist than go through it .</t>
  </si>
  <si>
    <t>file://conllu/en/teddy-1323.conllu#s24_0</t>
  </si>
  <si>
    <t>25</t>
  </si>
  <si>
    <t>be (be feeling)</t>
  </si>
  <si>
    <t>It was the feeling all the time like that feeling you have if you 're walking and you slip or trip and the ground is rushing up at you , but instead of lasting half a second , the way that does , it lasted for six months .</t>
  </si>
  <si>
    <t>file://conllu/en/teddy-1323.conllu#s25_0</t>
  </si>
  <si>
    <t>26</t>
  </si>
  <si>
    <t>be (be sensation)</t>
  </si>
  <si>
    <t>It 's a sensation of being afraid all the time but not even knowing what it is that you 're afraid of .</t>
  </si>
  <si>
    <t>file://conllu/en/teddy-1323.conllu#s26_0</t>
  </si>
  <si>
    <t>27</t>
  </si>
  <si>
    <t>be (be point)</t>
  </si>
  <si>
    <t>And it was at that point that I began to think that it was just too painful to be alive , and that the only reason not to kill oneself was so as not to hurt other people .</t>
  </si>
  <si>
    <t>file://conllu/en/teddy-1323.conllu#s27_0</t>
  </si>
  <si>
    <t>28</t>
  </si>
  <si>
    <t>finally?</t>
  </si>
  <si>
    <t>wake</t>
  </si>
  <si>
    <t>And finally one day , I woke up and I thought perhaps I 'd had a stroke , because I lay in bed completely frozen , looking at the telephone , thinking , &amp;quot; Something is wrong and I should call for help , &amp;quot; and I could n't reach out my arm and pick up the phone and dial .</t>
  </si>
  <si>
    <t>file://conllu/en/teddy-1323.conllu#s28_0</t>
  </si>
  <si>
    <t>29</t>
  </si>
  <si>
    <t>hour</t>
  </si>
  <si>
    <t>And finally , after four full hours of my lying and staring at it , the phone rang , and somehow I managed to pick it up , and it was my father , and I said , &amp;quot; I 'm in serious trouble .</t>
  </si>
  <si>
    <t>file://conllu/en/teddy-1323.conllu#s29_0</t>
  </si>
  <si>
    <t>30</t>
  </si>
  <si>
    <t>need</t>
  </si>
  <si>
    <t>We need to do something . &amp;quot;</t>
  </si>
  <si>
    <t>file://conllu/en/teddy-1323.conllu#s30_0</t>
  </si>
  <si>
    <t>31</t>
  </si>
  <si>
    <t>next?</t>
  </si>
  <si>
    <t>start</t>
  </si>
  <si>
    <t>The next day I started with the medications and the therapy .</t>
  </si>
  <si>
    <t>file://conllu/en/teddy-1323.conllu#s31_0</t>
  </si>
  <si>
    <t>32</t>
  </si>
  <si>
    <t>also?</t>
  </si>
  <si>
    <t>And I also started reckoning with this terrible question :</t>
  </si>
  <si>
    <t>file://conllu/en/teddy-1323.conllu#s32_0</t>
  </si>
  <si>
    <t>33</t>
  </si>
  <si>
    <t>be (be who)</t>
  </si>
  <si>
    <t>If I 'm not the tough person who could have made it through a concentration camp , then who am I ?</t>
  </si>
  <si>
    <t>file://conllu/en/teddy-1323.conllu#s33_0</t>
  </si>
  <si>
    <t>34</t>
  </si>
  <si>
    <t>And if I have to take medication , is that medication making me more fully myself , or is it making me someone else ?</t>
  </si>
  <si>
    <t>file://conllu/en/teddy-1323.conllu#s34_0</t>
  </si>
  <si>
    <t>35</t>
  </si>
  <si>
    <t>And how do I feel about it if it 's making me someone else ?</t>
  </si>
  <si>
    <t>file://conllu/en/teddy-1323.conllu#s35_0</t>
  </si>
  <si>
    <t>36</t>
  </si>
  <si>
    <t>I had two advantages as I went into the fight .</t>
  </si>
  <si>
    <t>file://conllu/en/teddy-1323.conllu#s36_0</t>
  </si>
  <si>
    <t>37</t>
  </si>
  <si>
    <t>The first is that I knew that , objectively speaking , I had a nice life , and that if I could only get well , there was something at the other end that was worth living for .</t>
  </si>
  <si>
    <t>file://conllu/en/teddy-1323.conllu#s37_0</t>
  </si>
  <si>
    <t>38</t>
  </si>
  <si>
    <t>And the other was that I had access to good treatment .</t>
  </si>
  <si>
    <t>file://conllu/en/teddy-1323.conllu#s38_0</t>
  </si>
  <si>
    <t>39</t>
  </si>
  <si>
    <t>nonetheless?</t>
  </si>
  <si>
    <t>emerge</t>
  </si>
  <si>
    <t>But I nonetheless emerged and relapsed , and emerged and relapsed , and finally understood I would have to be on medication and in therapy forever .</t>
  </si>
  <si>
    <t>file://conllu/en/teddy-1323.conllu#s39_0</t>
  </si>
  <si>
    <t>40</t>
  </si>
  <si>
    <t>And I thought , &amp;quot; But is it a chemical problem or a psychological problem ?</t>
  </si>
  <si>
    <t>file://conllu/en/teddy-1323.conllu#s40_0</t>
  </si>
  <si>
    <t>41</t>
  </si>
  <si>
    <t>And does it need a chemical cure or a philosophical cure ? &amp;quot;</t>
  </si>
  <si>
    <t>file://conllu/en/teddy-1323.conllu#s41_0</t>
  </si>
  <si>
    <t>42</t>
  </si>
  <si>
    <t>figure</t>
  </si>
  <si>
    <t>And I could n't figure out which it was .</t>
  </si>
  <si>
    <t>file://conllu/en/teddy-1323.conllu#s42_0</t>
  </si>
  <si>
    <t>43</t>
  </si>
  <si>
    <t>understand</t>
  </si>
  <si>
    <t>And then I understood that actually , we are n't advanced enough in either area for it to explain things fully .</t>
  </si>
  <si>
    <t>file://conllu/en/teddy-1323.conllu#s43_0</t>
  </si>
  <si>
    <t>44</t>
  </si>
  <si>
    <t>The chemical cure and the psychological cure both have a role to play , and I also figured out that depression was something that was braided so deep into us that there was no separating it from our character and personality .</t>
  </si>
  <si>
    <t>file://conllu/en/teddy-1323.conllu#s44_0</t>
  </si>
  <si>
    <t>45</t>
  </si>
  <si>
    <t>say (say want)</t>
  </si>
  <si>
    <t>I want to say that the treatments we have for depression are appalling .</t>
  </si>
  <si>
    <t>file://conllu/en/teddy-1323.conllu#s45_0</t>
  </si>
  <si>
    <t>46</t>
  </si>
  <si>
    <t>be (be effective)</t>
  </si>
  <si>
    <t>They 're not very effective .</t>
  </si>
  <si>
    <t>file://conllu/en/teddy-1323.conllu#s46_0</t>
  </si>
  <si>
    <t>47</t>
  </si>
  <si>
    <t>be (be costly)</t>
  </si>
  <si>
    <t>They 're extremely costly .</t>
  </si>
  <si>
    <t>file://conllu/en/teddy-1323.conllu#s47_0</t>
  </si>
  <si>
    <t>48</t>
  </si>
  <si>
    <t>They come with innumerable side effects .</t>
  </si>
  <si>
    <t>file://conllu/en/teddy-1323.conllu#s48_0</t>
  </si>
  <si>
    <t>49</t>
  </si>
  <si>
    <t>be (be disaster)</t>
  </si>
  <si>
    <t>They 're a disaster .</t>
  </si>
  <si>
    <t>file://conllu/en/teddy-1323.conllu#s49_0</t>
  </si>
  <si>
    <t>50</t>
  </si>
  <si>
    <t>be (be grateful)</t>
  </si>
  <si>
    <t>But I am so grateful that I live now and not 50 years ago , when there would have been almost nothing to be done .</t>
  </si>
  <si>
    <t>file://conllu/en/teddy-1323.conllu#s50_0</t>
  </si>
  <si>
    <t>51</t>
  </si>
  <si>
    <t>hence?</t>
  </si>
  <si>
    <t>hope</t>
  </si>
  <si>
    <t>I hope that 50 years hence , people will hear about my treatments and be appalled that anyone endured such primitive science .</t>
  </si>
  <si>
    <t>file://conllu/en/teddy-1323.conllu#s51_0</t>
  </si>
  <si>
    <t>52</t>
  </si>
  <si>
    <t>be (be flaw)</t>
  </si>
  <si>
    <t>Depression is the flaw in love .</t>
  </si>
  <si>
    <t>file://conllu/en/teddy-1323.conllu#s52_0</t>
  </si>
  <si>
    <t>53</t>
  </si>
  <si>
    <t>If you were married to someone and thought , &amp;quot; Well , if my wife dies , I 'll find another one , &amp;quot; it would n't be love as we know it .</t>
  </si>
  <si>
    <t>file://conllu/en/teddy-1323.conllu#s53_0</t>
  </si>
  <si>
    <t>54</t>
  </si>
  <si>
    <t>There 's no such thing as love without the anticipation of loss , and that specter of despair can be the engine of intimacy .</t>
  </si>
  <si>
    <t>file://conllu/en/teddy-1323.conllu#s54_0</t>
  </si>
  <si>
    <t>55</t>
  </si>
  <si>
    <t>There are three things people tend to confuse : depression , grief and sadness .</t>
  </si>
  <si>
    <t>file://conllu/en/teddy-1323.conllu#s55_0</t>
  </si>
  <si>
    <t>56</t>
  </si>
  <si>
    <t>be (be reactive)</t>
  </si>
  <si>
    <t>Grief is explicitly reactive .</t>
  </si>
  <si>
    <t>file://conllu/en/teddy-1323.conllu#s56_0</t>
  </si>
  <si>
    <t>57</t>
  </si>
  <si>
    <t>ultimately?</t>
  </si>
  <si>
    <t>be (be grief)</t>
  </si>
  <si>
    <t>If you have a loss and you feel incredibly unhappy , and then , six months later , you are still deeply sad , but you 're functioning a little better , it 's probably grief , and it will probably ultimately resolve itself in some measure .</t>
  </si>
  <si>
    <t>file://conllu/en/teddy-1323.conllu#s57_0</t>
  </si>
  <si>
    <t>58</t>
  </si>
  <si>
    <t>be (be depression)</t>
  </si>
  <si>
    <t>If you experience a catastrophic loss , and you feel terrible , and six months later you can barely function at all , then it 's probably a depression that was triggered by the catastrophic circumstances .</t>
  </si>
  <si>
    <t>file://conllu/en/teddy-1323.conllu#s58_0</t>
  </si>
  <si>
    <t>59</t>
  </si>
  <si>
    <t>tell</t>
  </si>
  <si>
    <t>The trajectory tells us a great deal .</t>
  </si>
  <si>
    <t>file://conllu/en/teddy-1323.conllu#s59_0</t>
  </si>
  <si>
    <t>60</t>
  </si>
  <si>
    <t>People think of depression as being just sadness .</t>
  </si>
  <si>
    <t>file://conllu/en/teddy-1323.conllu#s60_0</t>
  </si>
  <si>
    <t>61</t>
  </si>
  <si>
    <t>be (be much)</t>
  </si>
  <si>
    <t>It 's much , much too much sadness , much too much grief at far too slight a cause .</t>
  </si>
  <si>
    <t>file://conllu/en/teddy-1323.conllu#s61_0</t>
  </si>
  <si>
    <t>62</t>
  </si>
  <si>
    <t>out (out set find)</t>
  </si>
  <si>
    <t>As I set out to understand depression , and to interview people who had experienced it , I found that there were people who seemed , on the surface , to have what sounded like relatively mild depression who were nonetheless utterly disabled by it .</t>
  </si>
  <si>
    <t>file://conllu/en/teddy-1323.conllu#s62_0</t>
  </si>
  <si>
    <t>63</t>
  </si>
  <si>
    <t>And there were other people who had what sounded as they described it like terribly severe depression who nonetheless had good lives in the interstices between their depressive episodes .</t>
  </si>
  <si>
    <t>file://conllu/en/teddy-1323.conllu#s63_0</t>
  </si>
  <si>
    <t>64</t>
  </si>
  <si>
    <t>out (out set)</t>
  </si>
  <si>
    <t>And I set out to find out what it is that causes some people to be more resilient than other people .</t>
  </si>
  <si>
    <t>file://conllu/en/teddy-1323.conllu#s64_0</t>
  </si>
  <si>
    <t>65</t>
  </si>
  <si>
    <t>be (be what)</t>
  </si>
  <si>
    <t>What are the mechanisms that allow people to survive ?</t>
  </si>
  <si>
    <t>file://conllu/en/teddy-1323.conllu#s65_0</t>
  </si>
  <si>
    <t>66</t>
  </si>
  <si>
    <t>go</t>
  </si>
  <si>
    <t>And I went out and I interviewed person after person who was suffering with depression .</t>
  </si>
  <si>
    <t>file://conllu/en/teddy-1323.conllu#s66_0</t>
  </si>
  <si>
    <t>67</t>
  </si>
  <si>
    <t>one</t>
  </si>
  <si>
    <t>One of the first people I interviewed described depression as a slower way of being dead , and that was a good thing for me to hear early on because it reminded me that that slow way of being dead can lead to actual deadness , that this is a serious business .</t>
  </si>
  <si>
    <t>file://conllu/en/teddy-1323.conllu#s67_0</t>
  </si>
  <si>
    <t>68</t>
  </si>
  <si>
    <t>be (be disability)</t>
  </si>
  <si>
    <t>It 's the leading disability worldwide , and people die of it every day .</t>
  </si>
  <si>
    <t>file://conllu/en/teddy-1323.conllu#s68_0</t>
  </si>
  <si>
    <t>69</t>
  </si>
  <si>
    <t>One of the people I talked to when I was trying to understand this was a beloved friend who I had known for many years , and who had had a psychotic episode in her freshman year of college , and then plummeted into a horrific depression .</t>
  </si>
  <si>
    <t>file://conllu/en/teddy-1323.conllu#s69_0</t>
  </si>
  <si>
    <t>70</t>
  </si>
  <si>
    <t>She had bipolar illness , or manic depression , as it was then known .</t>
  </si>
  <si>
    <t>file://conllu/en/teddy-1323.conllu#s70_0</t>
  </si>
  <si>
    <t>71</t>
  </si>
  <si>
    <t>do</t>
  </si>
  <si>
    <t>And then she did very well for many years on lithium , and then eventually , she was taken off her lithium to see how she would do without it , and she had another psychosis , and then plunged into the worst depression that I had ever seen in which she sat in her parents ' apartment , more or less catatonic , essentially without moving , day after day after day .</t>
  </si>
  <si>
    <t>file://conllu/en/teddy-1323.conllu#s71_0</t>
  </si>
  <si>
    <t>72</t>
  </si>
  <si>
    <t>say</t>
  </si>
  <si>
    <t>And when I interviewed her about that experience some years later she 's a poet and psychotherapist named Maggie Robbins when I interviewed her , she said , &amp;quot; I was singing ' Where Have All The Flowers Gone , ' over and over , to occupy my mind .</t>
  </si>
  <si>
    <t>file://conllu/en/teddy-1323.conllu#s72_0</t>
  </si>
  <si>
    <t>73</t>
  </si>
  <si>
    <t>singe</t>
  </si>
  <si>
    <t>I was singing to blot out the things my mind was saying , which were , ' You are nothing .</t>
  </si>
  <si>
    <t>file://conllu/en/teddy-1323.conllu#s73_0</t>
  </si>
  <si>
    <t>74</t>
  </si>
  <si>
    <t>be (be nobody)</t>
  </si>
  <si>
    <t>You are nobody .</t>
  </si>
  <si>
    <t>file://conllu/en/teddy-1323.conllu#s74_0</t>
  </si>
  <si>
    <t>75</t>
  </si>
  <si>
    <t>deserve</t>
  </si>
  <si>
    <t>You do n't even deserve to live . '</t>
  </si>
  <si>
    <t>file://conllu/en/teddy-1323.conllu#s75_0</t>
  </si>
  <si>
    <t>76</t>
  </si>
  <si>
    <t>And that was when I really started thinking about killing myself . &amp;quot;</t>
  </si>
  <si>
    <t>file://conllu/en/teddy-1323.conllu#s76_0</t>
  </si>
  <si>
    <t>77</t>
  </si>
  <si>
    <t>see (see think)</t>
  </si>
  <si>
    <t>You do n't think in depression that you 've put on a gray veil and are seeing the world through the haze of a bad mood .</t>
  </si>
  <si>
    <t>file://conllu/en/teddy-1323.conllu#s77_0</t>
  </si>
  <si>
    <t>78</t>
  </si>
  <si>
    <t>You think that the veil has been taken away , the veil of happiness , and that now you 're seeing truly .</t>
  </si>
  <si>
    <t>file://conllu/en/teddy-1323.conllu#s78_0</t>
  </si>
  <si>
    <t>79</t>
  </si>
  <si>
    <t>be (be easier)</t>
  </si>
  <si>
    <t>It 's easier to help schizophrenics who perceive that there 's something foreign inside of them that needs to be exorcised , but it 's difficult with depressives , because we believe we are seeing the truth .</t>
  </si>
  <si>
    <t>file://conllu/en/teddy-1323.conllu#s79_0</t>
  </si>
  <si>
    <t>80</t>
  </si>
  <si>
    <t>lie</t>
  </si>
  <si>
    <t>But the truth lies .</t>
  </si>
  <si>
    <t>file://conllu/en/teddy-1323.conllu#s80_0</t>
  </si>
  <si>
    <t>81</t>
  </si>
  <si>
    <t>become</t>
  </si>
  <si>
    <t>I became obsessed with that sentence : &amp;quot; But the truth lies . &amp;quot;</t>
  </si>
  <si>
    <t>file://conllu/en/teddy-1323.conllu#s81_0</t>
  </si>
  <si>
    <t>82</t>
  </si>
  <si>
    <t>discover</t>
  </si>
  <si>
    <t>And I discovered , as I talked to depressive people , that they have many delusional perceptions .</t>
  </si>
  <si>
    <t>file://conllu/en/teddy-1323.conllu#s82_0</t>
  </si>
  <si>
    <t>83</t>
  </si>
  <si>
    <t>People will say , &amp;quot; No one loves me . &amp;quot;</t>
  </si>
  <si>
    <t>file://conllu/en/teddy-1323.conllu#s83_0</t>
  </si>
  <si>
    <t>84</t>
  </si>
  <si>
    <t>And you say , &amp;quot; I love you , your wife loves you , your mother loves you . &amp;quot;</t>
  </si>
  <si>
    <t>file://conllu/en/teddy-1323.conllu#s84_0</t>
  </si>
  <si>
    <t>85</t>
  </si>
  <si>
    <t>for?</t>
  </si>
  <si>
    <t>answer</t>
  </si>
  <si>
    <t>You can answer that one pretty readily , at least for most people .</t>
  </si>
  <si>
    <t>file://conllu/en/teddy-1323.conllu#s85_0</t>
  </si>
  <si>
    <t>86</t>
  </si>
  <si>
    <t>But people who are depressed will also say , &amp;quot; No matter what we do , we 're all just going to die in the end . &amp;quot;</t>
  </si>
  <si>
    <t>file://conllu/en/teddy-1323.conllu#s86_0</t>
  </si>
  <si>
    <t>87</t>
  </si>
  <si>
    <t>or?</t>
  </si>
  <si>
    <t>Or they 'll say , &amp;quot; There can be no true communion between two human beings .</t>
  </si>
  <si>
    <t>file://conllu/en/teddy-1323.conllu#s87_0</t>
  </si>
  <si>
    <t>88</t>
  </si>
  <si>
    <t>trap</t>
  </si>
  <si>
    <t>Each of us is trapped in his own body . &amp;quot;</t>
  </si>
  <si>
    <t>file://conllu/en/teddy-1323.conllu#s88_0</t>
  </si>
  <si>
    <t>89</t>
  </si>
  <si>
    <t>To which you have to say , &amp;quot; That 's true , but I think we should focus right now on what to have for breakfast . &amp;quot;</t>
  </si>
  <si>
    <t>file://conllu/en/teddy-1323.conllu#s89_0</t>
  </si>
  <si>
    <t>90</t>
  </si>
  <si>
    <t>laughter</t>
  </si>
  <si>
    <t>( Laughter )</t>
  </si>
  <si>
    <t>file://conllu/en/teddy-1323.conllu#s90_0</t>
  </si>
  <si>
    <t>91</t>
  </si>
  <si>
    <t>be (be illness)</t>
  </si>
  <si>
    <t>A lot of the time , what they are expressing is not illness , but insight , and one comes to think what 's really extraordinary is that most of us know about those existential questions and they do n't distract us very much .</t>
  </si>
  <si>
    <t>file://conllu/en/teddy-1323.conllu#s91_0</t>
  </si>
  <si>
    <t>92</t>
  </si>
  <si>
    <t>There was a study I particularly liked in which a group of depressed and a group of non-depressed people were asked to play a video game for an hour , and at the end of the hour , they were asked how many little monsters they thought they had killed .</t>
  </si>
  <si>
    <t>file://conllu/en/teddy-1323.conllu#s92_0</t>
  </si>
  <si>
    <t>93</t>
  </si>
  <si>
    <t>be (be accurate)</t>
  </si>
  <si>
    <t>The depressive group was usually accurate to within about 10 percent , and the non-depressed people guessed between 15 and 20 times as many little monsters as they had actually killed .</t>
  </si>
  <si>
    <t>file://conllu/en/teddy-1323.conllu#s93_0</t>
  </si>
  <si>
    <t>94</t>
  </si>
  <si>
    <t>know (know say)</t>
  </si>
  <si>
    <t>A lot of people said , when I chose to write about my depression , that it must be very difficult to be out of that closet , to have people know .</t>
  </si>
  <si>
    <t>file://conllu/en/teddy-1323.conllu#s94_0</t>
  </si>
  <si>
    <t>95</t>
  </si>
  <si>
    <t>talk (talk say)</t>
  </si>
  <si>
    <t>They said , &amp;quot; Do people talk to you differently ? &amp;quot;</t>
  </si>
  <si>
    <t>file://conllu/en/teddy-1323.conllu#s95_0</t>
  </si>
  <si>
    <t>96</t>
  </si>
  <si>
    <t>I said , &amp;quot; Yes , people talk to me differently .</t>
  </si>
  <si>
    <t>file://conllu/en/teddy-1323.conllu#s96_0</t>
  </si>
  <si>
    <t>97</t>
  </si>
  <si>
    <t>Insofar as?</t>
  </si>
  <si>
    <t>talk</t>
  </si>
  <si>
    <t>They talk to me differently insofar as they start telling me about their experience , or their sister 's experience , or their friend 's experience .</t>
  </si>
  <si>
    <t>file://conllu/en/teddy-1323.conllu#s97_0</t>
  </si>
  <si>
    <t>98</t>
  </si>
  <si>
    <t>because?</t>
  </si>
  <si>
    <t>be (be different)</t>
  </si>
  <si>
    <t>Things are different because now I know that depression is the family secret that everyone has .</t>
  </si>
  <si>
    <t>file://conllu/en/teddy-1323.conllu#s98_0</t>
  </si>
  <si>
    <t>99</t>
  </si>
  <si>
    <t>I went a few years ago to a conference , and on Friday of the three day conference , one of the participants took me aside , and she said , &amp;quot; I suffer from depression and I 'm a little embarrassed about it , but I 've been taking this medication , and I just wanted to ask you what you think ? &amp;quot;</t>
  </si>
  <si>
    <t>file://conllu/en/teddy-1323.conllu#s99_0</t>
  </si>
  <si>
    <t>100</t>
  </si>
  <si>
    <t>best</t>
  </si>
  <si>
    <t>And so I did my best to give her such advice as I could .</t>
  </si>
  <si>
    <t>file://conllu/en/teddy-1323.conllu#s100_0</t>
  </si>
  <si>
    <t>101</t>
  </si>
  <si>
    <t>know (know understand say)</t>
  </si>
  <si>
    <t>And then she said , &amp;quot; You know , my husband would never understand this .</t>
  </si>
  <si>
    <t>file://conllu/en/teddy-1323.conllu#s101_0</t>
  </si>
  <si>
    <t>102</t>
  </si>
  <si>
    <t>so?</t>
  </si>
  <si>
    <t>He 's really the kind of guy to whom this would n't make any sense , so , you know , it 's just between us . &amp;quot;</t>
  </si>
  <si>
    <t>file://conllu/en/teddy-1323.conllu#s102_0</t>
  </si>
  <si>
    <t>103</t>
  </si>
  <si>
    <t>And I said ,</t>
  </si>
  <si>
    <t>file://conllu/en/teddy-1323.conllu#s103_0</t>
  </si>
  <si>
    <t>104</t>
  </si>
  <si>
    <t>be (be fine)</t>
  </si>
  <si>
    <t>&amp;quot; Yes , that 's fine . &amp;quot;</t>
  </si>
  <si>
    <t>file://conllu/en/teddy-1323.conllu#s104_0</t>
  </si>
  <si>
    <t>105</t>
  </si>
  <si>
    <t>take</t>
  </si>
  <si>
    <t>On Sunday of the same conference , her husband took me aside , and he said , &amp;quot; My wife would n't think that I was really much of a guy if she knew this , but I 've been dealing with this depression and I 'm taking some medication , and I wondered what you think ? &amp;quot;</t>
  </si>
  <si>
    <t>file://conllu/en/teddy-1323.conllu#s105_0</t>
  </si>
  <si>
    <t>106</t>
  </si>
  <si>
    <t>hide</t>
  </si>
  <si>
    <t>They were hiding the same medication in two different places in the same bedroom .</t>
  </si>
  <si>
    <t>file://conllu/en/teddy-1323.conllu#s106_0</t>
  </si>
  <si>
    <t>107</t>
  </si>
  <si>
    <t>think (think say)</t>
  </si>
  <si>
    <t>And I said that I thought communication within the marriage might be triggering some of their problems .</t>
  </si>
  <si>
    <t>file://conllu/en/teddy-1323.conllu#s107_0</t>
  </si>
  <si>
    <t>108</t>
  </si>
  <si>
    <t>strike</t>
  </si>
  <si>
    <t>But I was also struck by the burdensome nature of such mutual secrecy .</t>
  </si>
  <si>
    <t>file://conllu/en/teddy-1323.conllu#s108_0</t>
  </si>
  <si>
    <t>109</t>
  </si>
  <si>
    <t>be (be exhausting)</t>
  </si>
  <si>
    <t>Depression is so exhausting .</t>
  </si>
  <si>
    <t>file://conllu/en/teddy-1323.conllu#s109_0</t>
  </si>
  <si>
    <t>110</t>
  </si>
  <si>
    <t>It takes up so much of your time and energy , and silence about it , it really does make the depression worse .</t>
  </si>
  <si>
    <t>file://conllu/en/teddy-1323.conllu#s110_0</t>
  </si>
  <si>
    <t>111</t>
  </si>
  <si>
    <t>And then I began thinking about all the ways people make themselves better .</t>
  </si>
  <si>
    <t>file://conllu/en/teddy-1323.conllu#s111_0</t>
  </si>
  <si>
    <t>112</t>
  </si>
  <si>
    <t>I 'd started off as a medical conservative .</t>
  </si>
  <si>
    <t>file://conllu/en/teddy-1323.conllu#s112_0</t>
  </si>
  <si>
    <t>113</t>
  </si>
  <si>
    <t>I thought there were a few kinds of therapy that worked , it was clear what they were there was medication , there were certain psychotherapies , there was possibly electroconvulsive treatment , and that everything else was nonsense .</t>
  </si>
  <si>
    <t>file://conllu/en/teddy-1323.conllu#s113_0</t>
  </si>
  <si>
    <t>114</t>
  </si>
  <si>
    <t>But then I discovered something .</t>
  </si>
  <si>
    <t>file://conllu/en/teddy-1323.conllu#s114_0</t>
  </si>
  <si>
    <t>115</t>
  </si>
  <si>
    <t>still?</t>
  </si>
  <si>
    <t>make</t>
  </si>
  <si>
    <t>If you have brain cancer , and you say that standing on your head for 20 minutes every morning makes you feel better , it may make you feel better , but you still have brain cancer , and you 'll still probably die from it .</t>
  </si>
  <si>
    <t>file://conllu/en/teddy-1323.conllu#s115_0</t>
  </si>
  <si>
    <t>116</t>
  </si>
  <si>
    <t>work</t>
  </si>
  <si>
    <t>But if you say that you have depression , and standing on your head for 20 minutes every day makes you feel better , then it 's worked , because depression is an illness of how you feel , and if you feel better , then you are effectively not depressed anymore .</t>
  </si>
  <si>
    <t>file://conllu/en/teddy-1323.conllu#s116_0</t>
  </si>
  <si>
    <t>117</t>
  </si>
  <si>
    <t>So I became much more tolerant of the vast world of alternative treatments .</t>
  </si>
  <si>
    <t>file://conllu/en/teddy-1323.conllu#s117_0</t>
  </si>
  <si>
    <t>118</t>
  </si>
  <si>
    <t>get</t>
  </si>
  <si>
    <t>And I get letters , I get hundreds of letters from people writing to tell me about what 's worked for them .</t>
  </si>
  <si>
    <t>file://conllu/en/teddy-1323.conllu#s118_0</t>
  </si>
  <si>
    <t>119</t>
  </si>
  <si>
    <t>ask</t>
  </si>
  <si>
    <t>Someone was asking me backstage today about meditation .</t>
  </si>
  <si>
    <t>file://conllu/en/teddy-1323.conllu#s119_0</t>
  </si>
  <si>
    <t>120</t>
  </si>
  <si>
    <t>be (be one)</t>
  </si>
  <si>
    <t>My favorite of the letters that I got was the one that came from a woman who wrote and said that she had tried therapy , medication , she had tried pretty much everything , and she had found a solution and hoped I would tell the world , and that was making little things from yarn .</t>
  </si>
  <si>
    <t>file://conllu/en/teddy-1323.conllu#s120_0</t>
  </si>
  <si>
    <t>121</t>
  </si>
  <si>
    <t>send</t>
  </si>
  <si>
    <t>She sent me some of them .</t>
  </si>
  <si>
    <t>file://conllu/en/teddy-1323.conllu#s121_0</t>
  </si>
  <si>
    <t>122</t>
  </si>
  <si>
    <t>wear</t>
  </si>
  <si>
    <t>And I 'm not wearing them right now .</t>
  </si>
  <si>
    <t>file://conllu/en/teddy-1323.conllu#s122_0</t>
  </si>
  <si>
    <t>123</t>
  </si>
  <si>
    <t>suggest</t>
  </si>
  <si>
    <t>I suggested to her that she also should look up obsessive compulsive disorder in the DSM .</t>
  </si>
  <si>
    <t>file://conllu/en/teddy-1323.conllu#s123_0</t>
  </si>
  <si>
    <t>124</t>
  </si>
  <si>
    <t>gain</t>
  </si>
  <si>
    <t>And yet , when I went to look at alternative treatments , I also gained perspective on other treatments .</t>
  </si>
  <si>
    <t>file://conllu/en/teddy-1323.conllu#s124_0</t>
  </si>
  <si>
    <t>125</t>
  </si>
  <si>
    <t>I went through a tribal exorcism in Senegal that involved a great deal of ram 's blood and that I 'm not going to detail right now , but a few years afterwards I was in Rwanda , working on a different project , and I happened to describe my experience to someone , and he said , &amp;quot; Well , that 's West Africa , and we 're in East Africa , and our rituals are in some ways very different , but we do have some rituals that have something in common with what you 're describing . &amp;quot;</t>
  </si>
  <si>
    <t>file://conllu/en/teddy-1323.conllu#s125_0</t>
  </si>
  <si>
    <t>126</t>
  </si>
  <si>
    <t>And he said , &amp;quot; But we 've had a lot of trouble with Western mental health workers , especially the ones who came right after the genocide . &amp;quot;</t>
  </si>
  <si>
    <t>file://conllu/en/teddy-1323.conllu#s126_0</t>
  </si>
  <si>
    <t>127</t>
  </si>
  <si>
    <t>I said , &amp;quot; What kind of trouble did you have ? &amp;quot;</t>
  </si>
  <si>
    <t>file://conllu/en/teddy-1323.conllu#s127_0</t>
  </si>
  <si>
    <t>128</t>
  </si>
  <si>
    <t>And he said , &amp;quot; Well , they would do this bizarre thing .</t>
  </si>
  <si>
    <t>file://conllu/en/teddy-1323.conllu#s128_0</t>
  </si>
  <si>
    <t>129</t>
  </si>
  <si>
    <t>They did n't take people out in the sunshine where you begin to feel better .</t>
  </si>
  <si>
    <t>file://conllu/en/teddy-1323.conllu#s129_0</t>
  </si>
  <si>
    <t>130</t>
  </si>
  <si>
    <t>include</t>
  </si>
  <si>
    <t>They did n't include drumming or music to get people 's blood going .</t>
  </si>
  <si>
    <t>file://conllu/en/teddy-1323.conllu#s130_0</t>
  </si>
  <si>
    <t>131</t>
  </si>
  <si>
    <t>involve</t>
  </si>
  <si>
    <t>They did n't involve the whole community .</t>
  </si>
  <si>
    <t>file://conllu/en/teddy-1323.conllu#s131_0</t>
  </si>
  <si>
    <t>132</t>
  </si>
  <si>
    <t>externalize</t>
  </si>
  <si>
    <t>They did n't externalize the depression as an invasive spirit .</t>
  </si>
  <si>
    <t>file://conllu/en/teddy-1323.conllu#s132_0</t>
  </si>
  <si>
    <t>133</t>
  </si>
  <si>
    <t>Instead what they did was they took people one at a time into dingy little rooms and had them talk for an hour about bad things that had happened to them . &amp;quot;</t>
  </si>
  <si>
    <t>file://conllu/en/teddy-1323.conllu#s133_0</t>
  </si>
  <si>
    <t>134</t>
  </si>
  <si>
    <t>Applause</t>
  </si>
  <si>
    <t>( Applause )</t>
  </si>
  <si>
    <t>file://conllu/en/teddy-1323.conllu#s134_0</t>
  </si>
  <si>
    <t>135</t>
  </si>
  <si>
    <t>He said , &amp;quot; We had to ask them to leave the country . &amp;quot;</t>
  </si>
  <si>
    <t>file://conllu/en/teddy-1323.conllu#s135_0</t>
  </si>
  <si>
    <t>136</t>
  </si>
  <si>
    <t>let</t>
  </si>
  <si>
    <t>Now at the other end of alternative treatments , let me tell you about Frank Russakoff .</t>
  </si>
  <si>
    <t>file://conllu/en/teddy-1323.conllu#s136_0</t>
  </si>
  <si>
    <t>137</t>
  </si>
  <si>
    <t>Frank Russakoff had the worst depression perhaps that I 've ever seen in a man .</t>
  </si>
  <si>
    <t>file://conllu/en/teddy-1323.conllu#s137_0</t>
  </si>
  <si>
    <t>138</t>
  </si>
  <si>
    <t>be (be depresse)</t>
  </si>
  <si>
    <t>He was constantly depressed .</t>
  </si>
  <si>
    <t>file://conllu/en/teddy-1323.conllu#s138_0</t>
  </si>
  <si>
    <t>139</t>
  </si>
  <si>
    <t>He was , when I met him , at a point at which every month , he would have electroshock treatment .</t>
  </si>
  <si>
    <t>file://conllu/en/teddy-1323.conllu#s139_0</t>
  </si>
  <si>
    <t>140</t>
  </si>
  <si>
    <t>Then he would feel sort of disoriented for a week .</t>
  </si>
  <si>
    <t>file://conllu/en/teddy-1323.conllu#s140_0</t>
  </si>
  <si>
    <t>141</t>
  </si>
  <si>
    <t>Then he would feel okay for a week .</t>
  </si>
  <si>
    <t>file://conllu/en/teddy-1323.conllu#s141_0</t>
  </si>
  <si>
    <t>142</t>
  </si>
  <si>
    <t>Then he would have a week of going downhill .</t>
  </si>
  <si>
    <t>file://conllu/en/teddy-1323.conllu#s142_0</t>
  </si>
  <si>
    <t>143</t>
  </si>
  <si>
    <t>And then he would have another electroshock treatment .</t>
  </si>
  <si>
    <t>file://conllu/en/teddy-1323.conllu#s143_0</t>
  </si>
  <si>
    <t>144</t>
  </si>
  <si>
    <t>And he said to me when I met him , &amp;quot; It 's unbearable to go through my weeks this way .</t>
  </si>
  <si>
    <t>file://conllu/en/teddy-1323.conllu#s144_0</t>
  </si>
  <si>
    <t>145</t>
  </si>
  <si>
    <t>I ca n't go on this way , and I 've figured out how I 'm going to end it if I do n't get better . &amp;quot;</t>
  </si>
  <si>
    <t>file://conllu/en/teddy-1323.conllu#s145_0</t>
  </si>
  <si>
    <t>146</t>
  </si>
  <si>
    <t>&amp;quot; But , &amp;quot; he said to me , &amp;quot; I heard about a protocol at Mass General for a procedure called a cingulotomy , which is a brain surgery , and I think I 'm going to give that a try . &amp;quot;</t>
  </si>
  <si>
    <t>file://conllu/en/teddy-1323.conllu#s146_0</t>
  </si>
  <si>
    <t>147</t>
  </si>
  <si>
    <t>remember</t>
  </si>
  <si>
    <t>And I remember being amazed at that point to think that someone who clearly had so many bad experiences with so many different treatments still had buried in him , somewhere , enough optimism to reach out for one more .</t>
  </si>
  <si>
    <t>file://conllu/en/teddy-1323.conllu#s147_0</t>
  </si>
  <si>
    <t>148</t>
  </si>
  <si>
    <t>And he had the cingulotomy , and it was incredibly successful .</t>
  </si>
  <si>
    <t>file://conllu/en/teddy-1323.conllu#s148_0</t>
  </si>
  <si>
    <t>149</t>
  </si>
  <si>
    <t>be (be friend)</t>
  </si>
  <si>
    <t>He 's now a friend of mine .</t>
  </si>
  <si>
    <t>file://conllu/en/teddy-1323.conllu#s149_0</t>
  </si>
  <si>
    <t>150</t>
  </si>
  <si>
    <t>He has a lovely wife and two beautiful children .</t>
  </si>
  <si>
    <t>file://conllu/en/teddy-1323.conllu#s150_0</t>
  </si>
  <si>
    <t>151</t>
  </si>
  <si>
    <t>know (know write)</t>
  </si>
  <si>
    <t>He wrote me a letter the Christmas after the surgery , &amp;quot; My father sent me two presents this year , First , a motorized CD rack from The Sharper Image that I did n't really need , but I knew he was giving it to me to celebrate the fact that I 'm living on my own and have a job I seem to love .</t>
  </si>
  <si>
    <t>file://conllu/en/teddy-1323.conllu#s151_0</t>
  </si>
  <si>
    <t>152</t>
  </si>
  <si>
    <t>be (be photo)</t>
  </si>
  <si>
    <t>And the other present was a photo of my grandmother , who committed suicide .</t>
  </si>
  <si>
    <t>file://conllu/en/teddy-1323.conllu#s152_0</t>
  </si>
  <si>
    <t>153</t>
  </si>
  <si>
    <t>As I unwrapped it , I began to cry , and my mother came over and said , ' Are you crying because of the relatives you never knew ? '</t>
  </si>
  <si>
    <t>file://conllu/en/teddy-1323.conllu#s153_0</t>
  </si>
  <si>
    <t>154</t>
  </si>
  <si>
    <t>And I said , ' She had the same disease I have . '</t>
  </si>
  <si>
    <t>file://conllu/en/teddy-1323.conllu#s154_0</t>
  </si>
  <si>
    <t>155</t>
  </si>
  <si>
    <t>write (write cry)</t>
  </si>
  <si>
    <t>I 'm crying now as I write to you .</t>
  </si>
  <si>
    <t>file://conllu/en/teddy-1323.conllu#s155_0</t>
  </si>
  <si>
    <t>156</t>
  </si>
  <si>
    <t>be (be sad)</t>
  </si>
  <si>
    <t>It 's not that I 'm so sad , but I get overwhelmed , I think , because I could have killed myself , but my parents kept me going , and so did the doctors , and I had the surgery .</t>
  </si>
  <si>
    <t>file://conllu/en/teddy-1323.conllu#s156_0</t>
  </si>
  <si>
    <t>157</t>
  </si>
  <si>
    <t>be (be alive)</t>
  </si>
  <si>
    <t>I 'm alive and grateful .</t>
  </si>
  <si>
    <t>file://conllu/en/teddy-1323.conllu#s157_0</t>
  </si>
  <si>
    <t>158</t>
  </si>
  <si>
    <t>live</t>
  </si>
  <si>
    <t>We live in the right time , even if it does n't always feel like it . &amp;quot;</t>
  </si>
  <si>
    <t>file://conllu/en/teddy-1323.conllu#s158_0</t>
  </si>
  <si>
    <t>159</t>
  </si>
  <si>
    <t>I was struck by the fact that depression is broadly perceived to be a modern , Western , middle class thing , and I went to look at how it operated in a variety of other contexts , and one of the things I was most interested in was depression among the indigent .</t>
  </si>
  <si>
    <t>file://conllu/en/teddy-1323.conllu#s159_0</t>
  </si>
  <si>
    <t>160</t>
  </si>
  <si>
    <t>And so I went out to try to look at what was being done for poor people with depression .</t>
  </si>
  <si>
    <t>file://conllu/en/teddy-1323.conllu#s160_0</t>
  </si>
  <si>
    <t>161</t>
  </si>
  <si>
    <t>And what I discovered is that poor people are mostly not being treated for depression .</t>
  </si>
  <si>
    <t>file://conllu/en/teddy-1323.conllu#s161_0</t>
  </si>
  <si>
    <t>162</t>
  </si>
  <si>
    <t>be (be result)</t>
  </si>
  <si>
    <t>Depression is the result of a genetic vulnerability , which is presumably evenly distributed in the population , and triggering circumstances , which are likely to be more severe for people who are impoverished .</t>
  </si>
  <si>
    <t>file://conllu/en/teddy-1323.conllu#s162_0</t>
  </si>
  <si>
    <t>163</t>
  </si>
  <si>
    <t>yet?</t>
  </si>
  <si>
    <t>turn</t>
  </si>
  <si>
    <t>And yet it turns out that if you have a really lovely life but feel miserable all the time , you think , &amp;quot; Why do I feel like this ?</t>
  </si>
  <si>
    <t>file://conllu/en/teddy-1323.conllu#s163_0</t>
  </si>
  <si>
    <t>164</t>
  </si>
  <si>
    <t>I must have depression . &amp;quot;</t>
  </si>
  <si>
    <t>file://conllu/en/teddy-1323.conllu#s164_0</t>
  </si>
  <si>
    <t>165</t>
  </si>
  <si>
    <t>And you set out to find treatment for it .</t>
  </si>
  <si>
    <t>file://conllu/en/teddy-1323.conllu#s165_0</t>
  </si>
  <si>
    <t>166</t>
  </si>
  <si>
    <t>be (be commensurate)</t>
  </si>
  <si>
    <t>But if you have a perfectly awful life , and you feel miserable all the time , the way you feel is commensurate with your life , and it does n't occur to you to think , &amp;quot; Maybe this is treatable . &amp;quot;</t>
  </si>
  <si>
    <t>file://conllu/en/teddy-1323.conllu#s166_0</t>
  </si>
  <si>
    <t>167</t>
  </si>
  <si>
    <t>And so we have an epidemic in this country of depression among impoverished people that 's not being picked up and that 's not being treated and that 's not being addressed , and it 's a tragedy of a grand order .</t>
  </si>
  <si>
    <t>file://conllu/en/teddy-1323.conllu#s167_0</t>
  </si>
  <si>
    <t>168</t>
  </si>
  <si>
    <t>And so I found an academic who was doing a research project in slums outside of D.C. , where she picked up women who had come in for other health problems and diagnosed them with depression , and then provided six months of the experimental protocol .</t>
  </si>
  <si>
    <t>file://conllu/en/teddy-1323.conllu#s168_0</t>
  </si>
  <si>
    <t>169</t>
  </si>
  <si>
    <t>One of them , Lolly , came in , and this is what she said the day she came in .</t>
  </si>
  <si>
    <t>file://conllu/en/teddy-1323.conllu#s169_0</t>
  </si>
  <si>
    <t>170</t>
  </si>
  <si>
    <t>She said , and she was a woman , by the way , who had seven children .</t>
  </si>
  <si>
    <t>file://conllu/en/teddy-1323.conllu#s170_0</t>
  </si>
  <si>
    <t>171</t>
  </si>
  <si>
    <t>use (use say)</t>
  </si>
  <si>
    <t>She said , &amp;quot; I used to have a job but I had to give it up because I could n't go out of the house .</t>
  </si>
  <si>
    <t>file://conllu/en/teddy-1323.conllu#s171_0</t>
  </si>
  <si>
    <t>172</t>
  </si>
  <si>
    <t>I have nothing to say to my children .</t>
  </si>
  <si>
    <t>file://conllu/en/teddy-1323.conllu#s172_0</t>
  </si>
  <si>
    <t>173</t>
  </si>
  <si>
    <t>wait</t>
  </si>
  <si>
    <t>In the morning , I ca n't wait for them to leave , and then I climb in bed and pull the covers over my head , and three o'clock when they come home , it just comes so fast . &amp;quot;</t>
  </si>
  <si>
    <t>file://conllu/en/teddy-1323.conllu#s173_0</t>
  </si>
  <si>
    <t>174</t>
  </si>
  <si>
    <t>She said , &amp;quot; I 've been taking a lot of Tylenol , anything I can take so that I can sleep more .</t>
  </si>
  <si>
    <t>file://conllu/en/teddy-1323.conllu#s174_0</t>
  </si>
  <si>
    <t>175</t>
  </si>
  <si>
    <t>My husband has been telling me I 'm stupid , I 'm ugly .</t>
  </si>
  <si>
    <t>file://conllu/en/teddy-1323.conllu#s175_0</t>
  </si>
  <si>
    <t>176</t>
  </si>
  <si>
    <t>wish</t>
  </si>
  <si>
    <t>I wish I could stop the pain . &amp;quot;</t>
  </si>
  <si>
    <t>file://conllu/en/teddy-1323.conllu#s176_0</t>
  </si>
  <si>
    <t>177</t>
  </si>
  <si>
    <t>brotch</t>
  </si>
  <si>
    <t>Well , she was brought into this experimental protocol , and when I interviewed her six months later , she had taken a job working in childcare for the U.S. Navy , she had left the abusive husband , and she said to me , &amp;quot; My kids are so much happier now . &amp;quot;</t>
  </si>
  <si>
    <t>file://conllu/en/teddy-1323.conllu#s177_0</t>
  </si>
  <si>
    <t>178</t>
  </si>
  <si>
    <t>She said , &amp;quot; There 's one room in my new place for the boys and one room for the girls , but at night , they 're just all up on my bed , and we 're doing homework all together and everything .</t>
  </si>
  <si>
    <t>file://conllu/en/teddy-1323.conllu#s178_0</t>
  </si>
  <si>
    <t>179</t>
  </si>
  <si>
    <t>say (say want want)</t>
  </si>
  <si>
    <t>One of them wants to be a preacher , one of them wants to be a firefighter , and one of the girls says she 's going to be a lawyer .</t>
  </si>
  <si>
    <t>file://conllu/en/teddy-1323.conllu#s179_0</t>
  </si>
  <si>
    <t>180</t>
  </si>
  <si>
    <t>use (use cry)</t>
  </si>
  <si>
    <t>They do n't cry like they used to , and they do n't fight like they did .</t>
  </si>
  <si>
    <t>file://conllu/en/teddy-1323.conllu#s180_0</t>
  </si>
  <si>
    <t>181</t>
  </si>
  <si>
    <t>be (be all)</t>
  </si>
  <si>
    <t>That 's all I need now , is my kids .</t>
  </si>
  <si>
    <t>file://conllu/en/teddy-1323.conllu#s181_0</t>
  </si>
  <si>
    <t>182</t>
  </si>
  <si>
    <t>Things keep on changing , the way I dress , the way I feel , the way I act .</t>
  </si>
  <si>
    <t>file://conllu/en/teddy-1323.conllu#s182_0</t>
  </si>
  <si>
    <t>183</t>
  </si>
  <si>
    <t>I can go outside not being afraid anymore , and I do n't think those bad feelings are coming back , and if it were n't for Dr. Miranda and that , I would still be at home with the covers pulled over my head , if I were still alive at all .</t>
  </si>
  <si>
    <t>file://conllu/en/teddy-1323.conllu#s183_0</t>
  </si>
  <si>
    <t>184</t>
  </si>
  <si>
    <t>hear (hear ask)</t>
  </si>
  <si>
    <t>I asked the Lord to send me an angel , and He heard my prayers . &amp;quot;</t>
  </si>
  <si>
    <t>file://conllu/en/teddy-1323.conllu#s184_0</t>
  </si>
  <si>
    <t>185</t>
  </si>
  <si>
    <t>move</t>
  </si>
  <si>
    <t>I was really moved by these experiences , and I decided that I wanted to write about them not only in a book I was working on , but also in an article , and I got a commission from The New York Times Magazine to write about depression among the indigent .</t>
  </si>
  <si>
    <t>file://conllu/en/teddy-1323.conllu#s185_0</t>
  </si>
  <si>
    <t>186</t>
  </si>
  <si>
    <t>And I turned in my story , and my editor called me and said , &amp;quot; We really ca n't publish this . &amp;quot;</t>
  </si>
  <si>
    <t>file://conllu/en/teddy-1323.conllu#s186_0</t>
  </si>
  <si>
    <t>187</t>
  </si>
  <si>
    <t>And I said , &amp;quot; Why not ? &amp;quot;</t>
  </si>
  <si>
    <t>file://conllu/en/teddy-1323.conllu#s187_0</t>
  </si>
  <si>
    <t>188</t>
  </si>
  <si>
    <t>And she said , &amp;quot; It just is too far- fetched .</t>
  </si>
  <si>
    <t>file://conllu/en/teddy-1323.conllu#s188_0</t>
  </si>
  <si>
    <t>189</t>
  </si>
  <si>
    <t>people</t>
  </si>
  <si>
    <t>These people who are sort of at the very bottom rung of society and then they get a few months of treatment and they 're virtually ready to run Morgan Stanley ?</t>
  </si>
  <si>
    <t>file://conllu/en/teddy-1323.conllu#s189_0</t>
  </si>
  <si>
    <t>190</t>
  </si>
  <si>
    <t>be (be implausible)</t>
  </si>
  <si>
    <t>It 's just too implausible . &amp;quot;</t>
  </si>
  <si>
    <t>file://conllu/en/teddy-1323.conllu#s190_0</t>
  </si>
  <si>
    <t>191</t>
  </si>
  <si>
    <t>hear (hear say)</t>
  </si>
  <si>
    <t>She said , &amp;quot; I 've never even heard of anything like it . &amp;quot;</t>
  </si>
  <si>
    <t>file://conllu/en/teddy-1323.conllu#s191_0</t>
  </si>
  <si>
    <t>192</t>
  </si>
  <si>
    <t>And I said , &amp;quot; The fact that you 've never heard of it is an indication that it is news . &amp;quot;</t>
  </si>
  <si>
    <t>file://conllu/en/teddy-1323.conllu#s192_0</t>
  </si>
  <si>
    <t>193</t>
  </si>
  <si>
    <t>be (be magazine)</t>
  </si>
  <si>
    <t>&amp;quot; And you are a news magazine . &amp;quot;</t>
  </si>
  <si>
    <t>file://conllu/en/teddy-1323.conllu#s193_0</t>
  </si>
  <si>
    <t>194</t>
  </si>
  <si>
    <t>after?</t>
  </si>
  <si>
    <t>agree</t>
  </si>
  <si>
    <t>So after a certain amount of negotiation , they agreed to it .</t>
  </si>
  <si>
    <t>file://conllu/en/teddy-1323.conllu#s194_0</t>
  </si>
  <si>
    <t>195</t>
  </si>
  <si>
    <t>But I think a lot of what they said was connected in some strange way to this distaste that people still have for the idea of treatment , the notion that somehow if we went out and treated a lot of people in indigent communities , that would be exploitative , because we would be changing them .</t>
  </si>
  <si>
    <t>file://conllu/en/teddy-1323.conllu#s195_0</t>
  </si>
  <si>
    <t>196</t>
  </si>
  <si>
    <t>There is this false moral imperative that seems to be all around us , that treatment of depression , the medications and so on , are an artifice , and that it 's not natural .</t>
  </si>
  <si>
    <t>file://conllu/en/teddy-1323.conllu#s196_0</t>
  </si>
  <si>
    <t>197</t>
  </si>
  <si>
    <t>And I think that 's very misguided .</t>
  </si>
  <si>
    <t>file://conllu/en/teddy-1323.conllu#s197_0</t>
  </si>
  <si>
    <t>198</t>
  </si>
  <si>
    <t>be (be natural)</t>
  </si>
  <si>
    <t>It would be natural for people 's teeth to fall out , but there is nobody militating against toothpaste , at least not in my circles .</t>
  </si>
  <si>
    <t>file://conllu/en/teddy-1323.conllu#s198_0</t>
  </si>
  <si>
    <t>199</t>
  </si>
  <si>
    <t>People then say , &amp;quot; But is n't depression part of what people are supposed to experience ?</t>
  </si>
  <si>
    <t>file://conllu/en/teddy-1323.conllu#s199_0</t>
  </si>
  <si>
    <t>200</t>
  </si>
  <si>
    <t>we</t>
  </si>
  <si>
    <t>Did n't we evolve to have depression ?</t>
  </si>
  <si>
    <t>file://conllu/en/teddy-1323.conllu#s200_0</t>
  </si>
  <si>
    <t>201</t>
  </si>
  <si>
    <t>be (be part)</t>
  </si>
  <si>
    <t>Is n't it part of your personality ? &amp;quot;</t>
  </si>
  <si>
    <t>file://conllu/en/teddy-1323.conllu#s201_0</t>
  </si>
  <si>
    <t>202</t>
  </si>
  <si>
    <t>To which I would say , mood is adaptive .</t>
  </si>
  <si>
    <t>file://conllu/en/teddy-1323.conllu#s202_0</t>
  </si>
  <si>
    <t>203</t>
  </si>
  <si>
    <t>Being able to have sadness and fear and joy and pleasure and all of the other moods that we have , that 's incredibly valuable .</t>
  </si>
  <si>
    <t>file://conllu/en/teddy-1323.conllu#s203_0</t>
  </si>
  <si>
    <t>204</t>
  </si>
  <si>
    <t>be (be something)</t>
  </si>
  <si>
    <t>And major depression is something that happens when that system gets broken .</t>
  </si>
  <si>
    <t>file://conllu/en/teddy-1323.conllu#s204_0</t>
  </si>
  <si>
    <t>205</t>
  </si>
  <si>
    <t>be (be maladaptive)</t>
  </si>
  <si>
    <t>It 's maladaptive .</t>
  </si>
  <si>
    <t>file://conllu/en/teddy-1323.conllu#s205_0</t>
  </si>
  <si>
    <t>206</t>
  </si>
  <si>
    <t>though?</t>
  </si>
  <si>
    <t>People will come to me and say , &amp;quot; I think , though , if I just stick it out for another year , I think I can just get through this . &amp;quot;</t>
  </si>
  <si>
    <t>file://conllu/en/teddy-1323.conllu#s206_0</t>
  </si>
  <si>
    <t>207</t>
  </si>
  <si>
    <t>And I always say to them , &amp;quot; You may get through it , but you 'll never be 37 again .</t>
  </si>
  <si>
    <t>file://conllu/en/teddy-1323.conllu#s207_0</t>
  </si>
  <si>
    <t>208</t>
  </si>
  <si>
    <t>be (be short)</t>
  </si>
  <si>
    <t>Life is short , and that 's a whole year you 're talking about giving up .</t>
  </si>
  <si>
    <t>file://conllu/en/teddy-1323.conllu#s208_0</t>
  </si>
  <si>
    <t>209</t>
  </si>
  <si>
    <t>Think it through . &amp;quot;</t>
  </si>
  <si>
    <t>file://conllu/en/teddy-1323.conllu#s209_0</t>
  </si>
  <si>
    <t>210</t>
  </si>
  <si>
    <t>indeed?</t>
  </si>
  <si>
    <t>be (be poverty)</t>
  </si>
  <si>
    <t>It 's a strange poverty of the English language , and indeed of many other languages , that we use this same word , depression , to describe how a kid feels when it rains on his birthday , and to describe how somebody feels the minute before they commit suicide .</t>
  </si>
  <si>
    <t>file://conllu/en/teddy-1323.conllu#s210_0</t>
  </si>
  <si>
    <t>211</t>
  </si>
  <si>
    <t>People say to me , &amp;quot; Well , is it continuous with normal sadness ? &amp;quot;</t>
  </si>
  <si>
    <t>file://conllu/en/teddy-1323.conllu#s211_0</t>
  </si>
  <si>
    <t>212</t>
  </si>
  <si>
    <t>And I say , in a way it 's continuous with normal sadness .</t>
  </si>
  <si>
    <t>file://conllu/en/teddy-1323.conllu#s212_0</t>
  </si>
  <si>
    <t>213</t>
  </si>
  <si>
    <t>There is a certain amount of continuity , but it 's the same way there 's continuity between having an iron fence outside your house that gets a little rust spot that you have to sand off and do a little repainting , and what happens if you leave the house for 100 years and it rusts through until it 's only a pile of orange dust .</t>
  </si>
  <si>
    <t>file://conllu/en/teddy-1323.conllu#s213_0</t>
  </si>
  <si>
    <t>214</t>
  </si>
  <si>
    <t>And it 's that orange dust spot , that orange dust problem , that 's the one we 're setting out to address .</t>
  </si>
  <si>
    <t>file://conllu/en/teddy-1323.conllu#s214_0</t>
  </si>
  <si>
    <t>215</t>
  </si>
  <si>
    <t>So now people say , &amp;quot; You take these happy pills , and do you feel happy ? &amp;quot;</t>
  </si>
  <si>
    <t>file://conllu/en/teddy-1323.conllu#s215_0</t>
  </si>
  <si>
    <t>216</t>
  </si>
  <si>
    <t>And I do n't .</t>
  </si>
  <si>
    <t>file://conllu/en/teddy-1323.conllu#s216_0</t>
  </si>
  <si>
    <t>217</t>
  </si>
  <si>
    <t>But I do n't feel sad about having to eat lunch , and I do n't feel sad about my answering machine , about taking a shower .</t>
  </si>
  <si>
    <t>file://conllu/en/teddy-1323.conllu#s217_0</t>
  </si>
  <si>
    <t>218</t>
  </si>
  <si>
    <t>I feel more , in fact , I think , because I can feel sadness without nullity .</t>
  </si>
  <si>
    <t>file://conllu/en/teddy-1323.conllu#s218_0</t>
  </si>
  <si>
    <t>219</t>
  </si>
  <si>
    <t>I feel sad about professional disappointments , about damaged relationships , about global warming .</t>
  </si>
  <si>
    <t>file://conllu/en/teddy-1323.conllu#s219_0</t>
  </si>
  <si>
    <t>220</t>
  </si>
  <si>
    <t>be (be thing)</t>
  </si>
  <si>
    <t>Those are the things that I feel sad about now .</t>
  </si>
  <si>
    <t>file://conllu/en/teddy-1323.conllu#s220_0</t>
  </si>
  <si>
    <t>221</t>
  </si>
  <si>
    <t>And I said to myself , well , what is the conclusion ?</t>
  </si>
  <si>
    <t>file://conllu/en/teddy-1323.conllu#s221_0</t>
  </si>
  <si>
    <t>222</t>
  </si>
  <si>
    <t>How did those people who have better lives even with bigger depression manage to get through ?</t>
  </si>
  <si>
    <t>file://conllu/en/teddy-1323.conllu#s222_0</t>
  </si>
  <si>
    <t>223</t>
  </si>
  <si>
    <t>What is the mechanism of resilience ?</t>
  </si>
  <si>
    <t>file://conllu/en/teddy-1323.conllu#s223_0</t>
  </si>
  <si>
    <t>224</t>
  </si>
  <si>
    <t>And what I came up with over time was that the people who deny their experience , and say , &amp;quot; I was depressed a long time ago , I never want to think about it again , I 'm not going to look at it and I 'm just going to get on with my life , &amp;quot; ironically , those are the people who are most enslaved by what they have .</t>
  </si>
  <si>
    <t>file://conllu/en/teddy-1323.conllu#s224_0</t>
  </si>
  <si>
    <t>225</t>
  </si>
  <si>
    <t>Shutt</t>
  </si>
  <si>
    <t>Shutting out the depression strengthens it .</t>
  </si>
  <si>
    <t>file://conllu/en/teddy-1323.conllu#s225_0</t>
  </si>
  <si>
    <t>226</t>
  </si>
  <si>
    <t>while?</t>
  </si>
  <si>
    <t>grow</t>
  </si>
  <si>
    <t>While you hide from it , it grows .</t>
  </si>
  <si>
    <t>file://conllu/en/teddy-1323.conllu#s226_0</t>
  </si>
  <si>
    <t>227</t>
  </si>
  <si>
    <t>And the people who do better are the ones who are able to tolerate the fact that they have this condition .</t>
  </si>
  <si>
    <t>file://conllu/en/teddy-1323.conllu#s227_0</t>
  </si>
  <si>
    <t>228</t>
  </si>
  <si>
    <t>Those who can tolerate their depression are the ones who achieve resilience .</t>
  </si>
  <si>
    <t>file://conllu/en/teddy-1323.conllu#s228_0</t>
  </si>
  <si>
    <t>229</t>
  </si>
  <si>
    <t>suppose (suppose say)</t>
  </si>
  <si>
    <t>So Frank Russakoff said to me , &amp;quot; If I had a do over , I suppose I would n't do it this way , but in a strange way , I 'm grateful for what I 've experienced .</t>
  </si>
  <si>
    <t>file://conllu/en/teddy-1323.conllu#s229_0</t>
  </si>
  <si>
    <t>230</t>
  </si>
  <si>
    <t>be (be glad)</t>
  </si>
  <si>
    <t>I 'm glad to have been in the hospital 40 times .</t>
  </si>
  <si>
    <t>file://conllu/en/teddy-1323.conllu#s230_0</t>
  </si>
  <si>
    <t>231</t>
  </si>
  <si>
    <t>teach</t>
  </si>
  <si>
    <t>It taught me so much about love , and my relationship with my parents and my doctors has been so precious to me , and will be always . &amp;quot;</t>
  </si>
  <si>
    <t>file://conllu/en/teddy-1323.conllu#s231_0</t>
  </si>
  <si>
    <t>232</t>
  </si>
  <si>
    <t>talk (talk talk talk use say)</t>
  </si>
  <si>
    <t>And Maggie Robbins said , &amp;quot; I used to volunteer in an AIDS clinic , and I would just talk and talk and talk , and the people I was dealing with were n't very responsive , and I thought , ' That 's not very friendly or helpful of them . ' &amp;quot;</t>
  </si>
  <si>
    <t>file://conllu/en/teddy-1323.conllu#s232_0</t>
  </si>
  <si>
    <t>233</t>
  </si>
  <si>
    <t>realize (realize realize)</t>
  </si>
  <si>
    <t>&amp;quot; And then I realized , I realized that they were n't going to do more than make those first few minutes of small talk .</t>
  </si>
  <si>
    <t>file://conllu/en/teddy-1323.conllu#s233_0</t>
  </si>
  <si>
    <t>234</t>
  </si>
  <si>
    <t>It was simply going to be an occasion where I did n't have AIDS and I was n't dying , but could tolerate the fact that they did and they were .</t>
  </si>
  <si>
    <t>file://conllu/en/teddy-1323.conllu#s234_0</t>
  </si>
  <si>
    <t>235</t>
  </si>
  <si>
    <t>be (be asset)</t>
  </si>
  <si>
    <t>Our needs are our greatest assets .</t>
  </si>
  <si>
    <t>file://conllu/en/teddy-1323.conllu#s235_0</t>
  </si>
  <si>
    <t>236</t>
  </si>
  <si>
    <t>It turns out I 've learned to give all the things I need . &amp;quot;</t>
  </si>
  <si>
    <t>file://conllu/en/teddy-1323.conllu#s236_0</t>
  </si>
  <si>
    <t>237</t>
  </si>
  <si>
    <t>prevent</t>
  </si>
  <si>
    <t>Valuing one 's depression does not prevent a relapse , but it may make the prospect of relapse and even relapse itself easier to tolerate .</t>
  </si>
  <si>
    <t>file://conllu/en/teddy-1323.conllu#s237_0</t>
  </si>
  <si>
    <t>238</t>
  </si>
  <si>
    <t>The question is not so much of finding great meaning and deciding your depression has been very meaningful .</t>
  </si>
  <si>
    <t>file://conllu/en/teddy-1323.conllu#s238_0</t>
  </si>
  <si>
    <t>239</t>
  </si>
  <si>
    <t>seek</t>
  </si>
  <si>
    <t>It 's of seeking that meaning and thinking , when it comes again , &amp;quot; This will be hellish , but I will learn something from it . &amp;quot;</t>
  </si>
  <si>
    <t>file://conllu/en/teddy-1323.conllu#s239_0</t>
  </si>
  <si>
    <t>240</t>
  </si>
  <si>
    <t>allow (allow find learn)</t>
  </si>
  <si>
    <t>I have learned in my own depression how big an emotion can be , how it can be more real than facts , and I have found that that experience has allowed me to experience positive emotion in a more intense and more focused way .</t>
  </si>
  <si>
    <t>file://conllu/en/teddy-1323.conllu#s240_0</t>
  </si>
  <si>
    <t>241</t>
  </si>
  <si>
    <t>is not happiness , but vitality , and these days , my life is vital , even on the days when I 'm sad .</t>
  </si>
  <si>
    <t>file://conllu/en/teddy-1323.conllu#s241_0</t>
  </si>
  <si>
    <t>242</t>
  </si>
  <si>
    <t>I felt that funeral in my brain , and I sat next to the colossus at the edge of the world , and I have discovered something inside of myself that I would have to call a soul that I had never formulated until that day 20 years ago when hell came to pay me a surprise visit .</t>
  </si>
  <si>
    <t>file://conllu/en/teddy-1323.conllu#s242_0</t>
  </si>
  <si>
    <t>243</t>
  </si>
  <si>
    <t>find (find think)</t>
  </si>
  <si>
    <t>I think that while I hated being depressed and would hate to be depressed again , I 've found a way to love my depression .</t>
  </si>
  <si>
    <t>file://conllu/en/teddy-1323.conllu#s243_0</t>
  </si>
  <si>
    <t>244</t>
  </si>
  <si>
    <t>love</t>
  </si>
  <si>
    <t>I love it because it has forced me to find and cling to joy .</t>
  </si>
  <si>
    <t>file://conllu/en/teddy-1323.conllu#s244_0</t>
  </si>
  <si>
    <t>245</t>
  </si>
  <si>
    <t>I love it because each day I decide , sometimes gamely , and sometimes against the moment 's reason , to cleave to the reasons for living .</t>
  </si>
  <si>
    <t>file://conllu/en/teddy-1323.conllu#s245_0</t>
  </si>
  <si>
    <t>246</t>
  </si>
  <si>
    <t>And that , I think , is a highly privileged rapture .</t>
  </si>
  <si>
    <t>file://conllu/en/teddy-1323.conllu#s246_0</t>
  </si>
  <si>
    <t>247</t>
  </si>
  <si>
    <t>thank</t>
  </si>
  <si>
    <t>Thank you .</t>
  </si>
  <si>
    <t>file://conllu/en/teddy-1323.conllu#s247_0</t>
  </si>
  <si>
    <t>WORD</t>
  </si>
  <si>
    <t>GR</t>
  </si>
  <si>
    <t>NP_TYPE</t>
  </si>
  <si>
    <t>REF_AUTO</t>
  </si>
  <si>
    <t>COREF</t>
  </si>
  <si>
    <t>REF</t>
  </si>
  <si>
    <t>IS</t>
  </si>
  <si>
    <t>CB</t>
  </si>
  <si>
    <t>GR_ANTE</t>
  </si>
  <si>
    <t>REF_DIST</t>
  </si>
  <si>
    <t>REF_DIST_ANTE</t>
  </si>
  <si>
    <t># text = \"I felt a Funeral, in my Brain, and Mourners to and fro kept treading -- treading -- till [it seemed] that Sense was breaking through --</t>
  </si>
  <si>
    <t>&amp;quot;</t>
  </si>
  <si>
    <t>I</t>
  </si>
  <si>
    <t>SBJ</t>
  </si>
  <si>
    <t>pron.pper</t>
  </si>
  <si>
    <t>?OLD</t>
  </si>
  <si>
    <t>felt</t>
  </si>
  <si>
    <t>a</t>
  </si>
  <si>
    <t>Funeral</t>
  </si>
  <si>
    <t>,</t>
  </si>
  <si>
    <t>in</t>
  </si>
  <si>
    <t>my</t>
  </si>
  <si>
    <t>other_2</t>
  </si>
  <si>
    <t>pron.ppos</t>
  </si>
  <si>
    <t>Brain</t>
  </si>
  <si>
    <t>other</t>
  </si>
  <si>
    <t>ne</t>
  </si>
  <si>
    <t>and</t>
  </si>
  <si>
    <t>Mourners</t>
  </si>
  <si>
    <t>indef-np.bare</t>
  </si>
  <si>
    <t>to</t>
  </si>
  <si>
    <t>fro</t>
  </si>
  <si>
    <t>other_3</t>
  </si>
  <si>
    <t>kept</t>
  </si>
  <si>
    <t>treading</t>
  </si>
  <si>
    <t>till</t>
  </si>
  <si>
    <t>[</t>
  </si>
  <si>
    <t>it</t>
  </si>
  <si>
    <t>SBJ_4</t>
  </si>
  <si>
    <t>seemed</t>
  </si>
  <si>
    <t>]</t>
  </si>
  <si>
    <t>that</t>
  </si>
  <si>
    <t>Sense</t>
  </si>
  <si>
    <t>SBJ_5</t>
  </si>
  <si>
    <t>was</t>
  </si>
  <si>
    <t>breaking</t>
  </si>
  <si>
    <t>through</t>
  </si>
  <si>
    <t># text = And when they all were seated, a Service, like a Drum -- kept beating -- beating -- till I [thought] my Mind was going numb --</t>
  </si>
  <si>
    <t>And</t>
  </si>
  <si>
    <t>when</t>
  </si>
  <si>
    <t>they</t>
  </si>
  <si>
    <t>SBJ_2</t>
  </si>
  <si>
    <t>all</t>
  </si>
  <si>
    <t>were</t>
  </si>
  <si>
    <t>seated</t>
  </si>
  <si>
    <t>Service</t>
  </si>
  <si>
    <t>indef-np.a</t>
  </si>
  <si>
    <t>like</t>
  </si>
  <si>
    <t>Drum</t>
  </si>
  <si>
    <t>beating</t>
  </si>
  <si>
    <t>thought</t>
  </si>
  <si>
    <t>other_6</t>
  </si>
  <si>
    <t>Mind</t>
  </si>
  <si>
    <t>going</t>
  </si>
  <si>
    <t>numb</t>
  </si>
  <si>
    <t>OBJ_5</t>
  </si>
  <si>
    <t>--</t>
  </si>
  <si>
    <t># text = And then I heard them lift a Box and creak across my Soul with those same Boots of Lead, again, then Space -- began to toll, As [all] the Heavens were a Bell, and Being, [but] an Ear, and I, and Silence, some strange Race, wrecked, solitary, here -- [And] then a Plank in Reason, broke, and I fell down and down -- and hit a World, at every plunge, and Finished knowing -- then --\"</t>
  </si>
  <si>
    <t>then</t>
  </si>
  <si>
    <t>heard</t>
  </si>
  <si>
    <t>them</t>
  </si>
  <si>
    <t>OBJ</t>
  </si>
  <si>
    <t>lift</t>
  </si>
  <si>
    <t>Box</t>
  </si>
  <si>
    <t>OBJ_2</t>
  </si>
  <si>
    <t>creak</t>
  </si>
  <si>
    <t>across</t>
  </si>
  <si>
    <t>Soul</t>
  </si>
  <si>
    <t>with</t>
  </si>
  <si>
    <t>those</t>
  </si>
  <si>
    <t>same</t>
  </si>
  <si>
    <t>Boots</t>
  </si>
  <si>
    <t>def-np.dem</t>
  </si>
  <si>
    <t>of</t>
  </si>
  <si>
    <t>Lead</t>
  </si>
  <si>
    <t>again</t>
  </si>
  <si>
    <t>Space</t>
  </si>
  <si>
    <t>began</t>
  </si>
  <si>
    <t>toll</t>
  </si>
  <si>
    <t>As</t>
  </si>
  <si>
    <t>the</t>
  </si>
  <si>
    <t>Heavens</t>
  </si>
  <si>
    <t>SBJ_3</t>
  </si>
  <si>
    <t>Bell</t>
  </si>
  <si>
    <t>Being</t>
  </si>
  <si>
    <t>but</t>
  </si>
  <si>
    <t>an</t>
  </si>
  <si>
    <t>Ear</t>
  </si>
  <si>
    <t>Silence</t>
  </si>
  <si>
    <t>some</t>
  </si>
  <si>
    <t>strange</t>
  </si>
  <si>
    <t>Race</t>
  </si>
  <si>
    <t>wrecked</t>
  </si>
  <si>
    <t>solitary</t>
  </si>
  <si>
    <t>here</t>
  </si>
  <si>
    <t>pron.padv</t>
  </si>
  <si>
    <t>Plank</t>
  </si>
  <si>
    <t>Reason</t>
  </si>
  <si>
    <t>other_4</t>
  </si>
  <si>
    <t>broke</t>
  </si>
  <si>
    <t>fell</t>
  </si>
  <si>
    <t>down</t>
  </si>
  <si>
    <t>hit</t>
  </si>
  <si>
    <t>World</t>
  </si>
  <si>
    <t>OBJ_4</t>
  </si>
  <si>
    <t>at</t>
  </si>
  <si>
    <t>every</t>
  </si>
  <si>
    <t>plunge</t>
  </si>
  <si>
    <t>indef-np</t>
  </si>
  <si>
    <t>Finished</t>
  </si>
  <si>
    <t>knowing</t>
  </si>
  <si>
    <t># text = We know depression through metaphors.</t>
  </si>
  <si>
    <t>We</t>
  </si>
  <si>
    <t>depression</t>
  </si>
  <si>
    <t>metaphors</t>
  </si>
  <si>
    <t>.</t>
  </si>
  <si>
    <t># text = Emily Dickinson was able to convey it in language, Goya in an image.</t>
  </si>
  <si>
    <t>Emily</t>
  </si>
  <si>
    <t>Dickinson</t>
  </si>
  <si>
    <t>able</t>
  </si>
  <si>
    <t>convey</t>
  </si>
  <si>
    <t>language</t>
  </si>
  <si>
    <t>Goya</t>
  </si>
  <si>
    <t>image</t>
  </si>
  <si>
    <t># text = Half the purpose of art is to describe such iconic states.</t>
  </si>
  <si>
    <t>Half</t>
  </si>
  <si>
    <t>purpose</t>
  </si>
  <si>
    <t>def-np.the</t>
  </si>
  <si>
    <t>art</t>
  </si>
  <si>
    <t>is</t>
  </si>
  <si>
    <t>describe</t>
  </si>
  <si>
    <t>such</t>
  </si>
  <si>
    <t>iconic</t>
  </si>
  <si>
    <t>states</t>
  </si>
  <si>
    <t>pron.pds</t>
  </si>
  <si>
    <t># text = As for me, I had always thought myself tough, one of the people who could survive if I'd been sent to a concentration camp.</t>
  </si>
  <si>
    <t>for</t>
  </si>
  <si>
    <t>me</t>
  </si>
  <si>
    <t>had</t>
  </si>
  <si>
    <t>always</t>
  </si>
  <si>
    <t>myself</t>
  </si>
  <si>
    <t>tough</t>
  </si>
  <si>
    <t>who</t>
  </si>
  <si>
    <t>could</t>
  </si>
  <si>
    <t>survive</t>
  </si>
  <si>
    <t>if</t>
  </si>
  <si>
    <t>'d</t>
  </si>
  <si>
    <t>been</t>
  </si>
  <si>
    <t>sent</t>
  </si>
  <si>
    <t>concentration</t>
  </si>
  <si>
    <t>camp</t>
  </si>
  <si>
    <t>other_5</t>
  </si>
  <si>
    <t># text = In 1991, I had a series of losses.</t>
  </si>
  <si>
    <t>In</t>
  </si>
  <si>
    <t>1991</t>
  </si>
  <si>
    <t>series</t>
  </si>
  <si>
    <t>losses</t>
  </si>
  <si>
    <t># text = My mother died, a relationship I'd been in ended, I moved back to the United States from some years abroad, and I got through all of those experiences intact.</t>
  </si>
  <si>
    <t>My</t>
  </si>
  <si>
    <t>mother</t>
  </si>
  <si>
    <t>def-np.poss</t>
  </si>
  <si>
    <t>died</t>
  </si>
  <si>
    <t>relationship</t>
  </si>
  <si>
    <t>ended</t>
  </si>
  <si>
    <t>moved</t>
  </si>
  <si>
    <t>back</t>
  </si>
  <si>
    <t>United</t>
  </si>
  <si>
    <t>States</t>
  </si>
  <si>
    <t>from</t>
  </si>
  <si>
    <t>years</t>
  </si>
  <si>
    <t>indef-np.quant</t>
  </si>
  <si>
    <t>abroad</t>
  </si>
  <si>
    <t>got</t>
  </si>
  <si>
    <t>experiences</t>
  </si>
  <si>
    <t>intact</t>
  </si>
  <si>
    <t># text = But in 1994, three years later, I found myself losing interest in almost everything.</t>
  </si>
  <si>
    <t>But</t>
  </si>
  <si>
    <t>1994</t>
  </si>
  <si>
    <t>three</t>
  </si>
  <si>
    <t>later</t>
  </si>
  <si>
    <t>found</t>
  </si>
  <si>
    <t>losing</t>
  </si>
  <si>
    <t>interest</t>
  </si>
  <si>
    <t>almost</t>
  </si>
  <si>
    <t>pron</t>
  </si>
  <si>
    <t># text = I didn't want to do any of the things I had previously wanted to do, and I didn't know why.</t>
  </si>
  <si>
    <t>did</t>
  </si>
  <si>
    <t>n't</t>
  </si>
  <si>
    <t>want</t>
  </si>
  <si>
    <t>any</t>
  </si>
  <si>
    <t>things</t>
  </si>
  <si>
    <t>previously</t>
  </si>
  <si>
    <t>wanted</t>
  </si>
  <si>
    <t>why</t>
  </si>
  <si>
    <t>pron.pint</t>
  </si>
  <si>
    <t># text = The opposite of depression is not happiness, but vitality.</t>
  </si>
  <si>
    <t>The</t>
  </si>
  <si>
    <t>opposite</t>
  </si>
  <si>
    <t>not</t>
  </si>
  <si>
    <t>happiness</t>
  </si>
  <si>
    <t>vitality</t>
  </si>
  <si>
    <t># text = And it was vitality that seemed to seep away from me in that moment.</t>
  </si>
  <si>
    <t>seep</t>
  </si>
  <si>
    <t>away</t>
  </si>
  <si>
    <t>moment</t>
  </si>
  <si>
    <t># text = Everything there was to do seemed like too much work.</t>
  </si>
  <si>
    <t>Everything</t>
  </si>
  <si>
    <t>there</t>
  </si>
  <si>
    <t>too</t>
  </si>
  <si>
    <t>much</t>
  </si>
  <si>
    <t># text = I would come home and I would see the red light flashing on my answering machine, and instead of being thrilled to hear from my friends, I would think, \"What a lot of people that is to have to call back.\"</t>
  </si>
  <si>
    <t>would</t>
  </si>
  <si>
    <t>home</t>
  </si>
  <si>
    <t>see</t>
  </si>
  <si>
    <t>red</t>
  </si>
  <si>
    <t>light</t>
  </si>
  <si>
    <t>flashing</t>
  </si>
  <si>
    <t>on</t>
  </si>
  <si>
    <t>answering</t>
  </si>
  <si>
    <t>machine</t>
  </si>
  <si>
    <t>instead</t>
  </si>
  <si>
    <t>being</t>
  </si>
  <si>
    <t>thrilled</t>
  </si>
  <si>
    <t>friends</t>
  </si>
  <si>
    <t>What</t>
  </si>
  <si>
    <t>lot</t>
  </si>
  <si>
    <t>call</t>
  </si>
  <si>
    <t># text = Or I would decide I should have lunch, and then I would think, but I'd have to get the food out and put it on a plate and cut it up and chew it and swallow it, and it felt to me like the Stations of the Cross.</t>
  </si>
  <si>
    <t>Or</t>
  </si>
  <si>
    <t>decide</t>
  </si>
  <si>
    <t>should</t>
  </si>
  <si>
    <t>lunch</t>
  </si>
  <si>
    <t>food</t>
  </si>
  <si>
    <t>out</t>
  </si>
  <si>
    <t>put</t>
  </si>
  <si>
    <t>plate</t>
  </si>
  <si>
    <t>cut</t>
  </si>
  <si>
    <t>up</t>
  </si>
  <si>
    <t>chew</t>
  </si>
  <si>
    <t>swallow</t>
  </si>
  <si>
    <t>OBJ_6</t>
  </si>
  <si>
    <t>Stations</t>
  </si>
  <si>
    <t>Cross</t>
  </si>
  <si>
    <t># text = And one of the things that often gets lost in discussions of depression is that you know it's ridiculous.</t>
  </si>
  <si>
    <t>often</t>
  </si>
  <si>
    <t>gets</t>
  </si>
  <si>
    <t>lost</t>
  </si>
  <si>
    <t>discussions</t>
  </si>
  <si>
    <t>you</t>
  </si>
  <si>
    <t>'s</t>
  </si>
  <si>
    <t>ridiculous</t>
  </si>
  <si>
    <t># text = You know it's ridiculous while you're experiencing it.</t>
  </si>
  <si>
    <t>You</t>
  </si>
  <si>
    <t>while</t>
  </si>
  <si>
    <t>'re</t>
  </si>
  <si>
    <t>experiencing</t>
  </si>
  <si>
    <t>OBJ_3</t>
  </si>
  <si>
    <t># text = You know that most people manage to listen to their messages and eat lunch and organize themselves to take a shower and go out the front door and that it's not a big deal, and yet you are nonetheless in its grip and you are unable to figure out any way around it.</t>
  </si>
  <si>
    <t>most</t>
  </si>
  <si>
    <t>manage</t>
  </si>
  <si>
    <t>listen</t>
  </si>
  <si>
    <t>their</t>
  </si>
  <si>
    <t>messages</t>
  </si>
  <si>
    <t>eat</t>
  </si>
  <si>
    <t>organize</t>
  </si>
  <si>
    <t>themselves</t>
  </si>
  <si>
    <t>shower</t>
  </si>
  <si>
    <t>front</t>
  </si>
  <si>
    <t>door</t>
  </si>
  <si>
    <t>SBJ_7</t>
  </si>
  <si>
    <t>big</t>
  </si>
  <si>
    <t>deal</t>
  </si>
  <si>
    <t>yet</t>
  </si>
  <si>
    <t>SBJ_6</t>
  </si>
  <si>
    <t>are</t>
  </si>
  <si>
    <t>nonetheless</t>
  </si>
  <si>
    <t>its</t>
  </si>
  <si>
    <t>grip</t>
  </si>
  <si>
    <t>unable</t>
  </si>
  <si>
    <t>way</t>
  </si>
  <si>
    <t>around</t>
  </si>
  <si>
    <t># text = And so I began to feel myself doing less and thinking less and feeling less.</t>
  </si>
  <si>
    <t>so</t>
  </si>
  <si>
    <t>doing</t>
  </si>
  <si>
    <t>less</t>
  </si>
  <si>
    <t>thinking</t>
  </si>
  <si>
    <t>feeling</t>
  </si>
  <si>
    <t># text = It was a kind of nullity.</t>
  </si>
  <si>
    <t>It</t>
  </si>
  <si>
    <t>kind</t>
  </si>
  <si>
    <t>nullity</t>
  </si>
  <si>
    <t># text = And then the anxiety set in.</t>
  </si>
  <si>
    <t>set</t>
  </si>
  <si>
    <t># text = If you told me that I'd have to be depressed for the next month, I would say, \"As long I know it'll be over in November, I can do it.\"</t>
  </si>
  <si>
    <t>If</t>
  </si>
  <si>
    <t>told</t>
  </si>
  <si>
    <t>depressed</t>
  </si>
  <si>
    <t>next</t>
  </si>
  <si>
    <t>month</t>
  </si>
  <si>
    <t>long</t>
  </si>
  <si>
    <t>'ll</t>
  </si>
  <si>
    <t>over</t>
  </si>
  <si>
    <t>November</t>
  </si>
  <si>
    <t>can</t>
  </si>
  <si>
    <t># text = But if you said to me, \"You have to have acute anxiety for the next month,\" I would rather slit my wrist than go through it.</t>
  </si>
  <si>
    <t>said</t>
  </si>
  <si>
    <t>acute</t>
  </si>
  <si>
    <t>rather</t>
  </si>
  <si>
    <t>slit</t>
  </si>
  <si>
    <t>wrist</t>
  </si>
  <si>
    <t>than</t>
  </si>
  <si>
    <t># text = It was the feeling all the time like that feeling you have if you're walking and you slip or trip and the ground is rushing up at you, but instead of lasting half a second, the way that does, it lasted for six months.</t>
  </si>
  <si>
    <t>time</t>
  </si>
  <si>
    <t>walking</t>
  </si>
  <si>
    <t>slip</t>
  </si>
  <si>
    <t>or</t>
  </si>
  <si>
    <t>trip</t>
  </si>
  <si>
    <t>ground</t>
  </si>
  <si>
    <t>rushing</t>
  </si>
  <si>
    <t>other_7</t>
  </si>
  <si>
    <t>lasting</t>
  </si>
  <si>
    <t>half</t>
  </si>
  <si>
    <t>second</t>
  </si>
  <si>
    <t>OBJ_8</t>
  </si>
  <si>
    <t>SBJ_8</t>
  </si>
  <si>
    <t>does</t>
  </si>
  <si>
    <t>lasted</t>
  </si>
  <si>
    <t>six</t>
  </si>
  <si>
    <t>months</t>
  </si>
  <si>
    <t>other_8</t>
  </si>
  <si>
    <t># text = It's a sensation of being afraid all the time but not even knowing what it is that you're afraid of.</t>
  </si>
  <si>
    <t>sensation</t>
  </si>
  <si>
    <t>afraid</t>
  </si>
  <si>
    <t>even</t>
  </si>
  <si>
    <t>what</t>
  </si>
  <si>
    <t># text = And it was at that point that I began to think that it was just too painful to be alive, and that the only reason not to kill oneself was so as not to hurt other people.</t>
  </si>
  <si>
    <t>point</t>
  </si>
  <si>
    <t>just</t>
  </si>
  <si>
    <t>painful</t>
  </si>
  <si>
    <t>alive</t>
  </si>
  <si>
    <t>only</t>
  </si>
  <si>
    <t>reason</t>
  </si>
  <si>
    <t>kill</t>
  </si>
  <si>
    <t>oneself</t>
  </si>
  <si>
    <t>as</t>
  </si>
  <si>
    <t>hurt</t>
  </si>
  <si>
    <t># text = And finally one day, I woke up and I thought perhaps I'd had a stroke, because I lay in bed completely frozen, looking at the telephone, thinking, \"Something is wrong and I should call for help,\" and I couldn't reach out my arm and pick up the phone and dial.</t>
  </si>
  <si>
    <t>finally</t>
  </si>
  <si>
    <t>day</t>
  </si>
  <si>
    <t>woke</t>
  </si>
  <si>
    <t>perhaps</t>
  </si>
  <si>
    <t>stroke</t>
  </si>
  <si>
    <t>because</t>
  </si>
  <si>
    <t>lay</t>
  </si>
  <si>
    <t>bed</t>
  </si>
  <si>
    <t>completely</t>
  </si>
  <si>
    <t>frozen</t>
  </si>
  <si>
    <t>looking</t>
  </si>
  <si>
    <t>telephone</t>
  </si>
  <si>
    <t>Something</t>
  </si>
  <si>
    <t>wrong</t>
  </si>
  <si>
    <t>help</t>
  </si>
  <si>
    <t>reach</t>
  </si>
  <si>
    <t>arm</t>
  </si>
  <si>
    <t>pick</t>
  </si>
  <si>
    <t>phone</t>
  </si>
  <si>
    <t>dial</t>
  </si>
  <si>
    <t># text = And finally, after four full hours of my lying and staring at it, the phone rang, and somehow I managed to pick it up, and it was my father, and I said, \"I'm in serious trouble.</t>
  </si>
  <si>
    <t>after</t>
  </si>
  <si>
    <t>four</t>
  </si>
  <si>
    <t>full</t>
  </si>
  <si>
    <t>hours</t>
  </si>
  <si>
    <t>lying</t>
  </si>
  <si>
    <t>staring</t>
  </si>
  <si>
    <t>rang</t>
  </si>
  <si>
    <t>somehow</t>
  </si>
  <si>
    <t>managed</t>
  </si>
  <si>
    <t>father</t>
  </si>
  <si>
    <t>'m</t>
  </si>
  <si>
    <t>serious</t>
  </si>
  <si>
    <t>trouble</t>
  </si>
  <si>
    <t># text = We need to do something."</t>
  </si>
  <si>
    <t>something</t>
  </si>
  <si>
    <t># text = The next day I started with the medications and the therapy.</t>
  </si>
  <si>
    <t>started</t>
  </si>
  <si>
    <t>medications</t>
  </si>
  <si>
    <t>therapy</t>
  </si>
  <si>
    <t># text = And I also started reckoning with this terrible question:</t>
  </si>
  <si>
    <t>also</t>
  </si>
  <si>
    <t>reckoning</t>
  </si>
  <si>
    <t>this</t>
  </si>
  <si>
    <t>terrible</t>
  </si>
  <si>
    <t>question</t>
  </si>
  <si>
    <t>:</t>
  </si>
  <si>
    <t># text = If I'm not the tough person who could have made it through a concentration camp, then who am I?</t>
  </si>
  <si>
    <t>person</t>
  </si>
  <si>
    <t>made</t>
  </si>
  <si>
    <t>am</t>
  </si>
  <si>
    <t>?</t>
  </si>
  <si>
    <t># text = And if I have to take medication, is that medication making me more fully myself, or is it making me someone else?</t>
  </si>
  <si>
    <t>medication</t>
  </si>
  <si>
    <t>making</t>
  </si>
  <si>
    <t>more</t>
  </si>
  <si>
    <t>fully</t>
  </si>
  <si>
    <t>someone</t>
  </si>
  <si>
    <t>pron.pind</t>
  </si>
  <si>
    <t>else</t>
  </si>
  <si>
    <t># text = And how do I feel about it if it's making me someone else?</t>
  </si>
  <si>
    <t>how</t>
  </si>
  <si>
    <t>about</t>
  </si>
  <si>
    <t># text = I had two advantages as I went into the fight.</t>
  </si>
  <si>
    <t>two</t>
  </si>
  <si>
    <t>advantages</t>
  </si>
  <si>
    <t>went</t>
  </si>
  <si>
    <t>into</t>
  </si>
  <si>
    <t>fight</t>
  </si>
  <si>
    <t># text = The first is that I knew that, objectively speaking, I had a nice life, and that if I could only get well, there was something at the other end that was worth living for.</t>
  </si>
  <si>
    <t>first</t>
  </si>
  <si>
    <t>knew</t>
  </si>
  <si>
    <t>objectively</t>
  </si>
  <si>
    <t>speaking</t>
  </si>
  <si>
    <t>nice</t>
  </si>
  <si>
    <t>life</t>
  </si>
  <si>
    <t>well</t>
  </si>
  <si>
    <t>end</t>
  </si>
  <si>
    <t>def-np.the.other</t>
  </si>
  <si>
    <t>worth</t>
  </si>
  <si>
    <t>living</t>
  </si>
  <si>
    <t># text = And the other was that I had access to good treatment.</t>
  </si>
  <si>
    <t>access</t>
  </si>
  <si>
    <t>good</t>
  </si>
  <si>
    <t>treatment</t>
  </si>
  <si>
    <t># text = But I nonetheless emerged and relapsed, and emerged and relapsed, and finally understood I would have to be on medication and in therapy forever.</t>
  </si>
  <si>
    <t>emerged</t>
  </si>
  <si>
    <t>relapsed</t>
  </si>
  <si>
    <t>understood</t>
  </si>
  <si>
    <t>forever</t>
  </si>
  <si>
    <t># text = And I thought, "But is it a chemical problem or a psychological problem?</t>
  </si>
  <si>
    <t>chemical</t>
  </si>
  <si>
    <t>problem</t>
  </si>
  <si>
    <t>psychological</t>
  </si>
  <si>
    <t># text = And does it need a chemical cure or a philosophical cure?"</t>
  </si>
  <si>
    <t>cure</t>
  </si>
  <si>
    <t>philosophical</t>
  </si>
  <si>
    <t># text = And I couldn't figure out which it was.</t>
  </si>
  <si>
    <t>which</t>
  </si>
  <si>
    <t># text = And then I understood that actually, we aren't advanced enough in either area for it to explain things fully.</t>
  </si>
  <si>
    <t>actually</t>
  </si>
  <si>
    <t>advanced</t>
  </si>
  <si>
    <t>enough</t>
  </si>
  <si>
    <t>either</t>
  </si>
  <si>
    <t>area</t>
  </si>
  <si>
    <t>explain</t>
  </si>
  <si>
    <t># text = The chemical cure and the psychological cure both have a role to play, and I also figured out that depression was something that was braided so deep into us that there was no separating it from our character and personality.</t>
  </si>
  <si>
    <t>both</t>
  </si>
  <si>
    <t>role</t>
  </si>
  <si>
    <t>play</t>
  </si>
  <si>
    <t>figured</t>
  </si>
  <si>
    <t>braided</t>
  </si>
  <si>
    <t>deep</t>
  </si>
  <si>
    <t>us</t>
  </si>
  <si>
    <t>no</t>
  </si>
  <si>
    <t>separating</t>
  </si>
  <si>
    <t>OBJ_7</t>
  </si>
  <si>
    <t>our</t>
  </si>
  <si>
    <t>character</t>
  </si>
  <si>
    <t>personality</t>
  </si>
  <si>
    <t># text = I want to say that the treatments we have for depression are appalling.</t>
  </si>
  <si>
    <t>treatments</t>
  </si>
  <si>
    <t>appalling</t>
  </si>
  <si>
    <t># text = They're not very effective.</t>
  </si>
  <si>
    <t>They</t>
  </si>
  <si>
    <t>very</t>
  </si>
  <si>
    <t>effective</t>
  </si>
  <si>
    <t># text = They're extremely costly.</t>
  </si>
  <si>
    <t>extremely</t>
  </si>
  <si>
    <t>costly</t>
  </si>
  <si>
    <t># text = They come with innumerable side effects.</t>
  </si>
  <si>
    <t>innumerable</t>
  </si>
  <si>
    <t>side</t>
  </si>
  <si>
    <t>effects</t>
  </si>
  <si>
    <t># text = They're a disaster.</t>
  </si>
  <si>
    <t>disaster</t>
  </si>
  <si>
    <t># text = But I am so grateful that I live now and not 50 years ago, when there would have been almost nothing to be done.</t>
  </si>
  <si>
    <t>grateful</t>
  </si>
  <si>
    <t>now</t>
  </si>
  <si>
    <t>ago</t>
  </si>
  <si>
    <t>nothing</t>
  </si>
  <si>
    <t>done</t>
  </si>
  <si>
    <t># text = I hope that 50 years hence, people will hear about my treatments and be appalled that anyone endured such primitive science.</t>
  </si>
  <si>
    <t>hence</t>
  </si>
  <si>
    <t>will</t>
  </si>
  <si>
    <t>appalled</t>
  </si>
  <si>
    <t>anyone</t>
  </si>
  <si>
    <t>endured</t>
  </si>
  <si>
    <t>primitive</t>
  </si>
  <si>
    <t>science</t>
  </si>
  <si>
    <t># text = Depression is the flaw in love.</t>
  </si>
  <si>
    <t>Depression</t>
  </si>
  <si>
    <t>flaw</t>
  </si>
  <si>
    <t># text = If you were married to someone and thought, \"Well, if my wife dies, I'll find another one,\" it wouldn't be love as we know it.</t>
  </si>
  <si>
    <t>married</t>
  </si>
  <si>
    <t>Well</t>
  </si>
  <si>
    <t>wife</t>
  </si>
  <si>
    <t>dies</t>
  </si>
  <si>
    <t>another</t>
  </si>
  <si>
    <t># text = There's no such thing as love without the anticipation of loss, and that specter of despair can be the engine of intimacy.</t>
  </si>
  <si>
    <t>There</t>
  </si>
  <si>
    <t>thing</t>
  </si>
  <si>
    <t>without</t>
  </si>
  <si>
    <t>anticipation</t>
  </si>
  <si>
    <t>loss</t>
  </si>
  <si>
    <t>specter</t>
  </si>
  <si>
    <t>despair</t>
  </si>
  <si>
    <t>engine</t>
  </si>
  <si>
    <t>intimacy</t>
  </si>
  <si>
    <t># text = There are three things people tend to confuse: depression, grief and sadness.</t>
  </si>
  <si>
    <t>tend</t>
  </si>
  <si>
    <t>confuse</t>
  </si>
  <si>
    <t>grief</t>
  </si>
  <si>
    <t>sadness</t>
  </si>
  <si>
    <t># text = Grief is explicitly reactive.</t>
  </si>
  <si>
    <t>Grief</t>
  </si>
  <si>
    <t>explicitly</t>
  </si>
  <si>
    <t>reactive</t>
  </si>
  <si>
    <t># text = If you have a loss and you feel incredibly unhappy, and then, six months later, you are still deeply sad, but you're functioning a little better, it's probably grief, and it will probably ultimately resolve itself in some measure.</t>
  </si>
  <si>
    <t>incredibly</t>
  </si>
  <si>
    <t>unhappy</t>
  </si>
  <si>
    <t>still</t>
  </si>
  <si>
    <t>deeply</t>
  </si>
  <si>
    <t>sad</t>
  </si>
  <si>
    <t>functioning</t>
  </si>
  <si>
    <t>little</t>
  </si>
  <si>
    <t>better</t>
  </si>
  <si>
    <t>probably</t>
  </si>
  <si>
    <t>ultimately</t>
  </si>
  <si>
    <t>resolve</t>
  </si>
  <si>
    <t>itself</t>
  </si>
  <si>
    <t>measure</t>
  </si>
  <si>
    <t># text = If you experience a catastrophic loss, and you feel terrible, and six months later you can barely function at all, then it's probably a depression that was triggered by the catastrophic circumstances.</t>
  </si>
  <si>
    <t>experience</t>
  </si>
  <si>
    <t>catastrophic</t>
  </si>
  <si>
    <t>barely</t>
  </si>
  <si>
    <t>function</t>
  </si>
  <si>
    <t>triggered</t>
  </si>
  <si>
    <t>by</t>
  </si>
  <si>
    <t>circumstances</t>
  </si>
  <si>
    <t># text = The trajectory tells us a great deal.</t>
  </si>
  <si>
    <t>trajectory</t>
  </si>
  <si>
    <t>tells</t>
  </si>
  <si>
    <t>great</t>
  </si>
  <si>
    <t># text = People think of depression as being just sadness.</t>
  </si>
  <si>
    <t>People</t>
  </si>
  <si>
    <t># text = It's much, much too much sadness, much too much grief at far too slight a cause.</t>
  </si>
  <si>
    <t>far</t>
  </si>
  <si>
    <t>slight</t>
  </si>
  <si>
    <t>cause</t>
  </si>
  <si>
    <t># text = As I set out to understand depression, and to interview people who had experienced it, I found that there were people who seemed, on the surface, to have what sounded like relatively mild depression who were nonetheless utterly disabled by it.</t>
  </si>
  <si>
    <t>interview</t>
  </si>
  <si>
    <t>experienced</t>
  </si>
  <si>
    <t>surface</t>
  </si>
  <si>
    <t>sounded</t>
  </si>
  <si>
    <t>relatively</t>
  </si>
  <si>
    <t>mild</t>
  </si>
  <si>
    <t>SBJ_9</t>
  </si>
  <si>
    <t>utterly</t>
  </si>
  <si>
    <t>disabled</t>
  </si>
  <si>
    <t>other_9</t>
  </si>
  <si>
    <t># text = And there were other people who had what sounded as they described it like terribly severe depression who nonetheless had good lives in the interstices between their depressive episodes.</t>
  </si>
  <si>
    <t>described</t>
  </si>
  <si>
    <t>terribly</t>
  </si>
  <si>
    <t>severe</t>
  </si>
  <si>
    <t>lives</t>
  </si>
  <si>
    <t>interstices</t>
  </si>
  <si>
    <t>between</t>
  </si>
  <si>
    <t>depressive</t>
  </si>
  <si>
    <t>episodes</t>
  </si>
  <si>
    <t># text = And I set out to find out what it is that causes some people to be more resilient than other people.</t>
  </si>
  <si>
    <t>causes</t>
  </si>
  <si>
    <t>resilient</t>
  </si>
  <si>
    <t># text = What are the mechanisms that allow people to survive?</t>
  </si>
  <si>
    <t>mechanisms</t>
  </si>
  <si>
    <t>allow</t>
  </si>
  <si>
    <t># text = And I went out and I interviewed person after person who was suffering with depression.</t>
  </si>
  <si>
    <t>interviewed</t>
  </si>
  <si>
    <t>suffering</t>
  </si>
  <si>
    <t># text = One of the first people I interviewed described depression as a slower way of being dead, and that was a good thing for me to hear early on because it reminded me that that slow way of being dead can lead to actual deadness, that this is a serious business.</t>
  </si>
  <si>
    <t>One</t>
  </si>
  <si>
    <t>slower</t>
  </si>
  <si>
    <t>dead</t>
  </si>
  <si>
    <t>early</t>
  </si>
  <si>
    <t>reminded</t>
  </si>
  <si>
    <t>slow</t>
  </si>
  <si>
    <t>lead</t>
  </si>
  <si>
    <t>actual</t>
  </si>
  <si>
    <t>deadness</t>
  </si>
  <si>
    <t>business</t>
  </si>
  <si>
    <t># text = It's the leading disability worldwide, and people die of it every day.</t>
  </si>
  <si>
    <t>leading</t>
  </si>
  <si>
    <t>disability</t>
  </si>
  <si>
    <t>worldwide</t>
  </si>
  <si>
    <t># text = One of the people I talked to when I was trying to understand this was a beloved friend who I had known for many years, and who had had a psychotic episode in her freshman year of college, and then plummeted into a horrific depression.</t>
  </si>
  <si>
    <t>talked</t>
  </si>
  <si>
    <t>trying</t>
  </si>
  <si>
    <t>beloved</t>
  </si>
  <si>
    <t>friend</t>
  </si>
  <si>
    <t>known</t>
  </si>
  <si>
    <t>many</t>
  </si>
  <si>
    <t>psychotic</t>
  </si>
  <si>
    <t>episode</t>
  </si>
  <si>
    <t>her</t>
  </si>
  <si>
    <t>freshman</t>
  </si>
  <si>
    <t>year</t>
  </si>
  <si>
    <t>college</t>
  </si>
  <si>
    <t>plummeted</t>
  </si>
  <si>
    <t>horrific</t>
  </si>
  <si>
    <t># text = She had bipolar illness, or manic depression, as it was then known.</t>
  </si>
  <si>
    <t>She</t>
  </si>
  <si>
    <t>bipolar</t>
  </si>
  <si>
    <t>illness</t>
  </si>
  <si>
    <t>manic</t>
  </si>
  <si>
    <t># text = And then she did very well for many years on lithium, and then eventually, she was taken off her lithium to see how she would do without it, and she had another psychosis, and then plunged into the worst depression that I had ever seen in which she sat in her parents' apartment, more or less catatonic, essentially without moving, day after day after day.</t>
  </si>
  <si>
    <t>she</t>
  </si>
  <si>
    <t>lithium</t>
  </si>
  <si>
    <t>eventually</t>
  </si>
  <si>
    <t>taken</t>
  </si>
  <si>
    <t>off</t>
  </si>
  <si>
    <t>psychosis</t>
  </si>
  <si>
    <t>plunged</t>
  </si>
  <si>
    <t>worst</t>
  </si>
  <si>
    <t>ever</t>
  </si>
  <si>
    <t>seen</t>
  </si>
  <si>
    <t>sat</t>
  </si>
  <si>
    <t>parents</t>
  </si>
  <si>
    <t>'</t>
  </si>
  <si>
    <t>apartment</t>
  </si>
  <si>
    <t>catatonic</t>
  </si>
  <si>
    <t>essentially</t>
  </si>
  <si>
    <t>moving</t>
  </si>
  <si>
    <t># text = And when I interviewed her about that experience some years later -- she's a poet and psychotherapist named Maggie Robbins -- when I interviewed her, she said, \"I was singing 'Where Have All The Flowers Gone,' over and over, to occupy my mind.</t>
  </si>
  <si>
    <t>poet</t>
  </si>
  <si>
    <t>psychotherapist</t>
  </si>
  <si>
    <t>named</t>
  </si>
  <si>
    <t>Maggie</t>
  </si>
  <si>
    <t>Robbins</t>
  </si>
  <si>
    <t>singing</t>
  </si>
  <si>
    <t>Where</t>
  </si>
  <si>
    <t>Have</t>
  </si>
  <si>
    <t>All</t>
  </si>
  <si>
    <t>Flowers</t>
  </si>
  <si>
    <t>Gone</t>
  </si>
  <si>
    <t>occupy</t>
  </si>
  <si>
    <t>mind</t>
  </si>
  <si>
    <t># text = I was singing to blot out the things my mind was saying, which were, 'You are nothing.</t>
  </si>
  <si>
    <t>blot</t>
  </si>
  <si>
    <t>saying</t>
  </si>
  <si>
    <t># text = You are nobody.</t>
  </si>
  <si>
    <t>nobody</t>
  </si>
  <si>
    <t># text = You don't even deserve to live.'</t>
  </si>
  <si>
    <t># text = And that was when I really started thinking about killing myself.\"</t>
  </si>
  <si>
    <t>really</t>
  </si>
  <si>
    <t>killing</t>
  </si>
  <si>
    <t># text = You don't think in depression that you've put on a gray veil and are seeing the world through the haze of a bad mood.</t>
  </si>
  <si>
    <t>'ve</t>
  </si>
  <si>
    <t>gray</t>
  </si>
  <si>
    <t>veil</t>
  </si>
  <si>
    <t>seeing</t>
  </si>
  <si>
    <t>world</t>
  </si>
  <si>
    <t>haze</t>
  </si>
  <si>
    <t>bad</t>
  </si>
  <si>
    <t>mood</t>
  </si>
  <si>
    <t># text = You think that the veil has been taken away, the veil of happiness, and that now you're seeing truly.</t>
  </si>
  <si>
    <t>has</t>
  </si>
  <si>
    <t>truly</t>
  </si>
  <si>
    <t># text = It's easier to help schizophrenics who perceive that there's something foreign inside of them that needs to be exorcised, but it's difficult with depressives, because we believe we are seeing the truth.</t>
  </si>
  <si>
    <t>easier</t>
  </si>
  <si>
    <t>schizophrenics</t>
  </si>
  <si>
    <t>perceive</t>
  </si>
  <si>
    <t>foreign</t>
  </si>
  <si>
    <t>inside</t>
  </si>
  <si>
    <t>needs</t>
  </si>
  <si>
    <t>exorcised</t>
  </si>
  <si>
    <t>difficult</t>
  </si>
  <si>
    <t>depressives</t>
  </si>
  <si>
    <t>believe</t>
  </si>
  <si>
    <t>truth</t>
  </si>
  <si>
    <t># text = But the truth lies.</t>
  </si>
  <si>
    <t>lies</t>
  </si>
  <si>
    <t># text = I became obsessed with that sentence: "But the truth lies."</t>
  </si>
  <si>
    <t>became</t>
  </si>
  <si>
    <t>obsessed</t>
  </si>
  <si>
    <t>sentence</t>
  </si>
  <si>
    <t># text = And I discovered, as I talked to depressive people, that they have many delusional perceptions.</t>
  </si>
  <si>
    <t>discovered</t>
  </si>
  <si>
    <t>delusional</t>
  </si>
  <si>
    <t>perceptions</t>
  </si>
  <si>
    <t># text = People will say, \"No one loves me.\"</t>
  </si>
  <si>
    <t>No</t>
  </si>
  <si>
    <t>loves</t>
  </si>
  <si>
    <t># text = And you say, \"I love you, your wife loves you, your mother loves you.\"</t>
  </si>
  <si>
    <t>your</t>
  </si>
  <si>
    <t># text = You can answer that one pretty readily, at least for most people.</t>
  </si>
  <si>
    <t>pretty</t>
  </si>
  <si>
    <t>readily</t>
  </si>
  <si>
    <t>least</t>
  </si>
  <si>
    <t># text = But people who are depressed will also say, \"No matter what we do, we're all just going to die in the end.\"</t>
  </si>
  <si>
    <t>matter</t>
  </si>
  <si>
    <t># text = Or they'll say, "There can be no true communion between two human beings.</t>
  </si>
  <si>
    <t>true</t>
  </si>
  <si>
    <t>communion</t>
  </si>
  <si>
    <t>human</t>
  </si>
  <si>
    <t>beings</t>
  </si>
  <si>
    <t># text = Each of us is trapped in his own body."</t>
  </si>
  <si>
    <t>Each</t>
  </si>
  <si>
    <t>trapped</t>
  </si>
  <si>
    <t>his</t>
  </si>
  <si>
    <t>own</t>
  </si>
  <si>
    <t>body</t>
  </si>
  <si>
    <t># text = To which you have to say, "That's true, but I think we should focus right now on what to have for breakfast."</t>
  </si>
  <si>
    <t>To</t>
  </si>
  <si>
    <t>That</t>
  </si>
  <si>
    <t>focus</t>
  </si>
  <si>
    <t>right</t>
  </si>
  <si>
    <t>breakfast</t>
  </si>
  <si>
    <t># text = (Laughter)</t>
  </si>
  <si>
    <t>(</t>
  </si>
  <si>
    <t>Laughter</t>
  </si>
  <si>
    <t>)</t>
  </si>
  <si>
    <t># text = A lot of the time, what they are expressing is not illness, but insight, and one comes to think what's really extraordinary is that most of us know about those existential questions and they don't distract us very much.</t>
  </si>
  <si>
    <t>A</t>
  </si>
  <si>
    <t>expressing</t>
  </si>
  <si>
    <t>insight</t>
  </si>
  <si>
    <t>comes</t>
  </si>
  <si>
    <t>extraordinary</t>
  </si>
  <si>
    <t>existential</t>
  </si>
  <si>
    <t>questions</t>
  </si>
  <si>
    <t>distract</t>
  </si>
  <si>
    <t># text = There was a study I particularly liked in which a group of depressed and a group of non-depressed people were asked to play a video game for an hour, and at the end of the hour, they were asked how many little monsters they thought they had killed.</t>
  </si>
  <si>
    <t>study</t>
  </si>
  <si>
    <t>particularly</t>
  </si>
  <si>
    <t>liked</t>
  </si>
  <si>
    <t>group</t>
  </si>
  <si>
    <t>non-depressed</t>
  </si>
  <si>
    <t>asked</t>
  </si>
  <si>
    <t>video</t>
  </si>
  <si>
    <t>game</t>
  </si>
  <si>
    <t>monsters</t>
  </si>
  <si>
    <t>killed</t>
  </si>
  <si>
    <t># text = The depressive group was usually accurate to within about 10 percent, and the non-depressed people guessed between 15 and 20 times as many little monsters -- as they had actually killed.</t>
  </si>
  <si>
    <t>usually</t>
  </si>
  <si>
    <t>accurate</t>
  </si>
  <si>
    <t>within</t>
  </si>
  <si>
    <t>percent</t>
  </si>
  <si>
    <t>guessed</t>
  </si>
  <si>
    <t>times</t>
  </si>
  <si>
    <t># text = A lot of people said, when I chose to write about my depression, that it must be very difficult to be out of that closet, to have people know.</t>
  </si>
  <si>
    <t>chose</t>
  </si>
  <si>
    <t>write</t>
  </si>
  <si>
    <t>must</t>
  </si>
  <si>
    <t>closet</t>
  </si>
  <si>
    <t># text = They said, "Do people talk to you differently?"</t>
  </si>
  <si>
    <t>Do</t>
  </si>
  <si>
    <t>differently</t>
  </si>
  <si>
    <t># text = I said, "Yes, people talk to me differently.</t>
  </si>
  <si>
    <t>Yes</t>
  </si>
  <si>
    <t># text = They talk to me differently insofar as they start telling me about their experience, or their sister's experience, or their friend's experience.</t>
  </si>
  <si>
    <t>insofar</t>
  </si>
  <si>
    <t>telling</t>
  </si>
  <si>
    <t>sister</t>
  </si>
  <si>
    <t># text = Things are different because now I know that depression is the family secret that everyone has.</t>
  </si>
  <si>
    <t>Things</t>
  </si>
  <si>
    <t>different</t>
  </si>
  <si>
    <t>family</t>
  </si>
  <si>
    <t>secret</t>
  </si>
  <si>
    <t>everyone</t>
  </si>
  <si>
    <t># text = I went a few years ago to a conference, and on Friday of the three-day conference, one of the participants took me aside, and she said, "I suffer from depression and I'm a little embarrassed about it, but I've been taking this medication, and I just wanted to ask you what you think?"</t>
  </si>
  <si>
    <t>few</t>
  </si>
  <si>
    <t>conference</t>
  </si>
  <si>
    <t>Friday</t>
  </si>
  <si>
    <t>participants</t>
  </si>
  <si>
    <t>took</t>
  </si>
  <si>
    <t>aside</t>
  </si>
  <si>
    <t>suffer</t>
  </si>
  <si>
    <t>embarrassed</t>
  </si>
  <si>
    <t>taking</t>
  </si>
  <si>
    <t># text = And so I did my best to give her such advice as I could.</t>
  </si>
  <si>
    <t>give</t>
  </si>
  <si>
    <t>advice</t>
  </si>
  <si>
    <t># text = And then she said, "You know, my husband would never understand this.</t>
  </si>
  <si>
    <t>husband</t>
  </si>
  <si>
    <t>never</t>
  </si>
  <si>
    <t># text = He's really the kind of guy to whom this wouldn't make any sense, so, you know, it's just between us."</t>
  </si>
  <si>
    <t>He</t>
  </si>
  <si>
    <t>guy</t>
  </si>
  <si>
    <t>whom</t>
  </si>
  <si>
    <t>sense</t>
  </si>
  <si>
    <t># text = And I said,</t>
  </si>
  <si>
    <t># text = "Yes, that's fine."</t>
  </si>
  <si>
    <t>fine</t>
  </si>
  <si>
    <t># text = On Sunday of the same conference, her husband took me aside, and he said, "My wife wouldn't think that I was really much of a guy if she knew this, but I've been dealing with this depression and I'm taking some medication, and I wondered what you think?"</t>
  </si>
  <si>
    <t>On</t>
  </si>
  <si>
    <t>Sunday</t>
  </si>
  <si>
    <t>he</t>
  </si>
  <si>
    <t>dealing</t>
  </si>
  <si>
    <t>wondered</t>
  </si>
  <si>
    <t># text = They were hiding the same medication in two different places in the same bedroom.</t>
  </si>
  <si>
    <t>hiding</t>
  </si>
  <si>
    <t>places</t>
  </si>
  <si>
    <t>bedroom</t>
  </si>
  <si>
    <t># text = And I said that I thought communication within the marriage might be triggering some of their problems.</t>
  </si>
  <si>
    <t>communication</t>
  </si>
  <si>
    <t>marriage</t>
  </si>
  <si>
    <t>might</t>
  </si>
  <si>
    <t>triggering</t>
  </si>
  <si>
    <t>problems</t>
  </si>
  <si>
    <t># text = But I was also struck by the burdensome nature of such mutual secrecy.</t>
  </si>
  <si>
    <t>struck</t>
  </si>
  <si>
    <t>burdensome</t>
  </si>
  <si>
    <t>nature</t>
  </si>
  <si>
    <t>mutual</t>
  </si>
  <si>
    <t>secrecy</t>
  </si>
  <si>
    <t># text = Depression is so exhausting.</t>
  </si>
  <si>
    <t>exhausting</t>
  </si>
  <si>
    <t># text = It takes up so much of your time and energy, and silence about it, it really does make the depression worse.</t>
  </si>
  <si>
    <t>takes</t>
  </si>
  <si>
    <t>energy</t>
  </si>
  <si>
    <t>silence</t>
  </si>
  <si>
    <t>worse</t>
  </si>
  <si>
    <t># text = And then I began thinking about all the ways people make themselves better.</t>
  </si>
  <si>
    <t>ways</t>
  </si>
  <si>
    <t># text = I'd started off as a medical conservative.</t>
  </si>
  <si>
    <t>medical</t>
  </si>
  <si>
    <t>conservative</t>
  </si>
  <si>
    <t># text = I thought there were a few kinds of therapy that worked, it was clear what they were -- there was medication, there were certain psychotherapies, there was possibly electroconvulsive treatment, and that everything else was nonsense.</t>
  </si>
  <si>
    <t>kinds</t>
  </si>
  <si>
    <t>worked</t>
  </si>
  <si>
    <t>clear</t>
  </si>
  <si>
    <t>certain</t>
  </si>
  <si>
    <t>psychotherapies</t>
  </si>
  <si>
    <t>possibly</t>
  </si>
  <si>
    <t>electroconvulsive</t>
  </si>
  <si>
    <t>nonsense</t>
  </si>
  <si>
    <t># text = But then I discovered something.</t>
  </si>
  <si>
    <t># text = If you have brain cancer, and you say that standing on your head for 20 minutes every morning makes you feel better, it may make you feel better, but you still have brain cancer, and you'll still probably die from it.</t>
  </si>
  <si>
    <t>brain</t>
  </si>
  <si>
    <t>cancer</t>
  </si>
  <si>
    <t>standing</t>
  </si>
  <si>
    <t>head</t>
  </si>
  <si>
    <t>minutes</t>
  </si>
  <si>
    <t>morning</t>
  </si>
  <si>
    <t>makes</t>
  </si>
  <si>
    <t>may</t>
  </si>
  <si>
    <t># text = But if you say that you have depression, and standing on your head for 20 minutes every day makes you feel better, then it's worked, because depression is an illness of how you feel, and if you feel better, then you are effectively not depressed anymore.</t>
  </si>
  <si>
    <t>effectively</t>
  </si>
  <si>
    <t>anymore</t>
  </si>
  <si>
    <t># text = So I became much more tolerant of the vast world of alternative treatments.</t>
  </si>
  <si>
    <t>So</t>
  </si>
  <si>
    <t>tolerant</t>
  </si>
  <si>
    <t>vast</t>
  </si>
  <si>
    <t>alternative</t>
  </si>
  <si>
    <t># text = And I get letters, I get hundreds of letters from people writing to tell me about what's worked for them.</t>
  </si>
  <si>
    <t>letters</t>
  </si>
  <si>
    <t>hundreds</t>
  </si>
  <si>
    <t>writing</t>
  </si>
  <si>
    <t># text = Someone was asking me backstage today about meditation.</t>
  </si>
  <si>
    <t>Someone</t>
  </si>
  <si>
    <t>asking</t>
  </si>
  <si>
    <t>backstage</t>
  </si>
  <si>
    <t>today</t>
  </si>
  <si>
    <t>meditation</t>
  </si>
  <si>
    <t># text = My favorite of the letters that I got was the one that came from a woman who wrote and said that she had tried therapy, medication, she had tried pretty much everything, and she had found a solution and hoped I would tell the world, and that was making little things from yarn.</t>
  </si>
  <si>
    <t>favorite</t>
  </si>
  <si>
    <t>came</t>
  </si>
  <si>
    <t>woman</t>
  </si>
  <si>
    <t>wrote</t>
  </si>
  <si>
    <t>tried</t>
  </si>
  <si>
    <t>solution</t>
  </si>
  <si>
    <t>hoped</t>
  </si>
  <si>
    <t>yarn</t>
  </si>
  <si>
    <t># text = She sent me some of them.</t>
  </si>
  <si>
    <t># text = And I'm not wearing them right now.</t>
  </si>
  <si>
    <t>wearing</t>
  </si>
  <si>
    <t># text = I suggested to her that she also should look up obsessive compulsive disorder in the DSM.</t>
  </si>
  <si>
    <t>suggested</t>
  </si>
  <si>
    <t>look</t>
  </si>
  <si>
    <t>obsessive</t>
  </si>
  <si>
    <t>compulsive</t>
  </si>
  <si>
    <t>disorder</t>
  </si>
  <si>
    <t>DSM</t>
  </si>
  <si>
    <t># text = And yet, when I went to look at alternative treatments, I also gained perspective on other treatments.</t>
  </si>
  <si>
    <t>gained</t>
  </si>
  <si>
    <t>perspective</t>
  </si>
  <si>
    <t># text = I went through a tribal exorcism in Senegal that involved a great deal of ram's blood and that I'm not going to detail right now, but a few years afterwards I was in Rwanda, working on a different project, and I happened to describe my experience to someone, and he said, \"Well, that's West Africa, and we're in East Africa, and our rituals are in some ways very different, but we do have some rituals that have something in common with what you're describing.\"</t>
  </si>
  <si>
    <t>tribal</t>
  </si>
  <si>
    <t>exorcism</t>
  </si>
  <si>
    <t>Senegal</t>
  </si>
  <si>
    <t>involved</t>
  </si>
  <si>
    <t>ram</t>
  </si>
  <si>
    <t>blood</t>
  </si>
  <si>
    <t>detail</t>
  </si>
  <si>
    <t>afterwards</t>
  </si>
  <si>
    <t>Rwanda</t>
  </si>
  <si>
    <t>working</t>
  </si>
  <si>
    <t>project</t>
  </si>
  <si>
    <t>happened</t>
  </si>
  <si>
    <t>West</t>
  </si>
  <si>
    <t>Africa</t>
  </si>
  <si>
    <t>SBJ_10</t>
  </si>
  <si>
    <t>East</t>
  </si>
  <si>
    <t>other_11</t>
  </si>
  <si>
    <t>rituals</t>
  </si>
  <si>
    <t>OBJ_10</t>
  </si>
  <si>
    <t>SBJ_12</t>
  </si>
  <si>
    <t>OBJ_12</t>
  </si>
  <si>
    <t>common</t>
  </si>
  <si>
    <t>other_14</t>
  </si>
  <si>
    <t>SBJ_16</t>
  </si>
  <si>
    <t>describing</t>
  </si>
  <si>
    <t># text = And he said, \"But we've had a lot of trouble with Western mental health workers, especially the ones who came right after the genocide.\"</t>
  </si>
  <si>
    <t>Western</t>
  </si>
  <si>
    <t>mental</t>
  </si>
  <si>
    <t>health</t>
  </si>
  <si>
    <t>workers</t>
  </si>
  <si>
    <t>especially</t>
  </si>
  <si>
    <t>ones</t>
  </si>
  <si>
    <t>genocide</t>
  </si>
  <si>
    <t># text = I said, \"What kind of trouble did you have?\"</t>
  </si>
  <si>
    <t># text = And he said, "Well, they would do this bizarre thing.</t>
  </si>
  <si>
    <t>bizarre</t>
  </si>
  <si>
    <t># text = They didn't take people out in the sunshine where you begin to feel better.</t>
  </si>
  <si>
    <t>sunshine</t>
  </si>
  <si>
    <t>where</t>
  </si>
  <si>
    <t># text = They didn't include drumming or music to get people's blood going.</t>
  </si>
  <si>
    <t>drumming</t>
  </si>
  <si>
    <t>music</t>
  </si>
  <si>
    <t># text = They didn't involve the whole community.</t>
  </si>
  <si>
    <t>whole</t>
  </si>
  <si>
    <t>community</t>
  </si>
  <si>
    <t># text = They didn't externalize the depression as an invasive spirit.</t>
  </si>
  <si>
    <t>invasive</t>
  </si>
  <si>
    <t>spirit</t>
  </si>
  <si>
    <t># text = Instead what they did was they took people one at a time into dingy little rooms and had them talk for an hour about bad things that had happened to them.\"</t>
  </si>
  <si>
    <t>Instead</t>
  </si>
  <si>
    <t>dingy</t>
  </si>
  <si>
    <t>rooms</t>
  </si>
  <si>
    <t># text = (Applause)</t>
  </si>
  <si>
    <t># text = He said, \"We had to ask them to leave the country.\"</t>
  </si>
  <si>
    <t>leave</t>
  </si>
  <si>
    <t>country</t>
  </si>
  <si>
    <t># text = Now at the other end of alternative treatments, let me tell you about Frank Russakoff.</t>
  </si>
  <si>
    <t>Now</t>
  </si>
  <si>
    <t>Frank</t>
  </si>
  <si>
    <t>Russakoff</t>
  </si>
  <si>
    <t># text = Frank Russakoff had the worst depression perhaps that I've ever seen in a man.</t>
  </si>
  <si>
    <t>man</t>
  </si>
  <si>
    <t># text = He was constantly depressed.</t>
  </si>
  <si>
    <t>constantly</t>
  </si>
  <si>
    <t># text = He was, when I met him, at a point at which every month, he would have electroshock treatment.</t>
  </si>
  <si>
    <t>met</t>
  </si>
  <si>
    <t>him</t>
  </si>
  <si>
    <t>electroshock</t>
  </si>
  <si>
    <t># text = Then he would feel sort of disoriented for a week.</t>
  </si>
  <si>
    <t>Then</t>
  </si>
  <si>
    <t>sort</t>
  </si>
  <si>
    <t>disoriented</t>
  </si>
  <si>
    <t>week</t>
  </si>
  <si>
    <t># text = Then he would feel okay for a week.</t>
  </si>
  <si>
    <t>okay</t>
  </si>
  <si>
    <t># text = Then he would have a week of going downhill.</t>
  </si>
  <si>
    <t>downhill</t>
  </si>
  <si>
    <t># text = And then he would have another electroshock treatment.</t>
  </si>
  <si>
    <t># text = And he said to me when I met him, \"It's unbearable to go through my weeks this way.</t>
  </si>
  <si>
    <t>unbearable</t>
  </si>
  <si>
    <t>weeks</t>
  </si>
  <si>
    <t># text = I can't go on this way, and I've figured out how I'm going to end it if I don't get better.\"</t>
  </si>
  <si>
    <t>ca</t>
  </si>
  <si>
    <t># text = \"But,\" he said to me, \"I heard about a protocol at Mass General for a procedure called a cingulotomy, which is a brain surgery, and I think I'm going to give that a try.\"</t>
  </si>
  <si>
    <t>protocol</t>
  </si>
  <si>
    <t>Mass</t>
  </si>
  <si>
    <t>General</t>
  </si>
  <si>
    <t>procedure</t>
  </si>
  <si>
    <t>called</t>
  </si>
  <si>
    <t>cingulotomy</t>
  </si>
  <si>
    <t>surgery</t>
  </si>
  <si>
    <t>try</t>
  </si>
  <si>
    <t># text = And I remember being amazed at that point to think that someone who clearly had so many bad experiences with so many different treatments still had buried in him, somewhere, enough optimism to reach out for one more.</t>
  </si>
  <si>
    <t>amazed</t>
  </si>
  <si>
    <t>clearly</t>
  </si>
  <si>
    <t>buried</t>
  </si>
  <si>
    <t>somewhere</t>
  </si>
  <si>
    <t>optimism</t>
  </si>
  <si>
    <t># text = And he had the cingulotomy, and it was incredibly successful.</t>
  </si>
  <si>
    <t>successful</t>
  </si>
  <si>
    <t># text = He's now a friend of mine.</t>
  </si>
  <si>
    <t>mine</t>
  </si>
  <si>
    <t># text = He has a lovely wife and two beautiful children.</t>
  </si>
  <si>
    <t>lovely</t>
  </si>
  <si>
    <t>beautiful</t>
  </si>
  <si>
    <t>children</t>
  </si>
  <si>
    <t># text = He wrote me a letter the Christmas after the surgery, \"My father sent me two presents this year, First, a motorized CD rack from The Sharper Image that I didn't really need, but I knew he was giving it to me to celebrate the fact that I'm living on my own and have a job I seem to love.</t>
  </si>
  <si>
    <t>letter</t>
  </si>
  <si>
    <t>Christmas</t>
  </si>
  <si>
    <t>presents</t>
  </si>
  <si>
    <t>First</t>
  </si>
  <si>
    <t>motorized</t>
  </si>
  <si>
    <t>CD</t>
  </si>
  <si>
    <t>rack</t>
  </si>
  <si>
    <t>Sharper</t>
  </si>
  <si>
    <t>Image</t>
  </si>
  <si>
    <t>giving</t>
  </si>
  <si>
    <t>celebrate</t>
  </si>
  <si>
    <t>fact</t>
  </si>
  <si>
    <t>job</t>
  </si>
  <si>
    <t>seem</t>
  </si>
  <si>
    <t># text = And the other present was a photo of my grandmother, who committed suicide.</t>
  </si>
  <si>
    <t>present</t>
  </si>
  <si>
    <t>photo</t>
  </si>
  <si>
    <t>grandmother</t>
  </si>
  <si>
    <t>committed</t>
  </si>
  <si>
    <t>suicide</t>
  </si>
  <si>
    <t># text = As I unwrapped it, I began to cry, and my mother came over and said, 'Are you crying because of the relatives you never knew?'</t>
  </si>
  <si>
    <t>unwrapped</t>
  </si>
  <si>
    <t>cry</t>
  </si>
  <si>
    <t>Are</t>
  </si>
  <si>
    <t>crying</t>
  </si>
  <si>
    <t>relatives</t>
  </si>
  <si>
    <t># text = And I said, 'She had the same disease I have.'</t>
  </si>
  <si>
    <t>disease</t>
  </si>
  <si>
    <t># text = I'm crying now as I write to you.</t>
  </si>
  <si>
    <t># text = It's not that I'm so sad, but I get overwhelmed, I think, because I could have killed myself, but my parents kept me going, and so did the doctors, and I had the surgery.</t>
  </si>
  <si>
    <t>overwhelmed</t>
  </si>
  <si>
    <t>doctors</t>
  </si>
  <si>
    <t># text = I'm alive and grateful.</t>
  </si>
  <si>
    <t># text = We live in the right time, even if it doesn't always feel like it.\"</t>
  </si>
  <si>
    <t># text = I was struck by the fact that depression is broadly perceived to be a modern, Western, middle-class thing, and I went to look at how it operated in a variety of other contexts, and one of the things I was most interested in was depression among the indigent.</t>
  </si>
  <si>
    <t>broadly</t>
  </si>
  <si>
    <t>perceived</t>
  </si>
  <si>
    <t>modern</t>
  </si>
  <si>
    <t>middle</t>
  </si>
  <si>
    <t>class</t>
  </si>
  <si>
    <t>operated</t>
  </si>
  <si>
    <t>variety</t>
  </si>
  <si>
    <t>contexts</t>
  </si>
  <si>
    <t>interested</t>
  </si>
  <si>
    <t>among</t>
  </si>
  <si>
    <t>indigent</t>
  </si>
  <si>
    <t># text = And so I went out to try to look at what was being done for poor people with depression.</t>
  </si>
  <si>
    <t>poor</t>
  </si>
  <si>
    <t># text = And what I discovered is that poor people are mostly not being treated for depression.</t>
  </si>
  <si>
    <t>mostly</t>
  </si>
  <si>
    <t>treated</t>
  </si>
  <si>
    <t># text = Depression is the result of a genetic vulnerability, which is presumably evenly distributed in the population, and triggering circumstances, which are likely to be more severe for people who are impoverished.</t>
  </si>
  <si>
    <t>result</t>
  </si>
  <si>
    <t>genetic</t>
  </si>
  <si>
    <t>vulnerability</t>
  </si>
  <si>
    <t>presumably</t>
  </si>
  <si>
    <t>evenly</t>
  </si>
  <si>
    <t>distributed</t>
  </si>
  <si>
    <t>population</t>
  </si>
  <si>
    <t>likely</t>
  </si>
  <si>
    <t>impoverished</t>
  </si>
  <si>
    <t># text = And yet it turns out that if you have a really lovely life but feel miserable all the time, you think, \"Why do I feel like this?</t>
  </si>
  <si>
    <t>turns</t>
  </si>
  <si>
    <t>miserable</t>
  </si>
  <si>
    <t>Why</t>
  </si>
  <si>
    <t># text = I must have depression."</t>
  </si>
  <si>
    <t># text = And you set out to find treatment for it.</t>
  </si>
  <si>
    <t># text = But if you have a perfectly awful life, and you feel miserable all the time, the way you feel is commensurate with your life, and it doesn't occur to you to think, \"Maybe this is treatable.\"</t>
  </si>
  <si>
    <t>perfectly</t>
  </si>
  <si>
    <t>awful</t>
  </si>
  <si>
    <t>commensurate</t>
  </si>
  <si>
    <t>occur</t>
  </si>
  <si>
    <t>Maybe</t>
  </si>
  <si>
    <t>treatable</t>
  </si>
  <si>
    <t># text = And so we have an epidemic in this country of depression among impoverished people that's not being picked up and that's not being treated and that's not being addressed, and it's a tragedy of a grand order.</t>
  </si>
  <si>
    <t>epidemic</t>
  </si>
  <si>
    <t>picked</t>
  </si>
  <si>
    <t>addressed</t>
  </si>
  <si>
    <t>tragedy</t>
  </si>
  <si>
    <t>grand</t>
  </si>
  <si>
    <t>order</t>
  </si>
  <si>
    <t># text = And so I found an academic who was doing a research project in slums outside of D.C., where she picked up women who had come in for other health problems and diagnosed them with depression, and then provided six months of the experimental protocol.</t>
  </si>
  <si>
    <t>academic</t>
  </si>
  <si>
    <t>research</t>
  </si>
  <si>
    <t>slums</t>
  </si>
  <si>
    <t>outside</t>
  </si>
  <si>
    <t>D.C.</t>
  </si>
  <si>
    <t>women</t>
  </si>
  <si>
    <t>diagnosed</t>
  </si>
  <si>
    <t>provided</t>
  </si>
  <si>
    <t>experimental</t>
  </si>
  <si>
    <t># text = One of them, Lolly, came in, and this is what she said the day she came in.</t>
  </si>
  <si>
    <t>Lolly</t>
  </si>
  <si>
    <t># text = She said, and she was a woman, by the way, who had seven children.</t>
  </si>
  <si>
    <t>seven</t>
  </si>
  <si>
    <t># text = She said, \"I used to have a job but I had to give it up because I couldn't go out of the house.</t>
  </si>
  <si>
    <t>used</t>
  </si>
  <si>
    <t>house</t>
  </si>
  <si>
    <t># text = I have nothing to say to my children.</t>
  </si>
  <si>
    <t># text = In the morning, I can't wait for them to leave, and then I climb in bed and pull the covers over my head, and three o'clock when they come home, it just comes so fast."</t>
  </si>
  <si>
    <t>climb</t>
  </si>
  <si>
    <t>pull</t>
  </si>
  <si>
    <t>covers</t>
  </si>
  <si>
    <t>o'clock</t>
  </si>
  <si>
    <t>fast</t>
  </si>
  <si>
    <t># text = She said, "I've been taking a lot of Tylenol, anything I can take so that I can sleep more.</t>
  </si>
  <si>
    <t>Tylenol</t>
  </si>
  <si>
    <t>anything</t>
  </si>
  <si>
    <t>sleep</t>
  </si>
  <si>
    <t># text = My husband has been telling me I'm stupid, I'm ugly.</t>
  </si>
  <si>
    <t>stupid</t>
  </si>
  <si>
    <t>ugly</t>
  </si>
  <si>
    <t># text = I wish I could stop the pain."</t>
  </si>
  <si>
    <t>stop</t>
  </si>
  <si>
    <t>pain</t>
  </si>
  <si>
    <t># text = Well, she was brought into this experimental protocol, and when I interviewed her six months later, she had taken a job working in childcare for the U.S. Navy, she had left the abusive husband, and she said to me, "My kids are so much happier now."</t>
  </si>
  <si>
    <t>brought</t>
  </si>
  <si>
    <t>childcare</t>
  </si>
  <si>
    <t>U.S.</t>
  </si>
  <si>
    <t>Navy</t>
  </si>
  <si>
    <t>left</t>
  </si>
  <si>
    <t>abusive</t>
  </si>
  <si>
    <t>kids</t>
  </si>
  <si>
    <t>happier</t>
  </si>
  <si>
    <t># text = She said, "There's one room in my new place for the boys and one room for the girls, but at night, they're just all up on my bed, and we're doing homework all together and everything.</t>
  </si>
  <si>
    <t>room</t>
  </si>
  <si>
    <t>new</t>
  </si>
  <si>
    <t>place</t>
  </si>
  <si>
    <t>boys</t>
  </si>
  <si>
    <t>girls</t>
  </si>
  <si>
    <t>night</t>
  </si>
  <si>
    <t>homework</t>
  </si>
  <si>
    <t>together</t>
  </si>
  <si>
    <t># text = One of them wants to be a preacher, one of them wants to be a firefighter, and one of the girls says she's going to be a lawyer.</t>
  </si>
  <si>
    <t>wants</t>
  </si>
  <si>
    <t>preacher</t>
  </si>
  <si>
    <t>firefighter</t>
  </si>
  <si>
    <t>says</t>
  </si>
  <si>
    <t>lawyer</t>
  </si>
  <si>
    <t># text = They don't cry like they used to, and they don't fight like they did.</t>
  </si>
  <si>
    <t># text = That's all I need now, is my kids.</t>
  </si>
  <si>
    <t># text = Things keep on changing, the way I dress, the way I feel, the way I act.</t>
  </si>
  <si>
    <t>changing</t>
  </si>
  <si>
    <t>dress</t>
  </si>
  <si>
    <t>act</t>
  </si>
  <si>
    <t># text = I can go outside not being afraid anymore, and I don't think those bad feelings are coming back, and if it weren't for Dr. Miranda and that, I would still be at home with the covers pulled over my head, if I were still alive at all.</t>
  </si>
  <si>
    <t>feelings</t>
  </si>
  <si>
    <t>coming</t>
  </si>
  <si>
    <t>Dr.</t>
  </si>
  <si>
    <t>Miranda</t>
  </si>
  <si>
    <t>pulled</t>
  </si>
  <si>
    <t># text = I asked the Lord to send me an angel, and He heard my prayers.\"</t>
  </si>
  <si>
    <t>Lord</t>
  </si>
  <si>
    <t>angel</t>
  </si>
  <si>
    <t>prayers</t>
  </si>
  <si>
    <t># text = I was really moved by these experiences, and I decided that I wanted to write about them not only in a book I was working on, but also in an article, and I got a commission from The New York Times Magazine to write about depression among the indigent.</t>
  </si>
  <si>
    <t>these</t>
  </si>
  <si>
    <t>decided</t>
  </si>
  <si>
    <t>book</t>
  </si>
  <si>
    <t>article</t>
  </si>
  <si>
    <t>commission</t>
  </si>
  <si>
    <t>New</t>
  </si>
  <si>
    <t>York</t>
  </si>
  <si>
    <t>Times</t>
  </si>
  <si>
    <t>Magazine</t>
  </si>
  <si>
    <t># text = And I turned in my story, and my editor called me and said, \"We really can't publish this.\"</t>
  </si>
  <si>
    <t>turned</t>
  </si>
  <si>
    <t>story</t>
  </si>
  <si>
    <t>editor</t>
  </si>
  <si>
    <t>publish</t>
  </si>
  <si>
    <t># text = And I said, \"Why not?\"</t>
  </si>
  <si>
    <t># text = And she said, "It just is too far-fetched.</t>
  </si>
  <si>
    <t>far-</t>
  </si>
  <si>
    <t>fetched</t>
  </si>
  <si>
    <t># text = These people who are sort of at the very bottom rung of society and then they get a few months of treatment and they're virtually ready to run Morgan Stanley?</t>
  </si>
  <si>
    <t>These</t>
  </si>
  <si>
    <t>bottom</t>
  </si>
  <si>
    <t>rung</t>
  </si>
  <si>
    <t>society</t>
  </si>
  <si>
    <t>virtually</t>
  </si>
  <si>
    <t>ready</t>
  </si>
  <si>
    <t>run</t>
  </si>
  <si>
    <t>Morgan</t>
  </si>
  <si>
    <t>Stanley</t>
  </si>
  <si>
    <t># text = It's just too implausible."</t>
  </si>
  <si>
    <t>implausible</t>
  </si>
  <si>
    <t># text = She said, \"I've never even heard of anything like it.\"</t>
  </si>
  <si>
    <t># text = And I said, \"The fact that you've never heard of it is an indication that it is news.\"</t>
  </si>
  <si>
    <t>indication</t>
  </si>
  <si>
    <t>news</t>
  </si>
  <si>
    <t># text = "And you are a news magazine."</t>
  </si>
  <si>
    <t>magazine</t>
  </si>
  <si>
    <t># text = So after a certain amount of negotiation, they agreed to it.</t>
  </si>
  <si>
    <t>amount</t>
  </si>
  <si>
    <t>negotiation</t>
  </si>
  <si>
    <t>agreed</t>
  </si>
  <si>
    <t># text = But I think a lot of what they said was connected in some strange way to this distaste that people still have for the idea of treatment, the notion that somehow if we went out and treated a lot of people in indigent communities, that would be exploitative, because we would be changing them.</t>
  </si>
  <si>
    <t>connected</t>
  </si>
  <si>
    <t>distaste</t>
  </si>
  <si>
    <t>idea</t>
  </si>
  <si>
    <t>notion</t>
  </si>
  <si>
    <t>communities</t>
  </si>
  <si>
    <t>exploitative</t>
  </si>
  <si>
    <t># text = There is this false moral imperative that seems to be all around us, that treatment of depression, the medications and so on, are an artifice, and that it's not natural.</t>
  </si>
  <si>
    <t>false</t>
  </si>
  <si>
    <t>moral</t>
  </si>
  <si>
    <t>imperative</t>
  </si>
  <si>
    <t>seems</t>
  </si>
  <si>
    <t>artifice</t>
  </si>
  <si>
    <t>natural</t>
  </si>
  <si>
    <t># text = And I think that's very misguided.</t>
  </si>
  <si>
    <t>misguided</t>
  </si>
  <si>
    <t># text = It would be natural for people's teeth to fall out, but there is nobody militating against toothpaste, at least not in my circles.</t>
  </si>
  <si>
    <t>teeth</t>
  </si>
  <si>
    <t>fall</t>
  </si>
  <si>
    <t>militating</t>
  </si>
  <si>
    <t>against</t>
  </si>
  <si>
    <t>toothpaste</t>
  </si>
  <si>
    <t>circles</t>
  </si>
  <si>
    <t># text = People then say, \"But isn't depression part of what people are supposed to experience?</t>
  </si>
  <si>
    <t>part</t>
  </si>
  <si>
    <t>supposed</t>
  </si>
  <si>
    <t># text = Didn't we evolve to have depression?</t>
  </si>
  <si>
    <t>Did</t>
  </si>
  <si>
    <t>evolve</t>
  </si>
  <si>
    <t># text = Isn't it part of your personality?"</t>
  </si>
  <si>
    <t>Is</t>
  </si>
  <si>
    <t># text = To which I would say, mood is adaptive.</t>
  </si>
  <si>
    <t>adaptive</t>
  </si>
  <si>
    <t># text = Being able to have sadness and fear and joy and pleasure and all of the other moods that we have, that's incredibly valuable.</t>
  </si>
  <si>
    <t>fear</t>
  </si>
  <si>
    <t>joy</t>
  </si>
  <si>
    <t>pleasure</t>
  </si>
  <si>
    <t>moods</t>
  </si>
  <si>
    <t>valuable</t>
  </si>
  <si>
    <t># text = And major depression is something that happens when that system gets broken.</t>
  </si>
  <si>
    <t>major</t>
  </si>
  <si>
    <t>happens</t>
  </si>
  <si>
    <t>system</t>
  </si>
  <si>
    <t>broken</t>
  </si>
  <si>
    <t># text = It's maladaptive.</t>
  </si>
  <si>
    <t>maladaptive</t>
  </si>
  <si>
    <t># text = People will come to me and say, "I think, though, if I just stick it out for another year, I think I can just get through this."</t>
  </si>
  <si>
    <t>though</t>
  </si>
  <si>
    <t>stick</t>
  </si>
  <si>
    <t># text = And I always say to them, \"You may get through it, but you'll never be 37 again.</t>
  </si>
  <si>
    <t># text = Life is short, and that's a whole year you're talking about giving up.</t>
  </si>
  <si>
    <t>Life</t>
  </si>
  <si>
    <t>short</t>
  </si>
  <si>
    <t>talking</t>
  </si>
  <si>
    <t># text = Think it through.\"</t>
  </si>
  <si>
    <t>Think</t>
  </si>
  <si>
    <t># text = It's a strange poverty of the English language, and indeed of many other languages, that we use this same word, depression, to describe how a kid feels when it rains on his birthday, and to describe how somebody feels the minute before they commit suicide.</t>
  </si>
  <si>
    <t>poverty</t>
  </si>
  <si>
    <t>English</t>
  </si>
  <si>
    <t>indeed</t>
  </si>
  <si>
    <t>languages</t>
  </si>
  <si>
    <t>use</t>
  </si>
  <si>
    <t>word</t>
  </si>
  <si>
    <t>kid</t>
  </si>
  <si>
    <t>feels</t>
  </si>
  <si>
    <t>rains</t>
  </si>
  <si>
    <t>birthday</t>
  </si>
  <si>
    <t>somebody</t>
  </si>
  <si>
    <t>minute</t>
  </si>
  <si>
    <t>before</t>
  </si>
  <si>
    <t>commit</t>
  </si>
  <si>
    <t># text = People say to me, "Well, is it continuous with normal sadness?"</t>
  </si>
  <si>
    <t>continuous</t>
  </si>
  <si>
    <t>normal</t>
  </si>
  <si>
    <t># text = And I say, in a way it's continuous with normal sadness.</t>
  </si>
  <si>
    <t># text = There is a certain amount of continuity, but it's the same way there's continuity between having an iron fence outside your house that gets a little rust spot that you have to sand off and do a little repainting, and what happens if you leave the house for 100 years and it rusts through until it's only a pile of orange dust.</t>
  </si>
  <si>
    <t>continuity</t>
  </si>
  <si>
    <t>having</t>
  </si>
  <si>
    <t>iron</t>
  </si>
  <si>
    <t>fence</t>
  </si>
  <si>
    <t>rust</t>
  </si>
  <si>
    <t>spot</t>
  </si>
  <si>
    <t>OBJ_9</t>
  </si>
  <si>
    <t>sand</t>
  </si>
  <si>
    <t>repainting</t>
  </si>
  <si>
    <t>OBJ_11</t>
  </si>
  <si>
    <t>rusts</t>
  </si>
  <si>
    <t>until</t>
  </si>
  <si>
    <t>pile</t>
  </si>
  <si>
    <t>orange</t>
  </si>
  <si>
    <t>dust</t>
  </si>
  <si>
    <t># text = And it's that orange dust spot, that orange dust problem, that's the one we're setting out to address.</t>
  </si>
  <si>
    <t>setting</t>
  </si>
  <si>
    <t>address</t>
  </si>
  <si>
    <t># text = So now people say, \"You take these happy pills, and do you feel happy?\"</t>
  </si>
  <si>
    <t>happy</t>
  </si>
  <si>
    <t>pills</t>
  </si>
  <si>
    <t># text = And I don't.</t>
  </si>
  <si>
    <t># text = But I don't feel sad about having to eat lunch, and I don't feel sad about my answering machine, about taking a shower.</t>
  </si>
  <si>
    <t># text = I feel more, in fact, I think, because I can feel sadness without nullity.</t>
  </si>
  <si>
    <t># text = I feel sad about professional disappointments, about damaged relationships, about global warming.</t>
  </si>
  <si>
    <t>professional</t>
  </si>
  <si>
    <t>disappointments</t>
  </si>
  <si>
    <t>damaged</t>
  </si>
  <si>
    <t>relationships</t>
  </si>
  <si>
    <t>global</t>
  </si>
  <si>
    <t>warming</t>
  </si>
  <si>
    <t># text = Those are the things that I feel sad about now.</t>
  </si>
  <si>
    <t>Those</t>
  </si>
  <si>
    <t># text = And I said to myself, well, what is the conclusion?</t>
  </si>
  <si>
    <t>conclusion</t>
  </si>
  <si>
    <t># text = How did those people who have better lives even with bigger depression manage to get through?</t>
  </si>
  <si>
    <t>How</t>
  </si>
  <si>
    <t>bigger</t>
  </si>
  <si>
    <t># text = What is the mechanism of resilience?</t>
  </si>
  <si>
    <t>mechanism</t>
  </si>
  <si>
    <t>resilience</t>
  </si>
  <si>
    <t># text = And what I came up with over time was that the people who deny their experience, and say, "I was depressed a long time ago, I never want to think about it again, I'm not going to look at it and I'm just going to get on with my life," ironically, those are the people who are most enslaved by what they have.</t>
  </si>
  <si>
    <t>deny</t>
  </si>
  <si>
    <t>other_10</t>
  </si>
  <si>
    <t>ironically</t>
  </si>
  <si>
    <t>enslaved</t>
  </si>
  <si>
    <t># text = Shutting out the depression strengthens it.</t>
  </si>
  <si>
    <t>Shutting</t>
  </si>
  <si>
    <t>strengthens</t>
  </si>
  <si>
    <t># text = While you hide from it, it grows.</t>
  </si>
  <si>
    <t>While</t>
  </si>
  <si>
    <t>grows</t>
  </si>
  <si>
    <t># text = And the people who do better are the ones who are able to tolerate the fact that they have this condition.</t>
  </si>
  <si>
    <t>tolerate</t>
  </si>
  <si>
    <t>condition</t>
  </si>
  <si>
    <t># text = Those who can tolerate their depression are the ones who achieve resilience.</t>
  </si>
  <si>
    <t>achieve</t>
  </si>
  <si>
    <t># text = So Frank Russakoff said to me, \"If I had a do-over, I suppose I wouldn't do it this way, but in a strange way, I'm grateful for what I've experienced.</t>
  </si>
  <si>
    <t>suppose</t>
  </si>
  <si>
    <t># text = I'm glad to have been in the hospital 40 times.</t>
  </si>
  <si>
    <t>glad</t>
  </si>
  <si>
    <t>hospital</t>
  </si>
  <si>
    <t># text = It taught me so much about love, and my relationship with my parents and my doctors has been so precious to me, and will be always."</t>
  </si>
  <si>
    <t>taught</t>
  </si>
  <si>
    <t>precious</t>
  </si>
  <si>
    <t># text = And Maggie Robbins said, \"I used to volunteer in an AIDS clinic, and I would just talk and talk and talk, and the people I was dealing with weren't very responsive, and I thought, 'That's not very friendly or helpful of them.'\"</t>
  </si>
  <si>
    <t>volunteer</t>
  </si>
  <si>
    <t>AIDS</t>
  </si>
  <si>
    <t>clinic</t>
  </si>
  <si>
    <t>responsive</t>
  </si>
  <si>
    <t>friendly</t>
  </si>
  <si>
    <t>helpful</t>
  </si>
  <si>
    <t># text = \"And then I realized, I realized that they weren't going to do more than make those first few minutes of small talk.</t>
  </si>
  <si>
    <t>realized</t>
  </si>
  <si>
    <t>small</t>
  </si>
  <si>
    <t># text = It was simply going to be an occasion where I didn't have AIDS and I wasn't dying, but could tolerate the fact that they did and they were.</t>
  </si>
  <si>
    <t>simply</t>
  </si>
  <si>
    <t>occasion</t>
  </si>
  <si>
    <t>dying</t>
  </si>
  <si>
    <t># text = Our needs are our greatest assets.</t>
  </si>
  <si>
    <t>Our</t>
  </si>
  <si>
    <t>greatest</t>
  </si>
  <si>
    <t>assets</t>
  </si>
  <si>
    <t># text = It turns out I've learned to give all the things I need."</t>
  </si>
  <si>
    <t>learned</t>
  </si>
  <si>
    <t># text = Valuing one's depression does not prevent a relapse, but it may make the prospect of relapse and even relapse itself easier to tolerate.</t>
  </si>
  <si>
    <t>Valuing</t>
  </si>
  <si>
    <t>relapse</t>
  </si>
  <si>
    <t>prospect</t>
  </si>
  <si>
    <t># text = The question is not so much of finding great meaning and deciding your depression has been very meaningful.</t>
  </si>
  <si>
    <t>finding</t>
  </si>
  <si>
    <t>meaning</t>
  </si>
  <si>
    <t>deciding</t>
  </si>
  <si>
    <t>meaningful</t>
  </si>
  <si>
    <t># text = It's of seeking that meaning and thinking, when it comes again, "This will be hellish, but I will learn something from it."</t>
  </si>
  <si>
    <t>seeking</t>
  </si>
  <si>
    <t>This</t>
  </si>
  <si>
    <t>hellish</t>
  </si>
  <si>
    <t>learn</t>
  </si>
  <si>
    <t># text = I have learned in my own depression how big an emotion can be, how it can be more real than facts, and I have found that that experience has allowed me to experience positive emotion in a more intense and more focused way.</t>
  </si>
  <si>
    <t>emotion</t>
  </si>
  <si>
    <t>real</t>
  </si>
  <si>
    <t>facts</t>
  </si>
  <si>
    <t>allowed</t>
  </si>
  <si>
    <t>positive</t>
  </si>
  <si>
    <t>intense</t>
  </si>
  <si>
    <t>focused</t>
  </si>
  <si>
    <t># text = is not happiness, but vitality, and these days, my life is vital, even on the days when I'm sad.</t>
  </si>
  <si>
    <t>days</t>
  </si>
  <si>
    <t>vital</t>
  </si>
  <si>
    <t># text = I felt that funeral in my brain, and I sat next to the colossus at the edge of the world, and I have discovered something inside of myself that I would have to call a soul that I had never formulated until that day 20 years ago when hell came to pay me a surprise visit.</t>
  </si>
  <si>
    <t>funeral</t>
  </si>
  <si>
    <t>colossus</t>
  </si>
  <si>
    <t>edge</t>
  </si>
  <si>
    <t>soul</t>
  </si>
  <si>
    <t>formulated</t>
  </si>
  <si>
    <t>hell</t>
  </si>
  <si>
    <t>pay</t>
  </si>
  <si>
    <t>surprise</t>
  </si>
  <si>
    <t>visit</t>
  </si>
  <si>
    <t># text = I think that while I hated being depressed and would hate to be depressed again, I've found a way to love my depression.</t>
  </si>
  <si>
    <t>hated</t>
  </si>
  <si>
    <t>hate</t>
  </si>
  <si>
    <t># text = I love it because it has forced me to find and cling to joy.</t>
  </si>
  <si>
    <t>forced</t>
  </si>
  <si>
    <t>cling</t>
  </si>
  <si>
    <t># text = I love it because each day I decide, sometimes gamely, and sometimes against the moment's reason, to cleave to the reasons for living.</t>
  </si>
  <si>
    <t>each</t>
  </si>
  <si>
    <t>sometimes</t>
  </si>
  <si>
    <t>gamely</t>
  </si>
  <si>
    <t>cleave</t>
  </si>
  <si>
    <t>reasons</t>
  </si>
  <si>
    <t># text = And that, I think, is a highly privileged rapture.</t>
  </si>
  <si>
    <t>highly</t>
  </si>
  <si>
    <t>privileged</t>
  </si>
  <si>
    <t>rapture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</si>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</sst>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11</v>
      </c>
      <c r="B4" s="6" t="s">
        <v>23</v>
      </c>
      <c r="C4" s="6" t="s">
        <v>24</v>
      </c>
      <c r="D4" s="7" t="s">
        <v>25</v>
      </c>
      <c r="E4" s="8" t="s">
        <v>26</v>
      </c>
      <c r="F4" s="6" t="s">
        <v>27</v>
      </c>
      <c r="G4" s="9">
        <f>IF(A4=1,"_",IF(C4="_","???",C4))</f>
        <v/>
      </c>
      <c r="H4" s="10" t="s">
        <v>16</v>
      </c>
      <c r="I4" s="11" t="s">
        <v>16</v>
      </c>
      <c r="J4" s="12"/>
    </row>
    <row r="5" spans="1:10" ht="60" customHeight="1">
      <c r="A5" s="6" t="s">
        <v>23</v>
      </c>
      <c r="B5" s="6" t="s">
        <v>17</v>
      </c>
      <c r="C5" s="6" t="s">
        <v>16</v>
      </c>
      <c r="D5" s="7" t="s">
        <v>28</v>
      </c>
      <c r="E5" s="8" t="s">
        <v>29</v>
      </c>
      <c r="F5" s="6" t="s">
        <v>30</v>
      </c>
      <c r="G5" s="9">
        <f>IF(A5=1,"_",IF(C5="_","???",C5))</f>
        <v/>
      </c>
      <c r="H5" s="10" t="s">
        <v>16</v>
      </c>
      <c r="I5" s="11" t="s">
        <v>16</v>
      </c>
      <c r="J5" s="12"/>
    </row>
    <row r="6" spans="1:10" ht="60" customHeight="1">
      <c r="A6" s="6" t="s">
        <v>31</v>
      </c>
      <c r="B6" s="6" t="s">
        <v>11</v>
      </c>
      <c r="C6" s="6" t="s">
        <v>16</v>
      </c>
      <c r="D6" s="7" t="s">
        <v>32</v>
      </c>
      <c r="E6" s="8" t="s">
        <v>33</v>
      </c>
      <c r="F6" s="6" t="s">
        <v>34</v>
      </c>
      <c r="G6" s="9">
        <f>IF(A6=1,"_",IF(C6="_","???",C6))</f>
        <v/>
      </c>
      <c r="H6" s="10" t="s">
        <v>16</v>
      </c>
      <c r="I6" s="11" t="s">
        <v>16</v>
      </c>
      <c r="J6" s="12"/>
    </row>
    <row r="7" spans="1:10" ht="60" customHeight="1">
      <c r="A7" s="6" t="s">
        <v>35</v>
      </c>
      <c r="B7" s="6" t="s">
        <v>35</v>
      </c>
      <c r="C7" s="6" t="s">
        <v>16</v>
      </c>
      <c r="D7" s="7" t="s">
        <v>36</v>
      </c>
      <c r="E7" s="8" t="s">
        <v>37</v>
      </c>
      <c r="F7" s="6" t="s">
        <v>38</v>
      </c>
      <c r="G7" s="9">
        <f>IF(A7=1,"_",IF(C7="_","???",C7))</f>
        <v/>
      </c>
      <c r="H7" s="10" t="s">
        <v>16</v>
      </c>
      <c r="I7" s="11" t="s">
        <v>16</v>
      </c>
      <c r="J7" s="12"/>
    </row>
    <row r="8" spans="1:10" ht="60" customHeight="1">
      <c r="A8" s="6" t="s">
        <v>39</v>
      </c>
      <c r="B8" s="6" t="s">
        <v>40</v>
      </c>
      <c r="C8" s="6" t="s">
        <v>41</v>
      </c>
      <c r="D8" s="7" t="s">
        <v>42</v>
      </c>
      <c r="E8" s="8" t="s">
        <v>43</v>
      </c>
      <c r="F8" s="6" t="s">
        <v>44</v>
      </c>
      <c r="G8" s="9">
        <f>IF(A8=1,"_",IF(C8="_","???",C8))</f>
        <v/>
      </c>
      <c r="H8" s="10" t="s">
        <v>16</v>
      </c>
      <c r="I8" s="11" t="s">
        <v>16</v>
      </c>
      <c r="J8" s="12"/>
    </row>
    <row r="9" spans="1:10" ht="60" customHeight="1">
      <c r="A9" s="6" t="s">
        <v>40</v>
      </c>
      <c r="B9" s="6" t="s">
        <v>31</v>
      </c>
      <c r="C9" s="6" t="s">
        <v>16</v>
      </c>
      <c r="D9" s="7" t="s">
        <v>45</v>
      </c>
      <c r="E9" s="8" t="s">
        <v>46</v>
      </c>
      <c r="F9" s="6" t="s">
        <v>47</v>
      </c>
      <c r="G9" s="9">
        <f>IF(A9=1,"_",IF(C9="_","???",C9))</f>
        <v/>
      </c>
      <c r="H9" s="10" t="s">
        <v>16</v>
      </c>
      <c r="I9" s="11" t="s">
        <v>16</v>
      </c>
      <c r="J9" s="12"/>
    </row>
    <row r="10" spans="1:10" ht="60" customHeight="1">
      <c r="A10" s="6" t="s">
        <v>48</v>
      </c>
      <c r="B10" s="6" t="s">
        <v>11</v>
      </c>
      <c r="C10" s="6" t="s">
        <v>12</v>
      </c>
      <c r="D10" s="7" t="s">
        <v>49</v>
      </c>
      <c r="E10" s="8" t="s">
        <v>50</v>
      </c>
      <c r="F10" s="6" t="s">
        <v>51</v>
      </c>
      <c r="G10" s="9">
        <f>IF(A10=1,"_",IF(C10="_","???",C10))</f>
        <v/>
      </c>
      <c r="H10" s="10" t="s">
        <v>16</v>
      </c>
      <c r="I10" s="11" t="s">
        <v>16</v>
      </c>
      <c r="J10" s="12"/>
    </row>
    <row r="11" spans="1:10" ht="60" customHeight="1">
      <c r="A11" s="6" t="s">
        <v>52</v>
      </c>
      <c r="B11" s="6" t="s">
        <v>52</v>
      </c>
      <c r="C11" s="6" t="s">
        <v>53</v>
      </c>
      <c r="D11" s="7" t="s">
        <v>54</v>
      </c>
      <c r="E11" s="8" t="s">
        <v>55</v>
      </c>
      <c r="F11" s="6" t="s">
        <v>56</v>
      </c>
      <c r="G11" s="9">
        <f>IF(A11=1,"_",IF(C11="_","???",C11))</f>
        <v/>
      </c>
      <c r="H11" s="10" t="s">
        <v>16</v>
      </c>
      <c r="I11" s="11" t="s">
        <v>16</v>
      </c>
      <c r="J11" s="12"/>
    </row>
    <row r="12" spans="1:10" ht="60" customHeight="1">
      <c r="A12" s="6" t="s">
        <v>57</v>
      </c>
      <c r="B12" s="6" t="s">
        <v>58</v>
      </c>
      <c r="C12" s="6" t="s">
        <v>12</v>
      </c>
      <c r="D12" s="7" t="s">
        <v>59</v>
      </c>
      <c r="E12" s="8" t="s">
        <v>60</v>
      </c>
      <c r="F12" s="6" t="s">
        <v>61</v>
      </c>
      <c r="G12" s="9">
        <f>IF(A12=1,"_",IF(C12="_","???",C12))</f>
        <v/>
      </c>
      <c r="H12" s="10" t="s">
        <v>16</v>
      </c>
      <c r="I12" s="11" t="s">
        <v>16</v>
      </c>
      <c r="J12" s="12"/>
    </row>
    <row r="13" spans="1:10" ht="60" customHeight="1">
      <c r="A13" s="6" t="s">
        <v>62</v>
      </c>
      <c r="B13" s="6" t="s">
        <v>31</v>
      </c>
      <c r="C13" s="6" t="s">
        <v>63</v>
      </c>
      <c r="D13" s="7" t="s">
        <v>64</v>
      </c>
      <c r="E13" s="8" t="s">
        <v>65</v>
      </c>
      <c r="F13" s="6" t="s">
        <v>66</v>
      </c>
      <c r="G13" s="9">
        <f>IF(A13=1,"_",IF(C13="_","???",C13))</f>
        <v/>
      </c>
      <c r="H13" s="10" t="s">
        <v>16</v>
      </c>
      <c r="I13" s="11" t="s">
        <v>16</v>
      </c>
      <c r="J13" s="12"/>
    </row>
    <row r="14" spans="1:10" ht="60" customHeight="1">
      <c r="A14" s="6" t="s">
        <v>67</v>
      </c>
      <c r="B14" s="6" t="s">
        <v>11</v>
      </c>
      <c r="C14" s="6" t="s">
        <v>12</v>
      </c>
      <c r="D14" s="7" t="s">
        <v>68</v>
      </c>
      <c r="E14" s="8" t="s">
        <v>69</v>
      </c>
      <c r="F14" s="6" t="s">
        <v>70</v>
      </c>
      <c r="G14" s="9">
        <f>IF(A14=1,"_",IF(C14="_","???",C14))</f>
        <v/>
      </c>
      <c r="H14" s="10" t="s">
        <v>16</v>
      </c>
      <c r="I14" s="11" t="s">
        <v>16</v>
      </c>
      <c r="J14" s="12"/>
    </row>
    <row r="15" spans="1:10" ht="60" customHeight="1">
      <c r="A15" s="6" t="s">
        <v>71</v>
      </c>
      <c r="B15" s="6" t="s">
        <v>10</v>
      </c>
      <c r="C15" s="6" t="s">
        <v>16</v>
      </c>
      <c r="D15" s="7" t="s">
        <v>72</v>
      </c>
      <c r="E15" s="8" t="s">
        <v>73</v>
      </c>
      <c r="F15" s="6" t="s">
        <v>74</v>
      </c>
      <c r="G15" s="9">
        <f>IF(A15=1,"_",IF(C15="_","???",C15))</f>
        <v/>
      </c>
      <c r="H15" s="10" t="s">
        <v>16</v>
      </c>
      <c r="I15" s="11" t="s">
        <v>16</v>
      </c>
      <c r="J15" s="12"/>
    </row>
    <row r="16" spans="1:10" ht="60" customHeight="1">
      <c r="A16" s="6" t="s">
        <v>18</v>
      </c>
      <c r="B16" s="6" t="s">
        <v>11</v>
      </c>
      <c r="C16" s="6" t="s">
        <v>75</v>
      </c>
      <c r="D16" s="7" t="s">
        <v>76</v>
      </c>
      <c r="E16" s="8" t="s">
        <v>77</v>
      </c>
      <c r="F16" s="6" t="s">
        <v>78</v>
      </c>
      <c r="G16" s="9">
        <f>IF(A16=1,"_",IF(C16="_","???",C16))</f>
        <v/>
      </c>
      <c r="H16" s="10" t="s">
        <v>16</v>
      </c>
      <c r="I16" s="11" t="s">
        <v>16</v>
      </c>
      <c r="J16" s="12"/>
    </row>
    <row r="17" spans="1:10" ht="60" customHeight="1">
      <c r="A17" s="6" t="s">
        <v>79</v>
      </c>
      <c r="B17" s="6" t="s">
        <v>71</v>
      </c>
      <c r="C17" s="6" t="s">
        <v>24</v>
      </c>
      <c r="D17" s="7" t="s">
        <v>80</v>
      </c>
      <c r="E17" s="8" t="s">
        <v>81</v>
      </c>
      <c r="F17" s="6" t="s">
        <v>82</v>
      </c>
      <c r="G17" s="9">
        <f>IF(A17=1,"_",IF(C17="_","???",C17))</f>
        <v/>
      </c>
      <c r="H17" s="10" t="s">
        <v>16</v>
      </c>
      <c r="I17" s="11" t="s">
        <v>16</v>
      </c>
      <c r="J17" s="12"/>
    </row>
    <row r="18" spans="1:10" ht="60" customHeight="1">
      <c r="A18" s="6" t="s">
        <v>83</v>
      </c>
      <c r="B18" s="6" t="s">
        <v>71</v>
      </c>
      <c r="C18" s="6" t="s">
        <v>12</v>
      </c>
      <c r="D18" s="7" t="s">
        <v>36</v>
      </c>
      <c r="E18" s="8" t="s">
        <v>84</v>
      </c>
      <c r="F18" s="6" t="s">
        <v>85</v>
      </c>
      <c r="G18" s="9">
        <f>IF(A18=1,"_",IF(C18="_","???",C18))</f>
        <v/>
      </c>
      <c r="H18" s="10" t="s">
        <v>16</v>
      </c>
      <c r="I18" s="11" t="s">
        <v>16</v>
      </c>
      <c r="J18" s="12"/>
    </row>
    <row r="19" spans="1:10" ht="60" customHeight="1">
      <c r="A19" s="6" t="s">
        <v>86</v>
      </c>
      <c r="B19" s="6" t="s">
        <v>17</v>
      </c>
      <c r="C19" s="6" t="s">
        <v>16</v>
      </c>
      <c r="D19" s="7" t="s">
        <v>28</v>
      </c>
      <c r="E19" s="8" t="s">
        <v>87</v>
      </c>
      <c r="F19" s="6" t="s">
        <v>88</v>
      </c>
      <c r="G19" s="9">
        <f>IF(A19=1,"_",IF(C19="_","???",C19))</f>
        <v/>
      </c>
      <c r="H19" s="10" t="s">
        <v>16</v>
      </c>
      <c r="I19" s="11" t="s">
        <v>16</v>
      </c>
      <c r="J19" s="12"/>
    </row>
    <row r="20" spans="1:10" ht="60" customHeight="1">
      <c r="A20" s="6" t="s">
        <v>89</v>
      </c>
      <c r="B20" s="6" t="s">
        <v>17</v>
      </c>
      <c r="C20" s="6" t="s">
        <v>12</v>
      </c>
      <c r="D20" s="7" t="s">
        <v>28</v>
      </c>
      <c r="E20" s="8" t="s">
        <v>90</v>
      </c>
      <c r="F20" s="6" t="s">
        <v>91</v>
      </c>
      <c r="G20" s="9">
        <f>IF(A20=1,"_",IF(C20="_","???",C20))</f>
        <v/>
      </c>
      <c r="H20" s="10" t="s">
        <v>16</v>
      </c>
      <c r="I20" s="11" t="s">
        <v>16</v>
      </c>
      <c r="J20" s="12"/>
    </row>
    <row r="21" spans="1:10" ht="60" customHeight="1">
      <c r="A21" s="6" t="s">
        <v>92</v>
      </c>
      <c r="B21" s="6" t="s">
        <v>23</v>
      </c>
      <c r="C21" s="6" t="s">
        <v>12</v>
      </c>
      <c r="D21" s="7" t="s">
        <v>93</v>
      </c>
      <c r="E21" s="8" t="s">
        <v>94</v>
      </c>
      <c r="F21" s="6" t="s">
        <v>95</v>
      </c>
      <c r="G21" s="9">
        <f>IF(A21=1,"_",IF(C21="_","???",C21))</f>
        <v/>
      </c>
      <c r="H21" s="10" t="s">
        <v>16</v>
      </c>
      <c r="I21" s="11" t="s">
        <v>16</v>
      </c>
      <c r="J21" s="12"/>
    </row>
    <row r="22" spans="1:10" ht="60" customHeight="1">
      <c r="A22" s="6" t="s">
        <v>96</v>
      </c>
      <c r="B22" s="6" t="s">
        <v>17</v>
      </c>
      <c r="C22" s="6" t="s">
        <v>16</v>
      </c>
      <c r="D22" s="7" t="s">
        <v>97</v>
      </c>
      <c r="E22" s="8" t="s">
        <v>98</v>
      </c>
      <c r="F22" s="6" t="s">
        <v>99</v>
      </c>
      <c r="G22" s="9">
        <f>IF(A22=1,"_",IF(C22="_","???",C22))</f>
        <v/>
      </c>
      <c r="H22" s="10" t="s">
        <v>16</v>
      </c>
      <c r="I22" s="11" t="s">
        <v>16</v>
      </c>
      <c r="J22" s="12"/>
    </row>
    <row r="23" spans="1:10" ht="60" customHeight="1">
      <c r="A23" s="6" t="s">
        <v>58</v>
      </c>
      <c r="B23" s="6" t="s">
        <v>23</v>
      </c>
      <c r="C23" s="6" t="s">
        <v>24</v>
      </c>
      <c r="D23" s="7" t="s">
        <v>100</v>
      </c>
      <c r="E23" s="8" t="s">
        <v>101</v>
      </c>
      <c r="F23" s="6" t="s">
        <v>102</v>
      </c>
      <c r="G23" s="9">
        <f>IF(A23=1,"_",IF(C23="_","???",C23))</f>
        <v/>
      </c>
      <c r="H23" s="10" t="s">
        <v>16</v>
      </c>
      <c r="I23" s="11" t="s">
        <v>16</v>
      </c>
      <c r="J23" s="12"/>
    </row>
    <row r="24" spans="1:10" ht="60" customHeight="1">
      <c r="A24" s="6" t="s">
        <v>103</v>
      </c>
      <c r="B24" s="6" t="s">
        <v>11</v>
      </c>
      <c r="C24" s="6" t="s">
        <v>104</v>
      </c>
      <c r="D24" s="7" t="s">
        <v>105</v>
      </c>
      <c r="E24" s="8" t="s">
        <v>106</v>
      </c>
      <c r="F24" s="6" t="s">
        <v>107</v>
      </c>
      <c r="G24" s="9">
        <f>IF(A24=1,"_",IF(C24="_","???",C24))</f>
        <v/>
      </c>
      <c r="H24" s="10" t="s">
        <v>16</v>
      </c>
      <c r="I24" s="11" t="s">
        <v>16</v>
      </c>
      <c r="J24" s="12"/>
    </row>
    <row r="25" spans="1:10" ht="60" customHeight="1">
      <c r="A25" s="6" t="s">
        <v>108</v>
      </c>
      <c r="B25" s="6" t="s">
        <v>52</v>
      </c>
      <c r="C25" s="6" t="s">
        <v>109</v>
      </c>
      <c r="D25" s="7" t="s">
        <v>45</v>
      </c>
      <c r="E25" s="8" t="s">
        <v>110</v>
      </c>
      <c r="F25" s="6" t="s">
        <v>111</v>
      </c>
      <c r="G25" s="9">
        <f>IF(A25=1,"_",IF(C25="_","???",C25))</f>
        <v/>
      </c>
      <c r="H25" s="10" t="s">
        <v>16</v>
      </c>
      <c r="I25" s="11" t="s">
        <v>16</v>
      </c>
      <c r="J25" s="12"/>
    </row>
    <row r="26" spans="1:10" ht="60" customHeight="1">
      <c r="A26" s="6" t="s">
        <v>112</v>
      </c>
      <c r="B26" s="6" t="s">
        <v>17</v>
      </c>
      <c r="C26" s="6" t="s">
        <v>16</v>
      </c>
      <c r="D26" s="7" t="s">
        <v>113</v>
      </c>
      <c r="E26" s="8" t="s">
        <v>114</v>
      </c>
      <c r="F26" s="6" t="s">
        <v>115</v>
      </c>
      <c r="G26" s="9">
        <f>IF(A26=1,"_",IF(C26="_","???",C26))</f>
        <v/>
      </c>
      <c r="H26" s="10" t="s">
        <v>16</v>
      </c>
      <c r="I26" s="11" t="s">
        <v>16</v>
      </c>
      <c r="J26" s="12"/>
    </row>
    <row r="27" spans="1:10" ht="60" customHeight="1">
      <c r="A27" s="6" t="s">
        <v>116</v>
      </c>
      <c r="B27" s="6" t="s">
        <v>17</v>
      </c>
      <c r="C27" s="6" t="s">
        <v>16</v>
      </c>
      <c r="D27" s="7" t="s">
        <v>117</v>
      </c>
      <c r="E27" s="8" t="s">
        <v>118</v>
      </c>
      <c r="F27" s="6" t="s">
        <v>119</v>
      </c>
      <c r="G27" s="9">
        <f>IF(A27=1,"_",IF(C27="_","???",C27))</f>
        <v/>
      </c>
      <c r="H27" s="10" t="s">
        <v>16</v>
      </c>
      <c r="I27" s="11" t="s">
        <v>16</v>
      </c>
      <c r="J27" s="12"/>
    </row>
    <row r="28" spans="1:10" ht="60" customHeight="1">
      <c r="A28" s="6" t="s">
        <v>120</v>
      </c>
      <c r="B28" s="6" t="s">
        <v>11</v>
      </c>
      <c r="C28" s="6" t="s">
        <v>12</v>
      </c>
      <c r="D28" s="7" t="s">
        <v>121</v>
      </c>
      <c r="E28" s="8" t="s">
        <v>122</v>
      </c>
      <c r="F28" s="6" t="s">
        <v>123</v>
      </c>
      <c r="G28" s="9">
        <f>IF(A28=1,"_",IF(C28="_","???",C28))</f>
        <v/>
      </c>
      <c r="H28" s="10" t="s">
        <v>16</v>
      </c>
      <c r="I28" s="11" t="s">
        <v>16</v>
      </c>
      <c r="J28" s="12"/>
    </row>
    <row r="29" spans="1:10" ht="60" customHeight="1">
      <c r="A29" s="6" t="s">
        <v>124</v>
      </c>
      <c r="B29" s="6" t="s">
        <v>39</v>
      </c>
      <c r="C29" s="6" t="s">
        <v>125</v>
      </c>
      <c r="D29" s="7" t="s">
        <v>126</v>
      </c>
      <c r="E29" s="8" t="s">
        <v>127</v>
      </c>
      <c r="F29" s="6" t="s">
        <v>128</v>
      </c>
      <c r="G29" s="9">
        <f>IF(A29=1,"_",IF(C29="_","???",C29))</f>
        <v/>
      </c>
      <c r="H29" s="10" t="s">
        <v>16</v>
      </c>
      <c r="I29" s="11" t="s">
        <v>16</v>
      </c>
      <c r="J29" s="12"/>
    </row>
    <row r="30" spans="1:10" ht="60" customHeight="1">
      <c r="A30" s="6" t="s">
        <v>129</v>
      </c>
      <c r="B30" s="6" t="s">
        <v>39</v>
      </c>
      <c r="C30" s="6" t="s">
        <v>125</v>
      </c>
      <c r="D30" s="7" t="s">
        <v>130</v>
      </c>
      <c r="E30" s="8" t="s">
        <v>131</v>
      </c>
      <c r="F30" s="6" t="s">
        <v>132</v>
      </c>
      <c r="G30" s="9">
        <f>IF(A30=1,"_",IF(C30="_","???",C30))</f>
        <v/>
      </c>
      <c r="H30" s="10" t="s">
        <v>16</v>
      </c>
      <c r="I30" s="11" t="s">
        <v>16</v>
      </c>
      <c r="J30" s="12"/>
    </row>
    <row r="31" spans="1:10" ht="60" customHeight="1">
      <c r="A31" s="6" t="s">
        <v>133</v>
      </c>
      <c r="B31" s="6" t="s">
        <v>17</v>
      </c>
      <c r="C31" s="6" t="s">
        <v>16</v>
      </c>
      <c r="D31" s="7" t="s">
        <v>134</v>
      </c>
      <c r="E31" s="8" t="s">
        <v>135</v>
      </c>
      <c r="F31" s="6" t="s">
        <v>136</v>
      </c>
      <c r="G31" s="9">
        <f>IF(A31=1,"_",IF(C31="_","???",C31))</f>
        <v/>
      </c>
      <c r="H31" s="10" t="s">
        <v>16</v>
      </c>
      <c r="I31" s="11" t="s">
        <v>16</v>
      </c>
      <c r="J31" s="12"/>
    </row>
    <row r="32" spans="1:10" ht="60" customHeight="1">
      <c r="A32" s="6" t="s">
        <v>137</v>
      </c>
      <c r="B32" s="6" t="s">
        <v>31</v>
      </c>
      <c r="C32" s="6" t="s">
        <v>138</v>
      </c>
      <c r="D32" s="7" t="s">
        <v>139</v>
      </c>
      <c r="E32" s="8" t="s">
        <v>140</v>
      </c>
      <c r="F32" s="6" t="s">
        <v>141</v>
      </c>
      <c r="G32" s="9">
        <f>IF(A32=1,"_",IF(C32="_","???",C32))</f>
        <v/>
      </c>
      <c r="H32" s="10" t="s">
        <v>16</v>
      </c>
      <c r="I32" s="11" t="s">
        <v>16</v>
      </c>
      <c r="J32" s="12"/>
    </row>
    <row r="33" spans="1:10" ht="60" customHeight="1">
      <c r="A33" s="6" t="s">
        <v>142</v>
      </c>
      <c r="B33" s="6" t="s">
        <v>23</v>
      </c>
      <c r="C33" s="6" t="s">
        <v>143</v>
      </c>
      <c r="D33" s="7" t="s">
        <v>139</v>
      </c>
      <c r="E33" s="8" t="s">
        <v>144</v>
      </c>
      <c r="F33" s="6" t="s">
        <v>145</v>
      </c>
      <c r="G33" s="9">
        <f>IF(A33=1,"_",IF(C33="_","???",C33))</f>
        <v/>
      </c>
      <c r="H33" s="10" t="s">
        <v>16</v>
      </c>
      <c r="I33" s="11" t="s">
        <v>16</v>
      </c>
      <c r="J33" s="12"/>
    </row>
    <row r="34" spans="1:10" ht="60" customHeight="1">
      <c r="A34" s="6" t="s">
        <v>146</v>
      </c>
      <c r="B34" s="6" t="s">
        <v>92</v>
      </c>
      <c r="C34" s="6" t="s">
        <v>24</v>
      </c>
      <c r="D34" s="7" t="s">
        <v>147</v>
      </c>
      <c r="E34" s="8" t="s">
        <v>148</v>
      </c>
      <c r="F34" s="6" t="s">
        <v>149</v>
      </c>
      <c r="G34" s="9">
        <f>IF(A34=1,"_",IF(C34="_","???",C34))</f>
        <v/>
      </c>
      <c r="H34" s="10" t="s">
        <v>16</v>
      </c>
      <c r="I34" s="11" t="s">
        <v>16</v>
      </c>
      <c r="J34" s="12"/>
    </row>
    <row r="35" spans="1:10" ht="60" customHeight="1">
      <c r="A35" s="6" t="s">
        <v>150</v>
      </c>
      <c r="B35" s="6" t="s">
        <v>48</v>
      </c>
      <c r="C35" s="6" t="s">
        <v>12</v>
      </c>
      <c r="D35" s="7" t="s">
        <v>36</v>
      </c>
      <c r="E35" s="8" t="s">
        <v>151</v>
      </c>
      <c r="F35" s="6" t="s">
        <v>152</v>
      </c>
      <c r="G35" s="9">
        <f>IF(A35=1,"_",IF(C35="_","???",C35))</f>
        <v/>
      </c>
      <c r="H35" s="10" t="s">
        <v>16</v>
      </c>
      <c r="I35" s="11" t="s">
        <v>16</v>
      </c>
      <c r="J35" s="12"/>
    </row>
    <row r="36" spans="1:10" ht="60" customHeight="1">
      <c r="A36" s="6" t="s">
        <v>153</v>
      </c>
      <c r="B36" s="6" t="s">
        <v>31</v>
      </c>
      <c r="C36" s="6" t="s">
        <v>12</v>
      </c>
      <c r="D36" s="7" t="s">
        <v>13</v>
      </c>
      <c r="E36" s="8" t="s">
        <v>154</v>
      </c>
      <c r="F36" s="6" t="s">
        <v>155</v>
      </c>
      <c r="G36" s="9">
        <f>IF(A36=1,"_",IF(C36="_","???",C36))</f>
        <v/>
      </c>
      <c r="H36" s="10" t="s">
        <v>16</v>
      </c>
      <c r="I36" s="11" t="s">
        <v>16</v>
      </c>
      <c r="J36" s="12"/>
    </row>
    <row r="37" spans="1:10" ht="60" customHeight="1">
      <c r="A37" s="6" t="s">
        <v>156</v>
      </c>
      <c r="B37" s="6" t="s">
        <v>17</v>
      </c>
      <c r="C37" s="6" t="s">
        <v>41</v>
      </c>
      <c r="D37" s="7" t="s">
        <v>45</v>
      </c>
      <c r="E37" s="8" t="s">
        <v>157</v>
      </c>
      <c r="F37" s="6" t="s">
        <v>158</v>
      </c>
      <c r="G37" s="9">
        <f>IF(A37=1,"_",IF(C37="_","???",C37))</f>
        <v/>
      </c>
      <c r="H37" s="10" t="s">
        <v>16</v>
      </c>
      <c r="I37" s="11" t="s">
        <v>16</v>
      </c>
      <c r="J37" s="12"/>
    </row>
    <row r="38" spans="1:10" ht="60" customHeight="1">
      <c r="A38" s="6" t="s">
        <v>159</v>
      </c>
      <c r="B38" s="6" t="s">
        <v>11</v>
      </c>
      <c r="C38" s="6" t="s">
        <v>16</v>
      </c>
      <c r="D38" s="7" t="s">
        <v>36</v>
      </c>
      <c r="E38" s="8" t="s">
        <v>160</v>
      </c>
      <c r="F38" s="6" t="s">
        <v>161</v>
      </c>
      <c r="G38" s="9">
        <f>IF(A38=1,"_",IF(C38="_","???",C38))</f>
        <v/>
      </c>
      <c r="H38" s="10" t="s">
        <v>16</v>
      </c>
      <c r="I38" s="11" t="s">
        <v>16</v>
      </c>
      <c r="J38" s="12"/>
    </row>
    <row r="39" spans="1:10" ht="60" customHeight="1">
      <c r="A39" s="6" t="s">
        <v>162</v>
      </c>
      <c r="B39" s="6" t="s">
        <v>23</v>
      </c>
      <c r="C39" s="6" t="s">
        <v>12</v>
      </c>
      <c r="D39" s="7" t="s">
        <v>36</v>
      </c>
      <c r="E39" s="8" t="s">
        <v>163</v>
      </c>
      <c r="F39" s="6" t="s">
        <v>164</v>
      </c>
      <c r="G39" s="9">
        <f>IF(A39=1,"_",IF(C39="_","???",C39))</f>
        <v/>
      </c>
      <c r="H39" s="10" t="s">
        <v>16</v>
      </c>
      <c r="I39" s="11" t="s">
        <v>16</v>
      </c>
      <c r="J39" s="12"/>
    </row>
    <row r="40" spans="1:10" ht="60" customHeight="1">
      <c r="A40" s="6" t="s">
        <v>165</v>
      </c>
      <c r="B40" s="6" t="s">
        <v>23</v>
      </c>
      <c r="C40" s="6" t="s">
        <v>166</v>
      </c>
      <c r="D40" s="7" t="s">
        <v>167</v>
      </c>
      <c r="E40" s="8" t="s">
        <v>168</v>
      </c>
      <c r="F40" s="6" t="s">
        <v>169</v>
      </c>
      <c r="G40" s="9">
        <f>IF(A40=1,"_",IF(C40="_","???",C40))</f>
        <v/>
      </c>
      <c r="H40" s="10" t="s">
        <v>16</v>
      </c>
      <c r="I40" s="11" t="s">
        <v>16</v>
      </c>
      <c r="J40" s="12"/>
    </row>
    <row r="41" spans="1:10" ht="60" customHeight="1">
      <c r="A41" s="6" t="s">
        <v>170</v>
      </c>
      <c r="B41" s="6" t="s">
        <v>11</v>
      </c>
      <c r="C41" s="6" t="s">
        <v>63</v>
      </c>
      <c r="D41" s="7" t="s">
        <v>42</v>
      </c>
      <c r="E41" s="8" t="s">
        <v>171</v>
      </c>
      <c r="F41" s="6" t="s">
        <v>172</v>
      </c>
      <c r="G41" s="9">
        <f>IF(A41=1,"_",IF(C41="_","???",C41))</f>
        <v/>
      </c>
      <c r="H41" s="10" t="s">
        <v>16</v>
      </c>
      <c r="I41" s="11" t="s">
        <v>16</v>
      </c>
      <c r="J41" s="12"/>
    </row>
    <row r="42" spans="1:10" ht="60" customHeight="1">
      <c r="A42" s="6" t="s">
        <v>173</v>
      </c>
      <c r="B42" s="6" t="s">
        <v>23</v>
      </c>
      <c r="C42" s="6" t="s">
        <v>12</v>
      </c>
      <c r="D42" s="7" t="s">
        <v>134</v>
      </c>
      <c r="E42" s="8" t="s">
        <v>174</v>
      </c>
      <c r="F42" s="6" t="s">
        <v>175</v>
      </c>
      <c r="G42" s="9">
        <f>IF(A42=1,"_",IF(C42="_","???",C42))</f>
        <v/>
      </c>
      <c r="H42" s="10" t="s">
        <v>16</v>
      </c>
      <c r="I42" s="11" t="s">
        <v>16</v>
      </c>
      <c r="J42" s="12"/>
    </row>
    <row r="43" spans="1:10" ht="60" customHeight="1">
      <c r="A43" s="6" t="s">
        <v>176</v>
      </c>
      <c r="B43" s="6" t="s">
        <v>31</v>
      </c>
      <c r="C43" s="6" t="s">
        <v>12</v>
      </c>
      <c r="D43" s="7" t="s">
        <v>177</v>
      </c>
      <c r="E43" s="8" t="s">
        <v>178</v>
      </c>
      <c r="F43" s="6" t="s">
        <v>179</v>
      </c>
      <c r="G43" s="9">
        <f>IF(A43=1,"_",IF(C43="_","???",C43))</f>
        <v/>
      </c>
      <c r="H43" s="10" t="s">
        <v>16</v>
      </c>
      <c r="I43" s="11" t="s">
        <v>16</v>
      </c>
      <c r="J43" s="12"/>
    </row>
    <row r="44" spans="1:10" ht="60" customHeight="1">
      <c r="A44" s="6" t="s">
        <v>180</v>
      </c>
      <c r="B44" s="6" t="s">
        <v>23</v>
      </c>
      <c r="C44" s="6" t="s">
        <v>24</v>
      </c>
      <c r="D44" s="7" t="s">
        <v>181</v>
      </c>
      <c r="E44" s="8" t="s">
        <v>182</v>
      </c>
      <c r="F44" s="6" t="s">
        <v>183</v>
      </c>
      <c r="G44" s="9">
        <f>IF(A44=1,"_",IF(C44="_","???",C44))</f>
        <v/>
      </c>
      <c r="H44" s="10" t="s">
        <v>16</v>
      </c>
      <c r="I44" s="11" t="s">
        <v>16</v>
      </c>
      <c r="J44" s="12"/>
    </row>
    <row r="45" spans="1:10" ht="60" customHeight="1">
      <c r="A45" s="6" t="s">
        <v>184</v>
      </c>
      <c r="B45" s="6" t="s">
        <v>48</v>
      </c>
      <c r="C45" s="6" t="s">
        <v>143</v>
      </c>
      <c r="D45" s="7" t="s">
        <v>45</v>
      </c>
      <c r="E45" s="8" t="s">
        <v>185</v>
      </c>
      <c r="F45" s="6" t="s">
        <v>186</v>
      </c>
      <c r="G45" s="9">
        <f>IF(A45=1,"_",IF(C45="_","???",C45))</f>
        <v/>
      </c>
      <c r="H45" s="10" t="s">
        <v>16</v>
      </c>
      <c r="I45" s="11" t="s">
        <v>16</v>
      </c>
      <c r="J45" s="12"/>
    </row>
    <row r="46" spans="1:10" ht="60" customHeight="1">
      <c r="A46" s="6" t="s">
        <v>187</v>
      </c>
      <c r="B46" s="6" t="s">
        <v>23</v>
      </c>
      <c r="C46" s="6" t="s">
        <v>16</v>
      </c>
      <c r="D46" s="7" t="s">
        <v>188</v>
      </c>
      <c r="E46" s="8" t="s">
        <v>189</v>
      </c>
      <c r="F46" s="6" t="s">
        <v>190</v>
      </c>
      <c r="G46" s="9">
        <f>IF(A46=1,"_",IF(C46="_","???",C46))</f>
        <v/>
      </c>
      <c r="H46" s="10" t="s">
        <v>16</v>
      </c>
      <c r="I46" s="11" t="s">
        <v>16</v>
      </c>
      <c r="J46" s="12"/>
    </row>
    <row r="47" spans="1:10" ht="60" customHeight="1">
      <c r="A47" s="6" t="s">
        <v>191</v>
      </c>
      <c r="B47" s="6" t="s">
        <v>17</v>
      </c>
      <c r="C47" s="6" t="s">
        <v>16</v>
      </c>
      <c r="D47" s="7" t="s">
        <v>192</v>
      </c>
      <c r="E47" s="8" t="s">
        <v>193</v>
      </c>
      <c r="F47" s="6" t="s">
        <v>194</v>
      </c>
      <c r="G47" s="9">
        <f>IF(A47=1,"_",IF(C47="_","???",C47))</f>
        <v/>
      </c>
      <c r="H47" s="10" t="s">
        <v>16</v>
      </c>
      <c r="I47" s="11" t="s">
        <v>16</v>
      </c>
      <c r="J47" s="12"/>
    </row>
    <row r="48" spans="1:10" ht="60" customHeight="1">
      <c r="A48" s="6" t="s">
        <v>195</v>
      </c>
      <c r="B48" s="6" t="s">
        <v>17</v>
      </c>
      <c r="C48" s="6" t="s">
        <v>16</v>
      </c>
      <c r="D48" s="7" t="s">
        <v>196</v>
      </c>
      <c r="E48" s="8" t="s">
        <v>197</v>
      </c>
      <c r="F48" s="6" t="s">
        <v>198</v>
      </c>
      <c r="G48" s="9">
        <f>IF(A48=1,"_",IF(C48="_","???",C48))</f>
        <v/>
      </c>
      <c r="H48" s="10" t="s">
        <v>16</v>
      </c>
      <c r="I48" s="11" t="s">
        <v>16</v>
      </c>
      <c r="J48" s="12"/>
    </row>
    <row r="49" spans="1:10" ht="60" customHeight="1">
      <c r="A49" s="6" t="s">
        <v>199</v>
      </c>
      <c r="B49" s="6" t="s">
        <v>17</v>
      </c>
      <c r="C49" s="6" t="s">
        <v>16</v>
      </c>
      <c r="D49" s="7" t="s">
        <v>76</v>
      </c>
      <c r="E49" s="8" t="s">
        <v>200</v>
      </c>
      <c r="F49" s="6" t="s">
        <v>201</v>
      </c>
      <c r="G49" s="9">
        <f>IF(A49=1,"_",IF(C49="_","???",C49))</f>
        <v/>
      </c>
      <c r="H49" s="10" t="s">
        <v>16</v>
      </c>
      <c r="I49" s="11" t="s">
        <v>16</v>
      </c>
      <c r="J49" s="12"/>
    </row>
    <row r="50" spans="1:10" ht="60" customHeight="1">
      <c r="A50" s="6" t="s">
        <v>202</v>
      </c>
      <c r="B50" s="6" t="s">
        <v>17</v>
      </c>
      <c r="C50" s="6" t="s">
        <v>16</v>
      </c>
      <c r="D50" s="7" t="s">
        <v>203</v>
      </c>
      <c r="E50" s="8" t="s">
        <v>204</v>
      </c>
      <c r="F50" s="6" t="s">
        <v>205</v>
      </c>
      <c r="G50" s="9">
        <f>IF(A50=1,"_",IF(C50="_","???",C50))</f>
        <v/>
      </c>
      <c r="H50" s="10" t="s">
        <v>16</v>
      </c>
      <c r="I50" s="11" t="s">
        <v>16</v>
      </c>
      <c r="J50" s="12"/>
    </row>
    <row r="51" spans="1:10" ht="60" customHeight="1">
      <c r="A51" s="6" t="s">
        <v>206</v>
      </c>
      <c r="B51" s="6" t="s">
        <v>11</v>
      </c>
      <c r="C51" s="6" t="s">
        <v>63</v>
      </c>
      <c r="D51" s="7" t="s">
        <v>207</v>
      </c>
      <c r="E51" s="8" t="s">
        <v>208</v>
      </c>
      <c r="F51" s="6" t="s">
        <v>209</v>
      </c>
      <c r="G51" s="9">
        <f>IF(A51=1,"_",IF(C51="_","???",C51))</f>
        <v/>
      </c>
      <c r="H51" s="10" t="s">
        <v>16</v>
      </c>
      <c r="I51" s="11" t="s">
        <v>16</v>
      </c>
      <c r="J51" s="12"/>
    </row>
    <row r="52" spans="1:10" ht="60" customHeight="1">
      <c r="A52" s="6" t="s">
        <v>210</v>
      </c>
      <c r="B52" s="6" t="s">
        <v>17</v>
      </c>
      <c r="C52" s="6" t="s">
        <v>211</v>
      </c>
      <c r="D52" s="7" t="s">
        <v>212</v>
      </c>
      <c r="E52" s="8" t="s">
        <v>213</v>
      </c>
      <c r="F52" s="6" t="s">
        <v>214</v>
      </c>
      <c r="G52" s="9">
        <f>IF(A52=1,"_",IF(C52="_","???",C52))</f>
        <v/>
      </c>
      <c r="H52" s="10" t="s">
        <v>16</v>
      </c>
      <c r="I52" s="11" t="s">
        <v>16</v>
      </c>
      <c r="J52" s="12"/>
    </row>
    <row r="53" spans="1:10" ht="60" customHeight="1">
      <c r="A53" s="6" t="s">
        <v>215</v>
      </c>
      <c r="B53" s="6" t="s">
        <v>17</v>
      </c>
      <c r="C53" s="6" t="s">
        <v>16</v>
      </c>
      <c r="D53" s="7" t="s">
        <v>216</v>
      </c>
      <c r="E53" s="8" t="s">
        <v>217</v>
      </c>
      <c r="F53" s="6" t="s">
        <v>218</v>
      </c>
      <c r="G53" s="9">
        <f>IF(A53=1,"_",IF(C53="_","???",C53))</f>
        <v/>
      </c>
      <c r="H53" s="10" t="s">
        <v>16</v>
      </c>
      <c r="I53" s="11" t="s">
        <v>16</v>
      </c>
      <c r="J53" s="12"/>
    </row>
    <row r="54" spans="1:10" ht="60" customHeight="1">
      <c r="A54" s="6" t="s">
        <v>219</v>
      </c>
      <c r="B54" s="6" t="s">
        <v>92</v>
      </c>
      <c r="C54" s="6" t="s">
        <v>104</v>
      </c>
      <c r="D54" s="7" t="s">
        <v>54</v>
      </c>
      <c r="E54" s="8" t="s">
        <v>220</v>
      </c>
      <c r="F54" s="6" t="s">
        <v>221</v>
      </c>
      <c r="G54" s="9">
        <f>IF(A54=1,"_",IF(C54="_","???",C54))</f>
        <v/>
      </c>
      <c r="H54" s="10" t="s">
        <v>16</v>
      </c>
      <c r="I54" s="11" t="s">
        <v>16</v>
      </c>
      <c r="J54" s="12"/>
    </row>
    <row r="55" spans="1:10" ht="60" customHeight="1">
      <c r="A55" s="6" t="s">
        <v>222</v>
      </c>
      <c r="B55" s="6" t="s">
        <v>17</v>
      </c>
      <c r="C55" s="6" t="s">
        <v>12</v>
      </c>
      <c r="D55" s="7" t="s">
        <v>36</v>
      </c>
      <c r="E55" s="8" t="s">
        <v>223</v>
      </c>
      <c r="F55" s="6" t="s">
        <v>224</v>
      </c>
      <c r="G55" s="9">
        <f>IF(A55=1,"_",IF(C55="_","???",C55))</f>
        <v/>
      </c>
      <c r="H55" s="10" t="s">
        <v>16</v>
      </c>
      <c r="I55" s="11" t="s">
        <v>16</v>
      </c>
      <c r="J55" s="12"/>
    </row>
    <row r="56" spans="1:10" ht="60" customHeight="1">
      <c r="A56" s="6" t="s">
        <v>225</v>
      </c>
      <c r="B56" s="6" t="s">
        <v>17</v>
      </c>
      <c r="C56" s="6" t="s">
        <v>16</v>
      </c>
      <c r="D56" s="7" t="s">
        <v>36</v>
      </c>
      <c r="E56" s="8" t="s">
        <v>226</v>
      </c>
      <c r="F56" s="6" t="s">
        <v>227</v>
      </c>
      <c r="G56" s="9">
        <f>IF(A56=1,"_",IF(C56="_","???",C56))</f>
        <v/>
      </c>
      <c r="H56" s="10" t="s">
        <v>16</v>
      </c>
      <c r="I56" s="11" t="s">
        <v>16</v>
      </c>
      <c r="J56" s="12"/>
    </row>
    <row r="57" spans="1:10" ht="60" customHeight="1">
      <c r="A57" s="6" t="s">
        <v>228</v>
      </c>
      <c r="B57" s="6" t="s">
        <v>17</v>
      </c>
      <c r="C57" s="6" t="s">
        <v>16</v>
      </c>
      <c r="D57" s="7" t="s">
        <v>229</v>
      </c>
      <c r="E57" s="8" t="s">
        <v>230</v>
      </c>
      <c r="F57" s="6" t="s">
        <v>231</v>
      </c>
      <c r="G57" s="9">
        <f>IF(A57=1,"_",IF(C57="_","???",C57))</f>
        <v/>
      </c>
      <c r="H57" s="10" t="s">
        <v>16</v>
      </c>
      <c r="I57" s="11" t="s">
        <v>16</v>
      </c>
      <c r="J57" s="12"/>
    </row>
    <row r="58" spans="1:10" ht="60" customHeight="1">
      <c r="A58" s="6" t="s">
        <v>232</v>
      </c>
      <c r="B58" s="6" t="s">
        <v>150</v>
      </c>
      <c r="C58" s="6" t="s">
        <v>233</v>
      </c>
      <c r="D58" s="7" t="s">
        <v>234</v>
      </c>
      <c r="E58" s="8" t="s">
        <v>235</v>
      </c>
      <c r="F58" s="6" t="s">
        <v>236</v>
      </c>
      <c r="G58" s="9">
        <f>IF(A58=1,"_",IF(C58="_","???",C58))</f>
        <v/>
      </c>
      <c r="H58" s="10" t="s">
        <v>16</v>
      </c>
      <c r="I58" s="11" t="s">
        <v>16</v>
      </c>
      <c r="J58" s="12"/>
    </row>
    <row r="59" spans="1:10" ht="60" customHeight="1">
      <c r="A59" s="6" t="s">
        <v>237</v>
      </c>
      <c r="B59" s="6" t="s">
        <v>116</v>
      </c>
      <c r="C59" s="6" t="s">
        <v>24</v>
      </c>
      <c r="D59" s="7" t="s">
        <v>238</v>
      </c>
      <c r="E59" s="8" t="s">
        <v>239</v>
      </c>
      <c r="F59" s="6" t="s">
        <v>240</v>
      </c>
      <c r="G59" s="9">
        <f>IF(A59=1,"_",IF(C59="_","???",C59))</f>
        <v/>
      </c>
      <c r="H59" s="10" t="s">
        <v>16</v>
      </c>
      <c r="I59" s="11" t="s">
        <v>16</v>
      </c>
      <c r="J59" s="12"/>
    </row>
    <row r="60" spans="1:10" ht="60" customHeight="1">
      <c r="A60" s="6" t="s">
        <v>241</v>
      </c>
      <c r="B60" s="6" t="s">
        <v>11</v>
      </c>
      <c r="C60" s="6" t="s">
        <v>16</v>
      </c>
      <c r="D60" s="7" t="s">
        <v>242</v>
      </c>
      <c r="E60" s="8" t="s">
        <v>243</v>
      </c>
      <c r="F60" s="6" t="s">
        <v>244</v>
      </c>
      <c r="G60" s="9">
        <f>IF(A60=1,"_",IF(C60="_","???",C60))</f>
        <v/>
      </c>
      <c r="H60" s="10" t="s">
        <v>16</v>
      </c>
      <c r="I60" s="11" t="s">
        <v>16</v>
      </c>
      <c r="J60" s="12"/>
    </row>
    <row r="61" spans="1:10" ht="60" customHeight="1">
      <c r="A61" s="6" t="s">
        <v>245</v>
      </c>
      <c r="B61" s="6" t="s">
        <v>17</v>
      </c>
      <c r="C61" s="6" t="s">
        <v>41</v>
      </c>
      <c r="D61" s="7" t="s">
        <v>42</v>
      </c>
      <c r="E61" s="8" t="s">
        <v>246</v>
      </c>
      <c r="F61" s="6" t="s">
        <v>247</v>
      </c>
      <c r="G61" s="9">
        <f>IF(A61=1,"_",IF(C61="_","???",C61))</f>
        <v/>
      </c>
      <c r="H61" s="10" t="s">
        <v>16</v>
      </c>
      <c r="I61" s="11" t="s">
        <v>16</v>
      </c>
      <c r="J61" s="12"/>
    </row>
    <row r="62" spans="1:10" ht="60" customHeight="1">
      <c r="A62" s="6" t="s">
        <v>248</v>
      </c>
      <c r="B62" s="6" t="s">
        <v>17</v>
      </c>
      <c r="C62" s="6" t="s">
        <v>16</v>
      </c>
      <c r="D62" s="7" t="s">
        <v>249</v>
      </c>
      <c r="E62" s="8" t="s">
        <v>250</v>
      </c>
      <c r="F62" s="6" t="s">
        <v>251</v>
      </c>
      <c r="G62" s="9">
        <f>IF(A62=1,"_",IF(C62="_","???",C62))</f>
        <v/>
      </c>
      <c r="H62" s="10" t="s">
        <v>16</v>
      </c>
      <c r="I62" s="11" t="s">
        <v>16</v>
      </c>
      <c r="J62" s="12"/>
    </row>
    <row r="63" spans="1:10" ht="60" customHeight="1">
      <c r="A63" s="6" t="s">
        <v>252</v>
      </c>
      <c r="B63" s="6" t="s">
        <v>23</v>
      </c>
      <c r="C63" s="6" t="s">
        <v>41</v>
      </c>
      <c r="D63" s="7" t="s">
        <v>253</v>
      </c>
      <c r="E63" s="8" t="s">
        <v>254</v>
      </c>
      <c r="F63" s="6" t="s">
        <v>255</v>
      </c>
      <c r="G63" s="9">
        <f>IF(A63=1,"_",IF(C63="_","???",C63))</f>
        <v/>
      </c>
      <c r="H63" s="10" t="s">
        <v>16</v>
      </c>
      <c r="I63" s="11" t="s">
        <v>16</v>
      </c>
      <c r="J63" s="12"/>
    </row>
    <row r="64" spans="1:10" ht="60" customHeight="1">
      <c r="A64" s="6" t="s">
        <v>256</v>
      </c>
      <c r="B64" s="6" t="s">
        <v>11</v>
      </c>
      <c r="C64" s="6" t="s">
        <v>12</v>
      </c>
      <c r="D64" s="7" t="s">
        <v>36</v>
      </c>
      <c r="E64" s="8" t="s">
        <v>257</v>
      </c>
      <c r="F64" s="6" t="s">
        <v>258</v>
      </c>
      <c r="G64" s="9">
        <f>IF(A64=1,"_",IF(C64="_","???",C64))</f>
        <v/>
      </c>
      <c r="H64" s="10" t="s">
        <v>16</v>
      </c>
      <c r="I64" s="11" t="s">
        <v>16</v>
      </c>
      <c r="J64" s="12"/>
    </row>
    <row r="65" spans="1:10" ht="60" customHeight="1">
      <c r="A65" s="6" t="s">
        <v>259</v>
      </c>
      <c r="B65" s="6" t="s">
        <v>23</v>
      </c>
      <c r="C65" s="6" t="s">
        <v>12</v>
      </c>
      <c r="D65" s="7" t="s">
        <v>260</v>
      </c>
      <c r="E65" s="8" t="s">
        <v>261</v>
      </c>
      <c r="F65" s="6" t="s">
        <v>262</v>
      </c>
      <c r="G65" s="9">
        <f>IF(A65=1,"_",IF(C65="_","???",C65))</f>
        <v/>
      </c>
      <c r="H65" s="10" t="s">
        <v>16</v>
      </c>
      <c r="I65" s="11" t="s">
        <v>16</v>
      </c>
      <c r="J65" s="12"/>
    </row>
    <row r="66" spans="1:10" ht="60" customHeight="1">
      <c r="A66" s="6" t="s">
        <v>263</v>
      </c>
      <c r="B66" s="6" t="s">
        <v>17</v>
      </c>
      <c r="C66" s="6" t="s">
        <v>16</v>
      </c>
      <c r="D66" s="7" t="s">
        <v>264</v>
      </c>
      <c r="E66" s="8" t="s">
        <v>265</v>
      </c>
      <c r="F66" s="6" t="s">
        <v>266</v>
      </c>
      <c r="G66" s="9">
        <f>IF(A66=1,"_",IF(C66="_","???",C66))</f>
        <v/>
      </c>
      <c r="H66" s="10" t="s">
        <v>16</v>
      </c>
      <c r="I66" s="11" t="s">
        <v>16</v>
      </c>
      <c r="J66" s="12"/>
    </row>
    <row r="67" spans="1:10" ht="60" customHeight="1">
      <c r="A67" s="6" t="s">
        <v>267</v>
      </c>
      <c r="B67" s="6" t="s">
        <v>11</v>
      </c>
      <c r="C67" s="6" t="s">
        <v>12</v>
      </c>
      <c r="D67" s="7" t="s">
        <v>268</v>
      </c>
      <c r="E67" s="8" t="s">
        <v>269</v>
      </c>
      <c r="F67" s="6" t="s">
        <v>270</v>
      </c>
      <c r="G67" s="9">
        <f>IF(A67=1,"_",IF(C67="_","???",C67))</f>
        <v/>
      </c>
      <c r="H67" s="10" t="s">
        <v>16</v>
      </c>
      <c r="I67" s="11" t="s">
        <v>16</v>
      </c>
      <c r="J67" s="12"/>
    </row>
    <row r="68" spans="1:10" ht="60" customHeight="1">
      <c r="A68" s="6" t="s">
        <v>271</v>
      </c>
      <c r="B68" s="6" t="s">
        <v>10</v>
      </c>
      <c r="C68" s="6" t="s">
        <v>12</v>
      </c>
      <c r="D68" s="7" t="s">
        <v>272</v>
      </c>
      <c r="E68" s="8" t="s">
        <v>273</v>
      </c>
      <c r="F68" s="6" t="s">
        <v>274</v>
      </c>
      <c r="G68" s="9">
        <f>IF(A68=1,"_",IF(C68="_","???",C68))</f>
        <v/>
      </c>
      <c r="H68" s="10" t="s">
        <v>16</v>
      </c>
      <c r="I68" s="11" t="s">
        <v>16</v>
      </c>
      <c r="J68" s="12"/>
    </row>
    <row r="69" spans="1:10" ht="60" customHeight="1">
      <c r="A69" s="6" t="s">
        <v>275</v>
      </c>
      <c r="B69" s="6" t="s">
        <v>17</v>
      </c>
      <c r="C69" s="6" t="s">
        <v>12</v>
      </c>
      <c r="D69" s="7" t="s">
        <v>276</v>
      </c>
      <c r="E69" s="8" t="s">
        <v>277</v>
      </c>
      <c r="F69" s="6" t="s">
        <v>278</v>
      </c>
      <c r="G69" s="9">
        <f>IF(A69=1,"_",IF(C69="_","???",C69))</f>
        <v/>
      </c>
      <c r="H69" s="10" t="s">
        <v>16</v>
      </c>
      <c r="I69" s="11" t="s">
        <v>16</v>
      </c>
      <c r="J69" s="12"/>
    </row>
    <row r="70" spans="1:10" ht="60" customHeight="1">
      <c r="A70" s="6" t="s">
        <v>279</v>
      </c>
      <c r="B70" s="6" t="s">
        <v>10</v>
      </c>
      <c r="C70" s="6" t="s">
        <v>16</v>
      </c>
      <c r="D70" s="7" t="s">
        <v>272</v>
      </c>
      <c r="E70" s="8" t="s">
        <v>280</v>
      </c>
      <c r="F70" s="6" t="s">
        <v>281</v>
      </c>
      <c r="G70" s="9">
        <f>IF(A70=1,"_",IF(C70="_","???",C70))</f>
        <v/>
      </c>
      <c r="H70" s="10" t="s">
        <v>16</v>
      </c>
      <c r="I70" s="11" t="s">
        <v>16</v>
      </c>
      <c r="J70" s="12"/>
    </row>
    <row r="71" spans="1:10" ht="60" customHeight="1">
      <c r="A71" s="6" t="s">
        <v>282</v>
      </c>
      <c r="B71" s="6" t="s">
        <v>17</v>
      </c>
      <c r="C71" s="6" t="s">
        <v>24</v>
      </c>
      <c r="D71" s="7" t="s">
        <v>45</v>
      </c>
      <c r="E71" s="8" t="s">
        <v>283</v>
      </c>
      <c r="F71" s="6" t="s">
        <v>284</v>
      </c>
      <c r="G71" s="9">
        <f>IF(A71=1,"_",IF(C71="_","???",C71))</f>
        <v/>
      </c>
      <c r="H71" s="10" t="s">
        <v>16</v>
      </c>
      <c r="I71" s="11" t="s">
        <v>16</v>
      </c>
      <c r="J71" s="12"/>
    </row>
    <row r="72" spans="1:10" ht="60" customHeight="1">
      <c r="A72" s="6" t="s">
        <v>285</v>
      </c>
      <c r="B72" s="6" t="s">
        <v>23</v>
      </c>
      <c r="C72" s="6" t="s">
        <v>24</v>
      </c>
      <c r="D72" s="7" t="s">
        <v>286</v>
      </c>
      <c r="E72" s="8" t="s">
        <v>287</v>
      </c>
      <c r="F72" s="6" t="s">
        <v>288</v>
      </c>
      <c r="G72" s="9">
        <f>IF(A72=1,"_",IF(C72="_","???",C72))</f>
        <v/>
      </c>
      <c r="H72" s="10" t="s">
        <v>16</v>
      </c>
      <c r="I72" s="11" t="s">
        <v>16</v>
      </c>
      <c r="J72" s="12"/>
    </row>
    <row r="73" spans="1:10" ht="60" customHeight="1">
      <c r="A73" s="6" t="s">
        <v>289</v>
      </c>
      <c r="B73" s="6" t="s">
        <v>129</v>
      </c>
      <c r="C73" s="6" t="s">
        <v>53</v>
      </c>
      <c r="D73" s="7" t="s">
        <v>290</v>
      </c>
      <c r="E73" s="8" t="s">
        <v>291</v>
      </c>
      <c r="F73" s="6" t="s">
        <v>292</v>
      </c>
      <c r="G73" s="9">
        <f>IF(A73=1,"_",IF(C73="_","???",C73))</f>
        <v/>
      </c>
      <c r="H73" s="10" t="s">
        <v>16</v>
      </c>
      <c r="I73" s="11" t="s">
        <v>16</v>
      </c>
      <c r="J73" s="12"/>
    </row>
    <row r="74" spans="1:10" ht="60" customHeight="1">
      <c r="A74" s="6" t="s">
        <v>293</v>
      </c>
      <c r="B74" s="6" t="s">
        <v>11</v>
      </c>
      <c r="C74" s="6" t="s">
        <v>16</v>
      </c>
      <c r="D74" s="7" t="s">
        <v>294</v>
      </c>
      <c r="E74" s="8" t="s">
        <v>295</v>
      </c>
      <c r="F74" s="6" t="s">
        <v>296</v>
      </c>
      <c r="G74" s="9">
        <f>IF(A74=1,"_",IF(C74="_","???",C74))</f>
        <v/>
      </c>
      <c r="H74" s="10" t="s">
        <v>16</v>
      </c>
      <c r="I74" s="11" t="s">
        <v>16</v>
      </c>
      <c r="J74" s="12"/>
    </row>
    <row r="75" spans="1:10" ht="60" customHeight="1">
      <c r="A75" s="6" t="s">
        <v>297</v>
      </c>
      <c r="B75" s="6" t="s">
        <v>17</v>
      </c>
      <c r="C75" s="6" t="s">
        <v>16</v>
      </c>
      <c r="D75" s="7" t="s">
        <v>298</v>
      </c>
      <c r="E75" s="8" t="s">
        <v>299</v>
      </c>
      <c r="F75" s="6" t="s">
        <v>300</v>
      </c>
      <c r="G75" s="9">
        <f>IF(A75=1,"_",IF(C75="_","???",C75))</f>
        <v/>
      </c>
      <c r="H75" s="10" t="s">
        <v>16</v>
      </c>
      <c r="I75" s="11" t="s">
        <v>16</v>
      </c>
      <c r="J75" s="12"/>
    </row>
    <row r="76" spans="1:10" ht="60" customHeight="1">
      <c r="A76" s="6" t="s">
        <v>301</v>
      </c>
      <c r="B76" s="6" t="s">
        <v>31</v>
      </c>
      <c r="C76" s="6" t="s">
        <v>16</v>
      </c>
      <c r="D76" s="7" t="s">
        <v>302</v>
      </c>
      <c r="E76" s="8" t="s">
        <v>303</v>
      </c>
      <c r="F76" s="6" t="s">
        <v>304</v>
      </c>
      <c r="G76" s="9">
        <f>IF(A76=1,"_",IF(C76="_","???",C76))</f>
        <v/>
      </c>
      <c r="H76" s="10" t="s">
        <v>16</v>
      </c>
      <c r="I76" s="11" t="s">
        <v>16</v>
      </c>
      <c r="J76" s="12"/>
    </row>
    <row r="77" spans="1:10" ht="60" customHeight="1">
      <c r="A77" s="6" t="s">
        <v>305</v>
      </c>
      <c r="B77" s="6" t="s">
        <v>11</v>
      </c>
      <c r="C77" s="6" t="s">
        <v>19</v>
      </c>
      <c r="D77" s="7" t="s">
        <v>36</v>
      </c>
      <c r="E77" s="8" t="s">
        <v>306</v>
      </c>
      <c r="F77" s="6" t="s">
        <v>307</v>
      </c>
      <c r="G77" s="9">
        <f>IF(A77=1,"_",IF(C77="_","???",C77))</f>
        <v/>
      </c>
      <c r="H77" s="10" t="s">
        <v>16</v>
      </c>
      <c r="I77" s="11" t="s">
        <v>16</v>
      </c>
      <c r="J77" s="12"/>
    </row>
    <row r="78" spans="1:10" ht="60" customHeight="1">
      <c r="A78" s="6" t="s">
        <v>308</v>
      </c>
      <c r="B78" s="6" t="s">
        <v>83</v>
      </c>
      <c r="C78" s="6" t="s">
        <v>12</v>
      </c>
      <c r="D78" s="7" t="s">
        <v>309</v>
      </c>
      <c r="E78" s="8" t="s">
        <v>310</v>
      </c>
      <c r="F78" s="6" t="s">
        <v>311</v>
      </c>
      <c r="G78" s="9">
        <f>IF(A78=1,"_",IF(C78="_","???",C78))</f>
        <v/>
      </c>
      <c r="H78" s="10" t="s">
        <v>16</v>
      </c>
      <c r="I78" s="11" t="s">
        <v>16</v>
      </c>
      <c r="J78" s="12"/>
    </row>
    <row r="79" spans="1:10" ht="60" customHeight="1">
      <c r="A79" s="6" t="s">
        <v>312</v>
      </c>
      <c r="B79" s="6" t="s">
        <v>17</v>
      </c>
      <c r="C79" s="6" t="s">
        <v>16</v>
      </c>
      <c r="D79" s="7" t="s">
        <v>42</v>
      </c>
      <c r="E79" s="8" t="s">
        <v>313</v>
      </c>
      <c r="F79" s="6" t="s">
        <v>314</v>
      </c>
      <c r="G79" s="9">
        <f>IF(A79=1,"_",IF(C79="_","???",C79))</f>
        <v/>
      </c>
      <c r="H79" s="10" t="s">
        <v>16</v>
      </c>
      <c r="I79" s="11" t="s">
        <v>16</v>
      </c>
      <c r="J79" s="12"/>
    </row>
    <row r="80" spans="1:10" ht="60" customHeight="1">
      <c r="A80" s="6" t="s">
        <v>315</v>
      </c>
      <c r="B80" s="6" t="s">
        <v>17</v>
      </c>
      <c r="C80" s="6" t="s">
        <v>63</v>
      </c>
      <c r="D80" s="7" t="s">
        <v>316</v>
      </c>
      <c r="E80" s="8" t="s">
        <v>317</v>
      </c>
      <c r="F80" s="6" t="s">
        <v>318</v>
      </c>
      <c r="G80" s="9">
        <f>IF(A80=1,"_",IF(C80="_","???",C80))</f>
        <v/>
      </c>
      <c r="H80" s="10" t="s">
        <v>16</v>
      </c>
      <c r="I80" s="11" t="s">
        <v>16</v>
      </c>
      <c r="J80" s="12"/>
    </row>
    <row r="81" spans="1:10" ht="60" customHeight="1">
      <c r="A81" s="6" t="s">
        <v>319</v>
      </c>
      <c r="B81" s="6" t="s">
        <v>23</v>
      </c>
      <c r="C81" s="6" t="s">
        <v>63</v>
      </c>
      <c r="D81" s="7" t="s">
        <v>320</v>
      </c>
      <c r="E81" s="8" t="s">
        <v>321</v>
      </c>
      <c r="F81" s="6" t="s">
        <v>322</v>
      </c>
      <c r="G81" s="9">
        <f>IF(A81=1,"_",IF(C81="_","???",C81))</f>
        <v/>
      </c>
      <c r="H81" s="10" t="s">
        <v>16</v>
      </c>
      <c r="I81" s="11" t="s">
        <v>16</v>
      </c>
      <c r="J81" s="12"/>
    </row>
    <row r="82" spans="1:10" ht="60" customHeight="1">
      <c r="A82" s="6" t="s">
        <v>323</v>
      </c>
      <c r="B82" s="6" t="s">
        <v>17</v>
      </c>
      <c r="C82" s="6" t="s">
        <v>63</v>
      </c>
      <c r="D82" s="7" t="s">
        <v>324</v>
      </c>
      <c r="E82" s="8" t="s">
        <v>325</v>
      </c>
      <c r="F82" s="6" t="s">
        <v>326</v>
      </c>
      <c r="G82" s="9">
        <f>IF(A82=1,"_",IF(C82="_","???",C82))</f>
        <v/>
      </c>
      <c r="H82" s="10" t="s">
        <v>16</v>
      </c>
      <c r="I82" s="11" t="s">
        <v>16</v>
      </c>
      <c r="J82" s="12"/>
    </row>
    <row r="83" spans="1:10" ht="60" customHeight="1">
      <c r="A83" s="6" t="s">
        <v>327</v>
      </c>
      <c r="B83" s="6" t="s">
        <v>11</v>
      </c>
      <c r="C83" s="6" t="s">
        <v>12</v>
      </c>
      <c r="D83" s="7" t="s">
        <v>328</v>
      </c>
      <c r="E83" s="8" t="s">
        <v>329</v>
      </c>
      <c r="F83" s="6" t="s">
        <v>330</v>
      </c>
      <c r="G83" s="9">
        <f>IF(A83=1,"_",IF(C83="_","???",C83))</f>
        <v/>
      </c>
      <c r="H83" s="10" t="s">
        <v>16</v>
      </c>
      <c r="I83" s="11" t="s">
        <v>16</v>
      </c>
      <c r="J83" s="12"/>
    </row>
    <row r="84" spans="1:10" ht="60" customHeight="1">
      <c r="A84" s="6" t="s">
        <v>331</v>
      </c>
      <c r="B84" s="6" t="s">
        <v>11</v>
      </c>
      <c r="C84" s="6" t="s">
        <v>16</v>
      </c>
      <c r="D84" s="7" t="s">
        <v>290</v>
      </c>
      <c r="E84" s="8" t="s">
        <v>332</v>
      </c>
      <c r="F84" s="6" t="s">
        <v>333</v>
      </c>
      <c r="G84" s="9">
        <f>IF(A84=1,"_",IF(C84="_","???",C84))</f>
        <v/>
      </c>
      <c r="H84" s="10" t="s">
        <v>16</v>
      </c>
      <c r="I84" s="11" t="s">
        <v>16</v>
      </c>
      <c r="J84" s="12"/>
    </row>
    <row r="85" spans="1:10" ht="60" customHeight="1">
      <c r="A85" s="6" t="s">
        <v>334</v>
      </c>
      <c r="B85" s="6" t="s">
        <v>11</v>
      </c>
      <c r="C85" s="6" t="s">
        <v>12</v>
      </c>
      <c r="D85" s="7" t="s">
        <v>290</v>
      </c>
      <c r="E85" s="8" t="s">
        <v>335</v>
      </c>
      <c r="F85" s="6" t="s">
        <v>336</v>
      </c>
      <c r="G85" s="9">
        <f>IF(A85=1,"_",IF(C85="_","???",C85))</f>
        <v/>
      </c>
      <c r="H85" s="10" t="s">
        <v>16</v>
      </c>
      <c r="I85" s="11" t="s">
        <v>16</v>
      </c>
      <c r="J85" s="12"/>
    </row>
    <row r="86" spans="1:10" ht="60" customHeight="1">
      <c r="A86" s="6" t="s">
        <v>337</v>
      </c>
      <c r="B86" s="6" t="s">
        <v>11</v>
      </c>
      <c r="C86" s="6" t="s">
        <v>338</v>
      </c>
      <c r="D86" s="7" t="s">
        <v>339</v>
      </c>
      <c r="E86" s="8" t="s">
        <v>340</v>
      </c>
      <c r="F86" s="6" t="s">
        <v>341</v>
      </c>
      <c r="G86" s="9">
        <f>IF(A86=1,"_",IF(C86="_","???",C86))</f>
        <v/>
      </c>
      <c r="H86" s="10" t="s">
        <v>16</v>
      </c>
      <c r="I86" s="11" t="s">
        <v>16</v>
      </c>
      <c r="J86" s="12"/>
    </row>
    <row r="87" spans="1:10" ht="60" customHeight="1">
      <c r="A87" s="6" t="s">
        <v>342</v>
      </c>
      <c r="B87" s="6" t="s">
        <v>40</v>
      </c>
      <c r="C87" s="6" t="s">
        <v>143</v>
      </c>
      <c r="D87" s="7" t="s">
        <v>290</v>
      </c>
      <c r="E87" s="8" t="s">
        <v>343</v>
      </c>
      <c r="F87" s="6" t="s">
        <v>344</v>
      </c>
      <c r="G87" s="9">
        <f>IF(A87=1,"_",IF(C87="_","???",C87))</f>
        <v/>
      </c>
      <c r="H87" s="10" t="s">
        <v>16</v>
      </c>
      <c r="I87" s="11" t="s">
        <v>16</v>
      </c>
      <c r="J87" s="12"/>
    </row>
    <row r="88" spans="1:10" ht="60" customHeight="1">
      <c r="A88" s="6" t="s">
        <v>345</v>
      </c>
      <c r="B88" s="6" t="s">
        <v>23</v>
      </c>
      <c r="C88" s="6" t="s">
        <v>346</v>
      </c>
      <c r="D88" s="7" t="s">
        <v>290</v>
      </c>
      <c r="E88" s="8" t="s">
        <v>347</v>
      </c>
      <c r="F88" s="6" t="s">
        <v>348</v>
      </c>
      <c r="G88" s="9">
        <f>IF(A88=1,"_",IF(C88="_","???",C88))</f>
        <v/>
      </c>
      <c r="H88" s="10" t="s">
        <v>16</v>
      </c>
      <c r="I88" s="11" t="s">
        <v>16</v>
      </c>
      <c r="J88" s="12"/>
    </row>
    <row r="89" spans="1:10" ht="60" customHeight="1">
      <c r="A89" s="6" t="s">
        <v>349</v>
      </c>
      <c r="B89" s="6" t="s">
        <v>31</v>
      </c>
      <c r="C89" s="6" t="s">
        <v>16</v>
      </c>
      <c r="D89" s="7" t="s">
        <v>350</v>
      </c>
      <c r="E89" s="8" t="s">
        <v>351</v>
      </c>
      <c r="F89" s="6" t="s">
        <v>352</v>
      </c>
      <c r="G89" s="9">
        <f>IF(A89=1,"_",IF(C89="_","???",C89))</f>
        <v/>
      </c>
      <c r="H89" s="10" t="s">
        <v>16</v>
      </c>
      <c r="I89" s="11" t="s">
        <v>16</v>
      </c>
      <c r="J89" s="12"/>
    </row>
    <row r="90" spans="1:10" ht="60" customHeight="1">
      <c r="A90" s="6" t="s">
        <v>353</v>
      </c>
      <c r="B90" s="6" t="s">
        <v>23</v>
      </c>
      <c r="C90" s="6" t="s">
        <v>16</v>
      </c>
      <c r="D90" s="7" t="s">
        <v>45</v>
      </c>
      <c r="E90" s="8" t="s">
        <v>354</v>
      </c>
      <c r="F90" s="6" t="s">
        <v>355</v>
      </c>
      <c r="G90" s="9">
        <f>IF(A90=1,"_",IF(C90="_","???",C90))</f>
        <v/>
      </c>
      <c r="H90" s="10" t="s">
        <v>16</v>
      </c>
      <c r="I90" s="11" t="s">
        <v>16</v>
      </c>
      <c r="J90" s="12"/>
    </row>
    <row r="91" spans="1:10" ht="60" customHeight="1">
      <c r="A91" s="6" t="s">
        <v>356</v>
      </c>
      <c r="B91" s="6" t="s">
        <v>17</v>
      </c>
      <c r="C91" s="6" t="s">
        <v>16</v>
      </c>
      <c r="D91" s="7" t="s">
        <v>357</v>
      </c>
      <c r="E91" s="8" t="s">
        <v>358</v>
      </c>
      <c r="F91" s="6" t="s">
        <v>359</v>
      </c>
      <c r="G91" s="9">
        <f>IF(A91=1,"_",IF(C91="_","???",C91))</f>
        <v/>
      </c>
      <c r="H91" s="10" t="s">
        <v>16</v>
      </c>
      <c r="I91" s="11" t="s">
        <v>16</v>
      </c>
      <c r="J91" s="12"/>
    </row>
    <row r="92" spans="1:10" ht="60" customHeight="1">
      <c r="A92" s="6" t="s">
        <v>360</v>
      </c>
      <c r="B92" s="6" t="s">
        <v>120</v>
      </c>
      <c r="C92" s="6" t="s">
        <v>63</v>
      </c>
      <c r="D92" s="7" t="s">
        <v>361</v>
      </c>
      <c r="E92" s="8" t="s">
        <v>362</v>
      </c>
      <c r="F92" s="6" t="s">
        <v>363</v>
      </c>
      <c r="G92" s="9">
        <f>IF(A92=1,"_",IF(C92="_","???",C92))</f>
        <v/>
      </c>
      <c r="H92" s="10" t="s">
        <v>16</v>
      </c>
      <c r="I92" s="11" t="s">
        <v>16</v>
      </c>
      <c r="J92" s="12"/>
    </row>
    <row r="93" spans="1:10" ht="60" customHeight="1">
      <c r="A93" s="6" t="s">
        <v>364</v>
      </c>
      <c r="B93" s="6" t="s">
        <v>17</v>
      </c>
      <c r="C93" s="6" t="s">
        <v>16</v>
      </c>
      <c r="D93" s="7" t="s">
        <v>36</v>
      </c>
      <c r="E93" s="8" t="s">
        <v>365</v>
      </c>
      <c r="F93" s="6" t="s">
        <v>366</v>
      </c>
      <c r="G93" s="9">
        <f>IF(A93=1,"_",IF(C93="_","???",C93))</f>
        <v/>
      </c>
      <c r="H93" s="10" t="s">
        <v>16</v>
      </c>
      <c r="I93" s="11" t="s">
        <v>16</v>
      </c>
      <c r="J93" s="12"/>
    </row>
    <row r="94" spans="1:10" ht="60" customHeight="1">
      <c r="A94" s="6" t="s">
        <v>367</v>
      </c>
      <c r="B94" s="6" t="s">
        <v>23</v>
      </c>
      <c r="C94" s="6" t="s">
        <v>12</v>
      </c>
      <c r="D94" s="7" t="s">
        <v>368</v>
      </c>
      <c r="E94" s="8" t="s">
        <v>369</v>
      </c>
      <c r="F94" s="6" t="s">
        <v>370</v>
      </c>
      <c r="G94" s="9">
        <f>IF(A94=1,"_",IF(C94="_","???",C94))</f>
        <v/>
      </c>
      <c r="H94" s="10" t="s">
        <v>16</v>
      </c>
      <c r="I94" s="11" t="s">
        <v>16</v>
      </c>
      <c r="J94" s="12"/>
    </row>
    <row r="95" spans="1:10" ht="60" customHeight="1">
      <c r="A95" s="6" t="s">
        <v>371</v>
      </c>
      <c r="B95" s="6" t="s">
        <v>142</v>
      </c>
      <c r="C95" s="6" t="s">
        <v>16</v>
      </c>
      <c r="D95" s="7" t="s">
        <v>372</v>
      </c>
      <c r="E95" s="8" t="s">
        <v>373</v>
      </c>
      <c r="F95" s="6" t="s">
        <v>374</v>
      </c>
      <c r="G95" s="9">
        <f>IF(A95=1,"_",IF(C95="_","???",C95))</f>
        <v/>
      </c>
      <c r="H95" s="10" t="s">
        <v>16</v>
      </c>
      <c r="I95" s="11" t="s">
        <v>16</v>
      </c>
      <c r="J95" s="12"/>
    </row>
    <row r="96" spans="1:10" ht="60" customHeight="1">
      <c r="A96" s="6" t="s">
        <v>375</v>
      </c>
      <c r="B96" s="6" t="s">
        <v>39</v>
      </c>
      <c r="C96" s="6" t="s">
        <v>16</v>
      </c>
      <c r="D96" s="7" t="s">
        <v>376</v>
      </c>
      <c r="E96" s="8" t="s">
        <v>377</v>
      </c>
      <c r="F96" s="6" t="s">
        <v>378</v>
      </c>
      <c r="G96" s="9">
        <f>IF(A96=1,"_",IF(C96="_","???",C96))</f>
        <v/>
      </c>
      <c r="H96" s="10" t="s">
        <v>16</v>
      </c>
      <c r="I96" s="11" t="s">
        <v>16</v>
      </c>
      <c r="J96" s="12"/>
    </row>
    <row r="97" spans="1:10" ht="60" customHeight="1">
      <c r="A97" s="6" t="s">
        <v>379</v>
      </c>
      <c r="B97" s="6" t="s">
        <v>40</v>
      </c>
      <c r="C97" s="6" t="s">
        <v>16</v>
      </c>
      <c r="D97" s="7" t="s">
        <v>376</v>
      </c>
      <c r="E97" s="8" t="s">
        <v>380</v>
      </c>
      <c r="F97" s="6" t="s">
        <v>381</v>
      </c>
      <c r="G97" s="9">
        <f>IF(A97=1,"_",IF(C97="_","???",C97))</f>
        <v/>
      </c>
      <c r="H97" s="10" t="s">
        <v>16</v>
      </c>
      <c r="I97" s="11" t="s">
        <v>16</v>
      </c>
      <c r="J97" s="12"/>
    </row>
    <row r="98" spans="1:10" ht="60" customHeight="1">
      <c r="A98" s="6" t="s">
        <v>382</v>
      </c>
      <c r="B98" s="6" t="s">
        <v>17</v>
      </c>
      <c r="C98" s="6" t="s">
        <v>383</v>
      </c>
      <c r="D98" s="7" t="s">
        <v>384</v>
      </c>
      <c r="E98" s="8" t="s">
        <v>385</v>
      </c>
      <c r="F98" s="6" t="s">
        <v>386</v>
      </c>
      <c r="G98" s="9">
        <f>IF(A98=1,"_",IF(C98="_","???",C98))</f>
        <v/>
      </c>
      <c r="H98" s="10" t="s">
        <v>16</v>
      </c>
      <c r="I98" s="11" t="s">
        <v>16</v>
      </c>
      <c r="J98" s="12"/>
    </row>
    <row r="99" spans="1:10" ht="60" customHeight="1">
      <c r="A99" s="6" t="s">
        <v>387</v>
      </c>
      <c r="B99" s="6" t="s">
        <v>17</v>
      </c>
      <c r="C99" s="6" t="s">
        <v>388</v>
      </c>
      <c r="D99" s="7" t="s">
        <v>389</v>
      </c>
      <c r="E99" s="8" t="s">
        <v>390</v>
      </c>
      <c r="F99" s="6" t="s">
        <v>391</v>
      </c>
      <c r="G99" s="9">
        <f>IF(A99=1,"_",IF(C99="_","???",C99))</f>
        <v/>
      </c>
      <c r="H99" s="10" t="s">
        <v>16</v>
      </c>
      <c r="I99" s="11" t="s">
        <v>16</v>
      </c>
      <c r="J99" s="12"/>
    </row>
    <row r="100" spans="1:10" ht="60" customHeight="1">
      <c r="A100" s="6" t="s">
        <v>392</v>
      </c>
      <c r="B100" s="6" t="s">
        <v>17</v>
      </c>
      <c r="C100" s="6" t="s">
        <v>63</v>
      </c>
      <c r="D100" s="7" t="s">
        <v>268</v>
      </c>
      <c r="E100" s="8" t="s">
        <v>393</v>
      </c>
      <c r="F100" s="6" t="s">
        <v>394</v>
      </c>
      <c r="G100" s="9">
        <f>IF(A100=1,"_",IF(C100="_","???",C100))</f>
        <v/>
      </c>
      <c r="H100" s="10" t="s">
        <v>16</v>
      </c>
      <c r="I100" s="11" t="s">
        <v>16</v>
      </c>
      <c r="J100" s="12"/>
    </row>
    <row r="101" spans="1:10" ht="60" customHeight="1">
      <c r="A101" s="6" t="s">
        <v>395</v>
      </c>
      <c r="B101" s="6" t="s">
        <v>35</v>
      </c>
      <c r="C101" s="6" t="s">
        <v>12</v>
      </c>
      <c r="D101" s="7" t="s">
        <v>396</v>
      </c>
      <c r="E101" s="8" t="s">
        <v>397</v>
      </c>
      <c r="F101" s="6" t="s">
        <v>398</v>
      </c>
      <c r="G101" s="9">
        <f>IF(A101=1,"_",IF(C101="_","???",C101))</f>
        <v/>
      </c>
      <c r="H101" s="10" t="s">
        <v>16</v>
      </c>
      <c r="I101" s="11" t="s">
        <v>16</v>
      </c>
      <c r="J101" s="12"/>
    </row>
    <row r="102" spans="1:10" ht="60" customHeight="1">
      <c r="A102" s="6" t="s">
        <v>399</v>
      </c>
      <c r="B102" s="6" t="s">
        <v>40</v>
      </c>
      <c r="C102" s="6" t="s">
        <v>24</v>
      </c>
      <c r="D102" s="7" t="s">
        <v>400</v>
      </c>
      <c r="E102" s="8" t="s">
        <v>401</v>
      </c>
      <c r="F102" s="6" t="s">
        <v>402</v>
      </c>
      <c r="G102" s="9">
        <f>IF(A102=1,"_",IF(C102="_","???",C102))</f>
        <v/>
      </c>
      <c r="H102" s="10" t="s">
        <v>16</v>
      </c>
      <c r="I102" s="11" t="s">
        <v>16</v>
      </c>
      <c r="J102" s="12"/>
    </row>
    <row r="103" spans="1:10" ht="60" customHeight="1">
      <c r="A103" s="6" t="s">
        <v>403</v>
      </c>
      <c r="B103" s="6" t="s">
        <v>17</v>
      </c>
      <c r="C103" s="6" t="s">
        <v>404</v>
      </c>
      <c r="D103" s="7" t="s">
        <v>97</v>
      </c>
      <c r="E103" s="8" t="s">
        <v>405</v>
      </c>
      <c r="F103" s="6" t="s">
        <v>406</v>
      </c>
      <c r="G103" s="9">
        <f>IF(A103=1,"_",IF(C103="_","???",C103))</f>
        <v/>
      </c>
      <c r="H103" s="10" t="s">
        <v>16</v>
      </c>
      <c r="I103" s="11" t="s">
        <v>16</v>
      </c>
      <c r="J103" s="12"/>
    </row>
    <row r="104" spans="1:10" ht="60" customHeight="1">
      <c r="A104" s="6" t="s">
        <v>407</v>
      </c>
      <c r="B104" s="6" t="s">
        <v>11</v>
      </c>
      <c r="C104" s="6" t="s">
        <v>12</v>
      </c>
      <c r="D104" s="7" t="s">
        <v>290</v>
      </c>
      <c r="E104" s="8" t="s">
        <v>408</v>
      </c>
      <c r="F104" s="6" t="s">
        <v>409</v>
      </c>
      <c r="G104" s="9">
        <f>IF(A104=1,"_",IF(C104="_","???",C104))</f>
        <v/>
      </c>
      <c r="H104" s="10" t="s">
        <v>16</v>
      </c>
      <c r="I104" s="11" t="s">
        <v>16</v>
      </c>
      <c r="J104" s="12"/>
    </row>
    <row r="105" spans="1:10" ht="60" customHeight="1">
      <c r="A105" s="6" t="s">
        <v>410</v>
      </c>
      <c r="B105" s="6" t="s">
        <v>31</v>
      </c>
      <c r="C105" s="6" t="s">
        <v>16</v>
      </c>
      <c r="D105" s="7" t="s">
        <v>411</v>
      </c>
      <c r="E105" s="8" t="s">
        <v>412</v>
      </c>
      <c r="F105" s="6" t="s">
        <v>413</v>
      </c>
      <c r="G105" s="9">
        <f>IF(A105=1,"_",IF(C105="_","???",C105))</f>
        <v/>
      </c>
      <c r="H105" s="10" t="s">
        <v>16</v>
      </c>
      <c r="I105" s="11" t="s">
        <v>16</v>
      </c>
      <c r="J105" s="12"/>
    </row>
    <row r="106" spans="1:10" ht="60" customHeight="1">
      <c r="A106" s="6" t="s">
        <v>414</v>
      </c>
      <c r="B106" s="6" t="s">
        <v>52</v>
      </c>
      <c r="C106" s="6" t="s">
        <v>12</v>
      </c>
      <c r="D106" s="7" t="s">
        <v>415</v>
      </c>
      <c r="E106" s="8" t="s">
        <v>416</v>
      </c>
      <c r="F106" s="6" t="s">
        <v>417</v>
      </c>
      <c r="G106" s="9">
        <f>IF(A106=1,"_",IF(C106="_","???",C106))</f>
        <v/>
      </c>
      <c r="H106" s="10" t="s">
        <v>16</v>
      </c>
      <c r="I106" s="11" t="s">
        <v>16</v>
      </c>
      <c r="J106" s="12"/>
    </row>
    <row r="107" spans="1:10" ht="60" customHeight="1">
      <c r="A107" s="6" t="s">
        <v>418</v>
      </c>
      <c r="B107" s="6" t="s">
        <v>11</v>
      </c>
      <c r="C107" s="6" t="s">
        <v>16</v>
      </c>
      <c r="D107" s="7" t="s">
        <v>419</v>
      </c>
      <c r="E107" s="8" t="s">
        <v>420</v>
      </c>
      <c r="F107" s="6" t="s">
        <v>421</v>
      </c>
      <c r="G107" s="9">
        <f>IF(A107=1,"_",IF(C107="_","???",C107))</f>
        <v/>
      </c>
      <c r="H107" s="10" t="s">
        <v>16</v>
      </c>
      <c r="I107" s="11" t="s">
        <v>16</v>
      </c>
      <c r="J107" s="12"/>
    </row>
    <row r="108" spans="1:10" ht="60" customHeight="1">
      <c r="A108" s="6" t="s">
        <v>422</v>
      </c>
      <c r="B108" s="6" t="s">
        <v>35</v>
      </c>
      <c r="C108" s="6" t="s">
        <v>12</v>
      </c>
      <c r="D108" s="7" t="s">
        <v>423</v>
      </c>
      <c r="E108" s="8" t="s">
        <v>424</v>
      </c>
      <c r="F108" s="6" t="s">
        <v>425</v>
      </c>
      <c r="G108" s="9">
        <f>IF(A108=1,"_",IF(C108="_","???",C108))</f>
        <v/>
      </c>
      <c r="H108" s="10" t="s">
        <v>16</v>
      </c>
      <c r="I108" s="11" t="s">
        <v>16</v>
      </c>
      <c r="J108" s="12"/>
    </row>
    <row r="109" spans="1:10" ht="60" customHeight="1">
      <c r="A109" s="6" t="s">
        <v>426</v>
      </c>
      <c r="B109" s="6" t="s">
        <v>31</v>
      </c>
      <c r="C109" s="6" t="s">
        <v>143</v>
      </c>
      <c r="D109" s="7" t="s">
        <v>427</v>
      </c>
      <c r="E109" s="8" t="s">
        <v>428</v>
      </c>
      <c r="F109" s="6" t="s">
        <v>429</v>
      </c>
      <c r="G109" s="9">
        <f>IF(A109=1,"_",IF(C109="_","???",C109))</f>
        <v/>
      </c>
      <c r="H109" s="10" t="s">
        <v>16</v>
      </c>
      <c r="I109" s="11" t="s">
        <v>16</v>
      </c>
      <c r="J109" s="12"/>
    </row>
    <row r="110" spans="1:10" ht="60" customHeight="1">
      <c r="A110" s="6" t="s">
        <v>430</v>
      </c>
      <c r="B110" s="6" t="s">
        <v>17</v>
      </c>
      <c r="C110" s="6" t="s">
        <v>404</v>
      </c>
      <c r="D110" s="7" t="s">
        <v>431</v>
      </c>
      <c r="E110" s="8" t="s">
        <v>432</v>
      </c>
      <c r="F110" s="6" t="s">
        <v>433</v>
      </c>
      <c r="G110" s="9">
        <f>IF(A110=1,"_",IF(C110="_","???",C110))</f>
        <v/>
      </c>
      <c r="H110" s="10" t="s">
        <v>16</v>
      </c>
      <c r="I110" s="11" t="s">
        <v>16</v>
      </c>
      <c r="J110" s="12"/>
    </row>
    <row r="111" spans="1:10" ht="60" customHeight="1">
      <c r="A111" s="6" t="s">
        <v>434</v>
      </c>
      <c r="B111" s="6" t="s">
        <v>17</v>
      </c>
      <c r="C111" s="6" t="s">
        <v>404</v>
      </c>
      <c r="D111" s="7" t="s">
        <v>415</v>
      </c>
      <c r="E111" s="8" t="s">
        <v>435</v>
      </c>
      <c r="F111" s="6" t="s">
        <v>436</v>
      </c>
      <c r="G111" s="9">
        <f>IF(A111=1,"_",IF(C111="_","???",C111))</f>
        <v/>
      </c>
      <c r="H111" s="10" t="s">
        <v>16</v>
      </c>
      <c r="I111" s="11" t="s">
        <v>16</v>
      </c>
      <c r="J111" s="12"/>
    </row>
    <row r="112" spans="1:10" ht="60" customHeight="1">
      <c r="A112" s="6" t="s">
        <v>437</v>
      </c>
      <c r="B112" s="6" t="s">
        <v>23</v>
      </c>
      <c r="C112" s="6" t="s">
        <v>24</v>
      </c>
      <c r="D112" s="7" t="s">
        <v>93</v>
      </c>
      <c r="E112" s="8" t="s">
        <v>438</v>
      </c>
      <c r="F112" s="6" t="s">
        <v>439</v>
      </c>
      <c r="G112" s="9">
        <f>IF(A112=1,"_",IF(C112="_","???",C112))</f>
        <v/>
      </c>
      <c r="H112" s="10" t="s">
        <v>16</v>
      </c>
      <c r="I112" s="11" t="s">
        <v>16</v>
      </c>
      <c r="J112" s="12"/>
    </row>
    <row r="113" spans="1:10" ht="60" customHeight="1">
      <c r="A113" s="6" t="s">
        <v>440</v>
      </c>
      <c r="B113" s="6" t="s">
        <v>11</v>
      </c>
      <c r="C113" s="6" t="s">
        <v>41</v>
      </c>
      <c r="D113" s="7" t="s">
        <v>139</v>
      </c>
      <c r="E113" s="8" t="s">
        <v>441</v>
      </c>
      <c r="F113" s="6" t="s">
        <v>442</v>
      </c>
      <c r="G113" s="9">
        <f>IF(A113=1,"_",IF(C113="_","???",C113))</f>
        <v/>
      </c>
      <c r="H113" s="10" t="s">
        <v>16</v>
      </c>
      <c r="I113" s="11" t="s">
        <v>16</v>
      </c>
      <c r="J113" s="12"/>
    </row>
    <row r="114" spans="1:10" ht="60" customHeight="1">
      <c r="A114" s="6" t="s">
        <v>443</v>
      </c>
      <c r="B114" s="6" t="s">
        <v>17</v>
      </c>
      <c r="C114" s="6" t="s">
        <v>16</v>
      </c>
      <c r="D114" s="7" t="s">
        <v>42</v>
      </c>
      <c r="E114" s="8" t="s">
        <v>444</v>
      </c>
      <c r="F114" s="6" t="s">
        <v>445</v>
      </c>
      <c r="G114" s="9">
        <f>IF(A114=1,"_",IF(C114="_","???",C114))</f>
        <v/>
      </c>
      <c r="H114" s="10" t="s">
        <v>16</v>
      </c>
      <c r="I114" s="11" t="s">
        <v>16</v>
      </c>
      <c r="J114" s="12"/>
    </row>
    <row r="115" spans="1:10" ht="60" customHeight="1">
      <c r="A115" s="6" t="s">
        <v>446</v>
      </c>
      <c r="B115" s="6" t="s">
        <v>23</v>
      </c>
      <c r="C115" s="6" t="s">
        <v>24</v>
      </c>
      <c r="D115" s="7" t="s">
        <v>328</v>
      </c>
      <c r="E115" s="8" t="s">
        <v>447</v>
      </c>
      <c r="F115" s="6" t="s">
        <v>448</v>
      </c>
      <c r="G115" s="9">
        <f>IF(A115=1,"_",IF(C115="_","???",C115))</f>
        <v/>
      </c>
      <c r="H115" s="10" t="s">
        <v>16</v>
      </c>
      <c r="I115" s="11" t="s">
        <v>16</v>
      </c>
      <c r="J115" s="12"/>
    </row>
    <row r="116" spans="1:10" ht="60" customHeight="1">
      <c r="A116" s="6" t="s">
        <v>449</v>
      </c>
      <c r="B116" s="6" t="s">
        <v>120</v>
      </c>
      <c r="C116" s="6" t="s">
        <v>450</v>
      </c>
      <c r="D116" s="7" t="s">
        <v>451</v>
      </c>
      <c r="E116" s="8" t="s">
        <v>452</v>
      </c>
      <c r="F116" s="6" t="s">
        <v>453</v>
      </c>
      <c r="G116" s="9">
        <f>IF(A116=1,"_",IF(C116="_","???",C116))</f>
        <v/>
      </c>
      <c r="H116" s="10" t="s">
        <v>16</v>
      </c>
      <c r="I116" s="11" t="s">
        <v>16</v>
      </c>
      <c r="J116" s="12"/>
    </row>
    <row r="117" spans="1:10" ht="60" customHeight="1">
      <c r="A117" s="6" t="s">
        <v>454</v>
      </c>
      <c r="B117" s="6" t="s">
        <v>124</v>
      </c>
      <c r="C117" s="6" t="s">
        <v>388</v>
      </c>
      <c r="D117" s="7" t="s">
        <v>455</v>
      </c>
      <c r="E117" s="8" t="s">
        <v>456</v>
      </c>
      <c r="F117" s="6" t="s">
        <v>457</v>
      </c>
      <c r="G117" s="9">
        <f>IF(A117=1,"_",IF(C117="_","???",C117))</f>
        <v/>
      </c>
      <c r="H117" s="10" t="s">
        <v>16</v>
      </c>
      <c r="I117" s="11" t="s">
        <v>16</v>
      </c>
      <c r="J117" s="12"/>
    </row>
    <row r="118" spans="1:10" ht="60" customHeight="1">
      <c r="A118" s="6" t="s">
        <v>458</v>
      </c>
      <c r="B118" s="6" t="s">
        <v>11</v>
      </c>
      <c r="C118" s="6" t="s">
        <v>404</v>
      </c>
      <c r="D118" s="7" t="s">
        <v>324</v>
      </c>
      <c r="E118" s="8" t="s">
        <v>459</v>
      </c>
      <c r="F118" s="6" t="s">
        <v>460</v>
      </c>
      <c r="G118" s="9">
        <f>IF(A118=1,"_",IF(C118="_","???",C118))</f>
        <v/>
      </c>
      <c r="H118" s="10" t="s">
        <v>16</v>
      </c>
      <c r="I118" s="11" t="s">
        <v>16</v>
      </c>
      <c r="J118" s="12"/>
    </row>
    <row r="119" spans="1:10" ht="60" customHeight="1">
      <c r="A119" s="6" t="s">
        <v>461</v>
      </c>
      <c r="B119" s="6" t="s">
        <v>11</v>
      </c>
      <c r="C119" s="6" t="s">
        <v>12</v>
      </c>
      <c r="D119" s="7" t="s">
        <v>462</v>
      </c>
      <c r="E119" s="8" t="s">
        <v>463</v>
      </c>
      <c r="F119" s="6" t="s">
        <v>464</v>
      </c>
      <c r="G119" s="9">
        <f>IF(A119=1,"_",IF(C119="_","???",C119))</f>
        <v/>
      </c>
      <c r="H119" s="10" t="s">
        <v>16</v>
      </c>
      <c r="I119" s="11" t="s">
        <v>16</v>
      </c>
      <c r="J119" s="12"/>
    </row>
    <row r="120" spans="1:10" ht="60" customHeight="1">
      <c r="A120" s="6" t="s">
        <v>465</v>
      </c>
      <c r="B120" s="6" t="s">
        <v>11</v>
      </c>
      <c r="C120" s="6" t="s">
        <v>16</v>
      </c>
      <c r="D120" s="7" t="s">
        <v>466</v>
      </c>
      <c r="E120" s="8" t="s">
        <v>467</v>
      </c>
      <c r="F120" s="6" t="s">
        <v>468</v>
      </c>
      <c r="G120" s="9">
        <f>IF(A120=1,"_",IF(C120="_","???",C120))</f>
        <v/>
      </c>
      <c r="H120" s="10" t="s">
        <v>16</v>
      </c>
      <c r="I120" s="11" t="s">
        <v>16</v>
      </c>
      <c r="J120" s="12"/>
    </row>
    <row r="121" spans="1:10" ht="60" customHeight="1">
      <c r="A121" s="6" t="s">
        <v>469</v>
      </c>
      <c r="B121" s="6" t="s">
        <v>48</v>
      </c>
      <c r="C121" s="6" t="s">
        <v>12</v>
      </c>
      <c r="D121" s="7" t="s">
        <v>470</v>
      </c>
      <c r="E121" s="8" t="s">
        <v>471</v>
      </c>
      <c r="F121" s="6" t="s">
        <v>472</v>
      </c>
      <c r="G121" s="9">
        <f>IF(A121=1,"_",IF(C121="_","???",C121))</f>
        <v/>
      </c>
      <c r="H121" s="10" t="s">
        <v>16</v>
      </c>
      <c r="I121" s="11" t="s">
        <v>16</v>
      </c>
      <c r="J121" s="12"/>
    </row>
    <row r="122" spans="1:10" ht="60" customHeight="1">
      <c r="A122" s="6" t="s">
        <v>473</v>
      </c>
      <c r="B122" s="6" t="s">
        <v>17</v>
      </c>
      <c r="C122" s="6" t="s">
        <v>16</v>
      </c>
      <c r="D122" s="7" t="s">
        <v>474</v>
      </c>
      <c r="E122" s="8" t="s">
        <v>475</v>
      </c>
      <c r="F122" s="6" t="s">
        <v>476</v>
      </c>
      <c r="G122" s="9">
        <f>IF(A122=1,"_",IF(C122="_","???",C122))</f>
        <v/>
      </c>
      <c r="H122" s="10" t="s">
        <v>16</v>
      </c>
      <c r="I122" s="11" t="s">
        <v>16</v>
      </c>
      <c r="J122" s="12"/>
    </row>
    <row r="123" spans="1:10" ht="60" customHeight="1">
      <c r="A123" s="6" t="s">
        <v>477</v>
      </c>
      <c r="B123" s="6" t="s">
        <v>31</v>
      </c>
      <c r="C123" s="6" t="s">
        <v>12</v>
      </c>
      <c r="D123" s="7" t="s">
        <v>478</v>
      </c>
      <c r="E123" s="8" t="s">
        <v>479</v>
      </c>
      <c r="F123" s="6" t="s">
        <v>480</v>
      </c>
      <c r="G123" s="9">
        <f>IF(A123=1,"_",IF(C123="_","???",C123))</f>
        <v/>
      </c>
      <c r="H123" s="10" t="s">
        <v>16</v>
      </c>
      <c r="I123" s="11" t="s">
        <v>16</v>
      </c>
      <c r="J123" s="12"/>
    </row>
    <row r="124" spans="1:10" ht="60" customHeight="1">
      <c r="A124" s="6" t="s">
        <v>481</v>
      </c>
      <c r="B124" s="6" t="s">
        <v>17</v>
      </c>
      <c r="C124" s="6" t="s">
        <v>143</v>
      </c>
      <c r="D124" s="7" t="s">
        <v>482</v>
      </c>
      <c r="E124" s="8" t="s">
        <v>483</v>
      </c>
      <c r="F124" s="6" t="s">
        <v>484</v>
      </c>
      <c r="G124" s="9">
        <f>IF(A124=1,"_",IF(C124="_","???",C124))</f>
        <v/>
      </c>
      <c r="H124" s="10" t="s">
        <v>16</v>
      </c>
      <c r="I124" s="11" t="s">
        <v>16</v>
      </c>
      <c r="J124" s="12"/>
    </row>
    <row r="125" spans="1:10" ht="60" customHeight="1">
      <c r="A125" s="6" t="s">
        <v>485</v>
      </c>
      <c r="B125" s="6" t="s">
        <v>18</v>
      </c>
      <c r="C125" s="6" t="s">
        <v>19</v>
      </c>
      <c r="D125" s="7" t="s">
        <v>486</v>
      </c>
      <c r="E125" s="8" t="s">
        <v>487</v>
      </c>
      <c r="F125" s="6" t="s">
        <v>488</v>
      </c>
      <c r="G125" s="9">
        <f>IF(A125=1,"_",IF(C125="_","???",C125))</f>
        <v/>
      </c>
      <c r="H125" s="10" t="s">
        <v>16</v>
      </c>
      <c r="I125" s="11" t="s">
        <v>16</v>
      </c>
      <c r="J125" s="12"/>
    </row>
    <row r="126" spans="1:10" ht="60" customHeight="1">
      <c r="A126" s="6" t="s">
        <v>489</v>
      </c>
      <c r="B126" s="6" t="s">
        <v>17</v>
      </c>
      <c r="C126" s="6" t="s">
        <v>12</v>
      </c>
      <c r="D126" s="7" t="s">
        <v>268</v>
      </c>
      <c r="E126" s="8" t="s">
        <v>490</v>
      </c>
      <c r="F126" s="6" t="s">
        <v>491</v>
      </c>
      <c r="G126" s="9">
        <f>IF(A126=1,"_",IF(C126="_","???",C126))</f>
        <v/>
      </c>
      <c r="H126" s="10" t="s">
        <v>16</v>
      </c>
      <c r="I126" s="11" t="s">
        <v>16</v>
      </c>
      <c r="J126" s="12"/>
    </row>
    <row r="127" spans="1:10" ht="60" customHeight="1">
      <c r="A127" s="6" t="s">
        <v>492</v>
      </c>
      <c r="B127" s="6" t="s">
        <v>11</v>
      </c>
      <c r="C127" s="6" t="s">
        <v>63</v>
      </c>
      <c r="D127" s="7" t="s">
        <v>290</v>
      </c>
      <c r="E127" s="8" t="s">
        <v>493</v>
      </c>
      <c r="F127" s="6" t="s">
        <v>494</v>
      </c>
      <c r="G127" s="9">
        <f>IF(A127=1,"_",IF(C127="_","???",C127))</f>
        <v/>
      </c>
      <c r="H127" s="10" t="s">
        <v>16</v>
      </c>
      <c r="I127" s="11" t="s">
        <v>16</v>
      </c>
      <c r="J127" s="12"/>
    </row>
    <row r="128" spans="1:10" ht="60" customHeight="1">
      <c r="A128" s="6" t="s">
        <v>495</v>
      </c>
      <c r="B128" s="6" t="s">
        <v>17</v>
      </c>
      <c r="C128" s="6" t="s">
        <v>16</v>
      </c>
      <c r="D128" s="7" t="s">
        <v>290</v>
      </c>
      <c r="E128" s="8" t="s">
        <v>496</v>
      </c>
      <c r="F128" s="6" t="s">
        <v>497</v>
      </c>
      <c r="G128" s="9">
        <f>IF(A128=1,"_",IF(C128="_","???",C128))</f>
        <v/>
      </c>
      <c r="H128" s="10" t="s">
        <v>16</v>
      </c>
      <c r="I128" s="11" t="s">
        <v>16</v>
      </c>
      <c r="J128" s="12"/>
    </row>
    <row r="129" spans="1:10" ht="60" customHeight="1">
      <c r="A129" s="6" t="s">
        <v>498</v>
      </c>
      <c r="B129" s="6" t="s">
        <v>11</v>
      </c>
      <c r="C129" s="6" t="s">
        <v>12</v>
      </c>
      <c r="D129" s="7" t="s">
        <v>290</v>
      </c>
      <c r="E129" s="8" t="s">
        <v>499</v>
      </c>
      <c r="F129" s="6" t="s">
        <v>500</v>
      </c>
      <c r="G129" s="9">
        <f>IF(A129=1,"_",IF(C129="_","???",C129))</f>
        <v/>
      </c>
      <c r="H129" s="10" t="s">
        <v>16</v>
      </c>
      <c r="I129" s="11" t="s">
        <v>16</v>
      </c>
      <c r="J129" s="12"/>
    </row>
    <row r="130" spans="1:10" ht="60" customHeight="1">
      <c r="A130" s="6" t="s">
        <v>501</v>
      </c>
      <c r="B130" s="6" t="s">
        <v>23</v>
      </c>
      <c r="C130" s="6" t="s">
        <v>16</v>
      </c>
      <c r="D130" s="7" t="s">
        <v>415</v>
      </c>
      <c r="E130" s="8" t="s">
        <v>502</v>
      </c>
      <c r="F130" s="6" t="s">
        <v>503</v>
      </c>
      <c r="G130" s="9">
        <f>IF(A130=1,"_",IF(C130="_","???",C130))</f>
        <v/>
      </c>
      <c r="H130" s="10" t="s">
        <v>16</v>
      </c>
      <c r="I130" s="11" t="s">
        <v>16</v>
      </c>
      <c r="J130" s="12"/>
    </row>
    <row r="131" spans="1:10" ht="60" customHeight="1">
      <c r="A131" s="6" t="s">
        <v>504</v>
      </c>
      <c r="B131" s="6" t="s">
        <v>23</v>
      </c>
      <c r="C131" s="6" t="s">
        <v>16</v>
      </c>
      <c r="D131" s="7" t="s">
        <v>505</v>
      </c>
      <c r="E131" s="8" t="s">
        <v>506</v>
      </c>
      <c r="F131" s="6" t="s">
        <v>507</v>
      </c>
      <c r="G131" s="9">
        <f>IF(A131=1,"_",IF(C131="_","???",C131))</f>
        <v/>
      </c>
      <c r="H131" s="10" t="s">
        <v>16</v>
      </c>
      <c r="I131" s="11" t="s">
        <v>16</v>
      </c>
      <c r="J131" s="12"/>
    </row>
    <row r="132" spans="1:10" ht="60" customHeight="1">
      <c r="A132" s="6" t="s">
        <v>508</v>
      </c>
      <c r="B132" s="6" t="s">
        <v>23</v>
      </c>
      <c r="C132" s="6" t="s">
        <v>16</v>
      </c>
      <c r="D132" s="7" t="s">
        <v>509</v>
      </c>
      <c r="E132" s="8" t="s">
        <v>510</v>
      </c>
      <c r="F132" s="6" t="s">
        <v>511</v>
      </c>
      <c r="G132" s="9">
        <f>IF(A132=1,"_",IF(C132="_","???",C132))</f>
        <v/>
      </c>
      <c r="H132" s="10" t="s">
        <v>16</v>
      </c>
      <c r="I132" s="11" t="s">
        <v>16</v>
      </c>
      <c r="J132" s="12"/>
    </row>
    <row r="133" spans="1:10" ht="60" customHeight="1">
      <c r="A133" s="6" t="s">
        <v>512</v>
      </c>
      <c r="B133" s="6" t="s">
        <v>23</v>
      </c>
      <c r="C133" s="6" t="s">
        <v>41</v>
      </c>
      <c r="D133" s="7" t="s">
        <v>513</v>
      </c>
      <c r="E133" s="8" t="s">
        <v>514</v>
      </c>
      <c r="F133" s="6" t="s">
        <v>515</v>
      </c>
      <c r="G133" s="9">
        <f>IF(A133=1,"_",IF(C133="_","???",C133))</f>
        <v/>
      </c>
      <c r="H133" s="10" t="s">
        <v>16</v>
      </c>
      <c r="I133" s="11" t="s">
        <v>16</v>
      </c>
      <c r="J133" s="12"/>
    </row>
    <row r="134" spans="1:10" ht="60" customHeight="1">
      <c r="A134" s="6" t="s">
        <v>516</v>
      </c>
      <c r="B134" s="6" t="s">
        <v>39</v>
      </c>
      <c r="C134" s="6" t="s">
        <v>75</v>
      </c>
      <c r="D134" s="7" t="s">
        <v>415</v>
      </c>
      <c r="E134" s="8" t="s">
        <v>517</v>
      </c>
      <c r="F134" s="6" t="s">
        <v>518</v>
      </c>
      <c r="G134" s="9">
        <f>IF(A134=1,"_",IF(C134="_","???",C134))</f>
        <v/>
      </c>
      <c r="H134" s="10" t="s">
        <v>16</v>
      </c>
      <c r="I134" s="11" t="s">
        <v>16</v>
      </c>
      <c r="J134" s="12"/>
    </row>
    <row r="135" spans="1:10" ht="60" customHeight="1">
      <c r="A135" s="6" t="s">
        <v>519</v>
      </c>
      <c r="B135" s="6" t="s">
        <v>17</v>
      </c>
      <c r="C135" s="6" t="s">
        <v>16</v>
      </c>
      <c r="D135" s="7" t="s">
        <v>520</v>
      </c>
      <c r="E135" s="8" t="s">
        <v>521</v>
      </c>
      <c r="F135" s="6" t="s">
        <v>522</v>
      </c>
      <c r="G135" s="9">
        <f>IF(A135=1,"_",IF(C135="_","???",C135))</f>
        <v/>
      </c>
      <c r="H135" s="10" t="s">
        <v>16</v>
      </c>
      <c r="I135" s="11" t="s">
        <v>16</v>
      </c>
      <c r="J135" s="12"/>
    </row>
    <row r="136" spans="1:10" ht="60" customHeight="1">
      <c r="A136" s="6" t="s">
        <v>523</v>
      </c>
      <c r="B136" s="6" t="s">
        <v>17</v>
      </c>
      <c r="C136" s="6" t="s">
        <v>16</v>
      </c>
      <c r="D136" s="7" t="s">
        <v>290</v>
      </c>
      <c r="E136" s="8" t="s">
        <v>524</v>
      </c>
      <c r="F136" s="6" t="s">
        <v>525</v>
      </c>
      <c r="G136" s="9">
        <f>IF(A136=1,"_",IF(C136="_","???",C136))</f>
        <v/>
      </c>
      <c r="H136" s="10" t="s">
        <v>16</v>
      </c>
      <c r="I136" s="11" t="s">
        <v>16</v>
      </c>
      <c r="J136" s="12"/>
    </row>
    <row r="137" spans="1:10" ht="60" customHeight="1">
      <c r="A137" s="6" t="s">
        <v>526</v>
      </c>
      <c r="B137" s="6" t="s">
        <v>52</v>
      </c>
      <c r="C137" s="6" t="s">
        <v>16</v>
      </c>
      <c r="D137" s="7" t="s">
        <v>527</v>
      </c>
      <c r="E137" s="8" t="s">
        <v>528</v>
      </c>
      <c r="F137" s="6" t="s">
        <v>529</v>
      </c>
      <c r="G137" s="9">
        <f>IF(A137=1,"_",IF(C137="_","???",C137))</f>
        <v/>
      </c>
      <c r="H137" s="10" t="s">
        <v>16</v>
      </c>
      <c r="I137" s="11" t="s">
        <v>16</v>
      </c>
      <c r="J137" s="12"/>
    </row>
    <row r="138" spans="1:10" ht="60" customHeight="1">
      <c r="A138" s="6" t="s">
        <v>530</v>
      </c>
      <c r="B138" s="6" t="s">
        <v>11</v>
      </c>
      <c r="C138" s="6" t="s">
        <v>16</v>
      </c>
      <c r="D138" s="7" t="s">
        <v>45</v>
      </c>
      <c r="E138" s="8" t="s">
        <v>531</v>
      </c>
      <c r="F138" s="6" t="s">
        <v>532</v>
      </c>
      <c r="G138" s="9">
        <f>IF(A138=1,"_",IF(C138="_","???",C138))</f>
        <v/>
      </c>
      <c r="H138" s="10" t="s">
        <v>16</v>
      </c>
      <c r="I138" s="11" t="s">
        <v>16</v>
      </c>
      <c r="J138" s="12"/>
    </row>
    <row r="139" spans="1:10" ht="60" customHeight="1">
      <c r="A139" s="6" t="s">
        <v>533</v>
      </c>
      <c r="B139" s="6" t="s">
        <v>17</v>
      </c>
      <c r="C139" s="6" t="s">
        <v>16</v>
      </c>
      <c r="D139" s="7" t="s">
        <v>534</v>
      </c>
      <c r="E139" s="8" t="s">
        <v>535</v>
      </c>
      <c r="F139" s="6" t="s">
        <v>536</v>
      </c>
      <c r="G139" s="9">
        <f>IF(A139=1,"_",IF(C139="_","???",C139))</f>
        <v/>
      </c>
      <c r="H139" s="10" t="s">
        <v>16</v>
      </c>
      <c r="I139" s="11" t="s">
        <v>16</v>
      </c>
      <c r="J139" s="12"/>
    </row>
    <row r="140" spans="1:10" ht="60" customHeight="1">
      <c r="A140" s="6" t="s">
        <v>537</v>
      </c>
      <c r="B140" s="6" t="s">
        <v>17</v>
      </c>
      <c r="C140" s="6" t="s">
        <v>16</v>
      </c>
      <c r="D140" s="7" t="s">
        <v>36</v>
      </c>
      <c r="E140" s="8" t="s">
        <v>538</v>
      </c>
      <c r="F140" s="6" t="s">
        <v>539</v>
      </c>
      <c r="G140" s="9">
        <f>IF(A140=1,"_",IF(C140="_","???",C140))</f>
        <v/>
      </c>
      <c r="H140" s="10" t="s">
        <v>16</v>
      </c>
      <c r="I140" s="11" t="s">
        <v>16</v>
      </c>
      <c r="J140" s="12"/>
    </row>
    <row r="141" spans="1:10" ht="60" customHeight="1">
      <c r="A141" s="6" t="s">
        <v>540</v>
      </c>
      <c r="B141" s="6" t="s">
        <v>23</v>
      </c>
      <c r="C141" s="6" t="s">
        <v>24</v>
      </c>
      <c r="D141" s="7" t="s">
        <v>13</v>
      </c>
      <c r="E141" s="8" t="s">
        <v>541</v>
      </c>
      <c r="F141" s="6" t="s">
        <v>542</v>
      </c>
      <c r="G141" s="9">
        <f>IF(A141=1,"_",IF(C141="_","???",C141))</f>
        <v/>
      </c>
      <c r="H141" s="10" t="s">
        <v>16</v>
      </c>
      <c r="I141" s="11" t="s">
        <v>16</v>
      </c>
      <c r="J141" s="12"/>
    </row>
    <row r="142" spans="1:10" ht="60" customHeight="1">
      <c r="A142" s="6" t="s">
        <v>543</v>
      </c>
      <c r="B142" s="6" t="s">
        <v>23</v>
      </c>
      <c r="C142" s="6" t="s">
        <v>24</v>
      </c>
      <c r="D142" s="7" t="s">
        <v>13</v>
      </c>
      <c r="E142" s="8" t="s">
        <v>544</v>
      </c>
      <c r="F142" s="6" t="s">
        <v>545</v>
      </c>
      <c r="G142" s="9">
        <f>IF(A142=1,"_",IF(C142="_","???",C142))</f>
        <v/>
      </c>
      <c r="H142" s="10" t="s">
        <v>16</v>
      </c>
      <c r="I142" s="11" t="s">
        <v>16</v>
      </c>
      <c r="J142" s="12"/>
    </row>
    <row r="143" spans="1:10" ht="60" customHeight="1">
      <c r="A143" s="6" t="s">
        <v>546</v>
      </c>
      <c r="B143" s="6" t="s">
        <v>23</v>
      </c>
      <c r="C143" s="6" t="s">
        <v>24</v>
      </c>
      <c r="D143" s="7" t="s">
        <v>45</v>
      </c>
      <c r="E143" s="8" t="s">
        <v>547</v>
      </c>
      <c r="F143" s="6" t="s">
        <v>548</v>
      </c>
      <c r="G143" s="9">
        <f>IF(A143=1,"_",IF(C143="_","???",C143))</f>
        <v/>
      </c>
      <c r="H143" s="10" t="s">
        <v>16</v>
      </c>
      <c r="I143" s="11" t="s">
        <v>16</v>
      </c>
      <c r="J143" s="12"/>
    </row>
    <row r="144" spans="1:10" ht="60" customHeight="1">
      <c r="A144" s="6" t="s">
        <v>549</v>
      </c>
      <c r="B144" s="6" t="s">
        <v>31</v>
      </c>
      <c r="C144" s="6" t="s">
        <v>24</v>
      </c>
      <c r="D144" s="7" t="s">
        <v>45</v>
      </c>
      <c r="E144" s="8" t="s">
        <v>550</v>
      </c>
      <c r="F144" s="6" t="s">
        <v>551</v>
      </c>
      <c r="G144" s="9">
        <f>IF(A144=1,"_",IF(C144="_","???",C144))</f>
        <v/>
      </c>
      <c r="H144" s="10" t="s">
        <v>16</v>
      </c>
      <c r="I144" s="11" t="s">
        <v>16</v>
      </c>
      <c r="J144" s="12"/>
    </row>
    <row r="145" spans="1:10" ht="60" customHeight="1">
      <c r="A145" s="6" t="s">
        <v>552</v>
      </c>
      <c r="B145" s="6" t="s">
        <v>11</v>
      </c>
      <c r="C145" s="6" t="s">
        <v>12</v>
      </c>
      <c r="D145" s="7" t="s">
        <v>290</v>
      </c>
      <c r="E145" s="8" t="s">
        <v>553</v>
      </c>
      <c r="F145" s="6" t="s">
        <v>554</v>
      </c>
      <c r="G145" s="9">
        <f>IF(A145=1,"_",IF(C145="_","???",C145))</f>
        <v/>
      </c>
      <c r="H145" s="10" t="s">
        <v>16</v>
      </c>
      <c r="I145" s="11" t="s">
        <v>16</v>
      </c>
      <c r="J145" s="12"/>
    </row>
    <row r="146" spans="1:10" ht="60" customHeight="1">
      <c r="A146" s="6" t="s">
        <v>555</v>
      </c>
      <c r="B146" s="6" t="s">
        <v>23</v>
      </c>
      <c r="C146" s="6" t="s">
        <v>12</v>
      </c>
      <c r="D146" s="7" t="s">
        <v>268</v>
      </c>
      <c r="E146" s="8" t="s">
        <v>556</v>
      </c>
      <c r="F146" s="6" t="s">
        <v>557</v>
      </c>
      <c r="G146" s="9">
        <f>IF(A146=1,"_",IF(C146="_","???",C146))</f>
        <v/>
      </c>
      <c r="H146" s="10" t="s">
        <v>16</v>
      </c>
      <c r="I146" s="11" t="s">
        <v>16</v>
      </c>
      <c r="J146" s="12"/>
    </row>
    <row r="147" spans="1:10" ht="60" customHeight="1">
      <c r="A147" s="6" t="s">
        <v>558</v>
      </c>
      <c r="B147" s="6" t="s">
        <v>35</v>
      </c>
      <c r="C147" s="6" t="s">
        <v>63</v>
      </c>
      <c r="D147" s="7" t="s">
        <v>290</v>
      </c>
      <c r="E147" s="8" t="s">
        <v>559</v>
      </c>
      <c r="F147" s="6" t="s">
        <v>560</v>
      </c>
      <c r="G147" s="9">
        <f>IF(A147=1,"_",IF(C147="_","???",C147))</f>
        <v/>
      </c>
      <c r="H147" s="10" t="s">
        <v>16</v>
      </c>
      <c r="I147" s="11" t="s">
        <v>16</v>
      </c>
      <c r="J147" s="12"/>
    </row>
    <row r="148" spans="1:10" ht="60" customHeight="1">
      <c r="A148" s="6" t="s">
        <v>561</v>
      </c>
      <c r="B148" s="6" t="s">
        <v>11</v>
      </c>
      <c r="C148" s="6" t="s">
        <v>12</v>
      </c>
      <c r="D148" s="7" t="s">
        <v>562</v>
      </c>
      <c r="E148" s="8" t="s">
        <v>563</v>
      </c>
      <c r="F148" s="6" t="s">
        <v>564</v>
      </c>
      <c r="G148" s="9">
        <f>IF(A148=1,"_",IF(C148="_","???",C148))</f>
        <v/>
      </c>
      <c r="H148" s="10" t="s">
        <v>16</v>
      </c>
      <c r="I148" s="11" t="s">
        <v>16</v>
      </c>
      <c r="J148" s="12"/>
    </row>
    <row r="149" spans="1:10" ht="60" customHeight="1">
      <c r="A149" s="6" t="s">
        <v>565</v>
      </c>
      <c r="B149" s="6" t="s">
        <v>11</v>
      </c>
      <c r="C149" s="6" t="s">
        <v>12</v>
      </c>
      <c r="D149" s="7" t="s">
        <v>45</v>
      </c>
      <c r="E149" s="8" t="s">
        <v>566</v>
      </c>
      <c r="F149" s="6" t="s">
        <v>567</v>
      </c>
      <c r="G149" s="9">
        <f>IF(A149=1,"_",IF(C149="_","???",C149))</f>
        <v/>
      </c>
      <c r="H149" s="10" t="s">
        <v>16</v>
      </c>
      <c r="I149" s="11" t="s">
        <v>16</v>
      </c>
      <c r="J149" s="12"/>
    </row>
    <row r="150" spans="1:10" ht="60" customHeight="1">
      <c r="A150" s="6" t="s">
        <v>568</v>
      </c>
      <c r="B150" s="6" t="s">
        <v>17</v>
      </c>
      <c r="C150" s="6" t="s">
        <v>16</v>
      </c>
      <c r="D150" s="7" t="s">
        <v>569</v>
      </c>
      <c r="E150" s="8" t="s">
        <v>570</v>
      </c>
      <c r="F150" s="6" t="s">
        <v>571</v>
      </c>
      <c r="G150" s="9">
        <f>IF(A150=1,"_",IF(C150="_","???",C150))</f>
        <v/>
      </c>
      <c r="H150" s="10" t="s">
        <v>16</v>
      </c>
      <c r="I150" s="11" t="s">
        <v>16</v>
      </c>
      <c r="J150" s="12"/>
    </row>
    <row r="151" spans="1:10" ht="60" customHeight="1">
      <c r="A151" s="6" t="s">
        <v>572</v>
      </c>
      <c r="B151" s="6" t="s">
        <v>17</v>
      </c>
      <c r="C151" s="6" t="s">
        <v>16</v>
      </c>
      <c r="D151" s="7" t="s">
        <v>45</v>
      </c>
      <c r="E151" s="8" t="s">
        <v>573</v>
      </c>
      <c r="F151" s="6" t="s">
        <v>574</v>
      </c>
      <c r="G151" s="9">
        <f>IF(A151=1,"_",IF(C151="_","???",C151))</f>
        <v/>
      </c>
      <c r="H151" s="10" t="s">
        <v>16</v>
      </c>
      <c r="I151" s="11" t="s">
        <v>16</v>
      </c>
      <c r="J151" s="12"/>
    </row>
    <row r="152" spans="1:10" ht="60" customHeight="1">
      <c r="A152" s="6" t="s">
        <v>575</v>
      </c>
      <c r="B152" s="6" t="s">
        <v>173</v>
      </c>
      <c r="C152" s="6" t="s">
        <v>63</v>
      </c>
      <c r="D152" s="7" t="s">
        <v>576</v>
      </c>
      <c r="E152" s="8" t="s">
        <v>577</v>
      </c>
      <c r="F152" s="6" t="s">
        <v>578</v>
      </c>
      <c r="G152" s="9">
        <f>IF(A152=1,"_",IF(C152="_","???",C152))</f>
        <v/>
      </c>
      <c r="H152" s="10" t="s">
        <v>16</v>
      </c>
      <c r="I152" s="11" t="s">
        <v>16</v>
      </c>
      <c r="J152" s="12"/>
    </row>
    <row r="153" spans="1:10" ht="60" customHeight="1">
      <c r="A153" s="6" t="s">
        <v>579</v>
      </c>
      <c r="B153" s="6" t="s">
        <v>31</v>
      </c>
      <c r="C153" s="6" t="s">
        <v>12</v>
      </c>
      <c r="D153" s="7" t="s">
        <v>580</v>
      </c>
      <c r="E153" s="8" t="s">
        <v>581</v>
      </c>
      <c r="F153" s="6" t="s">
        <v>582</v>
      </c>
      <c r="G153" s="9">
        <f>IF(A153=1,"_",IF(C153="_","???",C153))</f>
        <v/>
      </c>
      <c r="H153" s="10" t="s">
        <v>16</v>
      </c>
      <c r="I153" s="11" t="s">
        <v>16</v>
      </c>
      <c r="J153" s="12"/>
    </row>
    <row r="154" spans="1:10" ht="60" customHeight="1">
      <c r="A154" s="6" t="s">
        <v>583</v>
      </c>
      <c r="B154" s="6" t="s">
        <v>39</v>
      </c>
      <c r="C154" s="6" t="s">
        <v>12</v>
      </c>
      <c r="D154" s="7" t="s">
        <v>93</v>
      </c>
      <c r="E154" s="8" t="s">
        <v>584</v>
      </c>
      <c r="F154" s="6" t="s">
        <v>585</v>
      </c>
      <c r="G154" s="9">
        <f>IF(A154=1,"_",IF(C154="_","???",C154))</f>
        <v/>
      </c>
      <c r="H154" s="10" t="s">
        <v>16</v>
      </c>
      <c r="I154" s="11" t="s">
        <v>16</v>
      </c>
      <c r="J154" s="12"/>
    </row>
    <row r="155" spans="1:10" ht="60" customHeight="1">
      <c r="A155" s="6" t="s">
        <v>586</v>
      </c>
      <c r="B155" s="6" t="s">
        <v>11</v>
      </c>
      <c r="C155" s="6" t="s">
        <v>12</v>
      </c>
      <c r="D155" s="7" t="s">
        <v>290</v>
      </c>
      <c r="E155" s="8" t="s">
        <v>587</v>
      </c>
      <c r="F155" s="6" t="s">
        <v>588</v>
      </c>
      <c r="G155" s="9">
        <f>IF(A155=1,"_",IF(C155="_","???",C155))</f>
        <v/>
      </c>
      <c r="H155" s="10" t="s">
        <v>16</v>
      </c>
      <c r="I155" s="11" t="s">
        <v>16</v>
      </c>
      <c r="J155" s="12"/>
    </row>
    <row r="156" spans="1:10" ht="60" customHeight="1">
      <c r="A156" s="6" t="s">
        <v>589</v>
      </c>
      <c r="B156" s="6" t="s">
        <v>39</v>
      </c>
      <c r="C156" s="6" t="s">
        <v>41</v>
      </c>
      <c r="D156" s="7" t="s">
        <v>590</v>
      </c>
      <c r="E156" s="8" t="s">
        <v>591</v>
      </c>
      <c r="F156" s="6" t="s">
        <v>592</v>
      </c>
      <c r="G156" s="9">
        <f>IF(A156=1,"_",IF(C156="_","???",C156))</f>
        <v/>
      </c>
      <c r="H156" s="10" t="s">
        <v>16</v>
      </c>
      <c r="I156" s="11" t="s">
        <v>16</v>
      </c>
      <c r="J156" s="12"/>
    </row>
    <row r="157" spans="1:10" ht="60" customHeight="1">
      <c r="A157" s="6" t="s">
        <v>593</v>
      </c>
      <c r="B157" s="6" t="s">
        <v>35</v>
      </c>
      <c r="C157" s="6" t="s">
        <v>388</v>
      </c>
      <c r="D157" s="7" t="s">
        <v>594</v>
      </c>
      <c r="E157" s="8" t="s">
        <v>595</v>
      </c>
      <c r="F157" s="6" t="s">
        <v>596</v>
      </c>
      <c r="G157" s="9">
        <f>IF(A157=1,"_",IF(C157="_","???",C157))</f>
        <v/>
      </c>
      <c r="H157" s="10" t="s">
        <v>16</v>
      </c>
      <c r="I157" s="11" t="s">
        <v>16</v>
      </c>
      <c r="J157" s="12"/>
    </row>
    <row r="158" spans="1:10" ht="60" customHeight="1">
      <c r="A158" s="6" t="s">
        <v>597</v>
      </c>
      <c r="B158" s="6" t="s">
        <v>17</v>
      </c>
      <c r="C158" s="6" t="s">
        <v>12</v>
      </c>
      <c r="D158" s="7" t="s">
        <v>598</v>
      </c>
      <c r="E158" s="8" t="s">
        <v>599</v>
      </c>
      <c r="F158" s="6" t="s">
        <v>600</v>
      </c>
      <c r="G158" s="9">
        <f>IF(A158=1,"_",IF(C158="_","???",C158))</f>
        <v/>
      </c>
      <c r="H158" s="10" t="s">
        <v>16</v>
      </c>
      <c r="I158" s="11" t="s">
        <v>16</v>
      </c>
      <c r="J158" s="12"/>
    </row>
    <row r="159" spans="1:10" ht="60" customHeight="1">
      <c r="A159" s="6" t="s">
        <v>601</v>
      </c>
      <c r="B159" s="6" t="s">
        <v>17</v>
      </c>
      <c r="C159" s="6" t="s">
        <v>104</v>
      </c>
      <c r="D159" s="7" t="s">
        <v>602</v>
      </c>
      <c r="E159" s="8" t="s">
        <v>603</v>
      </c>
      <c r="F159" s="6" t="s">
        <v>604</v>
      </c>
      <c r="G159" s="9">
        <f>IF(A159=1,"_",IF(C159="_","???",C159))</f>
        <v/>
      </c>
      <c r="H159" s="10" t="s">
        <v>16</v>
      </c>
      <c r="I159" s="11" t="s">
        <v>16</v>
      </c>
      <c r="J159" s="12"/>
    </row>
    <row r="160" spans="1:10" ht="60" customHeight="1">
      <c r="A160" s="6" t="s">
        <v>605</v>
      </c>
      <c r="B160" s="6" t="s">
        <v>11</v>
      </c>
      <c r="C160" s="6" t="s">
        <v>12</v>
      </c>
      <c r="D160" s="7" t="s">
        <v>427</v>
      </c>
      <c r="E160" s="8" t="s">
        <v>606</v>
      </c>
      <c r="F160" s="6" t="s">
        <v>607</v>
      </c>
      <c r="G160" s="9">
        <f>IF(A160=1,"_",IF(C160="_","???",C160))</f>
        <v/>
      </c>
      <c r="H160" s="10" t="s">
        <v>16</v>
      </c>
      <c r="I160" s="11" t="s">
        <v>16</v>
      </c>
      <c r="J160" s="12"/>
    </row>
    <row r="161" spans="1:10" ht="60" customHeight="1">
      <c r="A161" s="6" t="s">
        <v>608</v>
      </c>
      <c r="B161" s="6" t="s">
        <v>23</v>
      </c>
      <c r="C161" s="6" t="s">
        <v>12</v>
      </c>
      <c r="D161" s="7" t="s">
        <v>268</v>
      </c>
      <c r="E161" s="8" t="s">
        <v>609</v>
      </c>
      <c r="F161" s="6" t="s">
        <v>610</v>
      </c>
      <c r="G161" s="9">
        <f>IF(A161=1,"_",IF(C161="_","???",C161))</f>
        <v/>
      </c>
      <c r="H161" s="10" t="s">
        <v>16</v>
      </c>
      <c r="I161" s="11" t="s">
        <v>16</v>
      </c>
      <c r="J161" s="12"/>
    </row>
    <row r="162" spans="1:10" ht="60" customHeight="1">
      <c r="A162" s="6" t="s">
        <v>611</v>
      </c>
      <c r="B162" s="6" t="s">
        <v>31</v>
      </c>
      <c r="C162" s="6" t="s">
        <v>12</v>
      </c>
      <c r="D162" s="7" t="s">
        <v>36</v>
      </c>
      <c r="E162" s="8" t="s">
        <v>612</v>
      </c>
      <c r="F162" s="6" t="s">
        <v>613</v>
      </c>
      <c r="G162" s="9">
        <f>IF(A162=1,"_",IF(C162="_","???",C162))</f>
        <v/>
      </c>
      <c r="H162" s="10" t="s">
        <v>16</v>
      </c>
      <c r="I162" s="11" t="s">
        <v>16</v>
      </c>
      <c r="J162" s="12"/>
    </row>
    <row r="163" spans="1:10" ht="60" customHeight="1">
      <c r="A163" s="6" t="s">
        <v>614</v>
      </c>
      <c r="B163" s="6" t="s">
        <v>17</v>
      </c>
      <c r="C163" s="6" t="s">
        <v>12</v>
      </c>
      <c r="D163" s="7" t="s">
        <v>615</v>
      </c>
      <c r="E163" s="8" t="s">
        <v>616</v>
      </c>
      <c r="F163" s="6" t="s">
        <v>617</v>
      </c>
      <c r="G163" s="9">
        <f>IF(A163=1,"_",IF(C163="_","???",C163))</f>
        <v/>
      </c>
      <c r="H163" s="10" t="s">
        <v>16</v>
      </c>
      <c r="I163" s="11" t="s">
        <v>16</v>
      </c>
      <c r="J163" s="12"/>
    </row>
    <row r="164" spans="1:10" ht="60" customHeight="1">
      <c r="A164" s="6" t="s">
        <v>618</v>
      </c>
      <c r="B164" s="6" t="s">
        <v>23</v>
      </c>
      <c r="C164" s="6" t="s">
        <v>619</v>
      </c>
      <c r="D164" s="7" t="s">
        <v>620</v>
      </c>
      <c r="E164" s="8" t="s">
        <v>621</v>
      </c>
      <c r="F164" s="6" t="s">
        <v>622</v>
      </c>
      <c r="G164" s="9">
        <f>IF(A164=1,"_",IF(C164="_","???",C164))</f>
        <v/>
      </c>
      <c r="H164" s="10" t="s">
        <v>16</v>
      </c>
      <c r="I164" s="11" t="s">
        <v>16</v>
      </c>
      <c r="J164" s="12"/>
    </row>
    <row r="165" spans="1:10" ht="60" customHeight="1">
      <c r="A165" s="6" t="s">
        <v>623</v>
      </c>
      <c r="B165" s="6" t="s">
        <v>11</v>
      </c>
      <c r="C165" s="6" t="s">
        <v>16</v>
      </c>
      <c r="D165" s="7" t="s">
        <v>45</v>
      </c>
      <c r="E165" s="8" t="s">
        <v>624</v>
      </c>
      <c r="F165" s="6" t="s">
        <v>625</v>
      </c>
      <c r="G165" s="9">
        <f>IF(A165=1,"_",IF(C165="_","???",C165))</f>
        <v/>
      </c>
      <c r="H165" s="10" t="s">
        <v>16</v>
      </c>
      <c r="I165" s="11" t="s">
        <v>16</v>
      </c>
      <c r="J165" s="12"/>
    </row>
    <row r="166" spans="1:10" ht="60" customHeight="1">
      <c r="A166" s="6" t="s">
        <v>626</v>
      </c>
      <c r="B166" s="6" t="s">
        <v>23</v>
      </c>
      <c r="C166" s="6" t="s">
        <v>12</v>
      </c>
      <c r="D166" s="7" t="s">
        <v>260</v>
      </c>
      <c r="E166" s="8" t="s">
        <v>627</v>
      </c>
      <c r="F166" s="6" t="s">
        <v>628</v>
      </c>
      <c r="G166" s="9">
        <f>IF(A166=1,"_",IF(C166="_","???",C166))</f>
        <v/>
      </c>
      <c r="H166" s="10" t="s">
        <v>16</v>
      </c>
      <c r="I166" s="11" t="s">
        <v>16</v>
      </c>
      <c r="J166" s="12"/>
    </row>
    <row r="167" spans="1:10" ht="60" customHeight="1">
      <c r="A167" s="6" t="s">
        <v>629</v>
      </c>
      <c r="B167" s="6" t="s">
        <v>58</v>
      </c>
      <c r="C167" s="6" t="s">
        <v>63</v>
      </c>
      <c r="D167" s="7" t="s">
        <v>630</v>
      </c>
      <c r="E167" s="8" t="s">
        <v>631</v>
      </c>
      <c r="F167" s="6" t="s">
        <v>632</v>
      </c>
      <c r="G167" s="9">
        <f>IF(A167=1,"_",IF(C167="_","???",C167))</f>
        <v/>
      </c>
      <c r="H167" s="10" t="s">
        <v>16</v>
      </c>
      <c r="I167" s="11" t="s">
        <v>16</v>
      </c>
      <c r="J167" s="12"/>
    </row>
    <row r="168" spans="1:10" ht="60" customHeight="1">
      <c r="A168" s="6" t="s">
        <v>633</v>
      </c>
      <c r="B168" s="6" t="s">
        <v>23</v>
      </c>
      <c r="C168" s="6" t="s">
        <v>12</v>
      </c>
      <c r="D168" s="7" t="s">
        <v>45</v>
      </c>
      <c r="E168" s="8" t="s">
        <v>634</v>
      </c>
      <c r="F168" s="6" t="s">
        <v>635</v>
      </c>
      <c r="G168" s="9">
        <f>IF(A168=1,"_",IF(C168="_","???",C168))</f>
        <v/>
      </c>
      <c r="H168" s="10" t="s">
        <v>16</v>
      </c>
      <c r="I168" s="11" t="s">
        <v>16</v>
      </c>
      <c r="J168" s="12"/>
    </row>
    <row r="169" spans="1:10" ht="60" customHeight="1">
      <c r="A169" s="6" t="s">
        <v>636</v>
      </c>
      <c r="B169" s="6" t="s">
        <v>23</v>
      </c>
      <c r="C169" s="6" t="s">
        <v>12</v>
      </c>
      <c r="D169" s="7" t="s">
        <v>54</v>
      </c>
      <c r="E169" s="8" t="s">
        <v>637</v>
      </c>
      <c r="F169" s="6" t="s">
        <v>638</v>
      </c>
      <c r="G169" s="9">
        <f>IF(A169=1,"_",IF(C169="_","???",C169))</f>
        <v/>
      </c>
      <c r="H169" s="10" t="s">
        <v>16</v>
      </c>
      <c r="I169" s="11" t="s">
        <v>16</v>
      </c>
      <c r="J169" s="12"/>
    </row>
    <row r="170" spans="1:10" ht="60" customHeight="1">
      <c r="A170" s="6" t="s">
        <v>639</v>
      </c>
      <c r="B170" s="6" t="s">
        <v>39</v>
      </c>
      <c r="C170" s="6" t="s">
        <v>12</v>
      </c>
      <c r="D170" s="7" t="s">
        <v>76</v>
      </c>
      <c r="E170" s="8" t="s">
        <v>640</v>
      </c>
      <c r="F170" s="6" t="s">
        <v>641</v>
      </c>
      <c r="G170" s="9">
        <f>IF(A170=1,"_",IF(C170="_","???",C170))</f>
        <v/>
      </c>
      <c r="H170" s="10" t="s">
        <v>16</v>
      </c>
      <c r="I170" s="11" t="s">
        <v>16</v>
      </c>
      <c r="J170" s="12"/>
    </row>
    <row r="171" spans="1:10" ht="60" customHeight="1">
      <c r="A171" s="6" t="s">
        <v>642</v>
      </c>
      <c r="B171" s="6" t="s">
        <v>17</v>
      </c>
      <c r="C171" s="6" t="s">
        <v>12</v>
      </c>
      <c r="D171" s="7" t="s">
        <v>290</v>
      </c>
      <c r="E171" s="8" t="s">
        <v>643</v>
      </c>
      <c r="F171" s="6" t="s">
        <v>644</v>
      </c>
      <c r="G171" s="9">
        <f>IF(A171=1,"_",IF(C171="_","???",C171))</f>
        <v/>
      </c>
      <c r="H171" s="10" t="s">
        <v>16</v>
      </c>
      <c r="I171" s="11" t="s">
        <v>16</v>
      </c>
      <c r="J171" s="12"/>
    </row>
    <row r="172" spans="1:10" ht="60" customHeight="1">
      <c r="A172" s="6" t="s">
        <v>645</v>
      </c>
      <c r="B172" s="6" t="s">
        <v>35</v>
      </c>
      <c r="C172" s="6" t="s">
        <v>16</v>
      </c>
      <c r="D172" s="7" t="s">
        <v>646</v>
      </c>
      <c r="E172" s="8" t="s">
        <v>647</v>
      </c>
      <c r="F172" s="6" t="s">
        <v>648</v>
      </c>
      <c r="G172" s="9">
        <f>IF(A172=1,"_",IF(C172="_","???",C172))</f>
        <v/>
      </c>
      <c r="H172" s="10" t="s">
        <v>16</v>
      </c>
      <c r="I172" s="11" t="s">
        <v>16</v>
      </c>
      <c r="J172" s="12"/>
    </row>
    <row r="173" spans="1:10" ht="60" customHeight="1">
      <c r="A173" s="6" t="s">
        <v>649</v>
      </c>
      <c r="B173" s="6" t="s">
        <v>17</v>
      </c>
      <c r="C173" s="6" t="s">
        <v>16</v>
      </c>
      <c r="D173" s="7" t="s">
        <v>45</v>
      </c>
      <c r="E173" s="8" t="s">
        <v>650</v>
      </c>
      <c r="F173" s="6" t="s">
        <v>651</v>
      </c>
      <c r="G173" s="9">
        <f>IF(A173=1,"_",IF(C173="_","???",C173))</f>
        <v/>
      </c>
      <c r="H173" s="10" t="s">
        <v>16</v>
      </c>
      <c r="I173" s="11" t="s">
        <v>16</v>
      </c>
      <c r="J173" s="12"/>
    </row>
    <row r="174" spans="1:10" ht="60" customHeight="1">
      <c r="A174" s="6" t="s">
        <v>652</v>
      </c>
      <c r="B174" s="6" t="s">
        <v>40</v>
      </c>
      <c r="C174" s="6" t="s">
        <v>24</v>
      </c>
      <c r="D174" s="7" t="s">
        <v>653</v>
      </c>
      <c r="E174" s="8" t="s">
        <v>654</v>
      </c>
      <c r="F174" s="6" t="s">
        <v>655</v>
      </c>
      <c r="G174" s="9">
        <f>IF(A174=1,"_",IF(C174="_","???",C174))</f>
        <v/>
      </c>
      <c r="H174" s="10" t="s">
        <v>16</v>
      </c>
      <c r="I174" s="11" t="s">
        <v>16</v>
      </c>
      <c r="J174" s="12"/>
    </row>
    <row r="175" spans="1:10" ht="60" customHeight="1">
      <c r="A175" s="6" t="s">
        <v>656</v>
      </c>
      <c r="B175" s="6" t="s">
        <v>17</v>
      </c>
      <c r="C175" s="6" t="s">
        <v>16</v>
      </c>
      <c r="D175" s="7" t="s">
        <v>290</v>
      </c>
      <c r="E175" s="8" t="s">
        <v>657</v>
      </c>
      <c r="F175" s="6" t="s">
        <v>658</v>
      </c>
      <c r="G175" s="9">
        <f>IF(A175=1,"_",IF(C175="_","???",C175))</f>
        <v/>
      </c>
      <c r="H175" s="10" t="s">
        <v>16</v>
      </c>
      <c r="I175" s="11" t="s">
        <v>16</v>
      </c>
      <c r="J175" s="12"/>
    </row>
    <row r="176" spans="1:10" ht="60" customHeight="1">
      <c r="A176" s="6" t="s">
        <v>659</v>
      </c>
      <c r="B176" s="6" t="s">
        <v>31</v>
      </c>
      <c r="C176" s="6" t="s">
        <v>16</v>
      </c>
      <c r="D176" s="7" t="s">
        <v>242</v>
      </c>
      <c r="E176" s="8" t="s">
        <v>660</v>
      </c>
      <c r="F176" s="6" t="s">
        <v>661</v>
      </c>
      <c r="G176" s="9">
        <f>IF(A176=1,"_",IF(C176="_","???",C176))</f>
        <v/>
      </c>
      <c r="H176" s="10" t="s">
        <v>16</v>
      </c>
      <c r="I176" s="11" t="s">
        <v>16</v>
      </c>
      <c r="J176" s="12"/>
    </row>
    <row r="177" spans="1:10" ht="60" customHeight="1">
      <c r="A177" s="6" t="s">
        <v>662</v>
      </c>
      <c r="B177" s="6" t="s">
        <v>17</v>
      </c>
      <c r="C177" s="6" t="s">
        <v>16</v>
      </c>
      <c r="D177" s="7" t="s">
        <v>663</v>
      </c>
      <c r="E177" s="8" t="s">
        <v>664</v>
      </c>
      <c r="F177" s="6" t="s">
        <v>665</v>
      </c>
      <c r="G177" s="9">
        <f>IF(A177=1,"_",IF(C177="_","???",C177))</f>
        <v/>
      </c>
      <c r="H177" s="10" t="s">
        <v>16</v>
      </c>
      <c r="I177" s="11" t="s">
        <v>16</v>
      </c>
      <c r="J177" s="12"/>
    </row>
    <row r="178" spans="1:10" ht="60" customHeight="1">
      <c r="A178" s="6" t="s">
        <v>666</v>
      </c>
      <c r="B178" s="6" t="s">
        <v>31</v>
      </c>
      <c r="C178" s="6" t="s">
        <v>12</v>
      </c>
      <c r="D178" s="7" t="s">
        <v>667</v>
      </c>
      <c r="E178" s="8" t="s">
        <v>668</v>
      </c>
      <c r="F178" s="6" t="s">
        <v>669</v>
      </c>
      <c r="G178" s="9">
        <f>IF(A178=1,"_",IF(C178="_","???",C178))</f>
        <v/>
      </c>
      <c r="H178" s="10" t="s">
        <v>16</v>
      </c>
      <c r="I178" s="11" t="s">
        <v>16</v>
      </c>
      <c r="J178" s="12"/>
    </row>
    <row r="179" spans="1:10" ht="60" customHeight="1">
      <c r="A179" s="6" t="s">
        <v>670</v>
      </c>
      <c r="B179" s="6" t="s">
        <v>17</v>
      </c>
      <c r="C179" s="6" t="s">
        <v>63</v>
      </c>
      <c r="D179" s="7" t="s">
        <v>290</v>
      </c>
      <c r="E179" s="8" t="s">
        <v>671</v>
      </c>
      <c r="F179" s="6" t="s">
        <v>672</v>
      </c>
      <c r="G179" s="9">
        <f>IF(A179=1,"_",IF(C179="_","???",C179))</f>
        <v/>
      </c>
      <c r="H179" s="10" t="s">
        <v>16</v>
      </c>
      <c r="I179" s="11" t="s">
        <v>16</v>
      </c>
      <c r="J179" s="12"/>
    </row>
    <row r="180" spans="1:10" ht="60" customHeight="1">
      <c r="A180" s="6" t="s">
        <v>673</v>
      </c>
      <c r="B180" s="6" t="s">
        <v>108</v>
      </c>
      <c r="C180" s="6" t="s">
        <v>16</v>
      </c>
      <c r="D180" s="7" t="s">
        <v>674</v>
      </c>
      <c r="E180" s="8" t="s">
        <v>675</v>
      </c>
      <c r="F180" s="6" t="s">
        <v>676</v>
      </c>
      <c r="G180" s="9">
        <f>IF(A180=1,"_",IF(C180="_","???",C180))</f>
        <v/>
      </c>
      <c r="H180" s="10" t="s">
        <v>16</v>
      </c>
      <c r="I180" s="11" t="s">
        <v>16</v>
      </c>
      <c r="J180" s="12"/>
    </row>
    <row r="181" spans="1:10" ht="60" customHeight="1">
      <c r="A181" s="6" t="s">
        <v>677</v>
      </c>
      <c r="B181" s="6" t="s">
        <v>39</v>
      </c>
      <c r="C181" s="6" t="s">
        <v>12</v>
      </c>
      <c r="D181" s="7" t="s">
        <v>678</v>
      </c>
      <c r="E181" s="8" t="s">
        <v>679</v>
      </c>
      <c r="F181" s="6" t="s">
        <v>680</v>
      </c>
      <c r="G181" s="9">
        <f>IF(A181=1,"_",IF(C181="_","???",C181))</f>
        <v/>
      </c>
      <c r="H181" s="10" t="s">
        <v>16</v>
      </c>
      <c r="I181" s="11" t="s">
        <v>16</v>
      </c>
      <c r="J181" s="12"/>
    </row>
    <row r="182" spans="1:10" ht="60" customHeight="1">
      <c r="A182" s="6" t="s">
        <v>681</v>
      </c>
      <c r="B182" s="6" t="s">
        <v>17</v>
      </c>
      <c r="C182" s="6" t="s">
        <v>16</v>
      </c>
      <c r="D182" s="7" t="s">
        <v>682</v>
      </c>
      <c r="E182" s="8" t="s">
        <v>683</v>
      </c>
      <c r="F182" s="6" t="s">
        <v>684</v>
      </c>
      <c r="G182" s="9">
        <f>IF(A182=1,"_",IF(C182="_","???",C182))</f>
        <v/>
      </c>
      <c r="H182" s="10" t="s">
        <v>16</v>
      </c>
      <c r="I182" s="11" t="s">
        <v>16</v>
      </c>
      <c r="J182" s="12"/>
    </row>
    <row r="183" spans="1:10" ht="60" customHeight="1">
      <c r="A183" s="6" t="s">
        <v>685</v>
      </c>
      <c r="B183" s="6" t="s">
        <v>17</v>
      </c>
      <c r="C183" s="6" t="s">
        <v>16</v>
      </c>
      <c r="D183" s="7" t="s">
        <v>20</v>
      </c>
      <c r="E183" s="8" t="s">
        <v>686</v>
      </c>
      <c r="F183" s="6" t="s">
        <v>687</v>
      </c>
      <c r="G183" s="9">
        <f>IF(A183=1,"_",IF(C183="_","???",C183))</f>
        <v/>
      </c>
      <c r="H183" s="10" t="s">
        <v>16</v>
      </c>
      <c r="I183" s="11" t="s">
        <v>16</v>
      </c>
      <c r="J183" s="12"/>
    </row>
    <row r="184" spans="1:10" ht="60" customHeight="1">
      <c r="A184" s="6" t="s">
        <v>688</v>
      </c>
      <c r="B184" s="6" t="s">
        <v>11</v>
      </c>
      <c r="C184" s="6" t="s">
        <v>450</v>
      </c>
      <c r="D184" s="7" t="s">
        <v>268</v>
      </c>
      <c r="E184" s="8" t="s">
        <v>689</v>
      </c>
      <c r="F184" s="6" t="s">
        <v>690</v>
      </c>
      <c r="G184" s="9">
        <f>IF(A184=1,"_",IF(C184="_","???",C184))</f>
        <v/>
      </c>
      <c r="H184" s="10" t="s">
        <v>16</v>
      </c>
      <c r="I184" s="11" t="s">
        <v>16</v>
      </c>
      <c r="J184" s="12"/>
    </row>
    <row r="185" spans="1:10" ht="60" customHeight="1">
      <c r="A185" s="6" t="s">
        <v>691</v>
      </c>
      <c r="B185" s="6" t="s">
        <v>67</v>
      </c>
      <c r="C185" s="6" t="s">
        <v>12</v>
      </c>
      <c r="D185" s="7" t="s">
        <v>692</v>
      </c>
      <c r="E185" s="8" t="s">
        <v>693</v>
      </c>
      <c r="F185" s="6" t="s">
        <v>694</v>
      </c>
      <c r="G185" s="9">
        <f>IF(A185=1,"_",IF(C185="_","???",C185))</f>
        <v/>
      </c>
      <c r="H185" s="10" t="s">
        <v>16</v>
      </c>
      <c r="I185" s="11" t="s">
        <v>16</v>
      </c>
      <c r="J185" s="12"/>
    </row>
    <row r="186" spans="1:10" ht="60" customHeight="1">
      <c r="A186" s="6" t="s">
        <v>695</v>
      </c>
      <c r="B186" s="6" t="s">
        <v>23</v>
      </c>
      <c r="C186" s="6" t="s">
        <v>143</v>
      </c>
      <c r="D186" s="7" t="s">
        <v>696</v>
      </c>
      <c r="E186" s="8" t="s">
        <v>697</v>
      </c>
      <c r="F186" s="6" t="s">
        <v>698</v>
      </c>
      <c r="G186" s="9">
        <f>IF(A186=1,"_",IF(C186="_","???",C186))</f>
        <v/>
      </c>
      <c r="H186" s="10" t="s">
        <v>16</v>
      </c>
      <c r="I186" s="11" t="s">
        <v>16</v>
      </c>
      <c r="J186" s="12"/>
    </row>
    <row r="187" spans="1:10" ht="60" customHeight="1">
      <c r="A187" s="6" t="s">
        <v>699</v>
      </c>
      <c r="B187" s="6" t="s">
        <v>11</v>
      </c>
      <c r="C187" s="6" t="s">
        <v>12</v>
      </c>
      <c r="D187" s="7" t="s">
        <v>620</v>
      </c>
      <c r="E187" s="8" t="s">
        <v>700</v>
      </c>
      <c r="F187" s="6" t="s">
        <v>701</v>
      </c>
      <c r="G187" s="9">
        <f>IF(A187=1,"_",IF(C187="_","???",C187))</f>
        <v/>
      </c>
      <c r="H187" s="10" t="s">
        <v>16</v>
      </c>
      <c r="I187" s="11" t="s">
        <v>16</v>
      </c>
      <c r="J187" s="12"/>
    </row>
    <row r="188" spans="1:10" ht="60" customHeight="1">
      <c r="A188" s="6" t="s">
        <v>702</v>
      </c>
      <c r="B188" s="6" t="s">
        <v>11</v>
      </c>
      <c r="C188" s="6" t="s">
        <v>12</v>
      </c>
      <c r="D188" s="7" t="s">
        <v>290</v>
      </c>
      <c r="E188" s="8" t="s">
        <v>703</v>
      </c>
      <c r="F188" s="6" t="s">
        <v>704</v>
      </c>
      <c r="G188" s="9">
        <f>IF(A188=1,"_",IF(C188="_","???",C188))</f>
        <v/>
      </c>
      <c r="H188" s="10" t="s">
        <v>16</v>
      </c>
      <c r="I188" s="11" t="s">
        <v>16</v>
      </c>
      <c r="J188" s="12"/>
    </row>
    <row r="189" spans="1:10" ht="60" customHeight="1">
      <c r="A189" s="6" t="s">
        <v>705</v>
      </c>
      <c r="B189" s="6" t="s">
        <v>11</v>
      </c>
      <c r="C189" s="6" t="s">
        <v>12</v>
      </c>
      <c r="D189" s="7" t="s">
        <v>290</v>
      </c>
      <c r="E189" s="8" t="s">
        <v>706</v>
      </c>
      <c r="F189" s="6" t="s">
        <v>707</v>
      </c>
      <c r="G189" s="9">
        <f>IF(A189=1,"_",IF(C189="_","???",C189))</f>
        <v/>
      </c>
      <c r="H189" s="10" t="s">
        <v>16</v>
      </c>
      <c r="I189" s="11" t="s">
        <v>16</v>
      </c>
      <c r="J189" s="12"/>
    </row>
    <row r="190" spans="1:10" ht="60" customHeight="1">
      <c r="A190" s="6" t="s">
        <v>708</v>
      </c>
      <c r="B190" s="6" t="s">
        <v>17</v>
      </c>
      <c r="C190" s="6" t="s">
        <v>16</v>
      </c>
      <c r="D190" s="7" t="s">
        <v>709</v>
      </c>
      <c r="E190" s="8" t="s">
        <v>710</v>
      </c>
      <c r="F190" s="6" t="s">
        <v>711</v>
      </c>
      <c r="G190" s="9">
        <f>IF(A190=1,"_",IF(C190="_","???",C190))</f>
        <v/>
      </c>
      <c r="H190" s="10" t="s">
        <v>16</v>
      </c>
      <c r="I190" s="11" t="s">
        <v>16</v>
      </c>
      <c r="J190" s="12"/>
    </row>
    <row r="191" spans="1:10" ht="60" customHeight="1">
      <c r="A191" s="6" t="s">
        <v>712</v>
      </c>
      <c r="B191" s="6" t="s">
        <v>17</v>
      </c>
      <c r="C191" s="6" t="s">
        <v>16</v>
      </c>
      <c r="D191" s="7" t="s">
        <v>713</v>
      </c>
      <c r="E191" s="8" t="s">
        <v>714</v>
      </c>
      <c r="F191" s="6" t="s">
        <v>715</v>
      </c>
      <c r="G191" s="9">
        <f>IF(A191=1,"_",IF(C191="_","???",C191))</f>
        <v/>
      </c>
      <c r="H191" s="10" t="s">
        <v>16</v>
      </c>
      <c r="I191" s="11" t="s">
        <v>16</v>
      </c>
      <c r="J191" s="12"/>
    </row>
    <row r="192" spans="1:10" ht="60" customHeight="1">
      <c r="A192" s="6" t="s">
        <v>716</v>
      </c>
      <c r="B192" s="6" t="s">
        <v>48</v>
      </c>
      <c r="C192" s="6" t="s">
        <v>16</v>
      </c>
      <c r="D192" s="7" t="s">
        <v>717</v>
      </c>
      <c r="E192" s="8" t="s">
        <v>718</v>
      </c>
      <c r="F192" s="6" t="s">
        <v>719</v>
      </c>
      <c r="G192" s="9">
        <f>IF(A192=1,"_",IF(C192="_","???",C192))</f>
        <v/>
      </c>
      <c r="H192" s="10" t="s">
        <v>16</v>
      </c>
      <c r="I192" s="11" t="s">
        <v>16</v>
      </c>
      <c r="J192" s="12"/>
    </row>
    <row r="193" spans="1:10" ht="60" customHeight="1">
      <c r="A193" s="6" t="s">
        <v>720</v>
      </c>
      <c r="B193" s="6" t="s">
        <v>11</v>
      </c>
      <c r="C193" s="6" t="s">
        <v>12</v>
      </c>
      <c r="D193" s="7" t="s">
        <v>290</v>
      </c>
      <c r="E193" s="8" t="s">
        <v>721</v>
      </c>
      <c r="F193" s="6" t="s">
        <v>722</v>
      </c>
      <c r="G193" s="9">
        <f>IF(A193=1,"_",IF(C193="_","???",C193))</f>
        <v/>
      </c>
      <c r="H193" s="10" t="s">
        <v>16</v>
      </c>
      <c r="I193" s="11" t="s">
        <v>16</v>
      </c>
      <c r="J193" s="12"/>
    </row>
    <row r="194" spans="1:10" ht="60" customHeight="1">
      <c r="A194" s="6" t="s">
        <v>723</v>
      </c>
      <c r="B194" s="6" t="s">
        <v>23</v>
      </c>
      <c r="C194" s="6" t="s">
        <v>12</v>
      </c>
      <c r="D194" s="7" t="s">
        <v>724</v>
      </c>
      <c r="E194" s="8" t="s">
        <v>725</v>
      </c>
      <c r="F194" s="6" t="s">
        <v>726</v>
      </c>
      <c r="G194" s="9">
        <f>IF(A194=1,"_",IF(C194="_","???",C194))</f>
        <v/>
      </c>
      <c r="H194" s="10" t="s">
        <v>16</v>
      </c>
      <c r="I194" s="11" t="s">
        <v>16</v>
      </c>
      <c r="J194" s="12"/>
    </row>
    <row r="195" spans="1:10" ht="60" customHeight="1">
      <c r="A195" s="6" t="s">
        <v>727</v>
      </c>
      <c r="B195" s="6" t="s">
        <v>52</v>
      </c>
      <c r="C195" s="6" t="s">
        <v>728</v>
      </c>
      <c r="D195" s="7" t="s">
        <v>729</v>
      </c>
      <c r="E195" s="8" t="s">
        <v>730</v>
      </c>
      <c r="F195" s="6" t="s">
        <v>731</v>
      </c>
      <c r="G195" s="9">
        <f>IF(A195=1,"_",IF(C195="_","???",C195))</f>
        <v/>
      </c>
      <c r="H195" s="10" t="s">
        <v>16</v>
      </c>
      <c r="I195" s="11" t="s">
        <v>16</v>
      </c>
      <c r="J195" s="12"/>
    </row>
    <row r="196" spans="1:10" ht="60" customHeight="1">
      <c r="A196" s="6" t="s">
        <v>732</v>
      </c>
      <c r="B196" s="6" t="s">
        <v>11</v>
      </c>
      <c r="C196" s="6" t="s">
        <v>63</v>
      </c>
      <c r="D196" s="7" t="s">
        <v>42</v>
      </c>
      <c r="E196" s="8" t="s">
        <v>733</v>
      </c>
      <c r="F196" s="6" t="s">
        <v>734</v>
      </c>
      <c r="G196" s="9">
        <f>IF(A196=1,"_",IF(C196="_","???",C196))</f>
        <v/>
      </c>
      <c r="H196" s="10" t="s">
        <v>16</v>
      </c>
      <c r="I196" s="11" t="s">
        <v>16</v>
      </c>
      <c r="J196" s="12"/>
    </row>
    <row r="197" spans="1:10" ht="60" customHeight="1">
      <c r="A197" s="6" t="s">
        <v>735</v>
      </c>
      <c r="B197" s="6" t="s">
        <v>17</v>
      </c>
      <c r="C197" s="6" t="s">
        <v>16</v>
      </c>
      <c r="D197" s="7" t="s">
        <v>36</v>
      </c>
      <c r="E197" s="8" t="s">
        <v>736</v>
      </c>
      <c r="F197" s="6" t="s">
        <v>737</v>
      </c>
      <c r="G197" s="9">
        <f>IF(A197=1,"_",IF(C197="_","???",C197))</f>
        <v/>
      </c>
      <c r="H197" s="10" t="s">
        <v>16</v>
      </c>
      <c r="I197" s="11" t="s">
        <v>16</v>
      </c>
      <c r="J197" s="12"/>
    </row>
    <row r="198" spans="1:10" ht="60" customHeight="1">
      <c r="A198" s="6" t="s">
        <v>738</v>
      </c>
      <c r="B198" s="6" t="s">
        <v>11</v>
      </c>
      <c r="C198" s="6" t="s">
        <v>12</v>
      </c>
      <c r="D198" s="7" t="s">
        <v>42</v>
      </c>
      <c r="E198" s="8" t="s">
        <v>739</v>
      </c>
      <c r="F198" s="6" t="s">
        <v>740</v>
      </c>
      <c r="G198" s="9">
        <f>IF(A198=1,"_",IF(C198="_","???",C198))</f>
        <v/>
      </c>
      <c r="H198" s="10" t="s">
        <v>16</v>
      </c>
      <c r="I198" s="11" t="s">
        <v>16</v>
      </c>
      <c r="J198" s="12"/>
    </row>
    <row r="199" spans="1:10" ht="60" customHeight="1">
      <c r="A199" s="6" t="s">
        <v>741</v>
      </c>
      <c r="B199" s="6" t="s">
        <v>11</v>
      </c>
      <c r="C199" s="6" t="s">
        <v>63</v>
      </c>
      <c r="D199" s="7" t="s">
        <v>742</v>
      </c>
      <c r="E199" s="8" t="s">
        <v>743</v>
      </c>
      <c r="F199" s="6" t="s">
        <v>744</v>
      </c>
      <c r="G199" s="9">
        <f>IF(A199=1,"_",IF(C199="_","???",C199))</f>
        <v/>
      </c>
      <c r="H199" s="10" t="s">
        <v>16</v>
      </c>
      <c r="I199" s="11" t="s">
        <v>16</v>
      </c>
      <c r="J199" s="12"/>
    </row>
    <row r="200" spans="1:10" ht="60" customHeight="1">
      <c r="A200" s="6" t="s">
        <v>745</v>
      </c>
      <c r="B200" s="6" t="s">
        <v>11</v>
      </c>
      <c r="C200" s="6" t="s">
        <v>24</v>
      </c>
      <c r="D200" s="7" t="s">
        <v>290</v>
      </c>
      <c r="E200" s="8" t="s">
        <v>746</v>
      </c>
      <c r="F200" s="6" t="s">
        <v>747</v>
      </c>
      <c r="G200" s="9">
        <f>IF(A200=1,"_",IF(C200="_","???",C200))</f>
        <v/>
      </c>
      <c r="H200" s="10" t="s">
        <v>16</v>
      </c>
      <c r="I200" s="11" t="s">
        <v>16</v>
      </c>
      <c r="J200" s="12"/>
    </row>
    <row r="201" spans="1:10" ht="60" customHeight="1">
      <c r="A201" s="6" t="s">
        <v>748</v>
      </c>
      <c r="B201" s="6" t="s">
        <v>11</v>
      </c>
      <c r="C201" s="6" t="s">
        <v>16</v>
      </c>
      <c r="D201" s="7" t="s">
        <v>749</v>
      </c>
      <c r="E201" s="8" t="s">
        <v>750</v>
      </c>
      <c r="F201" s="6" t="s">
        <v>751</v>
      </c>
      <c r="G201" s="9">
        <f>IF(A201=1,"_",IF(C201="_","???",C201))</f>
        <v/>
      </c>
      <c r="H201" s="10" t="s">
        <v>16</v>
      </c>
      <c r="I201" s="11" t="s">
        <v>16</v>
      </c>
      <c r="J201" s="12"/>
    </row>
    <row r="202" spans="1:10" ht="60" customHeight="1">
      <c r="A202" s="6" t="s">
        <v>752</v>
      </c>
      <c r="B202" s="6" t="s">
        <v>10</v>
      </c>
      <c r="C202" s="6" t="s">
        <v>16</v>
      </c>
      <c r="D202" s="7" t="s">
        <v>753</v>
      </c>
      <c r="E202" s="8" t="s">
        <v>754</v>
      </c>
      <c r="F202" s="6" t="s">
        <v>755</v>
      </c>
      <c r="G202" s="9">
        <f>IF(A202=1,"_",IF(C202="_","???",C202))</f>
        <v/>
      </c>
      <c r="H202" s="10" t="s">
        <v>16</v>
      </c>
      <c r="I202" s="11" t="s">
        <v>16</v>
      </c>
      <c r="J202" s="12"/>
    </row>
    <row r="203" spans="1:10" ht="60" customHeight="1">
      <c r="A203" s="6" t="s">
        <v>756</v>
      </c>
      <c r="B203" s="6" t="s">
        <v>31</v>
      </c>
      <c r="C203" s="6" t="s">
        <v>16</v>
      </c>
      <c r="D203" s="7" t="s">
        <v>290</v>
      </c>
      <c r="E203" s="8" t="s">
        <v>757</v>
      </c>
      <c r="F203" s="6" t="s">
        <v>758</v>
      </c>
      <c r="G203" s="9">
        <f>IF(A203=1,"_",IF(C203="_","???",C203))</f>
        <v/>
      </c>
      <c r="H203" s="10" t="s">
        <v>16</v>
      </c>
      <c r="I203" s="11" t="s">
        <v>16</v>
      </c>
      <c r="J203" s="12"/>
    </row>
    <row r="204" spans="1:10" ht="60" customHeight="1">
      <c r="A204" s="6" t="s">
        <v>759</v>
      </c>
      <c r="B204" s="6" t="s">
        <v>10</v>
      </c>
      <c r="C204" s="6" t="s">
        <v>16</v>
      </c>
      <c r="D204" s="7" t="s">
        <v>32</v>
      </c>
      <c r="E204" s="8" t="s">
        <v>760</v>
      </c>
      <c r="F204" s="6" t="s">
        <v>761</v>
      </c>
      <c r="G204" s="9">
        <f>IF(A204=1,"_",IF(C204="_","???",C204))</f>
        <v/>
      </c>
      <c r="H204" s="10" t="s">
        <v>16</v>
      </c>
      <c r="I204" s="11" t="s">
        <v>16</v>
      </c>
      <c r="J204" s="12"/>
    </row>
    <row r="205" spans="1:10" ht="60" customHeight="1">
      <c r="A205" s="6" t="s">
        <v>762</v>
      </c>
      <c r="B205" s="6" t="s">
        <v>23</v>
      </c>
      <c r="C205" s="6" t="s">
        <v>12</v>
      </c>
      <c r="D205" s="7" t="s">
        <v>763</v>
      </c>
      <c r="E205" s="8" t="s">
        <v>764</v>
      </c>
      <c r="F205" s="6" t="s">
        <v>765</v>
      </c>
      <c r="G205" s="9">
        <f>IF(A205=1,"_",IF(C205="_","???",C205))</f>
        <v/>
      </c>
      <c r="H205" s="10" t="s">
        <v>16</v>
      </c>
      <c r="I205" s="11" t="s">
        <v>16</v>
      </c>
      <c r="J205" s="12"/>
    </row>
    <row r="206" spans="1:10" ht="60" customHeight="1">
      <c r="A206" s="6" t="s">
        <v>766</v>
      </c>
      <c r="B206" s="6" t="s">
        <v>17</v>
      </c>
      <c r="C206" s="6" t="s">
        <v>16</v>
      </c>
      <c r="D206" s="7" t="s">
        <v>767</v>
      </c>
      <c r="E206" s="8" t="s">
        <v>768</v>
      </c>
      <c r="F206" s="6" t="s">
        <v>769</v>
      </c>
      <c r="G206" s="9">
        <f>IF(A206=1,"_",IF(C206="_","???",C206))</f>
        <v/>
      </c>
      <c r="H206" s="10" t="s">
        <v>16</v>
      </c>
      <c r="I206" s="11" t="s">
        <v>16</v>
      </c>
      <c r="J206" s="12"/>
    </row>
    <row r="207" spans="1:10" ht="60" customHeight="1">
      <c r="A207" s="6" t="s">
        <v>770</v>
      </c>
      <c r="B207" s="6" t="s">
        <v>11</v>
      </c>
      <c r="C207" s="6" t="s">
        <v>771</v>
      </c>
      <c r="D207" s="7" t="s">
        <v>76</v>
      </c>
      <c r="E207" s="8" t="s">
        <v>772</v>
      </c>
      <c r="F207" s="6" t="s">
        <v>773</v>
      </c>
      <c r="G207" s="9">
        <f>IF(A207=1,"_",IF(C207="_","???",C207))</f>
        <v/>
      </c>
      <c r="H207" s="10" t="s">
        <v>16</v>
      </c>
      <c r="I207" s="11" t="s">
        <v>16</v>
      </c>
      <c r="J207" s="12"/>
    </row>
    <row r="208" spans="1:10" ht="60" customHeight="1">
      <c r="A208" s="6" t="s">
        <v>774</v>
      </c>
      <c r="B208" s="6" t="s">
        <v>23</v>
      </c>
      <c r="C208" s="6" t="s">
        <v>63</v>
      </c>
      <c r="D208" s="7" t="s">
        <v>290</v>
      </c>
      <c r="E208" s="8" t="s">
        <v>775</v>
      </c>
      <c r="F208" s="6" t="s">
        <v>776</v>
      </c>
      <c r="G208" s="9">
        <f>IF(A208=1,"_",IF(C208="_","???",C208))</f>
        <v/>
      </c>
      <c r="H208" s="10" t="s">
        <v>16</v>
      </c>
      <c r="I208" s="11" t="s">
        <v>16</v>
      </c>
      <c r="J208" s="12"/>
    </row>
    <row r="209" spans="1:10" ht="60" customHeight="1">
      <c r="A209" s="6" t="s">
        <v>777</v>
      </c>
      <c r="B209" s="6" t="s">
        <v>17</v>
      </c>
      <c r="C209" s="6" t="s">
        <v>12</v>
      </c>
      <c r="D209" s="7" t="s">
        <v>778</v>
      </c>
      <c r="E209" s="8" t="s">
        <v>779</v>
      </c>
      <c r="F209" s="6" t="s">
        <v>780</v>
      </c>
      <c r="G209" s="9">
        <f>IF(A209=1,"_",IF(C209="_","???",C209))</f>
        <v/>
      </c>
      <c r="H209" s="10" t="s">
        <v>16</v>
      </c>
      <c r="I209" s="11" t="s">
        <v>16</v>
      </c>
      <c r="J209" s="12"/>
    </row>
    <row r="210" spans="1:10" ht="60" customHeight="1">
      <c r="A210" s="6" t="s">
        <v>781</v>
      </c>
      <c r="B210" s="6" t="s">
        <v>10</v>
      </c>
      <c r="C210" s="6" t="s">
        <v>16</v>
      </c>
      <c r="D210" s="7" t="s">
        <v>42</v>
      </c>
      <c r="E210" s="8" t="s">
        <v>782</v>
      </c>
      <c r="F210" s="6" t="s">
        <v>783</v>
      </c>
      <c r="G210" s="9">
        <f>IF(A210=1,"_",IF(C210="_","???",C210))</f>
        <v/>
      </c>
      <c r="H210" s="10" t="s">
        <v>16</v>
      </c>
      <c r="I210" s="11" t="s">
        <v>16</v>
      </c>
      <c r="J210" s="12"/>
    </row>
    <row r="211" spans="1:10" ht="60" customHeight="1">
      <c r="A211" s="6" t="s">
        <v>784</v>
      </c>
      <c r="B211" s="6" t="s">
        <v>17</v>
      </c>
      <c r="C211" s="6" t="s">
        <v>785</v>
      </c>
      <c r="D211" s="7" t="s">
        <v>786</v>
      </c>
      <c r="E211" s="8" t="s">
        <v>787</v>
      </c>
      <c r="F211" s="6" t="s">
        <v>788</v>
      </c>
      <c r="G211" s="9">
        <f>IF(A211=1,"_",IF(C211="_","???",C211))</f>
        <v/>
      </c>
      <c r="H211" s="10" t="s">
        <v>16</v>
      </c>
      <c r="I211" s="11" t="s">
        <v>16</v>
      </c>
      <c r="J211" s="12"/>
    </row>
    <row r="212" spans="1:10" ht="60" customHeight="1">
      <c r="A212" s="6" t="s">
        <v>789</v>
      </c>
      <c r="B212" s="6" t="s">
        <v>17</v>
      </c>
      <c r="C212" s="6" t="s">
        <v>16</v>
      </c>
      <c r="D212" s="7" t="s">
        <v>290</v>
      </c>
      <c r="E212" s="8" t="s">
        <v>790</v>
      </c>
      <c r="F212" s="6" t="s">
        <v>791</v>
      </c>
      <c r="G212" s="9">
        <f>IF(A212=1,"_",IF(C212="_","???",C212))</f>
        <v/>
      </c>
      <c r="H212" s="10" t="s">
        <v>16</v>
      </c>
      <c r="I212" s="11" t="s">
        <v>16</v>
      </c>
      <c r="J212" s="12"/>
    </row>
    <row r="213" spans="1:10" ht="60" customHeight="1">
      <c r="A213" s="6" t="s">
        <v>792</v>
      </c>
      <c r="B213" s="6" t="s">
        <v>11</v>
      </c>
      <c r="C213" s="6" t="s">
        <v>12</v>
      </c>
      <c r="D213" s="7" t="s">
        <v>290</v>
      </c>
      <c r="E213" s="8" t="s">
        <v>793</v>
      </c>
      <c r="F213" s="6" t="s">
        <v>794</v>
      </c>
      <c r="G213" s="9">
        <f>IF(A213=1,"_",IF(C213="_","???",C213))</f>
        <v/>
      </c>
      <c r="H213" s="10" t="s">
        <v>16</v>
      </c>
      <c r="I213" s="11" t="s">
        <v>16</v>
      </c>
      <c r="J213" s="12"/>
    </row>
    <row r="214" spans="1:10" ht="60" customHeight="1">
      <c r="A214" s="6" t="s">
        <v>795</v>
      </c>
      <c r="B214" s="6" t="s">
        <v>17</v>
      </c>
      <c r="C214" s="6" t="s">
        <v>63</v>
      </c>
      <c r="D214" s="7" t="s">
        <v>36</v>
      </c>
      <c r="E214" s="8" t="s">
        <v>796</v>
      </c>
      <c r="F214" s="6" t="s">
        <v>797</v>
      </c>
      <c r="G214" s="9">
        <f>IF(A214=1,"_",IF(C214="_","???",C214))</f>
        <v/>
      </c>
      <c r="H214" s="10" t="s">
        <v>16</v>
      </c>
      <c r="I214" s="11" t="s">
        <v>16</v>
      </c>
      <c r="J214" s="12"/>
    </row>
    <row r="215" spans="1:10" ht="60" customHeight="1">
      <c r="A215" s="6" t="s">
        <v>798</v>
      </c>
      <c r="B215" s="6" t="s">
        <v>11</v>
      </c>
      <c r="C215" s="6" t="s">
        <v>12</v>
      </c>
      <c r="D215" s="7" t="s">
        <v>36</v>
      </c>
      <c r="E215" s="8" t="s">
        <v>799</v>
      </c>
      <c r="F215" s="6" t="s">
        <v>800</v>
      </c>
      <c r="G215" s="9">
        <f>IF(A215=1,"_",IF(C215="_","???",C215))</f>
        <v/>
      </c>
      <c r="H215" s="10" t="s">
        <v>16</v>
      </c>
      <c r="I215" s="11" t="s">
        <v>16</v>
      </c>
      <c r="J215" s="12"/>
    </row>
    <row r="216" spans="1:10" ht="60" customHeight="1">
      <c r="A216" s="6" t="s">
        <v>801</v>
      </c>
      <c r="B216" s="6" t="s">
        <v>23</v>
      </c>
      <c r="C216" s="6" t="s">
        <v>12</v>
      </c>
      <c r="D216" s="7" t="s">
        <v>290</v>
      </c>
      <c r="E216" s="8" t="s">
        <v>802</v>
      </c>
      <c r="F216" s="6" t="s">
        <v>803</v>
      </c>
      <c r="G216" s="9">
        <f>IF(A216=1,"_",IF(C216="_","???",C216))</f>
        <v/>
      </c>
      <c r="H216" s="10" t="s">
        <v>16</v>
      </c>
      <c r="I216" s="11" t="s">
        <v>16</v>
      </c>
      <c r="J216" s="12"/>
    </row>
    <row r="217" spans="1:10" ht="60" customHeight="1">
      <c r="A217" s="6" t="s">
        <v>804</v>
      </c>
      <c r="B217" s="6" t="s">
        <v>11</v>
      </c>
      <c r="C217" s="6" t="s">
        <v>12</v>
      </c>
      <c r="D217" s="7" t="s">
        <v>286</v>
      </c>
      <c r="E217" s="8" t="s">
        <v>805</v>
      </c>
      <c r="F217" s="6" t="s">
        <v>806</v>
      </c>
      <c r="G217" s="9">
        <f>IF(A217=1,"_",IF(C217="_","???",C217))</f>
        <v/>
      </c>
      <c r="H217" s="10" t="s">
        <v>16</v>
      </c>
      <c r="I217" s="11" t="s">
        <v>16</v>
      </c>
      <c r="J217" s="12"/>
    </row>
    <row r="218" spans="1:10" ht="60" customHeight="1">
      <c r="A218" s="6" t="s">
        <v>807</v>
      </c>
      <c r="B218" s="6" t="s">
        <v>31</v>
      </c>
      <c r="C218" s="6" t="s">
        <v>63</v>
      </c>
      <c r="D218" s="7" t="s">
        <v>13</v>
      </c>
      <c r="E218" s="8" t="s">
        <v>808</v>
      </c>
      <c r="F218" s="6" t="s">
        <v>809</v>
      </c>
      <c r="G218" s="9">
        <f>IF(A218=1,"_",IF(C218="_","???",C218))</f>
        <v/>
      </c>
      <c r="H218" s="10" t="s">
        <v>16</v>
      </c>
      <c r="I218" s="11" t="s">
        <v>16</v>
      </c>
      <c r="J218" s="12"/>
    </row>
    <row r="219" spans="1:10" ht="60" customHeight="1">
      <c r="A219" s="6" t="s">
        <v>810</v>
      </c>
      <c r="B219" s="6" t="s">
        <v>17</v>
      </c>
      <c r="C219" s="6" t="s">
        <v>16</v>
      </c>
      <c r="D219" s="7" t="s">
        <v>13</v>
      </c>
      <c r="E219" s="8" t="s">
        <v>811</v>
      </c>
      <c r="F219" s="6" t="s">
        <v>812</v>
      </c>
      <c r="G219" s="9">
        <f>IF(A219=1,"_",IF(C219="_","???",C219))</f>
        <v/>
      </c>
      <c r="H219" s="10" t="s">
        <v>16</v>
      </c>
      <c r="I219" s="11" t="s">
        <v>16</v>
      </c>
      <c r="J219" s="12"/>
    </row>
    <row r="220" spans="1:10" ht="60" customHeight="1">
      <c r="A220" s="6" t="s">
        <v>813</v>
      </c>
      <c r="B220" s="6" t="s">
        <v>17</v>
      </c>
      <c r="C220" s="6" t="s">
        <v>16</v>
      </c>
      <c r="D220" s="7" t="s">
        <v>13</v>
      </c>
      <c r="E220" s="8" t="s">
        <v>814</v>
      </c>
      <c r="F220" s="6" t="s">
        <v>815</v>
      </c>
      <c r="G220" s="9">
        <f>IF(A220=1,"_",IF(C220="_","???",C220))</f>
        <v/>
      </c>
      <c r="H220" s="10" t="s">
        <v>16</v>
      </c>
      <c r="I220" s="11" t="s">
        <v>16</v>
      </c>
      <c r="J220" s="12"/>
    </row>
    <row r="221" spans="1:10" ht="60" customHeight="1">
      <c r="A221" s="6" t="s">
        <v>816</v>
      </c>
      <c r="B221" s="6" t="s">
        <v>17</v>
      </c>
      <c r="C221" s="6" t="s">
        <v>16</v>
      </c>
      <c r="D221" s="7" t="s">
        <v>817</v>
      </c>
      <c r="E221" s="8" t="s">
        <v>818</v>
      </c>
      <c r="F221" s="6" t="s">
        <v>819</v>
      </c>
      <c r="G221" s="9">
        <f>IF(A221=1,"_",IF(C221="_","???",C221))</f>
        <v/>
      </c>
      <c r="H221" s="10" t="s">
        <v>16</v>
      </c>
      <c r="I221" s="11" t="s">
        <v>16</v>
      </c>
      <c r="J221" s="12"/>
    </row>
    <row r="222" spans="1:10" ht="60" customHeight="1">
      <c r="A222" s="6" t="s">
        <v>820</v>
      </c>
      <c r="B222" s="6" t="s">
        <v>11</v>
      </c>
      <c r="C222" s="6" t="s">
        <v>12</v>
      </c>
      <c r="D222" s="7" t="s">
        <v>290</v>
      </c>
      <c r="E222" s="8" t="s">
        <v>821</v>
      </c>
      <c r="F222" s="6" t="s">
        <v>822</v>
      </c>
      <c r="G222" s="9">
        <f>IF(A222=1,"_",IF(C222="_","???",C222))</f>
        <v/>
      </c>
      <c r="H222" s="10" t="s">
        <v>16</v>
      </c>
      <c r="I222" s="11" t="s">
        <v>16</v>
      </c>
      <c r="J222" s="12"/>
    </row>
    <row r="223" spans="1:10" ht="60" customHeight="1">
      <c r="A223" s="6" t="s">
        <v>823</v>
      </c>
      <c r="B223" s="6" t="s">
        <v>17</v>
      </c>
      <c r="C223" s="6" t="s">
        <v>16</v>
      </c>
      <c r="D223" s="7" t="s">
        <v>286</v>
      </c>
      <c r="E223" s="8" t="s">
        <v>824</v>
      </c>
      <c r="F223" s="6" t="s">
        <v>825</v>
      </c>
      <c r="G223" s="9">
        <f>IF(A223=1,"_",IF(C223="_","???",C223))</f>
        <v/>
      </c>
      <c r="H223" s="10" t="s">
        <v>16</v>
      </c>
      <c r="I223" s="11" t="s">
        <v>16</v>
      </c>
      <c r="J223" s="12"/>
    </row>
    <row r="224" spans="1:10" ht="60" customHeight="1">
      <c r="A224" s="6" t="s">
        <v>826</v>
      </c>
      <c r="B224" s="6" t="s">
        <v>17</v>
      </c>
      <c r="C224" s="6" t="s">
        <v>16</v>
      </c>
      <c r="D224" s="7" t="s">
        <v>264</v>
      </c>
      <c r="E224" s="8" t="s">
        <v>827</v>
      </c>
      <c r="F224" s="6" t="s">
        <v>828</v>
      </c>
      <c r="G224" s="9">
        <f>IF(A224=1,"_",IF(C224="_","???",C224))</f>
        <v/>
      </c>
      <c r="H224" s="10" t="s">
        <v>16</v>
      </c>
      <c r="I224" s="11" t="s">
        <v>16</v>
      </c>
      <c r="J224" s="12"/>
    </row>
    <row r="225" spans="1:10" ht="60" customHeight="1">
      <c r="A225" s="6" t="s">
        <v>829</v>
      </c>
      <c r="B225" s="6" t="s">
        <v>176</v>
      </c>
      <c r="C225" s="6" t="s">
        <v>12</v>
      </c>
      <c r="D225" s="7" t="s">
        <v>268</v>
      </c>
      <c r="E225" s="8" t="s">
        <v>830</v>
      </c>
      <c r="F225" s="6" t="s">
        <v>831</v>
      </c>
      <c r="G225" s="9">
        <f>IF(A225=1,"_",IF(C225="_","???",C225))</f>
        <v/>
      </c>
      <c r="H225" s="10" t="s">
        <v>16</v>
      </c>
      <c r="I225" s="11" t="s">
        <v>16</v>
      </c>
      <c r="J225" s="12"/>
    </row>
    <row r="226" spans="1:10" ht="60" customHeight="1">
      <c r="A226" s="6" t="s">
        <v>832</v>
      </c>
      <c r="B226" s="6" t="s">
        <v>10</v>
      </c>
      <c r="C226" s="6" t="s">
        <v>16</v>
      </c>
      <c r="D226" s="7" t="s">
        <v>833</v>
      </c>
      <c r="E226" s="8" t="s">
        <v>834</v>
      </c>
      <c r="F226" s="6" t="s">
        <v>835</v>
      </c>
      <c r="G226" s="9">
        <f>IF(A226=1,"_",IF(C226="_","???",C226))</f>
        <v/>
      </c>
      <c r="H226" s="10" t="s">
        <v>16</v>
      </c>
      <c r="I226" s="11" t="s">
        <v>16</v>
      </c>
      <c r="J226" s="12"/>
    </row>
    <row r="227" spans="1:10" ht="60" customHeight="1">
      <c r="A227" s="6" t="s">
        <v>836</v>
      </c>
      <c r="B227" s="6" t="s">
        <v>40</v>
      </c>
      <c r="C227" s="6" t="s">
        <v>837</v>
      </c>
      <c r="D227" s="7" t="s">
        <v>838</v>
      </c>
      <c r="E227" s="8" t="s">
        <v>839</v>
      </c>
      <c r="F227" s="6" t="s">
        <v>840</v>
      </c>
      <c r="G227" s="9">
        <f>IF(A227=1,"_",IF(C227="_","???",C227))</f>
        <v/>
      </c>
      <c r="H227" s="10" t="s">
        <v>16</v>
      </c>
      <c r="I227" s="11" t="s">
        <v>16</v>
      </c>
      <c r="J227" s="12"/>
    </row>
    <row r="228" spans="1:10" ht="60" customHeight="1">
      <c r="A228" s="6" t="s">
        <v>841</v>
      </c>
      <c r="B228" s="6" t="s">
        <v>39</v>
      </c>
      <c r="C228" s="6" t="s">
        <v>12</v>
      </c>
      <c r="D228" s="7" t="s">
        <v>470</v>
      </c>
      <c r="E228" s="8" t="s">
        <v>842</v>
      </c>
      <c r="F228" s="6" t="s">
        <v>843</v>
      </c>
      <c r="G228" s="9">
        <f>IF(A228=1,"_",IF(C228="_","???",C228))</f>
        <v/>
      </c>
      <c r="H228" s="10" t="s">
        <v>16</v>
      </c>
      <c r="I228" s="11" t="s">
        <v>16</v>
      </c>
      <c r="J228" s="12"/>
    </row>
    <row r="229" spans="1:10" ht="60" customHeight="1">
      <c r="A229" s="6" t="s">
        <v>844</v>
      </c>
      <c r="B229" s="6" t="s">
        <v>39</v>
      </c>
      <c r="C229" s="6" t="s">
        <v>16</v>
      </c>
      <c r="D229" s="7" t="s">
        <v>470</v>
      </c>
      <c r="E229" s="8" t="s">
        <v>845</v>
      </c>
      <c r="F229" s="6" t="s">
        <v>846</v>
      </c>
      <c r="G229" s="9">
        <f>IF(A229=1,"_",IF(C229="_","???",C229))</f>
        <v/>
      </c>
      <c r="H229" s="10" t="s">
        <v>16</v>
      </c>
      <c r="I229" s="11" t="s">
        <v>16</v>
      </c>
      <c r="J229" s="12"/>
    </row>
    <row r="230" spans="1:10" ht="60" customHeight="1">
      <c r="A230" s="6" t="s">
        <v>847</v>
      </c>
      <c r="B230" s="6" t="s">
        <v>86</v>
      </c>
      <c r="C230" s="6" t="s">
        <v>404</v>
      </c>
      <c r="D230" s="7" t="s">
        <v>848</v>
      </c>
      <c r="E230" s="8" t="s">
        <v>849</v>
      </c>
      <c r="F230" s="6" t="s">
        <v>850</v>
      </c>
      <c r="G230" s="9">
        <f>IF(A230=1,"_",IF(C230="_","???",C230))</f>
        <v/>
      </c>
      <c r="H230" s="10" t="s">
        <v>16</v>
      </c>
      <c r="I230" s="11" t="s">
        <v>16</v>
      </c>
      <c r="J230" s="12"/>
    </row>
    <row r="231" spans="1:10" ht="60" customHeight="1">
      <c r="A231" s="6" t="s">
        <v>851</v>
      </c>
      <c r="B231" s="6" t="s">
        <v>17</v>
      </c>
      <c r="C231" s="6" t="s">
        <v>16</v>
      </c>
      <c r="D231" s="7" t="s">
        <v>852</v>
      </c>
      <c r="E231" s="8" t="s">
        <v>853</v>
      </c>
      <c r="F231" s="6" t="s">
        <v>854</v>
      </c>
      <c r="G231" s="9">
        <f>IF(A231=1,"_",IF(C231="_","???",C231))</f>
        <v/>
      </c>
      <c r="H231" s="10" t="s">
        <v>16</v>
      </c>
      <c r="I231" s="11" t="s">
        <v>16</v>
      </c>
      <c r="J231" s="12"/>
    </row>
    <row r="232" spans="1:10" ht="60" customHeight="1">
      <c r="A232" s="6" t="s">
        <v>855</v>
      </c>
      <c r="B232" s="6" t="s">
        <v>17</v>
      </c>
      <c r="C232" s="6" t="s">
        <v>12</v>
      </c>
      <c r="D232" s="7" t="s">
        <v>856</v>
      </c>
      <c r="E232" s="8" t="s">
        <v>857</v>
      </c>
      <c r="F232" s="6" t="s">
        <v>858</v>
      </c>
      <c r="G232" s="9">
        <f>IF(A232=1,"_",IF(C232="_","???",C232))</f>
        <v/>
      </c>
      <c r="H232" s="10" t="s">
        <v>16</v>
      </c>
      <c r="I232" s="11" t="s">
        <v>16</v>
      </c>
      <c r="J232" s="12"/>
    </row>
    <row r="233" spans="1:10" ht="60" customHeight="1">
      <c r="A233" s="6" t="s">
        <v>859</v>
      </c>
      <c r="B233" s="6" t="s">
        <v>108</v>
      </c>
      <c r="C233" s="6" t="s">
        <v>12</v>
      </c>
      <c r="D233" s="7" t="s">
        <v>860</v>
      </c>
      <c r="E233" s="8" t="s">
        <v>861</v>
      </c>
      <c r="F233" s="6" t="s">
        <v>862</v>
      </c>
      <c r="G233" s="9">
        <f>IF(A233=1,"_",IF(C233="_","???",C233))</f>
        <v/>
      </c>
      <c r="H233" s="10" t="s">
        <v>16</v>
      </c>
      <c r="I233" s="11" t="s">
        <v>16</v>
      </c>
      <c r="J233" s="12"/>
    </row>
    <row r="234" spans="1:10" ht="60" customHeight="1">
      <c r="A234" s="6" t="s">
        <v>863</v>
      </c>
      <c r="B234" s="6" t="s">
        <v>40</v>
      </c>
      <c r="C234" s="6" t="s">
        <v>24</v>
      </c>
      <c r="D234" s="7" t="s">
        <v>864</v>
      </c>
      <c r="E234" s="8" t="s">
        <v>865</v>
      </c>
      <c r="F234" s="6" t="s">
        <v>866</v>
      </c>
      <c r="G234" s="9">
        <f>IF(A234=1,"_",IF(C234="_","???",C234))</f>
        <v/>
      </c>
      <c r="H234" s="10" t="s">
        <v>16</v>
      </c>
      <c r="I234" s="11" t="s">
        <v>16</v>
      </c>
      <c r="J234" s="12"/>
    </row>
    <row r="235" spans="1:10" ht="60" customHeight="1">
      <c r="A235" s="6" t="s">
        <v>867</v>
      </c>
      <c r="B235" s="6" t="s">
        <v>23</v>
      </c>
      <c r="C235" s="6" t="s">
        <v>63</v>
      </c>
      <c r="D235" s="7" t="s">
        <v>268</v>
      </c>
      <c r="E235" s="8" t="s">
        <v>868</v>
      </c>
      <c r="F235" s="6" t="s">
        <v>869</v>
      </c>
      <c r="G235" s="9">
        <f>IF(A235=1,"_",IF(C235="_","???",C235))</f>
        <v/>
      </c>
      <c r="H235" s="10" t="s">
        <v>16</v>
      </c>
      <c r="I235" s="11" t="s">
        <v>16</v>
      </c>
      <c r="J235" s="12"/>
    </row>
    <row r="236" spans="1:10" ht="60" customHeight="1">
      <c r="A236" s="6" t="s">
        <v>870</v>
      </c>
      <c r="B236" s="6" t="s">
        <v>11</v>
      </c>
      <c r="C236" s="6" t="s">
        <v>16</v>
      </c>
      <c r="D236" s="7" t="s">
        <v>871</v>
      </c>
      <c r="E236" s="8" t="s">
        <v>872</v>
      </c>
      <c r="F236" s="6" t="s">
        <v>873</v>
      </c>
      <c r="G236" s="9">
        <f>IF(A236=1,"_",IF(C236="_","???",C236))</f>
        <v/>
      </c>
      <c r="H236" s="10" t="s">
        <v>16</v>
      </c>
      <c r="I236" s="11" t="s">
        <v>16</v>
      </c>
      <c r="J236" s="12"/>
    </row>
    <row r="237" spans="1:10" ht="60" customHeight="1">
      <c r="A237" s="6" t="s">
        <v>874</v>
      </c>
      <c r="B237" s="6" t="s">
        <v>17</v>
      </c>
      <c r="C237" s="6" t="s">
        <v>16</v>
      </c>
      <c r="D237" s="7" t="s">
        <v>620</v>
      </c>
      <c r="E237" s="8" t="s">
        <v>875</v>
      </c>
      <c r="F237" s="6" t="s">
        <v>876</v>
      </c>
      <c r="G237" s="9">
        <f>IF(A237=1,"_",IF(C237="_","???",C237))</f>
        <v/>
      </c>
      <c r="H237" s="10" t="s">
        <v>16</v>
      </c>
      <c r="I237" s="11" t="s">
        <v>16</v>
      </c>
      <c r="J237" s="12"/>
    </row>
    <row r="238" spans="1:10" ht="60" customHeight="1">
      <c r="A238" s="6" t="s">
        <v>877</v>
      </c>
      <c r="B238" s="6" t="s">
        <v>39</v>
      </c>
      <c r="C238" s="6" t="s">
        <v>63</v>
      </c>
      <c r="D238" s="7" t="s">
        <v>878</v>
      </c>
      <c r="E238" s="8" t="s">
        <v>879</v>
      </c>
      <c r="F238" s="6" t="s">
        <v>880</v>
      </c>
      <c r="G238" s="9">
        <f>IF(A238=1,"_",IF(C238="_","???",C238))</f>
        <v/>
      </c>
      <c r="H238" s="10" t="s">
        <v>16</v>
      </c>
      <c r="I238" s="11" t="s">
        <v>16</v>
      </c>
      <c r="J238" s="12"/>
    </row>
    <row r="239" spans="1:10" ht="60" customHeight="1">
      <c r="A239" s="6" t="s">
        <v>881</v>
      </c>
      <c r="B239" s="6" t="s">
        <v>11</v>
      </c>
      <c r="C239" s="6" t="s">
        <v>12</v>
      </c>
      <c r="D239" s="7" t="s">
        <v>249</v>
      </c>
      <c r="E239" s="8" t="s">
        <v>882</v>
      </c>
      <c r="F239" s="6" t="s">
        <v>883</v>
      </c>
      <c r="G239" s="9">
        <f>IF(A239=1,"_",IF(C239="_","???",C239))</f>
        <v/>
      </c>
      <c r="H239" s="10" t="s">
        <v>16</v>
      </c>
      <c r="I239" s="11" t="s">
        <v>16</v>
      </c>
      <c r="J239" s="12"/>
    </row>
    <row r="240" spans="1:10" ht="60" customHeight="1">
      <c r="A240" s="6" t="s">
        <v>884</v>
      </c>
      <c r="B240" s="6" t="s">
        <v>23</v>
      </c>
      <c r="C240" s="6" t="s">
        <v>63</v>
      </c>
      <c r="D240" s="7" t="s">
        <v>885</v>
      </c>
      <c r="E240" s="8" t="s">
        <v>886</v>
      </c>
      <c r="F240" s="6" t="s">
        <v>887</v>
      </c>
      <c r="G240" s="9">
        <f>IF(A240=1,"_",IF(C240="_","???",C240))</f>
        <v/>
      </c>
      <c r="H240" s="10" t="s">
        <v>16</v>
      </c>
      <c r="I240" s="11" t="s">
        <v>16</v>
      </c>
      <c r="J240" s="12"/>
    </row>
    <row r="241" spans="1:10" ht="60" customHeight="1">
      <c r="A241" s="6" t="s">
        <v>888</v>
      </c>
      <c r="B241" s="6" t="s">
        <v>142</v>
      </c>
      <c r="C241" s="6" t="s">
        <v>12</v>
      </c>
      <c r="D241" s="7" t="s">
        <v>889</v>
      </c>
      <c r="E241" s="8" t="s">
        <v>890</v>
      </c>
      <c r="F241" s="6" t="s">
        <v>891</v>
      </c>
      <c r="G241" s="9">
        <f>IF(A241=1,"_",IF(C241="_","???",C241))</f>
        <v/>
      </c>
      <c r="H241" s="10" t="s">
        <v>16</v>
      </c>
      <c r="I241" s="11" t="s">
        <v>16</v>
      </c>
      <c r="J241" s="12"/>
    </row>
    <row r="242" spans="1:10" ht="60" customHeight="1">
      <c r="A242" s="6" t="s">
        <v>892</v>
      </c>
      <c r="B242" s="6" t="s">
        <v>10</v>
      </c>
      <c r="C242" s="6" t="s">
        <v>63</v>
      </c>
      <c r="D242" s="7" t="s">
        <v>64</v>
      </c>
      <c r="E242" s="8" t="s">
        <v>893</v>
      </c>
      <c r="F242" s="6" t="s">
        <v>894</v>
      </c>
      <c r="G242" s="9">
        <f>IF(A242=1,"_",IF(C242="_","???",C242))</f>
        <v/>
      </c>
      <c r="H242" s="10" t="s">
        <v>16</v>
      </c>
      <c r="I242" s="11" t="s">
        <v>16</v>
      </c>
      <c r="J242" s="12"/>
    </row>
    <row r="243" spans="1:10" ht="60" customHeight="1">
      <c r="A243" s="6" t="s">
        <v>895</v>
      </c>
      <c r="B243" s="6" t="s">
        <v>17</v>
      </c>
      <c r="C243" s="6" t="s">
        <v>138</v>
      </c>
      <c r="D243" s="7" t="s">
        <v>13</v>
      </c>
      <c r="E243" s="8" t="s">
        <v>896</v>
      </c>
      <c r="F243" s="6" t="s">
        <v>897</v>
      </c>
      <c r="G243" s="9">
        <f>IF(A243=1,"_",IF(C243="_","???",C243))</f>
        <v/>
      </c>
      <c r="H243" s="10" t="s">
        <v>16</v>
      </c>
      <c r="I243" s="11" t="s">
        <v>16</v>
      </c>
      <c r="J243" s="12"/>
    </row>
    <row r="244" spans="1:10" ht="60" customHeight="1">
      <c r="A244" s="6" t="s">
        <v>898</v>
      </c>
      <c r="B244" s="6" t="s">
        <v>89</v>
      </c>
      <c r="C244" s="6" t="s">
        <v>16</v>
      </c>
      <c r="D244" s="7" t="s">
        <v>899</v>
      </c>
      <c r="E244" s="8" t="s">
        <v>900</v>
      </c>
      <c r="F244" s="6" t="s">
        <v>901</v>
      </c>
      <c r="G244" s="9">
        <f>IF(A244=1,"_",IF(C244="_","???",C244))</f>
        <v/>
      </c>
      <c r="H244" s="10" t="s">
        <v>16</v>
      </c>
      <c r="I244" s="11" t="s">
        <v>16</v>
      </c>
      <c r="J244" s="12"/>
    </row>
    <row r="245" spans="1:10" ht="60" customHeight="1">
      <c r="A245" s="6" t="s">
        <v>902</v>
      </c>
      <c r="B245" s="6" t="s">
        <v>17</v>
      </c>
      <c r="C245" s="6" t="s">
        <v>388</v>
      </c>
      <c r="D245" s="7" t="s">
        <v>903</v>
      </c>
      <c r="E245" s="8" t="s">
        <v>904</v>
      </c>
      <c r="F245" s="6" t="s">
        <v>905</v>
      </c>
      <c r="G245" s="9">
        <f>IF(A245=1,"_",IF(C245="_","???",C245))</f>
        <v/>
      </c>
      <c r="H245" s="10" t="s">
        <v>16</v>
      </c>
      <c r="I245" s="11" t="s">
        <v>16</v>
      </c>
      <c r="J245" s="12"/>
    </row>
    <row r="246" spans="1:10" ht="60" customHeight="1">
      <c r="A246" s="6" t="s">
        <v>906</v>
      </c>
      <c r="B246" s="6" t="s">
        <v>17</v>
      </c>
      <c r="C246" s="6" t="s">
        <v>388</v>
      </c>
      <c r="D246" s="7" t="s">
        <v>903</v>
      </c>
      <c r="E246" s="8" t="s">
        <v>907</v>
      </c>
      <c r="F246" s="6" t="s">
        <v>908</v>
      </c>
      <c r="G246" s="9">
        <f>IF(A246=1,"_",IF(C246="_","???",C246))</f>
        <v/>
      </c>
      <c r="H246" s="10" t="s">
        <v>16</v>
      </c>
      <c r="I246" s="11" t="s">
        <v>16</v>
      </c>
      <c r="J246" s="12"/>
    </row>
    <row r="247" spans="1:10" ht="60" customHeight="1">
      <c r="A247" s="6" t="s">
        <v>909</v>
      </c>
      <c r="B247" s="6" t="s">
        <v>31</v>
      </c>
      <c r="C247" s="6" t="s">
        <v>12</v>
      </c>
      <c r="D247" s="7" t="s">
        <v>42</v>
      </c>
      <c r="E247" s="8" t="s">
        <v>910</v>
      </c>
      <c r="F247" s="6" t="s">
        <v>911</v>
      </c>
      <c r="G247" s="9">
        <f>IF(A247=1,"_",IF(C247="_","???",C247))</f>
        <v/>
      </c>
      <c r="H247" s="10" t="s">
        <v>16</v>
      </c>
      <c r="I247" s="11" t="s">
        <v>16</v>
      </c>
      <c r="J247" s="12"/>
    </row>
    <row r="248" spans="1:10" ht="60" customHeight="1">
      <c r="A248" s="6" t="s">
        <v>912</v>
      </c>
      <c r="B248" s="6" t="s">
        <v>10</v>
      </c>
      <c r="C248" s="6" t="s">
        <v>16</v>
      </c>
      <c r="D248" s="7" t="s">
        <v>913</v>
      </c>
      <c r="E248" s="8" t="s">
        <v>914</v>
      </c>
      <c r="F248" s="6" t="s">
        <v>915</v>
      </c>
      <c r="G248" s="9">
        <f>IF(A248=1,"_",IF(C248="_","???",C248))</f>
        <v/>
      </c>
      <c r="H248" s="10" t="s">
        <v>16</v>
      </c>
      <c r="I248" s="11" t="s">
        <v>16</v>
      </c>
      <c r="J2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37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916</v>
      </c>
      <c r="B1" s="13" t="s">
        <v>917</v>
      </c>
      <c r="C1" s="13" t="s">
        <v>918</v>
      </c>
      <c r="D1" s="13" t="s">
        <v>919</v>
      </c>
      <c r="E1" s="14" t="s">
        <v>920</v>
      </c>
      <c r="F1" s="15" t="s">
        <v>921</v>
      </c>
      <c r="G1" s="16" t="s">
        <v>922</v>
      </c>
      <c r="H1" s="17" t="s">
        <v>923</v>
      </c>
      <c r="I1" s="18" t="s">
        <v>924</v>
      </c>
      <c r="J1" s="18" t="s">
        <v>925</v>
      </c>
      <c r="K1" s="18" t="s">
        <v>926</v>
      </c>
      <c r="L1" s="19" t="s">
        <v>9</v>
      </c>
    </row>
    <row r="2" spans="1:12">
      <c r="A2" s="20" t="s">
        <v>927</v>
      </c>
    </row>
    <row r="3" spans="1:12">
      <c r="A3" s="20" t="s">
        <v>928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929</v>
      </c>
      <c r="B4" s="27" t="s">
        <v>930</v>
      </c>
      <c r="C4" s="27" t="s">
        <v>931</v>
      </c>
      <c r="D4" s="27" t="s">
        <v>932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933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934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935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936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937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938</v>
      </c>
      <c r="B10" s="27" t="s">
        <v>939</v>
      </c>
      <c r="C10" s="27" t="s">
        <v>940</v>
      </c>
      <c r="D10" s="27" t="s">
        <v>932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941</v>
      </c>
      <c r="B11" s="27" t="s">
        <v>942</v>
      </c>
      <c r="C11" s="27" t="s">
        <v>943</v>
      </c>
      <c r="D11" s="27" t="s">
        <v>932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936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944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945</v>
      </c>
      <c r="B14" s="27" t="s">
        <v>942</v>
      </c>
      <c r="C14" s="27" t="s">
        <v>946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944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948</v>
      </c>
      <c r="B17" s="27" t="s">
        <v>949</v>
      </c>
      <c r="C17" s="27" t="s">
        <v>943</v>
      </c>
      <c r="D17" s="27" t="s">
        <v>932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950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951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952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953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954</v>
      </c>
      <c r="B25" s="27" t="s">
        <v>955</v>
      </c>
      <c r="C25" s="27" t="s">
        <v>931</v>
      </c>
      <c r="D25" s="27" t="s">
        <v>932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956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957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958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959</v>
      </c>
      <c r="B29" s="27" t="s">
        <v>960</v>
      </c>
      <c r="C29" s="27" t="s">
        <v>943</v>
      </c>
      <c r="D29" s="27" t="s">
        <v>932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961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962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963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964</v>
      </c>
    </row>
    <row r="36" spans="1:12">
      <c r="A36" s="20" t="s">
        <v>965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967</v>
      </c>
      <c r="B38" s="27" t="s">
        <v>968</v>
      </c>
      <c r="C38" s="27" t="s">
        <v>931</v>
      </c>
      <c r="D38" s="27" t="s">
        <v>932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969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970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971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936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934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972</v>
      </c>
      <c r="B44" s="27" t="s">
        <v>939</v>
      </c>
      <c r="C44" s="27" t="s">
        <v>973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936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974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934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975</v>
      </c>
      <c r="B48" s="27" t="s">
        <v>939</v>
      </c>
      <c r="C48" s="27" t="s">
        <v>943</v>
      </c>
      <c r="D48" s="27" t="s">
        <v>932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950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976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976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952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929</v>
      </c>
      <c r="B56" s="27" t="s">
        <v>955</v>
      </c>
      <c r="C56" s="27" t="s">
        <v>931</v>
      </c>
      <c r="D56" s="27" t="s">
        <v>932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953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977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957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938</v>
      </c>
      <c r="B60" s="27" t="s">
        <v>978</v>
      </c>
      <c r="C60" s="27" t="s">
        <v>940</v>
      </c>
      <c r="D60" s="27" t="s">
        <v>932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979</v>
      </c>
      <c r="B61" s="27" t="s">
        <v>960</v>
      </c>
      <c r="C61" s="27" t="s">
        <v>943</v>
      </c>
      <c r="D61" s="27" t="s">
        <v>932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961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980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981</v>
      </c>
      <c r="B64" s="27" t="s">
        <v>982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row>
    <row r="67" spans="1:12">
      <c r="A67" s="20" t="s">
        <v>983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984</v>
      </c>
    </row>
    <row r="69" spans="1:12">
      <c r="A69" s="20" t="s">
        <v>965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985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929</v>
      </c>
      <c r="B71" s="27" t="s">
        <v>930</v>
      </c>
      <c r="C71" s="27" t="s">
        <v>931</v>
      </c>
      <c r="D71" s="27" t="s">
        <v>932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986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987</v>
      </c>
      <c r="B73" s="27" t="s">
        <v>988</v>
      </c>
      <c r="C73" s="27" t="s">
        <v>931</v>
      </c>
      <c r="D73" s="27" t="s">
        <v>932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989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934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990</v>
      </c>
      <c r="B76" s="27" t="s">
        <v>991</v>
      </c>
      <c r="C76" s="27" t="s">
        <v>973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944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992</v>
      </c>
      <c r="B78" s="27" t="s">
        <v>949</v>
      </c>
      <c r="C78" s="27" t="s">
        <v>946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993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938</v>
      </c>
      <c r="B80" s="27" t="s">
        <v>949</v>
      </c>
      <c r="C80" s="27" t="s">
        <v>940</v>
      </c>
      <c r="D80" s="27" t="s">
        <v>932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994</v>
      </c>
      <c r="B81" s="27" t="s">
        <v>939</v>
      </c>
      <c r="C81" s="27" t="s">
        <v>943</v>
      </c>
      <c r="D81" s="27" t="s">
        <v>932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995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996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997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998</v>
      </c>
      <c r="B85" s="27" t="s">
        <v>939</v>
      </c>
      <c r="C85" s="27" t="s">
        <v>999</v>
      </c>
      <c r="D85" s="27" t="s">
        <v>932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1000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1001</v>
      </c>
      <c r="B87" s="27" t="s">
        <v>949</v>
      </c>
      <c r="C87" s="27" t="s">
        <v>943</v>
      </c>
      <c r="D87" s="27" t="s">
        <v>932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936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1002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936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985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1003</v>
      </c>
      <c r="B92" s="27" t="s">
        <v>988</v>
      </c>
      <c r="C92" s="27" t="s">
        <v>943</v>
      </c>
      <c r="D92" s="27" t="s">
        <v>932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1004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947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1005</v>
      </c>
      <c r="B96" s="27" t="s">
        <v>939</v>
      </c>
      <c r="C96" s="27" t="s">
        <v>946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936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1006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953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969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957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1007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1008</v>
      </c>
      <c r="B103" s="27" t="s">
        <v>1009</v>
      </c>
      <c r="C103" s="27" t="s">
        <v>943</v>
      </c>
      <c r="D103" s="27" t="s">
        <v>932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970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934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1010</v>
      </c>
      <c r="B106" s="27" t="s">
        <v>939</v>
      </c>
      <c r="C106" s="27" t="s">
        <v>943</v>
      </c>
      <c r="D106" s="27" t="s">
        <v>932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936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944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1011</v>
      </c>
      <c r="B109" s="27" t="s">
        <v>949</v>
      </c>
      <c r="C109" s="27" t="s">
        <v>943</v>
      </c>
      <c r="D109" s="27" t="s">
        <v>932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936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953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1012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957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1013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1014</v>
      </c>
      <c r="B115" s="27" t="s">
        <v>949</v>
      </c>
      <c r="C115" s="27" t="s">
        <v>943</v>
      </c>
      <c r="D115" s="27" t="s">
        <v>932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936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944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929</v>
      </c>
      <c r="B118" s="27" t="s">
        <v>949</v>
      </c>
      <c r="C118" s="27" t="s">
        <v>931</v>
      </c>
      <c r="D118" s="27" t="s">
        <v>932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936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944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1015</v>
      </c>
      <c r="B121" s="27" t="s">
        <v>949</v>
      </c>
      <c r="C121" s="27" t="s">
        <v>946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936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1016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1017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1018</v>
      </c>
      <c r="B125" s="27" t="s">
        <v>949</v>
      </c>
      <c r="C125" s="27" t="s">
        <v>943</v>
      </c>
      <c r="D125" s="27" t="s">
        <v>932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936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1019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1020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936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1021</v>
      </c>
      <c r="B131" s="27" t="s">
        <v>949</v>
      </c>
      <c r="C131" s="27" t="s">
        <v>1022</v>
      </c>
      <c r="D131" s="27" t="s">
        <v>932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953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965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957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985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934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1023</v>
      </c>
      <c r="B138" s="27" t="s">
        <v>949</v>
      </c>
      <c r="C138" s="27" t="s">
        <v>973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937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1024</v>
      </c>
      <c r="B140" s="27" t="s">
        <v>1025</v>
      </c>
      <c r="C140" s="27" t="s">
        <v>943</v>
      </c>
      <c r="D140" s="27" t="s">
        <v>932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936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1026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936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944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929</v>
      </c>
      <c r="B145" s="27" t="s">
        <v>960</v>
      </c>
      <c r="C145" s="27" t="s">
        <v>931</v>
      </c>
      <c r="D145" s="27" t="s">
        <v>932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1027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944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1028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944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1029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1030</v>
      </c>
      <c r="B154" s="27" t="s">
        <v>1031</v>
      </c>
      <c r="C154" s="27" t="s">
        <v>943</v>
      </c>
      <c r="D154" s="27" t="s">
        <v>932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936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1032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1033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1034</v>
      </c>
      <c r="B158" s="27" t="s">
        <v>1025</v>
      </c>
      <c r="C158" s="27" t="s">
        <v>1035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936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944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1036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1037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985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928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1038</v>
      </c>
    </row>
    <row r="169" spans="1:12">
      <c r="A169" s="20" t="s">
        <v>1039</v>
      </c>
      <c r="B169" s="27" t="s">
        <v>930</v>
      </c>
      <c r="C169" s="27" t="s">
        <v>931</v>
      </c>
      <c r="D169" s="27" t="s">
        <v>932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1040</v>
      </c>
      <c r="B171" s="27" t="s">
        <v>988</v>
      </c>
      <c r="C171" s="27" t="s">
        <v>946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963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1041</v>
      </c>
      <c r="B173" s="27" t="s">
        <v>939</v>
      </c>
      <c r="C173" s="27" t="s">
        <v>946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1043</v>
      </c>
    </row>
    <row r="177" spans="1:12">
      <c r="A177" s="20" t="s">
        <v>1044</v>
      </c>
      <c r="B177" s="27" t="s">
        <v>930</v>
      </c>
      <c r="C177" s="27" t="s">
        <v>943</v>
      </c>
      <c r="D177" s="27" t="s">
        <v>932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1045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961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1046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947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1047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954</v>
      </c>
      <c r="B183" s="27" t="s">
        <v>991</v>
      </c>
      <c r="C183" s="27" t="s">
        <v>931</v>
      </c>
      <c r="D183" s="27" t="s">
        <v>932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937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1048</v>
      </c>
      <c r="B185" s="27" t="s">
        <v>939</v>
      </c>
      <c r="C185" s="27" t="s">
        <v>946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936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1049</v>
      </c>
      <c r="B187" s="27" t="s">
        <v>939</v>
      </c>
      <c r="C187" s="27" t="s">
        <v>943</v>
      </c>
      <c r="D187" s="27" t="s">
        <v>932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937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1013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1050</v>
      </c>
      <c r="B190" s="27" t="s">
        <v>949</v>
      </c>
      <c r="C190" s="27" t="s">
        <v>973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1042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1051</v>
      </c>
    </row>
    <row r="194" spans="1:12">
      <c r="A194" s="20" t="s">
        <v>1052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1007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1053</v>
      </c>
      <c r="B196" s="27" t="s">
        <v>930</v>
      </c>
      <c r="C196" s="27" t="s">
        <v>1054</v>
      </c>
      <c r="D196" s="27" t="s">
        <v>932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1000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1055</v>
      </c>
      <c r="B198" s="27" t="s">
        <v>939</v>
      </c>
      <c r="C198" s="27" t="s">
        <v>946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1056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947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1057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1058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1059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1060</v>
      </c>
      <c r="B204" s="27" t="s">
        <v>991</v>
      </c>
      <c r="C204" s="27" t="s">
        <v>1061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1042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row>
    <row r="207" spans="1:12">
      <c r="A207" s="20" t="s">
        <v>1062</v>
      </c>
    </row>
    <row r="208" spans="1:12">
      <c r="A208" s="20" t="s">
        <v>1006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1063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1064</v>
      </c>
      <c r="B210" s="27" t="s">
        <v>942</v>
      </c>
      <c r="C210" s="27" t="s">
        <v>931</v>
      </c>
      <c r="D210" s="27" t="s">
        <v>932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936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929</v>
      </c>
      <c r="B212" s="27" t="s">
        <v>930</v>
      </c>
      <c r="C212" s="27" t="s">
        <v>931</v>
      </c>
      <c r="D212" s="27" t="s">
        <v>932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1065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1066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977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1067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1068</v>
      </c>
      <c r="B217" s="27" t="s">
        <v>988</v>
      </c>
      <c r="C217" s="27" t="s">
        <v>946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936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272</v>
      </c>
      <c r="B219" s="27" t="s">
        <v>988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1000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1007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709</v>
      </c>
      <c r="B222" s="27" t="s">
        <v>939</v>
      </c>
      <c r="C222" s="27" t="s">
        <v>1054</v>
      </c>
      <c r="D222" s="27" t="s">
        <v>932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1069</v>
      </c>
      <c r="B223" s="27" t="s">
        <v>955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1070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1071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1072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929</v>
      </c>
      <c r="B227" s="27" t="s">
        <v>960</v>
      </c>
      <c r="C227" s="27" t="s">
        <v>931</v>
      </c>
      <c r="D227" s="27" t="s">
        <v>932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1073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1075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947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934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1076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1077</v>
      </c>
      <c r="B234" s="27" t="s">
        <v>1078</v>
      </c>
      <c r="C234" s="27" t="s">
        <v>973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1042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row>
    <row r="237" spans="1:12">
      <c r="A237" s="20" t="s">
        <v>1079</v>
      </c>
    </row>
    <row r="238" spans="1:12">
      <c r="A238" s="20" t="s">
        <v>1080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1081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936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929</v>
      </c>
      <c r="B241" s="27" t="s">
        <v>930</v>
      </c>
      <c r="C241" s="27" t="s">
        <v>931</v>
      </c>
      <c r="D241" s="27" t="s">
        <v>932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1065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934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1082</v>
      </c>
      <c r="B244" s="27" t="s">
        <v>988</v>
      </c>
      <c r="C244" s="27" t="s">
        <v>973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1000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1083</v>
      </c>
      <c r="B246" s="27" t="s">
        <v>939</v>
      </c>
      <c r="C246" s="27" t="s">
        <v>946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1042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1084</v>
      </c>
    </row>
    <row r="250" spans="1:12">
      <c r="A250" s="20" t="s">
        <v>1085</v>
      </c>
      <c r="B250" s="27" t="s">
        <v>939</v>
      </c>
      <c r="C250" s="27" t="s">
        <v>940</v>
      </c>
      <c r="D250" s="27" t="s">
        <v>932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1086</v>
      </c>
      <c r="B251" s="27" t="s">
        <v>930</v>
      </c>
      <c r="C251" s="27" t="s">
        <v>1087</v>
      </c>
      <c r="D251" s="27" t="s">
        <v>932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1088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936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934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1089</v>
      </c>
      <c r="B255" s="27" t="s">
        <v>968</v>
      </c>
      <c r="C255" s="27" t="s">
        <v>973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929</v>
      </c>
      <c r="B256" s="27" t="s">
        <v>955</v>
      </c>
      <c r="C256" s="27" t="s">
        <v>931</v>
      </c>
      <c r="D256" s="27" t="s">
        <v>932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1073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1074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937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1090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936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929</v>
      </c>
      <c r="B262" s="27" t="s">
        <v>955</v>
      </c>
      <c r="C262" s="27" t="s">
        <v>931</v>
      </c>
      <c r="D262" s="27" t="s">
        <v>932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1091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1092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947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1007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1093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1094</v>
      </c>
      <c r="B268" s="27" t="s">
        <v>949</v>
      </c>
      <c r="C268" s="27" t="s">
        <v>943</v>
      </c>
      <c r="D268" s="27" t="s">
        <v>932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1095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1016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1096</v>
      </c>
      <c r="B271" s="27" t="s">
        <v>949</v>
      </c>
      <c r="C271" s="27" t="s">
        <v>1097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1098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936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944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929</v>
      </c>
      <c r="B275" s="27" t="s">
        <v>968</v>
      </c>
      <c r="C275" s="27" t="s">
        <v>931</v>
      </c>
      <c r="D275" s="27" t="s">
        <v>932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1099</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963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969</v>
      </c>
      <c r="B278" s="27" t="s">
        <v>991</v>
      </c>
      <c r="C278" s="27" t="s">
        <v>1087</v>
      </c>
      <c r="D278" s="27" t="s">
        <v>932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1000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996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1100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1101</v>
      </c>
      <c r="B282" s="27" t="s">
        <v>949</v>
      </c>
      <c r="C282" s="27" t="s">
        <v>999</v>
      </c>
      <c r="D282" s="27" t="s">
        <v>932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1042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1102</v>
      </c>
    </row>
    <row r="286" spans="1:12">
      <c r="A286" s="20" t="s">
        <v>1103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937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1104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936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1105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1096</v>
      </c>
      <c r="B291" s="27" t="s">
        <v>939</v>
      </c>
      <c r="C291" s="27" t="s">
        <v>1097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1106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936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929</v>
      </c>
      <c r="B294" s="27" t="s">
        <v>930</v>
      </c>
      <c r="C294" s="27" t="s">
        <v>931</v>
      </c>
      <c r="D294" s="27" t="s">
        <v>932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1107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1067</v>
      </c>
      <c r="B296" s="27" t="s">
        <v>988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1108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1109</v>
      </c>
      <c r="B298" s="27" t="s">
        <v>991</v>
      </c>
      <c r="C298" s="27" t="s">
        <v>946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937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1110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72</v>
      </c>
      <c r="B301" s="27" t="s">
        <v>939</v>
      </c>
      <c r="C301" s="27" t="s">
        <v>1111</v>
      </c>
      <c r="D301" s="27" t="s">
        <v>932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1042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1112</v>
      </c>
    </row>
    <row r="305" spans="1:12">
      <c r="A305" s="20" t="s">
        <v>929</v>
      </c>
      <c r="B305" s="27" t="s">
        <v>930</v>
      </c>
      <c r="C305" s="27" t="s">
        <v>931</v>
      </c>
      <c r="D305" s="27" t="s">
        <v>932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1113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1114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1115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947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286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1116</v>
      </c>
      <c r="B311" s="27" t="s">
        <v>991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1000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1007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1117</v>
      </c>
      <c r="B314" s="27" t="s">
        <v>949</v>
      </c>
      <c r="C314" s="27" t="s">
        <v>1054</v>
      </c>
      <c r="D314" s="27" t="s">
        <v>932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929</v>
      </c>
      <c r="B315" s="27" t="s">
        <v>960</v>
      </c>
      <c r="C315" s="27" t="s">
        <v>931</v>
      </c>
      <c r="D315" s="27" t="s">
        <v>932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1065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1118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1119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947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286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936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944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929</v>
      </c>
      <c r="B323" s="27" t="s">
        <v>968</v>
      </c>
      <c r="C323" s="27" t="s">
        <v>931</v>
      </c>
      <c r="D323" s="27" t="s">
        <v>932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1113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1114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1120</v>
      </c>
      <c r="B327" s="27" t="s">
        <v>939</v>
      </c>
      <c r="C327" s="27" t="s">
        <v>1121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1042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row>
    <row r="330" spans="1:12">
      <c r="A330" s="20" t="s">
        <v>1122</v>
      </c>
    </row>
    <row r="331" spans="1:12">
      <c r="A331" s="20" t="s">
        <v>1123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1124</v>
      </c>
      <c r="B332" s="27" t="s">
        <v>930</v>
      </c>
      <c r="C332" s="27" t="s">
        <v>1054</v>
      </c>
      <c r="D332" s="27" t="s">
        <v>932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1000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1040</v>
      </c>
      <c r="B334" s="27" t="s">
        <v>939</v>
      </c>
      <c r="C334" s="27" t="s">
        <v>946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1056</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1125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1126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936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1012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1127</v>
      </c>
      <c r="B340" s="27" t="s">
        <v>942</v>
      </c>
      <c r="C340" s="27" t="s">
        <v>946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1042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1128</v>
      </c>
    </row>
    <row r="344" spans="1:12">
      <c r="A344" s="20" t="s">
        <v>965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954</v>
      </c>
      <c r="B345" s="27" t="s">
        <v>930</v>
      </c>
      <c r="C345" s="27" t="s">
        <v>931</v>
      </c>
      <c r="D345" s="27" t="s">
        <v>932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961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1127</v>
      </c>
      <c r="B347" s="27" t="s">
        <v>942</v>
      </c>
      <c r="C347" s="27" t="s">
        <v>946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958</v>
      </c>
      <c r="B348" s="27" t="s">
        <v>968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956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947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1130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1095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1064</v>
      </c>
      <c r="B354" s="27" t="s">
        <v>1025</v>
      </c>
      <c r="C354" s="27" t="s">
        <v>931</v>
      </c>
      <c r="D354" s="27" t="s">
        <v>932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937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958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1131</v>
      </c>
      <c r="B357" s="27" t="s">
        <v>949</v>
      </c>
      <c r="C357" s="27" t="s">
        <v>999</v>
      </c>
      <c r="D357" s="27" t="s">
        <v>932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1042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1132</v>
      </c>
    </row>
    <row r="361" spans="1:12">
      <c r="A361" s="20" t="s">
        <v>1133</v>
      </c>
      <c r="B361" s="27" t="s">
        <v>942</v>
      </c>
      <c r="C361" s="27" t="s">
        <v>1111</v>
      </c>
      <c r="D361" s="27" t="s">
        <v>932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1134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961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947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286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956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974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1135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1136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455</v>
      </c>
      <c r="B370" s="27" t="s">
        <v>949</v>
      </c>
      <c r="C370" s="27" t="s">
        <v>946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1042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983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1137</v>
      </c>
    </row>
    <row r="375" spans="1:12">
      <c r="A375" s="20" t="s">
        <v>929</v>
      </c>
      <c r="B375" s="27" t="s">
        <v>930</v>
      </c>
      <c r="C375" s="27" t="s">
        <v>931</v>
      </c>
      <c r="D375" s="27" t="s">
        <v>932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1138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1139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929</v>
      </c>
      <c r="B380" s="27" t="s">
        <v>968</v>
      </c>
      <c r="C380" s="27" t="s">
        <v>931</v>
      </c>
      <c r="D380" s="27" t="s">
        <v>932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1138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1140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1141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1142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1143</v>
      </c>
      <c r="B386" s="27" t="s">
        <v>991</v>
      </c>
      <c r="C386" s="27" t="s">
        <v>1054</v>
      </c>
      <c r="D386" s="27" t="s">
        <v>932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1144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938</v>
      </c>
      <c r="B388" s="27" t="s">
        <v>949</v>
      </c>
      <c r="C388" s="27" t="s">
        <v>940</v>
      </c>
      <c r="D388" s="27" t="s">
        <v>932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1145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1146</v>
      </c>
      <c r="B390" s="27" t="s">
        <v>939</v>
      </c>
      <c r="C390" s="27" t="s">
        <v>1087</v>
      </c>
      <c r="D390" s="27" t="s">
        <v>932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936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944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1147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1148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1149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947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938</v>
      </c>
      <c r="B400" s="27" t="s">
        <v>1025</v>
      </c>
      <c r="C400" s="27" t="s">
        <v>940</v>
      </c>
      <c r="D400" s="27" t="s">
        <v>932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1150</v>
      </c>
      <c r="B401" s="27" t="s">
        <v>949</v>
      </c>
      <c r="C401" s="27" t="s">
        <v>1087</v>
      </c>
      <c r="D401" s="27" t="s">
        <v>932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929</v>
      </c>
      <c r="B403" s="27" t="s">
        <v>968</v>
      </c>
      <c r="C403" s="27" t="s">
        <v>931</v>
      </c>
      <c r="D403" s="27" t="s">
        <v>932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1138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936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928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1151</v>
      </c>
      <c r="B408" s="27" t="s">
        <v>949</v>
      </c>
      <c r="C408" s="27" t="s">
        <v>1121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934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1152</v>
      </c>
      <c r="B410" s="27" t="s">
        <v>939</v>
      </c>
      <c r="C410" s="27" t="s">
        <v>973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1000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709</v>
      </c>
      <c r="B412" s="27" t="s">
        <v>949</v>
      </c>
      <c r="C412" s="27" t="s">
        <v>946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958</v>
      </c>
      <c r="B413" s="27" t="s">
        <v>960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1056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947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1153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1092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1042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928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1154</v>
      </c>
    </row>
    <row r="424" spans="1:12">
      <c r="A424" s="20" t="s">
        <v>1155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929</v>
      </c>
      <c r="B425" s="27" t="s">
        <v>930</v>
      </c>
      <c r="C425" s="27" t="s">
        <v>931</v>
      </c>
      <c r="D425" s="27" t="s">
        <v>932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1138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1156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929</v>
      </c>
      <c r="B428" s="27" t="s">
        <v>968</v>
      </c>
      <c r="C428" s="27" t="s">
        <v>931</v>
      </c>
      <c r="D428" s="27" t="s">
        <v>932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1157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1158</v>
      </c>
      <c r="B431" s="27" t="s">
        <v>991</v>
      </c>
      <c r="C431" s="27" t="s">
        <v>946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936</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944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985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929</v>
      </c>
      <c r="B435" s="27" t="s">
        <v>968</v>
      </c>
      <c r="C435" s="27" t="s">
        <v>931</v>
      </c>
      <c r="D435" s="27" t="s">
        <v>932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1138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936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1012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929</v>
      </c>
      <c r="B440" s="27" t="s">
        <v>1009</v>
      </c>
      <c r="C440" s="27" t="s">
        <v>931</v>
      </c>
      <c r="D440" s="27" t="s">
        <v>932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1073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947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462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1159</v>
      </c>
      <c r="B446" s="27" t="s">
        <v>1031</v>
      </c>
      <c r="C446" s="27" t="s">
        <v>1054</v>
      </c>
      <c r="D446" s="27" t="s">
        <v>932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1160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944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1161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954</v>
      </c>
      <c r="B450" s="27" t="s">
        <v>982</v>
      </c>
      <c r="C450" s="27" t="s">
        <v>931</v>
      </c>
      <c r="D450" s="27" t="s">
        <v>932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1144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1162</v>
      </c>
      <c r="B453" s="27" t="s">
        <v>1078</v>
      </c>
      <c r="C453" s="27" t="s">
        <v>973</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944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1163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954</v>
      </c>
      <c r="B456" s="27" t="s">
        <v>982</v>
      </c>
      <c r="C456" s="27" t="s">
        <v>931</v>
      </c>
      <c r="D456" s="27" t="s">
        <v>932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944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1165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954</v>
      </c>
      <c r="B460" s="27" t="s">
        <v>982</v>
      </c>
      <c r="C460" s="27" t="s">
        <v>931</v>
      </c>
      <c r="D460" s="27" t="s">
        <v>932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944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1166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954</v>
      </c>
      <c r="B463" s="27" t="s">
        <v>1167</v>
      </c>
      <c r="C463" s="27" t="s">
        <v>931</v>
      </c>
      <c r="D463" s="27" t="s">
        <v>932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944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954</v>
      </c>
      <c r="B466" s="27" t="s">
        <v>960</v>
      </c>
      <c r="C466" s="27" t="s">
        <v>931</v>
      </c>
      <c r="D466" s="27" t="s">
        <v>932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933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947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1064</v>
      </c>
      <c r="B469" s="27" t="s">
        <v>1078</v>
      </c>
      <c r="C469" s="27" t="s">
        <v>931</v>
      </c>
      <c r="D469" s="27" t="s">
        <v>932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974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1007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1168</v>
      </c>
      <c r="B472" s="27" t="s">
        <v>1078</v>
      </c>
      <c r="C472" s="27" t="s">
        <v>1087</v>
      </c>
      <c r="D472" s="27" t="s">
        <v>932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1000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1007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1169</v>
      </c>
      <c r="B475" s="27" t="s">
        <v>978</v>
      </c>
      <c r="C475" s="27" t="s">
        <v>943</v>
      </c>
      <c r="D475" s="27" t="s">
        <v>932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1042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1170</v>
      </c>
    </row>
    <row r="479" spans="1:12">
      <c r="A479" s="20" t="s">
        <v>965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272</v>
      </c>
      <c r="B480" s="27" t="s">
        <v>930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1000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1007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1117</v>
      </c>
      <c r="B483" s="27" t="s">
        <v>939</v>
      </c>
      <c r="C483" s="27" t="s">
        <v>1054</v>
      </c>
      <c r="D483" s="27" t="s">
        <v>932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958</v>
      </c>
      <c r="B484" s="27" t="s">
        <v>955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1171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1172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1173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937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1174</v>
      </c>
      <c r="B489" s="27" t="s">
        <v>1078</v>
      </c>
      <c r="C489" s="27" t="s">
        <v>946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1000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1040</v>
      </c>
      <c r="B491" s="27" t="s">
        <v>978</v>
      </c>
      <c r="C491" s="27" t="s">
        <v>946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1056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958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1175</v>
      </c>
      <c r="B494" s="27" t="s">
        <v>968</v>
      </c>
      <c r="C494" s="27" t="s">
        <v>931</v>
      </c>
      <c r="D494" s="27" t="s">
        <v>932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954</v>
      </c>
      <c r="B496" s="27" t="s">
        <v>1009</v>
      </c>
      <c r="C496" s="27" t="s">
        <v>931</v>
      </c>
      <c r="D496" s="27" t="s">
        <v>932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1176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1177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1042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1178</v>
      </c>
    </row>
    <row r="502" spans="1:12">
      <c r="A502" s="20" t="s">
        <v>1179</v>
      </c>
      <c r="B502" s="27" t="s">
        <v>930</v>
      </c>
      <c r="C502" s="27" t="s">
        <v>931</v>
      </c>
      <c r="D502" s="27" t="s">
        <v>932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954</v>
      </c>
      <c r="B504" s="27" t="s">
        <v>968</v>
      </c>
      <c r="C504" s="27" t="s">
        <v>931</v>
      </c>
      <c r="D504" s="27" t="s">
        <v>932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1176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1177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1180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1175</v>
      </c>
      <c r="B508" s="27" t="s">
        <v>1009</v>
      </c>
      <c r="C508" s="27" t="s">
        <v>931</v>
      </c>
      <c r="D508" s="27" t="s">
        <v>932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1181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1182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954</v>
      </c>
      <c r="B511" s="27" t="s">
        <v>1183</v>
      </c>
      <c r="C511" s="27" t="s">
        <v>931</v>
      </c>
      <c r="D511" s="27" t="s">
        <v>932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1042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1184</v>
      </c>
    </row>
    <row r="515" spans="1:12">
      <c r="A515" s="20" t="s">
        <v>1179</v>
      </c>
      <c r="B515" s="27" t="s">
        <v>930</v>
      </c>
      <c r="C515" s="27" t="s">
        <v>931</v>
      </c>
      <c r="D515" s="27" t="s">
        <v>932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1185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709</v>
      </c>
      <c r="B519" s="27" t="s">
        <v>968</v>
      </c>
      <c r="C519" s="27" t="s">
        <v>946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1186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1187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947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1188</v>
      </c>
      <c r="B524" s="27" t="s">
        <v>1025</v>
      </c>
      <c r="C524" s="27" t="s">
        <v>940</v>
      </c>
      <c r="D524" s="27" t="s">
        <v>932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1189</v>
      </c>
      <c r="B525" s="27" t="s">
        <v>949</v>
      </c>
      <c r="C525" s="27" t="s">
        <v>1087</v>
      </c>
      <c r="D525" s="27" t="s">
        <v>932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944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1190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1158</v>
      </c>
      <c r="B528" s="27" t="s">
        <v>1031</v>
      </c>
      <c r="C528" s="27" t="s">
        <v>946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944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1191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1192</v>
      </c>
      <c r="B531" s="27" t="s">
        <v>1031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947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415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1193</v>
      </c>
      <c r="B535" s="27" t="s">
        <v>982</v>
      </c>
      <c r="C535" s="27" t="s">
        <v>973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944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268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1160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1007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1194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1195</v>
      </c>
      <c r="B541" s="27" t="s">
        <v>1167</v>
      </c>
      <c r="C541" s="27" t="s">
        <v>1054</v>
      </c>
      <c r="D541" s="27" t="s">
        <v>932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944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958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954</v>
      </c>
      <c r="B544" s="27" t="s">
        <v>1196</v>
      </c>
      <c r="C544" s="27" t="s">
        <v>931</v>
      </c>
      <c r="D544" s="27" t="s">
        <v>932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1176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1125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934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1197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1198</v>
      </c>
      <c r="B549" s="27" t="s">
        <v>978</v>
      </c>
      <c r="C549" s="27" t="s">
        <v>973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936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944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1199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1175</v>
      </c>
      <c r="B553" s="27" t="s">
        <v>1200</v>
      </c>
      <c r="C553" s="27" t="s">
        <v>931</v>
      </c>
      <c r="D553" s="27" t="s">
        <v>932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1201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937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1203</v>
      </c>
      <c r="B557" s="27" t="s">
        <v>978</v>
      </c>
      <c r="C557" s="27" t="s">
        <v>940</v>
      </c>
      <c r="D557" s="27" t="s">
        <v>932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1204</v>
      </c>
      <c r="B558" s="27" t="s">
        <v>1078</v>
      </c>
      <c r="C558" s="27" t="s">
        <v>1087</v>
      </c>
      <c r="D558" s="27" t="s">
        <v>932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944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1175</v>
      </c>
      <c r="B560" s="27" t="s">
        <v>968</v>
      </c>
      <c r="C560" s="27" t="s">
        <v>931</v>
      </c>
      <c r="D560" s="27" t="s">
        <v>932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1201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1205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947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177</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1160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1116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1206</v>
      </c>
      <c r="B567" s="27" t="s">
        <v>1183</v>
      </c>
      <c r="C567" s="27" t="s">
        <v>973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1207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954</v>
      </c>
      <c r="B569" s="27" t="s">
        <v>1025</v>
      </c>
      <c r="C569" s="27" t="s">
        <v>931</v>
      </c>
      <c r="D569" s="27" t="s">
        <v>932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1042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1208</v>
      </c>
    </row>
    <row r="573" spans="1:12">
      <c r="A573" s="20" t="s">
        <v>965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1209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929</v>
      </c>
      <c r="B575" s="27" t="s">
        <v>930</v>
      </c>
      <c r="C575" s="27" t="s">
        <v>931</v>
      </c>
      <c r="D575" s="27" t="s">
        <v>932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1004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947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1067</v>
      </c>
      <c r="B579" s="27" t="s">
        <v>1009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1210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1211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944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1212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1211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944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1213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1211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1042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1214</v>
      </c>
    </row>
    <row r="591" spans="1:12">
      <c r="A591" s="20" t="s">
        <v>1215</v>
      </c>
      <c r="B591" s="27" t="s">
        <v>930</v>
      </c>
      <c r="C591" s="27" t="s">
        <v>931</v>
      </c>
      <c r="D591" s="27" t="s">
        <v>932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934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1216</v>
      </c>
      <c r="B594" s="27" t="s">
        <v>942</v>
      </c>
      <c r="C594" s="27" t="s">
        <v>973</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1000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1217</v>
      </c>
      <c r="B596" s="27" t="s">
        <v>942</v>
      </c>
      <c r="C596" s="27" t="s">
        <v>946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1042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1218</v>
      </c>
    </row>
    <row r="600" spans="1:12">
      <c r="A600" s="20" t="s">
        <v>965</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985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1007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100</v>
      </c>
      <c r="B603" s="27" t="s">
        <v>942</v>
      </c>
      <c r="C603" s="27" t="s">
        <v>1054</v>
      </c>
      <c r="D603" s="27" t="s">
        <v>932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1219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937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1042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row>
    <row r="608" spans="1:12">
      <c r="A608" s="20" t="s">
        <v>983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1220</v>
      </c>
    </row>
    <row r="610" spans="1:12">
      <c r="A610" s="20" t="s">
        <v>1221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1175</v>
      </c>
      <c r="B611" s="27" t="s">
        <v>968</v>
      </c>
      <c r="C611" s="27" t="s">
        <v>931</v>
      </c>
      <c r="D611" s="27" t="s">
        <v>932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1222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1064</v>
      </c>
      <c r="B613" s="27" t="s">
        <v>991</v>
      </c>
      <c r="C613" s="27" t="s">
        <v>931</v>
      </c>
      <c r="D613" s="27" t="s">
        <v>932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958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929</v>
      </c>
      <c r="B615" s="27" t="s">
        <v>1009</v>
      </c>
      <c r="C615" s="27" t="s">
        <v>931</v>
      </c>
      <c r="D615" s="27" t="s">
        <v>932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1073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947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1223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1063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1007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1224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1225</v>
      </c>
      <c r="B624" s="27" t="s">
        <v>1025</v>
      </c>
      <c r="C624" s="27" t="s">
        <v>1054</v>
      </c>
      <c r="D624" s="27" t="s">
        <v>932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936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929</v>
      </c>
      <c r="B626" s="27" t="s">
        <v>930</v>
      </c>
      <c r="C626" s="27" t="s">
        <v>931</v>
      </c>
      <c r="D626" s="27" t="s">
        <v>932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1138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290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936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928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1006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1226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929</v>
      </c>
      <c r="B633" s="27" t="s">
        <v>1009</v>
      </c>
      <c r="C633" s="27" t="s">
        <v>931</v>
      </c>
      <c r="D633" s="27" t="s">
        <v>932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954</v>
      </c>
      <c r="B635" s="27" t="s">
        <v>955</v>
      </c>
      <c r="C635" s="27" t="s">
        <v>931</v>
      </c>
      <c r="D635" s="27" t="s">
        <v>932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1227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1228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937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1229</v>
      </c>
      <c r="B640" s="27" t="s">
        <v>949</v>
      </c>
      <c r="C640" s="27" t="s">
        <v>943</v>
      </c>
      <c r="D640" s="27" t="s">
        <v>932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936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929</v>
      </c>
      <c r="B642" s="27" t="s">
        <v>968</v>
      </c>
      <c r="C642" s="27" t="s">
        <v>931</v>
      </c>
      <c r="D642" s="27" t="s">
        <v>932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1230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286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954</v>
      </c>
      <c r="B645" s="27" t="s">
        <v>991</v>
      </c>
      <c r="C645" s="27" t="s">
        <v>931</v>
      </c>
      <c r="D645" s="27" t="s">
        <v>932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928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row>
    <row r="649" spans="1:12">
      <c r="A649" s="20" t="s">
        <v>983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1231</v>
      </c>
    </row>
    <row r="651" spans="1:12">
      <c r="A651" s="20" t="s">
        <v>1103</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1072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1175</v>
      </c>
      <c r="B653" s="27" t="s">
        <v>968</v>
      </c>
      <c r="C653" s="27" t="s">
        <v>931</v>
      </c>
      <c r="D653" s="27" t="s">
        <v>932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1232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947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1064</v>
      </c>
      <c r="B656" s="27" t="s">
        <v>939</v>
      </c>
      <c r="C656" s="27" t="s">
        <v>931</v>
      </c>
      <c r="D656" s="27" t="s">
        <v>932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936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928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1179</v>
      </c>
      <c r="B659" s="27" t="s">
        <v>930</v>
      </c>
      <c r="C659" s="27" t="s">
        <v>931</v>
      </c>
      <c r="D659" s="27" t="s">
        <v>932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947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1233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100</v>
      </c>
      <c r="B664" s="27" t="s">
        <v>991</v>
      </c>
      <c r="C664" s="27" t="s">
        <v>946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1063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1007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1224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1225</v>
      </c>
      <c r="B668" s="27" t="s">
        <v>939</v>
      </c>
      <c r="C668" s="27" t="s">
        <v>1054</v>
      </c>
      <c r="D668" s="27" t="s">
        <v>932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936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928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929</v>
      </c>
      <c r="B671" s="27" t="s">
        <v>968</v>
      </c>
      <c r="C671" s="27" t="s">
        <v>931</v>
      </c>
      <c r="D671" s="27" t="s">
        <v>932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1138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1234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1235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938</v>
      </c>
      <c r="B675" s="27" t="s">
        <v>949</v>
      </c>
      <c r="C675" s="27" t="s">
        <v>940</v>
      </c>
      <c r="D675" s="27" t="s">
        <v>932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1236</v>
      </c>
      <c r="B676" s="27" t="s">
        <v>991</v>
      </c>
      <c r="C676" s="27" t="s">
        <v>1087</v>
      </c>
      <c r="D676" s="27" t="s">
        <v>932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1237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268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963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954</v>
      </c>
      <c r="B680" s="27" t="s">
        <v>949</v>
      </c>
      <c r="C680" s="27" t="s">
        <v>931</v>
      </c>
      <c r="D680" s="27" t="s">
        <v>932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1042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1238</v>
      </c>
    </row>
    <row r="684" spans="1:12">
      <c r="A684" s="20" t="s">
        <v>1215</v>
      </c>
      <c r="B684" s="27" t="s">
        <v>930</v>
      </c>
      <c r="C684" s="27" t="s">
        <v>931</v>
      </c>
      <c r="D684" s="27" t="s">
        <v>932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1007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1213</v>
      </c>
      <c r="B687" s="27" t="s">
        <v>942</v>
      </c>
      <c r="C687" s="27" t="s">
        <v>1054</v>
      </c>
      <c r="D687" s="27" t="s">
        <v>932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969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1007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1239</v>
      </c>
      <c r="B690" s="27" t="s">
        <v>942</v>
      </c>
      <c r="C690" s="27" t="s">
        <v>1054</v>
      </c>
      <c r="D690" s="27" t="s">
        <v>932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974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958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1213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1175</v>
      </c>
      <c r="B694" s="27" t="s">
        <v>955</v>
      </c>
      <c r="C694" s="27" t="s">
        <v>931</v>
      </c>
      <c r="D694" s="27" t="s">
        <v>932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1072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1175</v>
      </c>
      <c r="B697" s="27" t="s">
        <v>960</v>
      </c>
      <c r="C697" s="27" t="s">
        <v>931</v>
      </c>
      <c r="D697" s="27" t="s">
        <v>932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1181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1240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944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1175</v>
      </c>
      <c r="B701" s="27" t="s">
        <v>1200</v>
      </c>
      <c r="C701" s="27" t="s">
        <v>931</v>
      </c>
      <c r="D701" s="27" t="s">
        <v>932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1241</v>
      </c>
      <c r="B702" s="27" t="s">
        <v>1078</v>
      </c>
      <c r="C702" s="27" t="s">
        <v>946</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1242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1243</v>
      </c>
      <c r="B704" s="27" t="s">
        <v>978</v>
      </c>
      <c r="C704" s="27" t="s">
        <v>946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944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1007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1244</v>
      </c>
      <c r="B707" s="27" t="s">
        <v>1196</v>
      </c>
      <c r="C707" s="27" t="s">
        <v>1054</v>
      </c>
      <c r="D707" s="27" t="s">
        <v>932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1056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1245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1164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1032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1175</v>
      </c>
      <c r="B712" s="27" t="s">
        <v>1246</v>
      </c>
      <c r="C712" s="27" t="s">
        <v>931</v>
      </c>
      <c r="D712" s="27" t="s">
        <v>932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936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1012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1147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1000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1247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1248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934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1249</v>
      </c>
      <c r="B720" s="27" t="s">
        <v>1250</v>
      </c>
      <c r="C720" s="27" t="s">
        <v>973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936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1007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1206</v>
      </c>
      <c r="B723" s="27" t="s">
        <v>978</v>
      </c>
      <c r="C723" s="27" t="s">
        <v>1054</v>
      </c>
      <c r="D723" s="27" t="s">
        <v>932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958</v>
      </c>
      <c r="B724" s="27" t="s">
        <v>1251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1252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936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954</v>
      </c>
      <c r="B727" s="27" t="s">
        <v>1251</v>
      </c>
      <c r="C727" s="27" t="s">
        <v>931</v>
      </c>
      <c r="D727" s="27" t="s">
        <v>932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1253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1063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1254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1255</v>
      </c>
      <c r="B731" s="27" t="s">
        <v>1256</v>
      </c>
      <c r="C731" s="27" t="s">
        <v>1097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1042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1257</v>
      </c>
    </row>
    <row r="735" spans="1:12">
      <c r="A735" s="20" t="s">
        <v>1215</v>
      </c>
      <c r="B735" s="27" t="s">
        <v>930</v>
      </c>
      <c r="C735" s="27" t="s">
        <v>931</v>
      </c>
      <c r="D735" s="27" t="s">
        <v>932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1176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934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1258</v>
      </c>
      <c r="B738" s="27" t="s">
        <v>942</v>
      </c>
      <c r="C738" s="27" t="s">
        <v>973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1000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1148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1259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969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1239</v>
      </c>
      <c r="B744" s="27" t="s">
        <v>939</v>
      </c>
      <c r="C744" s="27" t="s">
        <v>1054</v>
      </c>
      <c r="D744" s="27" t="s">
        <v>932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1012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1125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1260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1037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1261</v>
      </c>
      <c r="B749" s="27" t="s">
        <v>1183</v>
      </c>
      <c r="C749" s="27" t="s">
        <v>1121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954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1056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958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1175</v>
      </c>
      <c r="B753" s="27" t="s">
        <v>1200</v>
      </c>
      <c r="C753" s="27" t="s">
        <v>931</v>
      </c>
      <c r="D753" s="27" t="s">
        <v>932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1181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1259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1000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1042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1262</v>
      </c>
    </row>
    <row r="760" spans="1:12">
      <c r="A760" s="20" t="s">
        <v>965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954</v>
      </c>
      <c r="B761" s="27" t="s">
        <v>930</v>
      </c>
      <c r="C761" s="27" t="s">
        <v>931</v>
      </c>
      <c r="D761" s="27" t="s">
        <v>932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961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1032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958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1263</v>
      </c>
      <c r="B765" s="27" t="s">
        <v>942</v>
      </c>
      <c r="C765" s="27" t="s">
        <v>999</v>
      </c>
      <c r="D765" s="27" t="s">
        <v>932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958</v>
      </c>
      <c r="B766" s="27" t="s">
        <v>991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929</v>
      </c>
      <c r="B767" s="27" t="s">
        <v>968</v>
      </c>
      <c r="C767" s="27" t="s">
        <v>931</v>
      </c>
      <c r="D767" s="27" t="s">
        <v>932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1004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947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958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954</v>
      </c>
      <c r="B772" s="27" t="s">
        <v>955</v>
      </c>
      <c r="C772" s="27" t="s">
        <v>931</v>
      </c>
      <c r="D772" s="27" t="s">
        <v>932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961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1264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1135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1265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947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1266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936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958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1007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1267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1268</v>
      </c>
      <c r="B785" s="27" t="s">
        <v>968</v>
      </c>
      <c r="C785" s="27" t="s">
        <v>1054</v>
      </c>
      <c r="D785" s="27" t="s">
        <v>932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1125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947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1269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1270</v>
      </c>
      <c r="B789" s="27" t="s">
        <v>991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961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1209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1271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1125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947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1272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942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709</v>
      </c>
      <c r="B797" s="27" t="s">
        <v>1031</v>
      </c>
      <c r="C797" s="27" t="s">
        <v>946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1042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983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1273</v>
      </c>
    </row>
    <row r="802" spans="1:12">
      <c r="A802" s="20" t="s">
        <v>965</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1274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272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1275</v>
      </c>
      <c r="B805" s="27" t="s">
        <v>942</v>
      </c>
      <c r="C805" s="27" t="s">
        <v>1097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936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929</v>
      </c>
      <c r="B807" s="27" t="s">
        <v>930</v>
      </c>
      <c r="C807" s="27" t="s">
        <v>931</v>
      </c>
      <c r="D807" s="27" t="s">
        <v>932</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1276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1164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944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929</v>
      </c>
      <c r="B811" s="27" t="s">
        <v>968</v>
      </c>
      <c r="C811" s="27" t="s">
        <v>931</v>
      </c>
      <c r="D811" s="27" t="s">
        <v>932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977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1277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929</v>
      </c>
      <c r="B814" s="27" t="s">
        <v>1009</v>
      </c>
      <c r="C814" s="27" t="s">
        <v>931</v>
      </c>
      <c r="D814" s="27" t="s">
        <v>932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1073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1065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934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1278</v>
      </c>
      <c r="B818" s="27" t="s">
        <v>1183</v>
      </c>
      <c r="C818" s="27" t="s">
        <v>973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936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1279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929</v>
      </c>
      <c r="B821" s="27" t="s">
        <v>968</v>
      </c>
      <c r="C821" s="27" t="s">
        <v>931</v>
      </c>
      <c r="D821" s="27" t="s">
        <v>932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1280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937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1281</v>
      </c>
      <c r="B824" s="27" t="s">
        <v>991</v>
      </c>
      <c r="C824" s="27" t="s">
        <v>946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1282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1283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936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1284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1032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1007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1285</v>
      </c>
      <c r="B831" s="27" t="s">
        <v>949</v>
      </c>
      <c r="C831" s="27" t="s">
        <v>1054</v>
      </c>
      <c r="D831" s="27" t="s">
        <v>932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936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1212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936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928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1286</v>
      </c>
      <c r="B836" s="27" t="s">
        <v>968</v>
      </c>
      <c r="C836" s="27" t="s">
        <v>1111</v>
      </c>
      <c r="D836" s="27" t="s">
        <v>932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1056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1287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944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929</v>
      </c>
      <c r="B840" s="27" t="s">
        <v>1009</v>
      </c>
      <c r="C840" s="27" t="s">
        <v>931</v>
      </c>
      <c r="D840" s="27" t="s">
        <v>932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1157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1153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1063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1288</v>
      </c>
      <c r="B844" s="27" t="s">
        <v>949</v>
      </c>
      <c r="C844" s="27" t="s">
        <v>946</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936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928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944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929</v>
      </c>
      <c r="B848" s="27" t="s">
        <v>1009</v>
      </c>
      <c r="C848" s="27" t="s">
        <v>931</v>
      </c>
      <c r="D848" s="27" t="s">
        <v>932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1070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1114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1289</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1160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938</v>
      </c>
      <c r="B853" s="27" t="s">
        <v>1025</v>
      </c>
      <c r="C853" s="27" t="s">
        <v>940</v>
      </c>
      <c r="D853" s="27" t="s">
        <v>932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1290</v>
      </c>
      <c r="B854" s="27" t="s">
        <v>1183</v>
      </c>
      <c r="C854" s="27" t="s">
        <v>1087</v>
      </c>
      <c r="D854" s="27" t="s">
        <v>932</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944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1291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1164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1292</v>
      </c>
      <c r="B859" s="27" t="s">
        <v>1031</v>
      </c>
      <c r="C859" s="27" t="s">
        <v>1054</v>
      </c>
      <c r="D859" s="27" t="s">
        <v>932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944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1293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row>
    <row r="864" spans="1:12">
      <c r="A864" s="20" t="s">
        <v>983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1294</v>
      </c>
    </row>
    <row r="866" spans="1:12">
      <c r="A866" s="20" t="s">
        <v>965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1274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936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1295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1296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1297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1298</v>
      </c>
      <c r="B872" s="27" t="s">
        <v>942</v>
      </c>
      <c r="C872" s="27" t="s">
        <v>1097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1000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938</v>
      </c>
      <c r="B874" s="27" t="s">
        <v>939</v>
      </c>
      <c r="C874" s="27" t="s">
        <v>940</v>
      </c>
      <c r="D874" s="27" t="s">
        <v>932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1299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944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1300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1032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954</v>
      </c>
      <c r="B879" s="27" t="s">
        <v>939</v>
      </c>
      <c r="C879" s="27" t="s">
        <v>931</v>
      </c>
      <c r="D879" s="27" t="s">
        <v>932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936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1007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1292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1301</v>
      </c>
      <c r="B883" s="27" t="s">
        <v>991</v>
      </c>
      <c r="C883" s="27" t="s">
        <v>1054</v>
      </c>
      <c r="D883" s="27" t="s">
        <v>932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936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944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1302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929</v>
      </c>
      <c r="B887" s="27" t="s">
        <v>1009</v>
      </c>
      <c r="C887" s="27" t="s">
        <v>931</v>
      </c>
      <c r="D887" s="27" t="s">
        <v>932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1303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947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1291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954</v>
      </c>
      <c r="B891" s="27" t="s">
        <v>1031</v>
      </c>
      <c r="C891" s="27" t="s">
        <v>931</v>
      </c>
      <c r="D891" s="27" t="s">
        <v>932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1164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936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944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954</v>
      </c>
      <c r="B895" s="27" t="s">
        <v>960</v>
      </c>
      <c r="C895" s="27" t="s">
        <v>931</v>
      </c>
      <c r="D895" s="27" t="s">
        <v>932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961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938</v>
      </c>
      <c r="B897" s="27" t="s">
        <v>1078</v>
      </c>
      <c r="C897" s="27" t="s">
        <v>940</v>
      </c>
      <c r="D897" s="27" t="s">
        <v>932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1304</v>
      </c>
      <c r="B898" s="27" t="s">
        <v>1025</v>
      </c>
      <c r="C898" s="27" t="s">
        <v>1087</v>
      </c>
      <c r="D898" s="27" t="s">
        <v>932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936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944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929</v>
      </c>
      <c r="B901" s="27" t="s">
        <v>960</v>
      </c>
      <c r="C901" s="27" t="s">
        <v>931</v>
      </c>
      <c r="D901" s="27" t="s">
        <v>932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1232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936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928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929</v>
      </c>
      <c r="B905" s="27" t="s">
        <v>1200</v>
      </c>
      <c r="C905" s="27" t="s">
        <v>931</v>
      </c>
      <c r="D905" s="27" t="s">
        <v>932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1305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937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1306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1307</v>
      </c>
      <c r="B909" s="27" t="s">
        <v>1078</v>
      </c>
      <c r="C909" s="27" t="s">
        <v>946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1042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983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1308</v>
      </c>
    </row>
    <row r="914" spans="1:12">
      <c r="A914" s="20" t="s">
        <v>1039</v>
      </c>
      <c r="B914" s="27" t="s">
        <v>930</v>
      </c>
      <c r="C914" s="27" t="s">
        <v>931</v>
      </c>
      <c r="D914" s="27" t="s">
        <v>932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134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947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286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1309</v>
      </c>
      <c r="B918" s="27" t="s">
        <v>991</v>
      </c>
      <c r="C918" s="27" t="s">
        <v>1111</v>
      </c>
      <c r="D918" s="27" t="s">
        <v>932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1042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928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1310</v>
      </c>
    </row>
    <row r="923" spans="1:12">
      <c r="A923" s="20" t="s">
        <v>1123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1224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1275</v>
      </c>
      <c r="B925" s="27" t="s">
        <v>942</v>
      </c>
      <c r="C925" s="27" t="s">
        <v>1054</v>
      </c>
      <c r="D925" s="27" t="s">
        <v>932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929</v>
      </c>
      <c r="B926" s="27" t="s">
        <v>930</v>
      </c>
      <c r="C926" s="27" t="s">
        <v>931</v>
      </c>
      <c r="D926" s="27" t="s">
        <v>932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1311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995</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1007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1312</v>
      </c>
      <c r="B930" s="27" t="s">
        <v>942</v>
      </c>
      <c r="C930" s="27" t="s">
        <v>1054</v>
      </c>
      <c r="D930" s="27" t="s">
        <v>932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944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1007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1313</v>
      </c>
      <c r="B933" s="27" t="s">
        <v>939</v>
      </c>
      <c r="C933" s="27" t="s">
        <v>1054</v>
      </c>
      <c r="D933" s="27" t="s">
        <v>932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1042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1314</v>
      </c>
    </row>
    <row r="937" spans="1:12">
      <c r="A937" s="20" t="s">
        <v>965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929</v>
      </c>
      <c r="B938" s="27" t="s">
        <v>930</v>
      </c>
      <c r="C938" s="27" t="s">
        <v>931</v>
      </c>
      <c r="D938" s="27" t="s">
        <v>932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1315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1311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1316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995</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1317</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1318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1319</v>
      </c>
      <c r="B945" s="27" t="s">
        <v>939</v>
      </c>
      <c r="C945" s="27" t="s">
        <v>999</v>
      </c>
      <c r="D945" s="27" t="s">
        <v>932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1320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1321</v>
      </c>
    </row>
    <row r="949" spans="1:12">
      <c r="A949" s="20" t="s">
        <v>1221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929</v>
      </c>
      <c r="B950" s="27" t="s">
        <v>968</v>
      </c>
      <c r="C950" s="27" t="s">
        <v>931</v>
      </c>
      <c r="D950" s="27" t="s">
        <v>932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1305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1125</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1007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1068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1322</v>
      </c>
      <c r="B955" s="27" t="s">
        <v>942</v>
      </c>
      <c r="C955" s="27" t="s">
        <v>1054</v>
      </c>
      <c r="D955" s="27" t="s">
        <v>932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1069</v>
      </c>
      <c r="B956" s="27" t="s">
        <v>1009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1070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1323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954</v>
      </c>
      <c r="B960" s="27" t="s">
        <v>1183</v>
      </c>
      <c r="C960" s="27" t="s">
        <v>931</v>
      </c>
      <c r="D960" s="27" t="s">
        <v>932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963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934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1076</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1077</v>
      </c>
      <c r="B964" s="27" t="s">
        <v>949</v>
      </c>
      <c r="C964" s="27" t="s">
        <v>973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936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985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1069</v>
      </c>
      <c r="B967" s="27" t="s">
        <v>942</v>
      </c>
      <c r="C967" s="27" t="s">
        <v>1121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1324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929</v>
      </c>
      <c r="B969" s="27" t="s">
        <v>930</v>
      </c>
      <c r="C969" s="27" t="s">
        <v>931</v>
      </c>
      <c r="D969" s="27" t="s">
        <v>932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1325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row>
    <row r="972" spans="1:12">
      <c r="A972" s="20" t="s">
        <v>1326</v>
      </c>
    </row>
    <row r="973" spans="1:12">
      <c r="A973" s="20" t="s">
        <v>965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1072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929</v>
      </c>
      <c r="B975" s="27" t="s">
        <v>968</v>
      </c>
      <c r="C975" s="27" t="s">
        <v>931</v>
      </c>
      <c r="D975" s="27" t="s">
        <v>932</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947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415</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1327</v>
      </c>
      <c r="B979" s="27" t="s">
        <v>1183</v>
      </c>
      <c r="C979" s="27" t="s">
        <v>946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936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1056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958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1327</v>
      </c>
      <c r="B983" s="27" t="s">
        <v>968</v>
      </c>
      <c r="C983" s="27" t="s">
        <v>946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1328</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1064</v>
      </c>
      <c r="B985" s="27" t="s">
        <v>991</v>
      </c>
      <c r="C985" s="27" t="s">
        <v>931</v>
      </c>
      <c r="D985" s="27" t="s">
        <v>932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1329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1330</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1067</v>
      </c>
      <c r="B988" s="27" t="s">
        <v>991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936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1242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1056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954</v>
      </c>
      <c r="B992" s="27" t="s">
        <v>1009</v>
      </c>
      <c r="C992" s="27" t="s">
        <v>931</v>
      </c>
      <c r="D992" s="27" t="s">
        <v>932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1328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1064</v>
      </c>
      <c r="B994" s="27" t="s">
        <v>1183</v>
      </c>
      <c r="C994" s="27" t="s">
        <v>931</v>
      </c>
      <c r="D994" s="27" t="s">
        <v>932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1331</v>
      </c>
      <c r="B995" s="27" t="s">
        <v>1183</v>
      </c>
      <c r="C995" s="27" t="s">
        <v>1332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1333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1325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1334</v>
      </c>
    </row>
    <row r="1000" spans="1:12">
      <c r="A1000" s="20" t="s">
        <v>965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1335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286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929</v>
      </c>
      <c r="B1003" s="27" t="s">
        <v>930</v>
      </c>
      <c r="C1003" s="27" t="s">
        <v>931</v>
      </c>
      <c r="D1003" s="27" t="s">
        <v>932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1336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954</v>
      </c>
      <c r="B1006" s="27" t="s">
        <v>942</v>
      </c>
      <c r="C1006" s="27" t="s">
        <v>931</v>
      </c>
      <c r="D1006" s="27" t="s">
        <v>932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1072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954</v>
      </c>
      <c r="B1008" s="27" t="s">
        <v>968</v>
      </c>
      <c r="C1008" s="27" t="s">
        <v>931</v>
      </c>
      <c r="D1008" s="27" t="s">
        <v>932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1176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1328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1064</v>
      </c>
      <c r="B1011" s="27" t="s">
        <v>991</v>
      </c>
      <c r="C1011" s="27" t="s">
        <v>931</v>
      </c>
      <c r="D1011" s="27" t="s">
        <v>932</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1331</v>
      </c>
      <c r="B1012" s="27" t="s">
        <v>991</v>
      </c>
      <c r="C1012" s="27" t="s">
        <v>1332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1333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1325</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row>
    <row r="1016" spans="1:12">
      <c r="A1016" s="20" t="s">
        <v>1337</v>
      </c>
    </row>
    <row r="1017" spans="1:12">
      <c r="A1017" s="20" t="s">
        <v>929</v>
      </c>
      <c r="B1017" s="27" t="s">
        <v>930</v>
      </c>
      <c r="C1017" s="27" t="s">
        <v>931</v>
      </c>
      <c r="D1017" s="27" t="s">
        <v>932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1065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1338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1339</v>
      </c>
      <c r="B1020" s="27" t="s">
        <v>988</v>
      </c>
      <c r="C1020" s="27" t="s">
        <v>1097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1271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929</v>
      </c>
      <c r="B1022" s="27" t="s">
        <v>968</v>
      </c>
      <c r="C1022" s="27" t="s">
        <v>931</v>
      </c>
      <c r="D1022" s="27" t="s">
        <v>932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1340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1341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1007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1342</v>
      </c>
      <c r="B1026" s="27" t="s">
        <v>939</v>
      </c>
      <c r="C1026" s="27" t="s">
        <v>1054</v>
      </c>
      <c r="D1026" s="27" t="s">
        <v>932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1042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1343</v>
      </c>
    </row>
    <row r="1030" spans="1:12">
      <c r="A1030" s="20" t="s">
        <v>1123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1344</v>
      </c>
      <c r="B1031" s="27" t="s">
        <v>930</v>
      </c>
      <c r="C1031" s="27" t="s">
        <v>1054</v>
      </c>
      <c r="D1031" s="27" t="s">
        <v>932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1056</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958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929</v>
      </c>
      <c r="B1034" s="27" t="s">
        <v>968</v>
      </c>
      <c r="C1034" s="27" t="s">
        <v>931</v>
      </c>
      <c r="D1034" s="27" t="s">
        <v>932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1345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958</v>
      </c>
      <c r="B1036" s="27" t="s">
        <v>1009</v>
      </c>
      <c r="C1036" s="27" t="s">
        <v>1061</v>
      </c>
      <c r="D1036" s="27" t="s">
        <v>932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936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1346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1347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936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929</v>
      </c>
      <c r="B1041" s="27" t="s">
        <v>1009</v>
      </c>
      <c r="C1041" s="27" t="s">
        <v>931</v>
      </c>
      <c r="D1041" s="27" t="s">
        <v>932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1065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934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1348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1349</v>
      </c>
      <c r="B1045" s="27" t="s">
        <v>1183</v>
      </c>
      <c r="C1045" s="27" t="s">
        <v>973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936</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944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958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1072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929</v>
      </c>
      <c r="B1050" s="27" t="s">
        <v>955</v>
      </c>
      <c r="C1050" s="27" t="s">
        <v>931</v>
      </c>
      <c r="D1050" s="27" t="s">
        <v>932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1070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1267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462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1350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936</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1134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961</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1309</v>
      </c>
      <c r="B1058" s="27" t="s">
        <v>1009</v>
      </c>
      <c r="C1058" s="27" t="s">
        <v>1111</v>
      </c>
      <c r="D1058" s="27" t="s">
        <v>932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1032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1007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942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1351</v>
      </c>
      <c r="B1062" s="27" t="s">
        <v>1025</v>
      </c>
      <c r="C1062" s="27" t="s">
        <v>1352</v>
      </c>
      <c r="D1062" s="27" t="s">
        <v>932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958</v>
      </c>
      <c r="B1063" s="27" t="s">
        <v>960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961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1353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1354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1063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1042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row>
    <row r="1070" spans="1:12">
      <c r="A1070" s="20" t="s">
        <v>1355</v>
      </c>
    </row>
    <row r="1071" spans="1:12">
      <c r="A1071" s="20" t="s">
        <v>965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1007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942</v>
      </c>
      <c r="B1073" s="27" t="s">
        <v>930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961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958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929</v>
      </c>
      <c r="B1076" s="27" t="s">
        <v>968</v>
      </c>
      <c r="C1076" s="27" t="s">
        <v>931</v>
      </c>
      <c r="D1076" s="27" t="s">
        <v>932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1065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1356</v>
      </c>
      <c r="B1078" s="27" t="s">
        <v>991</v>
      </c>
      <c r="C1078" s="27" t="s">
        <v>946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947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1357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1358</v>
      </c>
      <c r="B1081" s="27" t="s">
        <v>949</v>
      </c>
      <c r="C1081" s="27" t="s">
        <v>946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1042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1359</v>
      </c>
    </row>
    <row r="1085" spans="1:12">
      <c r="A1085" s="20" t="s">
        <v>1103</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929</v>
      </c>
      <c r="B1086" s="27" t="s">
        <v>930</v>
      </c>
      <c r="C1086" s="27" t="s">
        <v>931</v>
      </c>
      <c r="D1086" s="27" t="s">
        <v>932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1202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1360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944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1361</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936</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944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1360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944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1361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936</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944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1274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1362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929</v>
      </c>
      <c r="B1100" s="27" t="s">
        <v>1009</v>
      </c>
      <c r="C1100" s="27" t="s">
        <v>931</v>
      </c>
      <c r="D1100" s="27" t="s">
        <v>932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1138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947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1144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1327</v>
      </c>
      <c r="B1106" s="27" t="s">
        <v>949</v>
      </c>
      <c r="C1106" s="27" t="s">
        <v>946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944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937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1313</v>
      </c>
      <c r="B1109" s="27" t="s">
        <v>1025</v>
      </c>
      <c r="C1109" s="27" t="s">
        <v>946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1363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1042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row>
    <row r="1113" spans="1:12">
      <c r="A1113" s="20" t="s">
        <v>983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1364</v>
      </c>
    </row>
    <row r="1115" spans="1:12">
      <c r="A1115" s="20" t="s">
        <v>965</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929</v>
      </c>
      <c r="B1116" s="27" t="s">
        <v>930</v>
      </c>
      <c r="C1116" s="27" t="s">
        <v>931</v>
      </c>
      <c r="D1116" s="27" t="s">
        <v>932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977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936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928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1103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1056</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954</v>
      </c>
      <c r="B1122" s="27" t="s">
        <v>968</v>
      </c>
      <c r="C1122" s="27" t="s">
        <v>931</v>
      </c>
      <c r="D1122" s="27" t="s">
        <v>932</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934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1365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1366</v>
      </c>
      <c r="B1125" s="27" t="s">
        <v>942</v>
      </c>
      <c r="C1125" s="27" t="s">
        <v>973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1242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934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1367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1366</v>
      </c>
      <c r="B1129" s="27" t="s">
        <v>939</v>
      </c>
      <c r="C1129" s="27" t="s">
        <v>973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1325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983</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1368</v>
      </c>
    </row>
    <row r="1134" spans="1:12">
      <c r="A1134" s="20" t="s">
        <v>965</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1252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954</v>
      </c>
      <c r="B1136" s="27" t="s">
        <v>930</v>
      </c>
      <c r="C1136" s="27" t="s">
        <v>931</v>
      </c>
      <c r="D1136" s="27" t="s">
        <v>932</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134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934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1365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1369</v>
      </c>
      <c r="B1140" s="27" t="s">
        <v>988</v>
      </c>
      <c r="C1140" s="27" t="s">
        <v>973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1242</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934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1370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1369</v>
      </c>
      <c r="B1144" s="27" t="s">
        <v>939</v>
      </c>
      <c r="C1144" s="27" t="s">
        <v>973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1325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928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row>
    <row r="1148" spans="1:12">
      <c r="A1148" s="20" t="s">
        <v>1371</v>
      </c>
    </row>
    <row r="1149" spans="1:12">
      <c r="A1149" s="20" t="s">
        <v>965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929</v>
      </c>
      <c r="B1150" s="27" t="s">
        <v>930</v>
      </c>
      <c r="C1150" s="27" t="s">
        <v>931</v>
      </c>
      <c r="D1150" s="27" t="s">
        <v>932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1070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1114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177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1160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1372</v>
      </c>
      <c r="B1155" s="27" t="s">
        <v>991</v>
      </c>
      <c r="C1155" s="27" t="s">
        <v>1121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954</v>
      </c>
      <c r="B1156" s="27" t="s">
        <v>968</v>
      </c>
      <c r="C1156" s="27" t="s">
        <v>931</v>
      </c>
      <c r="D1156" s="27" t="s">
        <v>932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961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1042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row>
    <row r="1160" spans="1:12">
      <c r="A1160" s="20" t="s">
        <v>1373</v>
      </c>
    </row>
    <row r="1161" spans="1:12">
      <c r="A1161" s="20" t="s">
        <v>965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985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929</v>
      </c>
      <c r="B1163" s="27" t="s">
        <v>930</v>
      </c>
      <c r="C1163" s="27" t="s">
        <v>931</v>
      </c>
      <c r="D1163" s="27" t="s">
        <v>932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1362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958</v>
      </c>
      <c r="B1165" s="27" t="s">
        <v>988</v>
      </c>
      <c r="C1165" s="27" t="s">
        <v>1061</v>
      </c>
      <c r="D1165" s="27" t="s">
        <v>932</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1374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936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749</v>
      </c>
      <c r="B1168" s="27" t="s">
        <v>968</v>
      </c>
      <c r="C1168" s="27" t="s">
        <v>931</v>
      </c>
      <c r="D1168" s="27" t="s">
        <v>932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1201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1114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1375</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1376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937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1377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1378</v>
      </c>
      <c r="B1175" s="27" t="s">
        <v>939</v>
      </c>
      <c r="C1175" s="27" t="s">
        <v>1035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1063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954</v>
      </c>
      <c r="B1177" s="27" t="s">
        <v>1009</v>
      </c>
      <c r="C1177" s="27" t="s">
        <v>931</v>
      </c>
      <c r="D1177" s="27" t="s">
        <v>932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947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1379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1117</v>
      </c>
      <c r="B1180" s="27" t="s">
        <v>1183</v>
      </c>
      <c r="C1180" s="27" t="s">
        <v>946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1330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1042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1380</v>
      </c>
    </row>
    <row r="1185" spans="1:12">
      <c r="A1185" s="20" t="s">
        <v>1123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1365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1369</v>
      </c>
      <c r="B1187" s="27" t="s">
        <v>930</v>
      </c>
      <c r="C1187" s="27" t="s">
        <v>1054</v>
      </c>
      <c r="D1187" s="27" t="s">
        <v>932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944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1007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1367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1369</v>
      </c>
      <c r="B1191" s="27" t="s">
        <v>939</v>
      </c>
      <c r="C1191" s="27" t="s">
        <v>1054</v>
      </c>
      <c r="D1191" s="27" t="s">
        <v>932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1381</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934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1382</v>
      </c>
      <c r="B1195" s="27" t="s">
        <v>988</v>
      </c>
      <c r="C1195" s="27" t="s">
        <v>973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947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1383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936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944</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929</v>
      </c>
      <c r="B1200" s="27" t="s">
        <v>968</v>
      </c>
      <c r="C1200" s="27" t="s">
        <v>931</v>
      </c>
      <c r="D1200" s="27" t="s">
        <v>932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1315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1384</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1160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958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1040</v>
      </c>
      <c r="B1205" s="27" t="s">
        <v>949</v>
      </c>
      <c r="C1205" s="27" t="s">
        <v>999</v>
      </c>
      <c r="D1205" s="27" t="s">
        <v>932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961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1309</v>
      </c>
      <c r="B1207" s="27" t="s">
        <v>939</v>
      </c>
      <c r="C1207" s="27" t="s">
        <v>1111</v>
      </c>
      <c r="D1207" s="27" t="s">
        <v>932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958</v>
      </c>
      <c r="B1208" s="27" t="s">
        <v>955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961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1385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1209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1386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1341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1387</v>
      </c>
      <c r="B1214" s="27" t="s">
        <v>1025</v>
      </c>
      <c r="C1214" s="27" t="s">
        <v>931</v>
      </c>
      <c r="D1214" s="27" t="s">
        <v>932</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958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1134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961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1388</v>
      </c>
      <c r="B1218" s="27" t="s">
        <v>960</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1389</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954</v>
      </c>
      <c r="B1220" s="27" t="s">
        <v>1390</v>
      </c>
      <c r="C1220" s="27" t="s">
        <v>931</v>
      </c>
      <c r="D1220" s="27" t="s">
        <v>932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1095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1391</v>
      </c>
      <c r="B1222" s="27" t="s">
        <v>1256</v>
      </c>
      <c r="C1222" s="27" t="s">
        <v>940</v>
      </c>
      <c r="D1222" s="27" t="s">
        <v>932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1392</v>
      </c>
      <c r="B1223" s="27" t="s">
        <v>1246</v>
      </c>
      <c r="C1223" s="27" t="s">
        <v>1087</v>
      </c>
      <c r="D1223" s="27" t="s">
        <v>932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944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1393</v>
      </c>
      <c r="B1225" s="27" t="s">
        <v>1256</v>
      </c>
      <c r="C1225" s="27" t="s">
        <v>946</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1042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1394</v>
      </c>
    </row>
    <row r="1229" spans="1:12">
      <c r="A1229" s="20" t="s">
        <v>929</v>
      </c>
      <c r="B1229" s="27" t="s">
        <v>930</v>
      </c>
      <c r="C1229" s="27" t="s">
        <v>931</v>
      </c>
      <c r="D1229" s="27" t="s">
        <v>932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1115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947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290</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958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1007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1395</v>
      </c>
      <c r="B1235" s="27" t="s">
        <v>1009</v>
      </c>
      <c r="C1235" s="27" t="s">
        <v>1054</v>
      </c>
      <c r="D1235" s="27" t="s">
        <v>932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749</v>
      </c>
      <c r="B1236" s="27" t="s">
        <v>960</v>
      </c>
      <c r="C1236" s="27" t="s">
        <v>931</v>
      </c>
      <c r="D1236" s="27" t="s">
        <v>932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45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1063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1040</v>
      </c>
      <c r="B1239" s="27" t="s">
        <v>1078</v>
      </c>
      <c r="C1239" s="27" t="s">
        <v>946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1201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1396</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1042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row>
    <row r="1244" spans="1:12">
      <c r="A1244" s="20" t="s">
        <v>1397</v>
      </c>
    </row>
    <row r="1245" spans="1:12">
      <c r="A1245" s="20" t="s">
        <v>1398</v>
      </c>
      <c r="B1245" s="27" t="s">
        <v>930</v>
      </c>
      <c r="C1245" s="27" t="s">
        <v>931</v>
      </c>
      <c r="D1245" s="27" t="s">
        <v>932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1181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1125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1399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1400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1042</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row>
    <row r="1252" spans="1:12">
      <c r="A1252" s="20" t="s">
        <v>1401</v>
      </c>
    </row>
    <row r="1253" spans="1:12">
      <c r="A1253" s="20" t="s">
        <v>1398</v>
      </c>
      <c r="B1253" s="27" t="s">
        <v>930</v>
      </c>
      <c r="C1253" s="27" t="s">
        <v>931</v>
      </c>
      <c r="D1253" s="27" t="s">
        <v>932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1181</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1402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1403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1042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row>
    <row r="1259" spans="1:12">
      <c r="A1259" s="20" t="s">
        <v>1404</v>
      </c>
    </row>
    <row r="1260" spans="1:12">
      <c r="A1260" s="20" t="s">
        <v>1398</v>
      </c>
      <c r="B1260" s="27" t="s">
        <v>930</v>
      </c>
      <c r="C1260" s="27" t="s">
        <v>931</v>
      </c>
      <c r="D1260" s="27" t="s">
        <v>932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995</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1405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1406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1407</v>
      </c>
      <c r="B1265" s="27" t="s">
        <v>942</v>
      </c>
      <c r="C1265" s="27" t="s">
        <v>946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1042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row>
    <row r="1268" spans="1:12">
      <c r="A1268" s="20" t="s">
        <v>1408</v>
      </c>
    </row>
    <row r="1269" spans="1:12">
      <c r="A1269" s="20" t="s">
        <v>1398</v>
      </c>
      <c r="B1269" s="27" t="s">
        <v>930</v>
      </c>
      <c r="C1269" s="27" t="s">
        <v>931</v>
      </c>
      <c r="D1269" s="27" t="s">
        <v>932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1181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934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1409</v>
      </c>
      <c r="B1272" s="27" t="s">
        <v>942</v>
      </c>
      <c r="C1272" s="27" t="s">
        <v>973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1042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row>
    <row r="1275" spans="1:12">
      <c r="A1275" s="20" t="s">
        <v>1410</v>
      </c>
    </row>
    <row r="1276" spans="1:12">
      <c r="A1276" s="20" t="s">
        <v>1103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929</v>
      </c>
      <c r="B1277" s="27" t="s">
        <v>930</v>
      </c>
      <c r="C1277" s="27" t="s">
        <v>931</v>
      </c>
      <c r="D1277" s="27" t="s">
        <v>932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1324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1209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1411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958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929</v>
      </c>
      <c r="B1282" s="27" t="s">
        <v>968</v>
      </c>
      <c r="C1282" s="27" t="s">
        <v>931</v>
      </c>
      <c r="D1282" s="27" t="s">
        <v>932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602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1412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944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1125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206</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1096</v>
      </c>
      <c r="B1288" s="27" t="s">
        <v>949</v>
      </c>
      <c r="C1288" s="27" t="s">
        <v>1097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1413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936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966</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1134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1138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45</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1074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1110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1414</v>
      </c>
      <c r="B1297" s="27" t="s">
        <v>939</v>
      </c>
      <c r="C1297" s="27" t="s">
        <v>1111</v>
      </c>
      <c r="D1297" s="27" t="s">
        <v>932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947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1415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1042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1416</v>
      </c>
    </row>
    <row r="1304" spans="1:12">
      <c r="A1304" s="20" t="s">
        <v>929</v>
      </c>
      <c r="B1304" s="27" t="s">
        <v>930</v>
      </c>
      <c r="C1304" s="27" t="s">
        <v>931</v>
      </c>
      <c r="D1304" s="27" t="s">
        <v>932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212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958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206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1096</v>
      </c>
      <c r="B1308" s="27" t="s">
        <v>949</v>
      </c>
      <c r="C1308" s="27" t="s">
        <v>1097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1417</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936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709</v>
      </c>
      <c r="B1311" s="27" t="s">
        <v>968</v>
      </c>
      <c r="C1311" s="27" t="s">
        <v>946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1418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1336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938</v>
      </c>
      <c r="B1315" s="27" t="s">
        <v>949</v>
      </c>
      <c r="C1315" s="27" t="s">
        <v>940</v>
      </c>
      <c r="D1315" s="27" t="s">
        <v>932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1395</v>
      </c>
      <c r="B1316" s="27" t="s">
        <v>939</v>
      </c>
      <c r="C1316" s="27" t="s">
        <v>1087</v>
      </c>
      <c r="D1316" s="27" t="s">
        <v>932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944</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1419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958</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1420</v>
      </c>
      <c r="B1321" s="27" t="s">
        <v>955</v>
      </c>
      <c r="C1321" s="27" t="s">
        <v>1332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1421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1058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1422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1423</v>
      </c>
      <c r="B1325" s="27" t="s">
        <v>1031</v>
      </c>
      <c r="C1325" s="27" t="s">
        <v>1061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1042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1424</v>
      </c>
    </row>
    <row r="1329" spans="1:12">
      <c r="A1329" s="20" t="s">
        <v>1425</v>
      </c>
      <c r="B1329" s="27" t="s">
        <v>930</v>
      </c>
      <c r="C1329" s="27" t="s">
        <v>943</v>
      </c>
      <c r="D1329" s="27" t="s">
        <v>932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1056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1007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1426</v>
      </c>
      <c r="B1332" s="27" t="s">
        <v>942</v>
      </c>
      <c r="C1332" s="27" t="s">
        <v>1054</v>
      </c>
      <c r="D1332" s="27" t="s">
        <v>932</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937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903</v>
      </c>
      <c r="B1334" s="27" t="s">
        <v>942</v>
      </c>
      <c r="C1334" s="27" t="s">
        <v>946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1042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row>
    <row r="1337" spans="1:12">
      <c r="A1337" s="20" t="s">
        <v>983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1427</v>
      </c>
    </row>
    <row r="1339" spans="1:12">
      <c r="A1339" s="20" t="s">
        <v>1221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1175</v>
      </c>
      <c r="B1340" s="27" t="s">
        <v>968</v>
      </c>
      <c r="C1340" s="27" t="s">
        <v>931</v>
      </c>
      <c r="D1340" s="27" t="s">
        <v>932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970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1428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947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1331</v>
      </c>
      <c r="B1344" s="27" t="s">
        <v>939</v>
      </c>
      <c r="C1344" s="27" t="s">
        <v>1332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944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977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936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928</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1429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936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1072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938</v>
      </c>
      <c r="B1352" s="27" t="s">
        <v>949</v>
      </c>
      <c r="C1352" s="27" t="s">
        <v>940</v>
      </c>
      <c r="D1352" s="27" t="s">
        <v>932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1430</v>
      </c>
      <c r="B1353" s="27" t="s">
        <v>968</v>
      </c>
      <c r="C1353" s="27" t="s">
        <v>1087</v>
      </c>
      <c r="D1353" s="27" t="s">
        <v>932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1431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936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929</v>
      </c>
      <c r="B1356" s="27" t="s">
        <v>930</v>
      </c>
      <c r="C1356" s="27" t="s">
        <v>931</v>
      </c>
      <c r="D1356" s="27" t="s">
        <v>932</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1227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1432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272</v>
      </c>
      <c r="B1360" s="27" t="s">
        <v>988</v>
      </c>
      <c r="C1360" s="27" t="s">
        <v>973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936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928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954</v>
      </c>
      <c r="B1363" s="27" t="s">
        <v>968</v>
      </c>
      <c r="C1363" s="27" t="s">
        <v>931</v>
      </c>
      <c r="D1363" s="27" t="s">
        <v>932</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1138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1114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903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1271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749</v>
      </c>
      <c r="B1369" s="27" t="s">
        <v>1009</v>
      </c>
      <c r="C1369" s="27" t="s">
        <v>931</v>
      </c>
      <c r="D1369" s="27" t="s">
        <v>932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28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954</v>
      </c>
      <c r="B1371" s="27" t="s">
        <v>1183</v>
      </c>
      <c r="C1371" s="27" t="s">
        <v>931</v>
      </c>
      <c r="D1371" s="27" t="s">
        <v>932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1042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1433</v>
      </c>
    </row>
    <row r="1375" spans="1:12">
      <c r="A1375" s="20" t="s">
        <v>1434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1176</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1388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1058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1435</v>
      </c>
      <c r="B1379" s="27" t="s">
        <v>930</v>
      </c>
      <c r="C1379" s="27" t="s">
        <v>1061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903</v>
      </c>
      <c r="B1381" s="27" t="s">
        <v>939</v>
      </c>
      <c r="C1381" s="27" t="s">
        <v>946</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1436</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1007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1437</v>
      </c>
      <c r="B1384" s="27" t="s">
        <v>949</v>
      </c>
      <c r="C1384" s="27" t="s">
        <v>1054</v>
      </c>
      <c r="D1384" s="27" t="s">
        <v>932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1000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1438</v>
      </c>
      <c r="B1386" s="27" t="s">
        <v>1025</v>
      </c>
      <c r="C1386" s="27" t="s">
        <v>946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936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944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958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1439</v>
      </c>
      <c r="B1390" s="27" t="s">
        <v>968</v>
      </c>
      <c r="C1390" s="27" t="s">
        <v>946</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1000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1440</v>
      </c>
      <c r="B1392" s="27" t="s">
        <v>949</v>
      </c>
      <c r="C1392" s="27" t="s">
        <v>946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1230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1007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1441</v>
      </c>
      <c r="B1396" s="27" t="s">
        <v>942</v>
      </c>
      <c r="C1396" s="27" t="s">
        <v>1054</v>
      </c>
      <c r="D1396" s="27" t="s">
        <v>932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1000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1442</v>
      </c>
      <c r="B1398" s="27" t="s">
        <v>939</v>
      </c>
      <c r="C1398" s="27" t="s">
        <v>946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1042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1443</v>
      </c>
    </row>
    <row r="1402" spans="1:12">
      <c r="A1402" s="20" t="s">
        <v>1434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1201</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1105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1117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709</v>
      </c>
      <c r="B1406" s="27" t="s">
        <v>930</v>
      </c>
      <c r="C1406" s="27" t="s">
        <v>946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1444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947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1445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1320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1040</v>
      </c>
      <c r="B1411" s="27" t="s">
        <v>939</v>
      </c>
      <c r="C1411" s="27" t="s">
        <v>946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936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1446</v>
      </c>
      <c r="B1413" s="27" t="s">
        <v>949</v>
      </c>
      <c r="C1413" s="27" t="s">
        <v>946</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944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1447</v>
      </c>
      <c r="B1415" s="27" t="s">
        <v>949</v>
      </c>
      <c r="C1415" s="27" t="s">
        <v>946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1042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row>
    <row r="1418" spans="1:12">
      <c r="A1418" s="20" t="s">
        <v>1448</v>
      </c>
    </row>
    <row r="1419" spans="1:12">
      <c r="A1419" s="20" t="s">
        <v>1449</v>
      </c>
      <c r="B1419" s="27" t="s">
        <v>930</v>
      </c>
      <c r="C1419" s="27" t="s">
        <v>943</v>
      </c>
      <c r="D1419" s="27" t="s">
        <v>932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1056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1450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1451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1042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1452</v>
      </c>
    </row>
    <row r="1426" spans="1:12">
      <c r="A1426" s="20" t="s">
        <v>1221</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1175</v>
      </c>
      <c r="B1427" s="27" t="s">
        <v>968</v>
      </c>
      <c r="C1427" s="27" t="s">
        <v>931</v>
      </c>
      <c r="D1427" s="27" t="s">
        <v>932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45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934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1438</v>
      </c>
      <c r="B1430" s="27" t="s">
        <v>991</v>
      </c>
      <c r="C1430" s="27" t="s">
        <v>973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944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1175</v>
      </c>
      <c r="B1432" s="27" t="s">
        <v>1009</v>
      </c>
      <c r="C1432" s="27" t="s">
        <v>931</v>
      </c>
      <c r="D1432" s="27" t="s">
        <v>932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1453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1454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936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944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985</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936</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1254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1255</v>
      </c>
      <c r="B1441" s="27" t="s">
        <v>1025</v>
      </c>
      <c r="C1441" s="27" t="s">
        <v>1097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1106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936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1175</v>
      </c>
      <c r="B1444" s="27" t="s">
        <v>1009</v>
      </c>
      <c r="C1444" s="27" t="s">
        <v>931</v>
      </c>
      <c r="D1444" s="27" t="s">
        <v>932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1201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1455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1456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1457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936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1012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1175</v>
      </c>
      <c r="B1451" s="27" t="s">
        <v>1009</v>
      </c>
      <c r="C1451" s="27" t="s">
        <v>931</v>
      </c>
      <c r="D1451" s="27" t="s">
        <v>932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1181</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1458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934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1459</v>
      </c>
      <c r="B1455" s="27" t="s">
        <v>1025</v>
      </c>
      <c r="C1455" s="27" t="s">
        <v>973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1460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936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954</v>
      </c>
      <c r="B1458" s="27" t="s">
        <v>930</v>
      </c>
      <c r="C1458" s="27" t="s">
        <v>931</v>
      </c>
      <c r="D1458" s="27" t="s">
        <v>932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1176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1461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1446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936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944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954</v>
      </c>
      <c r="B1464" s="27" t="s">
        <v>968</v>
      </c>
      <c r="C1464" s="27" t="s">
        <v>931</v>
      </c>
      <c r="D1464" s="27" t="s">
        <v>932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1418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1461</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1462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1463</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1464</v>
      </c>
      <c r="B1469" s="27" t="s">
        <v>991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937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1016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1465</v>
      </c>
      <c r="B1472" s="27" t="s">
        <v>939</v>
      </c>
      <c r="C1472" s="27" t="s">
        <v>1097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1042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row>
    <row r="1475" spans="1:12">
      <c r="A1475" s="20" t="s">
        <v>1466</v>
      </c>
    </row>
    <row r="1476" spans="1:12">
      <c r="A1476" s="20" t="s">
        <v>1221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1175</v>
      </c>
      <c r="B1477" s="27" t="s">
        <v>968</v>
      </c>
      <c r="C1477" s="27" t="s">
        <v>931</v>
      </c>
      <c r="D1477" s="27" t="s">
        <v>932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1467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934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1468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1438</v>
      </c>
      <c r="B1481" s="27" t="s">
        <v>991</v>
      </c>
      <c r="C1481" s="27" t="s">
        <v>973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936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944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1175</v>
      </c>
      <c r="B1484" s="27" t="s">
        <v>1009</v>
      </c>
      <c r="C1484" s="27" t="s">
        <v>931</v>
      </c>
      <c r="D1484" s="27" t="s">
        <v>932</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1318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936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944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1254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1255</v>
      </c>
      <c r="B1490" s="27" t="s">
        <v>1025</v>
      </c>
      <c r="C1490" s="27" t="s">
        <v>1097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1106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1175</v>
      </c>
      <c r="B1492" s="27" t="s">
        <v>1009</v>
      </c>
      <c r="C1492" s="27" t="s">
        <v>931</v>
      </c>
      <c r="D1492" s="27" t="s">
        <v>932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1230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1469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1470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1032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969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936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985</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954</v>
      </c>
      <c r="B1500" s="27" t="s">
        <v>930</v>
      </c>
      <c r="C1500" s="27" t="s">
        <v>931</v>
      </c>
      <c r="D1500" s="27" t="s">
        <v>932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1176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1461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934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1040</v>
      </c>
      <c r="B1504" s="27" t="s">
        <v>942</v>
      </c>
      <c r="C1504" s="27" t="s">
        <v>973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958</v>
      </c>
      <c r="B1505" s="27" t="s">
        <v>968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961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1471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1472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1007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1468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1473</v>
      </c>
      <c r="B1511" s="27" t="s">
        <v>939</v>
      </c>
      <c r="C1511" s="27" t="s">
        <v>1054</v>
      </c>
      <c r="D1511" s="27" t="s">
        <v>932</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1042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1474</v>
      </c>
    </row>
    <row r="1515" spans="1:12">
      <c r="A1515" s="20" t="s">
        <v>1123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1475</v>
      </c>
      <c r="B1516" s="27" t="s">
        <v>930</v>
      </c>
      <c r="C1516" s="27" t="s">
        <v>1054</v>
      </c>
      <c r="D1516" s="27" t="s">
        <v>932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1476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1387</v>
      </c>
      <c r="B1518" s="27" t="s">
        <v>988</v>
      </c>
      <c r="C1518" s="27" t="s">
        <v>931</v>
      </c>
      <c r="D1518" s="27" t="s">
        <v>932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934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1477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1198</v>
      </c>
      <c r="B1521" s="27" t="s">
        <v>988</v>
      </c>
      <c r="C1521" s="27" t="s">
        <v>973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1042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1478</v>
      </c>
    </row>
    <row r="1525" spans="1:12">
      <c r="A1525" s="20" t="s">
        <v>1479</v>
      </c>
      <c r="B1525" s="27" t="s">
        <v>930</v>
      </c>
      <c r="C1525" s="27" t="s">
        <v>946</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42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1000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1040</v>
      </c>
      <c r="B1528" s="27" t="s">
        <v>942</v>
      </c>
      <c r="C1528" s="27" t="s">
        <v>946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1271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1148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1264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1447</v>
      </c>
      <c r="B1532" s="27" t="s">
        <v>942</v>
      </c>
      <c r="C1532" s="27" t="s">
        <v>946</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1042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row>
    <row r="1535" spans="1:12">
      <c r="A1535" s="20" t="s">
        <v>1480</v>
      </c>
    </row>
    <row r="1536" spans="1:12">
      <c r="A1536" s="20" t="s">
        <v>1215</v>
      </c>
      <c r="B1536" s="27" t="s">
        <v>930</v>
      </c>
      <c r="C1536" s="27" t="s">
        <v>931</v>
      </c>
      <c r="D1536" s="27" t="s">
        <v>932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1176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1136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936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1136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1135</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1136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1447</v>
      </c>
      <c r="B1543" s="27" t="s">
        <v>942</v>
      </c>
      <c r="C1543" s="27" t="s">
        <v>946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936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1136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1135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1136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1446</v>
      </c>
      <c r="B1548" s="27" t="s">
        <v>939</v>
      </c>
      <c r="C1548" s="27" t="s">
        <v>946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1032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1481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1135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1482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934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1483</v>
      </c>
      <c r="B1554" s="27" t="s">
        <v>949</v>
      </c>
      <c r="C1554" s="27" t="s">
        <v>973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1042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1484</v>
      </c>
    </row>
    <row r="1558" spans="1:12">
      <c r="A1558" s="20" t="s">
        <v>1006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929</v>
      </c>
      <c r="B1559" s="27" t="s">
        <v>968</v>
      </c>
      <c r="C1559" s="27" t="s">
        <v>931</v>
      </c>
      <c r="D1559" s="27" t="s">
        <v>932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1219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1160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947</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181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1040</v>
      </c>
      <c r="B1564" s="27" t="s">
        <v>1183</v>
      </c>
      <c r="C1564" s="27" t="s">
        <v>946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936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944</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947</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1485</v>
      </c>
      <c r="B1568" s="27" t="s">
        <v>939</v>
      </c>
      <c r="C1568" s="27" t="s">
        <v>946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709</v>
      </c>
      <c r="B1569" s="27" t="s">
        <v>1183</v>
      </c>
      <c r="C1569" s="27" t="s">
        <v>946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1069</v>
      </c>
      <c r="B1570" s="27" t="s">
        <v>960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1065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1486</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954</v>
      </c>
      <c r="B1573" s="27" t="s">
        <v>982</v>
      </c>
      <c r="C1573" s="27" t="s">
        <v>931</v>
      </c>
      <c r="D1573" s="27" t="s">
        <v>932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936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929</v>
      </c>
      <c r="B1575" s="27" t="s">
        <v>930</v>
      </c>
      <c r="C1575" s="27" t="s">
        <v>931</v>
      </c>
      <c r="D1575" s="27" t="s">
        <v>932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1107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958</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1134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970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709</v>
      </c>
      <c r="B1580" s="27" t="s">
        <v>968</v>
      </c>
      <c r="C1580" s="27" t="s">
        <v>946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1069</v>
      </c>
      <c r="B1581" s="27" t="s">
        <v>955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956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936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1144</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1007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1487</v>
      </c>
      <c r="B1586" s="27" t="s">
        <v>1025</v>
      </c>
      <c r="C1586" s="27" t="s">
        <v>1054</v>
      </c>
      <c r="D1586" s="27" t="s">
        <v>932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936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947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45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1261</v>
      </c>
      <c r="B1590" s="27" t="s">
        <v>982</v>
      </c>
      <c r="C1590" s="27" t="s">
        <v>1121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1488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974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1489</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1490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1040</v>
      </c>
      <c r="B1595" s="27" t="s">
        <v>1246</v>
      </c>
      <c r="C1595" s="27" t="s">
        <v>946</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1069</v>
      </c>
      <c r="B1596" s="27" t="s">
        <v>1491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970</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1202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1492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1493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1472</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954</v>
      </c>
      <c r="B1602" s="27" t="s">
        <v>1494</v>
      </c>
      <c r="C1602" s="27" t="s">
        <v>931</v>
      </c>
      <c r="D1602" s="27" t="s">
        <v>932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1042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row>
    <row r="1605" spans="1:12">
      <c r="A1605" s="20" t="s">
        <v>1495</v>
      </c>
    </row>
    <row r="1606" spans="1:12">
      <c r="A1606" s="20" t="s">
        <v>965</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1134</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970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942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709</v>
      </c>
      <c r="B1610" s="27" t="s">
        <v>930</v>
      </c>
      <c r="C1610" s="27" t="s">
        <v>946</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1069</v>
      </c>
      <c r="B1611" s="27" t="s">
        <v>1009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1065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1261</v>
      </c>
      <c r="B1613" s="27" t="s">
        <v>1031</v>
      </c>
      <c r="C1613" s="27" t="s">
        <v>1121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1488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1271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967</v>
      </c>
      <c r="B1616" s="27" t="s">
        <v>960</v>
      </c>
      <c r="C1616" s="27" t="s">
        <v>931</v>
      </c>
      <c r="D1616" s="27" t="s">
        <v>932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1496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954</v>
      </c>
      <c r="B1618" s="27" t="s">
        <v>982</v>
      </c>
      <c r="C1618" s="27" t="s">
        <v>931</v>
      </c>
      <c r="D1618" s="27" t="s">
        <v>932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974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1497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1498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1040</v>
      </c>
      <c r="B1622" s="27" t="s">
        <v>1078</v>
      </c>
      <c r="C1622" s="27" t="s">
        <v>946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1069</v>
      </c>
      <c r="B1623" s="27" t="s">
        <v>1196</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1202</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1065</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1357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1499</v>
      </c>
      <c r="B1627" s="27" t="s">
        <v>1390</v>
      </c>
      <c r="C1627" s="27" t="s">
        <v>946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937</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1007</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1500</v>
      </c>
      <c r="B1630" s="27" t="s">
        <v>1246</v>
      </c>
      <c r="C1630" s="27" t="s">
        <v>1054</v>
      </c>
      <c r="D1630" s="27" t="s">
        <v>932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1501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1188</v>
      </c>
      <c r="B1632" s="27" t="s">
        <v>1256</v>
      </c>
      <c r="C1632" s="27" t="s">
        <v>940</v>
      </c>
      <c r="D1632" s="27" t="s">
        <v>932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1502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1503</v>
      </c>
      <c r="B1634" s="27" t="s">
        <v>1246</v>
      </c>
      <c r="C1634" s="27" t="s">
        <v>1087</v>
      </c>
      <c r="D1634" s="27" t="s">
        <v>932</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1042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1504</v>
      </c>
    </row>
    <row r="1638" spans="1:12">
      <c r="A1638" s="20" t="s">
        <v>965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929</v>
      </c>
      <c r="B1639" s="27" t="s">
        <v>930</v>
      </c>
      <c r="C1639" s="27" t="s">
        <v>931</v>
      </c>
      <c r="D1639" s="27" t="s">
        <v>932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1219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1160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947</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54</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1160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1261</v>
      </c>
      <c r="B1645" s="27" t="s">
        <v>991</v>
      </c>
      <c r="C1645" s="27" t="s">
        <v>1121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954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1056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958</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1505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1016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709</v>
      </c>
      <c r="B1651" s="27" t="s">
        <v>982</v>
      </c>
      <c r="C1651" s="27" t="s">
        <v>1097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947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36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1329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1506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1237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942</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709</v>
      </c>
      <c r="B1658" s="27" t="s">
        <v>978</v>
      </c>
      <c r="C1658" s="27" t="s">
        <v>946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1042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row>
    <row r="1661" spans="1:12">
      <c r="A1661" s="20" t="s">
        <v>1507</v>
      </c>
    </row>
    <row r="1662" spans="1:12">
      <c r="A1662" s="20" t="s">
        <v>1151</v>
      </c>
      <c r="B1662" s="27" t="s">
        <v>942</v>
      </c>
      <c r="C1662" s="27" t="s">
        <v>1121</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1201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1007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1508</v>
      </c>
      <c r="B1665" s="27" t="s">
        <v>930</v>
      </c>
      <c r="C1665" s="27" t="s">
        <v>1054</v>
      </c>
      <c r="D1665" s="27" t="s">
        <v>932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958</v>
      </c>
      <c r="B1666" s="27" t="s">
        <v>1009</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1509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709</v>
      </c>
      <c r="B1668" s="27" t="s">
        <v>1183</v>
      </c>
      <c r="C1668" s="27" t="s">
        <v>946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947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1071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1325</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row>
    <row r="1673" spans="1:12">
      <c r="A1673" s="20" t="s">
        <v>1510</v>
      </c>
    </row>
    <row r="1674" spans="1:12">
      <c r="A1674" s="20" t="s">
        <v>965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929</v>
      </c>
      <c r="B1675" s="27" t="s">
        <v>930</v>
      </c>
      <c r="C1675" s="27" t="s">
        <v>931</v>
      </c>
      <c r="D1675" s="27" t="s">
        <v>932</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1340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1160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944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929</v>
      </c>
      <c r="B1679" s="27" t="s">
        <v>968</v>
      </c>
      <c r="C1679" s="27" t="s">
        <v>931</v>
      </c>
      <c r="D1679" s="27" t="s">
        <v>932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1511</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1322</v>
      </c>
      <c r="B1681" s="27" t="s">
        <v>991</v>
      </c>
      <c r="C1681" s="27" t="s">
        <v>946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1295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1322</v>
      </c>
      <c r="B1683" s="27" t="s">
        <v>949</v>
      </c>
      <c r="C1683" s="27" t="s">
        <v>946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1069</v>
      </c>
      <c r="B1684" s="27" t="s">
        <v>960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961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1512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995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1040</v>
      </c>
      <c r="B1688" s="27" t="s">
        <v>1078</v>
      </c>
      <c r="C1688" s="27" t="s">
        <v>946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1042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row>
    <row r="1691" spans="1:12">
      <c r="A1691" s="20" t="s">
        <v>1513</v>
      </c>
    </row>
    <row r="1692" spans="1:12">
      <c r="A1692" s="20" t="s">
        <v>1514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1000</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1007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1344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709</v>
      </c>
      <c r="B1696" s="27" t="s">
        <v>942</v>
      </c>
      <c r="C1696" s="27" t="s">
        <v>1054</v>
      </c>
      <c r="D1696" s="27" t="s">
        <v>932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929</v>
      </c>
      <c r="B1697" s="27" t="s">
        <v>1009</v>
      </c>
      <c r="C1697" s="27" t="s">
        <v>931</v>
      </c>
      <c r="D1697" s="27" t="s">
        <v>932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1511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1496</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1040</v>
      </c>
      <c r="B1700" s="27" t="s">
        <v>1031</v>
      </c>
      <c r="C1700" s="27" t="s">
        <v>946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1271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934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1515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1206</v>
      </c>
      <c r="B1704" s="27" t="s">
        <v>1025</v>
      </c>
      <c r="C1704" s="27" t="s">
        <v>973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1000</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1148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1516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936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944</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958</v>
      </c>
      <c r="B1710" s="27" t="s">
        <v>968</v>
      </c>
      <c r="C1710" s="27" t="s">
        <v>1061</v>
      </c>
      <c r="D1710" s="27" t="s">
        <v>932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961</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934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1357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1435</v>
      </c>
      <c r="B1714" s="27" t="s">
        <v>942</v>
      </c>
      <c r="C1714" s="27" t="s">
        <v>973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1063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1064</v>
      </c>
      <c r="B1716" s="27" t="s">
        <v>939</v>
      </c>
      <c r="C1716" s="27" t="s">
        <v>931</v>
      </c>
      <c r="D1716" s="27" t="s">
        <v>932</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947</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25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1517</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1144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1279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954</v>
      </c>
      <c r="B1722" s="27" t="s">
        <v>955</v>
      </c>
      <c r="C1722" s="27" t="s">
        <v>931</v>
      </c>
      <c r="D1722" s="27" t="s">
        <v>932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1518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1064</v>
      </c>
      <c r="B1724" s="27" t="s">
        <v>1031</v>
      </c>
      <c r="C1724" s="27" t="s">
        <v>931</v>
      </c>
      <c r="D1724" s="27" t="s">
        <v>932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958</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958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1519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1206</v>
      </c>
      <c r="B1728" s="27" t="s">
        <v>960</v>
      </c>
      <c r="C1728" s="27" t="s">
        <v>999</v>
      </c>
      <c r="D1728" s="27" t="s">
        <v>932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1000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1148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1516</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1230</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1520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947</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1521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1522</v>
      </c>
      <c r="B1736" s="27" t="s">
        <v>1078</v>
      </c>
      <c r="C1736" s="27" t="s">
        <v>946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936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958</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1317</v>
      </c>
      <c r="B1739" s="27" t="s">
        <v>1200</v>
      </c>
      <c r="C1739" s="27" t="s">
        <v>1061</v>
      </c>
      <c r="D1739" s="27" t="s">
        <v>932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1056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934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1306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1523</v>
      </c>
      <c r="B1743" s="27" t="s">
        <v>1078</v>
      </c>
      <c r="C1743" s="27" t="s">
        <v>973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1042</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row>
    <row r="1746" spans="1:12">
      <c r="A1746" s="20" t="s">
        <v>1524</v>
      </c>
    </row>
    <row r="1747" spans="1:12">
      <c r="A1747" s="20" t="s">
        <v>1215</v>
      </c>
      <c r="B1747" s="27" t="s">
        <v>930</v>
      </c>
      <c r="C1747" s="27" t="s">
        <v>931</v>
      </c>
      <c r="D1747" s="27" t="s">
        <v>932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1176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1007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1525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1526</v>
      </c>
      <c r="B1751" s="27" t="s">
        <v>942</v>
      </c>
      <c r="C1751" s="27" t="s">
        <v>1054</v>
      </c>
      <c r="D1751" s="27" t="s">
        <v>932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1527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936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944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709</v>
      </c>
      <c r="B1755" s="27" t="s">
        <v>968</v>
      </c>
      <c r="C1755" s="27" t="s">
        <v>946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49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1000</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954</v>
      </c>
      <c r="B1758" s="27" t="s">
        <v>939</v>
      </c>
      <c r="C1758" s="27" t="s">
        <v>931</v>
      </c>
      <c r="D1758" s="27" t="s">
        <v>932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1033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1275</v>
      </c>
      <c r="B1760" s="27" t="s">
        <v>939</v>
      </c>
      <c r="C1760" s="27" t="s">
        <v>1035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1042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1528</v>
      </c>
    </row>
    <row r="1764" spans="1:12">
      <c r="A1764" s="20" t="s">
        <v>1514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1000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1007</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709</v>
      </c>
      <c r="B1767" s="27" t="s">
        <v>942</v>
      </c>
      <c r="C1767" s="27" t="s">
        <v>1054</v>
      </c>
      <c r="D1767" s="27" t="s">
        <v>932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929</v>
      </c>
      <c r="B1768" s="27" t="s">
        <v>1009</v>
      </c>
      <c r="C1768" s="27" t="s">
        <v>931</v>
      </c>
      <c r="D1768" s="27" t="s">
        <v>932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1529</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947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966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929</v>
      </c>
      <c r="B1772" s="27" t="s">
        <v>955</v>
      </c>
      <c r="C1772" s="27" t="s">
        <v>931</v>
      </c>
      <c r="D1772" s="27" t="s">
        <v>932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961</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1530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947</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181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1317</v>
      </c>
      <c r="B1777" s="27" t="s">
        <v>1200</v>
      </c>
      <c r="C1777" s="27" t="s">
        <v>1061</v>
      </c>
      <c r="D1777" s="27" t="s">
        <v>932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961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934</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1531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1532</v>
      </c>
      <c r="B1781" s="27" t="s">
        <v>1078</v>
      </c>
      <c r="C1781" s="27" t="s">
        <v>973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1069</v>
      </c>
      <c r="B1782" s="27" t="s">
        <v>1390</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929</v>
      </c>
      <c r="B1783" s="27" t="s">
        <v>1196</v>
      </c>
      <c r="C1783" s="27" t="s">
        <v>931</v>
      </c>
      <c r="D1783" s="27" t="s">
        <v>932</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1065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1533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1063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1534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1096</v>
      </c>
      <c r="B1788" s="27" t="s">
        <v>1246</v>
      </c>
      <c r="C1788" s="27" t="s">
        <v>1097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936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944</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1069</v>
      </c>
      <c r="B1791" s="27" t="s">
        <v>1251</v>
      </c>
      <c r="C1791" s="27" t="s">
        <v>1121</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1065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1065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934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1535</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1536</v>
      </c>
      <c r="B1796" s="27" t="s">
        <v>1250</v>
      </c>
      <c r="C1796" s="27" t="s">
        <v>973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937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1537</v>
      </c>
      <c r="B1798" s="27" t="s">
        <v>1494</v>
      </c>
      <c r="C1798" s="27" t="s">
        <v>940</v>
      </c>
      <c r="D1798" s="27" t="s">
        <v>932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1538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1539</v>
      </c>
      <c r="B1800" s="27" t="s">
        <v>1256</v>
      </c>
      <c r="C1800" s="27" t="s">
        <v>1087</v>
      </c>
      <c r="D1800" s="27" t="s">
        <v>932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1000</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1540</v>
      </c>
      <c r="B1802" s="27" t="s">
        <v>1494</v>
      </c>
      <c r="C1802" s="27" t="s">
        <v>946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936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944</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985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1541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1341</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934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1542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1040</v>
      </c>
      <c r="B1810" s="27" t="s">
        <v>1256</v>
      </c>
      <c r="C1810" s="27" t="s">
        <v>973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1042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1543</v>
      </c>
    </row>
    <row r="1814" spans="1:12">
      <c r="A1814" s="20" t="s">
        <v>1544</v>
      </c>
      <c r="B1814" s="27" t="s">
        <v>930</v>
      </c>
      <c r="C1814" s="27" t="s">
        <v>931</v>
      </c>
      <c r="D1814" s="27" t="s">
        <v>932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1065</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1545</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1546</v>
      </c>
      <c r="B1817" s="27" t="s">
        <v>988</v>
      </c>
      <c r="C1817" s="27" t="s">
        <v>946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936</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1242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1547</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1040</v>
      </c>
      <c r="B1821" s="27" t="s">
        <v>942</v>
      </c>
      <c r="C1821" s="27" t="s">
        <v>946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936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1271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954</v>
      </c>
      <c r="B1824" s="27" t="s">
        <v>968</v>
      </c>
      <c r="C1824" s="27" t="s">
        <v>931</v>
      </c>
      <c r="D1824" s="27" t="s">
        <v>932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961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985</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1533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1042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1548</v>
      </c>
    </row>
    <row r="1831" spans="1:12">
      <c r="A1831" s="20" t="s">
        <v>965</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985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1549</v>
      </c>
      <c r="B1833" s="27" t="s">
        <v>930</v>
      </c>
      <c r="C1833" s="27" t="s">
        <v>931</v>
      </c>
      <c r="D1833" s="27" t="s">
        <v>932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1113</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1399</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1350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1063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1534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1096</v>
      </c>
      <c r="B1839" s="27" t="s">
        <v>942</v>
      </c>
      <c r="C1839" s="27" t="s">
        <v>1097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1144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1550</v>
      </c>
      <c r="B1841" s="27" t="s">
        <v>939</v>
      </c>
      <c r="C1841" s="27" t="s">
        <v>946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936</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944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985</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1551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936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1549</v>
      </c>
      <c r="B1847" s="27" t="s">
        <v>968</v>
      </c>
      <c r="C1847" s="27" t="s">
        <v>931</v>
      </c>
      <c r="D1847" s="27" t="s">
        <v>932</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961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1552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1553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1537</v>
      </c>
      <c r="B1851" s="27" t="s">
        <v>949</v>
      </c>
      <c r="C1851" s="27" t="s">
        <v>940</v>
      </c>
      <c r="D1851" s="27" t="s">
        <v>932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1550</v>
      </c>
      <c r="B1852" s="27" t="s">
        <v>939</v>
      </c>
      <c r="C1852" s="27" t="s">
        <v>1087</v>
      </c>
      <c r="D1852" s="27" t="s">
        <v>932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947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1140</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1335</v>
      </c>
      <c r="B1855" s="27" t="s">
        <v>1183</v>
      </c>
      <c r="C1855" s="27" t="s">
        <v>1121</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1549</v>
      </c>
      <c r="B1856" s="27" t="s">
        <v>960</v>
      </c>
      <c r="C1856" s="27" t="s">
        <v>931</v>
      </c>
      <c r="D1856" s="27" t="s">
        <v>932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1138</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286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1436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954</v>
      </c>
      <c r="B1860" s="27" t="s">
        <v>1078</v>
      </c>
      <c r="C1860" s="27" t="s">
        <v>931</v>
      </c>
      <c r="D1860" s="27" t="s">
        <v>932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936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944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1549</v>
      </c>
      <c r="B1863" s="27" t="s">
        <v>968</v>
      </c>
      <c r="C1863" s="27" t="s">
        <v>931</v>
      </c>
      <c r="D1863" s="27" t="s">
        <v>932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1065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1432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1554</v>
      </c>
      <c r="B1866" s="27" t="s">
        <v>991</v>
      </c>
      <c r="C1866" s="27" t="s">
        <v>973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936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944</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985</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1555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1341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1007</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1556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1040</v>
      </c>
      <c r="B1874" s="27" t="s">
        <v>939</v>
      </c>
      <c r="C1874" s="27" t="s">
        <v>1054</v>
      </c>
      <c r="D1874" s="27" t="s">
        <v>932</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958</v>
      </c>
      <c r="B1875" s="27" t="s">
        <v>1031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929</v>
      </c>
      <c r="B1876" s="27" t="s">
        <v>955</v>
      </c>
      <c r="C1876" s="27" t="s">
        <v>931</v>
      </c>
      <c r="D1876" s="27" t="s">
        <v>932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1065</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1557</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1558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937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1372</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1549</v>
      </c>
      <c r="B1882" s="27" t="s">
        <v>955</v>
      </c>
      <c r="C1882" s="27" t="s">
        <v>931</v>
      </c>
      <c r="D1882" s="27" t="s">
        <v>932</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1559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937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1537</v>
      </c>
      <c r="B1885" s="27" t="s">
        <v>978</v>
      </c>
      <c r="C1885" s="27" t="s">
        <v>940</v>
      </c>
      <c r="D1885" s="27" t="s">
        <v>932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1560</v>
      </c>
      <c r="B1886" s="27" t="s">
        <v>1078</v>
      </c>
      <c r="C1886" s="27" t="s">
        <v>1087</v>
      </c>
      <c r="D1886" s="27" t="s">
        <v>932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1561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1562</v>
      </c>
      <c r="B1888" s="27" t="s">
        <v>1025</v>
      </c>
      <c r="C1888" s="27" t="s">
        <v>1087</v>
      </c>
      <c r="D1888" s="27" t="s">
        <v>932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936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1329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1242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1211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1563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936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1564</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1436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1565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936</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1275</v>
      </c>
      <c r="B1899" s="27" t="s">
        <v>1025</v>
      </c>
      <c r="C1899" s="27" t="s">
        <v>946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1295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1275</v>
      </c>
      <c r="B1901" s="27" t="s">
        <v>1078</v>
      </c>
      <c r="C1901" s="27" t="s">
        <v>946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1295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1275</v>
      </c>
      <c r="B1903" s="27" t="s">
        <v>1078</v>
      </c>
      <c r="C1903" s="27" t="s">
        <v>946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1042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row>
    <row r="1906" spans="1:12">
      <c r="A1906" s="20" t="s">
        <v>983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1566</v>
      </c>
    </row>
    <row r="1908" spans="1:12">
      <c r="A1908" s="20" t="s">
        <v>965</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966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929</v>
      </c>
      <c r="B1910" s="27" t="s">
        <v>968</v>
      </c>
      <c r="C1910" s="27" t="s">
        <v>931</v>
      </c>
      <c r="D1910" s="27" t="s">
        <v>932</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1511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1537</v>
      </c>
      <c r="B1912" s="27" t="s">
        <v>991</v>
      </c>
      <c r="C1912" s="27" t="s">
        <v>931</v>
      </c>
      <c r="D1912" s="27" t="s">
        <v>932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1336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958</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1467</v>
      </c>
      <c r="B1915" s="27" t="s">
        <v>939</v>
      </c>
      <c r="C1915" s="27" t="s">
        <v>999</v>
      </c>
      <c r="D1915" s="27" t="s">
        <v>932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1016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1096</v>
      </c>
      <c r="B1917" s="27" t="s">
        <v>949</v>
      </c>
      <c r="C1917" s="27" t="s">
        <v>1097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1106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16</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1549</v>
      </c>
      <c r="B1920" s="27" t="s">
        <v>1009</v>
      </c>
      <c r="C1920" s="27" t="s">
        <v>931</v>
      </c>
      <c r="D1920" s="27" t="s">
        <v>932</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1176</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934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1567</v>
      </c>
      <c r="B1923" s="27" t="s">
        <v>991</v>
      </c>
      <c r="C1923" s="27" t="s">
        <v>973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944</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1568</v>
      </c>
      <c r="B1925" s="27" t="s">
        <v>949</v>
      </c>
      <c r="C1925" s="27" t="s">
        <v>946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1569</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1570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1571</v>
      </c>
      <c r="B1928" s="27" t="s">
        <v>1025</v>
      </c>
      <c r="C1928" s="27" t="s">
        <v>943</v>
      </c>
      <c r="D1928" s="27" t="s">
        <v>932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966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929</v>
      </c>
      <c r="B1931" s="27" t="s">
        <v>1009</v>
      </c>
      <c r="C1931" s="27" t="s">
        <v>931</v>
      </c>
      <c r="D1931" s="27" t="s">
        <v>932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1511</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1537</v>
      </c>
      <c r="B1933" s="27" t="s">
        <v>1183</v>
      </c>
      <c r="C1933" s="27" t="s">
        <v>931</v>
      </c>
      <c r="D1933" s="27" t="s">
        <v>932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936</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1549</v>
      </c>
      <c r="B1935" s="27" t="s">
        <v>930</v>
      </c>
      <c r="C1935" s="27" t="s">
        <v>931</v>
      </c>
      <c r="D1935" s="27" t="s">
        <v>932</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1232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936</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928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929</v>
      </c>
      <c r="B1939" s="27" t="s">
        <v>968</v>
      </c>
      <c r="C1939" s="27" t="s">
        <v>931</v>
      </c>
      <c r="D1939" s="27" t="s">
        <v>932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961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1572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1561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1573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1574</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1575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1576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1577</v>
      </c>
      <c r="B1948" s="27" t="s">
        <v>1183</v>
      </c>
      <c r="C1948" s="27" t="s">
        <v>943</v>
      </c>
      <c r="D1948" s="27" t="s">
        <v>932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936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1561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1228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944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1228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936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947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1578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938</v>
      </c>
      <c r="B1957" s="27" t="s">
        <v>1025</v>
      </c>
      <c r="C1957" s="27" t="s">
        <v>940</v>
      </c>
      <c r="D1957" s="27" t="s">
        <v>932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1579</v>
      </c>
      <c r="B1958" s="27" t="s">
        <v>1183</v>
      </c>
      <c r="C1958" s="27" t="s">
        <v>1087</v>
      </c>
      <c r="D1958" s="27" t="s">
        <v>932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1042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row>
    <row r="1961" spans="1:12">
      <c r="A1961" s="20" t="s">
        <v>1580</v>
      </c>
    </row>
    <row r="1962" spans="1:12">
      <c r="A1962" s="20" t="s">
        <v>929</v>
      </c>
      <c r="B1962" s="27" t="s">
        <v>930</v>
      </c>
      <c r="C1962" s="27" t="s">
        <v>931</v>
      </c>
      <c r="D1962" s="27" t="s">
        <v>932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961</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1572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947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1581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1160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1007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1117</v>
      </c>
      <c r="B1969" s="27" t="s">
        <v>991</v>
      </c>
      <c r="C1969" s="27" t="s">
        <v>1054</v>
      </c>
      <c r="D1969" s="27" t="s">
        <v>932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938</v>
      </c>
      <c r="B1970" s="27" t="s">
        <v>1078</v>
      </c>
      <c r="C1970" s="27" t="s">
        <v>940</v>
      </c>
      <c r="D1970" s="27" t="s">
        <v>932</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1579</v>
      </c>
      <c r="B1971" s="27" t="s">
        <v>955</v>
      </c>
      <c r="C1971" s="27" t="s">
        <v>1087</v>
      </c>
      <c r="D1971" s="27" t="s">
        <v>932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961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1582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936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1372</v>
      </c>
      <c r="B1975" s="27" t="s">
        <v>955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970</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936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1561</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1179</v>
      </c>
      <c r="B1979" s="27" t="s">
        <v>968</v>
      </c>
      <c r="C1979" s="27" t="s">
        <v>931</v>
      </c>
      <c r="D1979" s="27" t="s">
        <v>932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1201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1414</v>
      </c>
      <c r="B1981" s="27" t="s">
        <v>942</v>
      </c>
      <c r="C1981" s="27" t="s">
        <v>1111</v>
      </c>
      <c r="D1981" s="27" t="s">
        <v>932</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1042</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row>
    <row r="1984" spans="1:12">
      <c r="A1984" s="20" t="s">
        <v>1583</v>
      </c>
    </row>
    <row r="1985" spans="1:12">
      <c r="A1985" s="20" t="s">
        <v>1179</v>
      </c>
      <c r="B1985" s="27" t="s">
        <v>930</v>
      </c>
      <c r="C1985" s="27" t="s">
        <v>931</v>
      </c>
      <c r="D1985" s="27" t="s">
        <v>932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1201</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1584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1042</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row>
    <row r="1990" spans="1:12">
      <c r="A1990" s="20" t="s">
        <v>1585</v>
      </c>
    </row>
    <row r="1991" spans="1:12">
      <c r="A1991" s="20" t="s">
        <v>1179</v>
      </c>
      <c r="B1991" s="27" t="s">
        <v>930</v>
      </c>
      <c r="C1991" s="27" t="s">
        <v>931</v>
      </c>
      <c r="D1991" s="27" t="s">
        <v>932</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286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1114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1260</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302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947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602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1042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1561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983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1586</v>
      </c>
    </row>
    <row r="2003" spans="1:12">
      <c r="A2003" s="20" t="s">
        <v>965</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958</v>
      </c>
      <c r="B2004" s="27" t="s">
        <v>930</v>
      </c>
      <c r="C2004" s="27" t="s">
        <v>1061</v>
      </c>
      <c r="D2004" s="27" t="s">
        <v>932</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961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966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929</v>
      </c>
      <c r="B2007" s="27" t="s">
        <v>968</v>
      </c>
      <c r="C2007" s="27" t="s">
        <v>931</v>
      </c>
      <c r="D2007" s="27" t="s">
        <v>932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1587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1311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1212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1336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1588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1067</v>
      </c>
      <c r="B2013" s="27" t="s">
        <v>1031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1042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928</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row>
    <row r="2017" spans="1:12">
      <c r="A2017" s="20" t="s">
        <v>1589</v>
      </c>
    </row>
    <row r="2018" spans="1:12">
      <c r="A2018" s="20" t="s">
        <v>1179</v>
      </c>
      <c r="B2018" s="27" t="s">
        <v>930</v>
      </c>
      <c r="C2018" s="27" t="s">
        <v>931</v>
      </c>
      <c r="D2018" s="27" t="s">
        <v>932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286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1114</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42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937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1040</v>
      </c>
      <c r="B2023" s="27" t="s">
        <v>942</v>
      </c>
      <c r="C2023" s="27" t="s">
        <v>946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958</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1175</v>
      </c>
      <c r="B2025" s="27" t="s">
        <v>968</v>
      </c>
      <c r="C2025" s="27" t="s">
        <v>931</v>
      </c>
      <c r="D2025" s="27" t="s">
        <v>932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1590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1161</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1144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934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1591</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1592</v>
      </c>
      <c r="B2031" s="27" t="s">
        <v>939</v>
      </c>
      <c r="C2031" s="27" t="s">
        <v>973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944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1201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1593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1007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1594</v>
      </c>
      <c r="B2036" s="27" t="s">
        <v>991</v>
      </c>
      <c r="C2036" s="27" t="s">
        <v>1054</v>
      </c>
      <c r="D2036" s="27" t="s">
        <v>932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963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1007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1595</v>
      </c>
      <c r="B2039" s="27" t="s">
        <v>939</v>
      </c>
      <c r="C2039" s="27" t="s">
        <v>1054</v>
      </c>
      <c r="D2039" s="27" t="s">
        <v>932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1000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934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1596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1597</v>
      </c>
      <c r="B2043" s="27" t="s">
        <v>949</v>
      </c>
      <c r="C2043" s="27" t="s">
        <v>973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1042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row>
    <row r="2046" spans="1:12">
      <c r="A2046" s="20" t="s">
        <v>1598</v>
      </c>
    </row>
    <row r="2047" spans="1:12">
      <c r="A2047" s="20" t="s">
        <v>1179</v>
      </c>
      <c r="B2047" s="27" t="s">
        <v>930</v>
      </c>
      <c r="C2047" s="27" t="s">
        <v>931</v>
      </c>
      <c r="D2047" s="27" t="s">
        <v>932</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42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958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1007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1592</v>
      </c>
      <c r="B2051" s="27" t="s">
        <v>968</v>
      </c>
      <c r="C2051" s="27" t="s">
        <v>1054</v>
      </c>
      <c r="D2051" s="27" t="s">
        <v>932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1599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1074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1552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1130</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936</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1007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1592</v>
      </c>
      <c r="B2058" s="27" t="s">
        <v>939</v>
      </c>
      <c r="C2058" s="27" t="s">
        <v>1054</v>
      </c>
      <c r="D2058" s="27" t="s">
        <v>932</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1000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1126</v>
      </c>
      <c r="B2060" s="27" t="s">
        <v>949</v>
      </c>
      <c r="C2060" s="27" t="s">
        <v>946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936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944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958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1412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1175</v>
      </c>
      <c r="B2065" s="27" t="s">
        <v>1009</v>
      </c>
      <c r="C2065" s="27" t="s">
        <v>931</v>
      </c>
      <c r="D2065" s="27" t="s">
        <v>932</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1181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1593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1600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1042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row>
    <row r="2071" spans="1:12">
      <c r="A2071" s="20" t="s">
        <v>1601</v>
      </c>
    </row>
    <row r="2072" spans="1:12">
      <c r="A2072" s="20" t="s">
        <v>1215</v>
      </c>
      <c r="B2072" s="27" t="s">
        <v>930</v>
      </c>
      <c r="C2072" s="27" t="s">
        <v>931</v>
      </c>
      <c r="D2072" s="27" t="s">
        <v>932</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1176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1602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947</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1288</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1603</v>
      </c>
      <c r="B2077" s="27" t="s">
        <v>991</v>
      </c>
      <c r="C2077" s="27" t="s">
        <v>946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1069</v>
      </c>
      <c r="B2078" s="27" t="s">
        <v>955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1604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958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1134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1176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1309</v>
      </c>
      <c r="B2083" s="27" t="s">
        <v>960</v>
      </c>
      <c r="C2083" s="27" t="s">
        <v>1111</v>
      </c>
      <c r="D2083" s="27" t="s">
        <v>932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1605</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1606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1000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987</v>
      </c>
      <c r="B2087" s="27" t="s">
        <v>978</v>
      </c>
      <c r="C2087" s="27" t="s">
        <v>931</v>
      </c>
      <c r="D2087" s="27" t="s">
        <v>932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958</v>
      </c>
      <c r="B2088" s="27" t="s">
        <v>1196</v>
      </c>
      <c r="C2088" s="27" t="s">
        <v>1061</v>
      </c>
      <c r="D2088" s="27" t="s">
        <v>932</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1607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947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36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1608</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936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1012</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954</v>
      </c>
      <c r="B2095" s="27" t="s">
        <v>968</v>
      </c>
      <c r="C2095" s="27" t="s">
        <v>931</v>
      </c>
      <c r="D2095" s="27" t="s">
        <v>932</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1176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1609</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995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1610</v>
      </c>
      <c r="B2099" s="27" t="s">
        <v>939</v>
      </c>
      <c r="C2099" s="27" t="s">
        <v>946</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936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1279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749</v>
      </c>
      <c r="B2102" s="27" t="s">
        <v>1009</v>
      </c>
      <c r="C2102" s="27" t="s">
        <v>931</v>
      </c>
      <c r="D2102" s="27" t="s">
        <v>932</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1611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749</v>
      </c>
      <c r="B2104" s="27" t="s">
        <v>955</v>
      </c>
      <c r="C2104" s="27" t="s">
        <v>931</v>
      </c>
      <c r="D2104" s="27" t="s">
        <v>932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1201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1593</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1007</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1612</v>
      </c>
      <c r="B2108" s="27" t="s">
        <v>1031</v>
      </c>
      <c r="C2108" s="27" t="s">
        <v>1054</v>
      </c>
      <c r="D2108" s="27" t="s">
        <v>932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1042</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row>
    <row r="2111" spans="1:12">
      <c r="A2111" s="20" t="s">
        <v>1613</v>
      </c>
    </row>
    <row r="2112" spans="1:12">
      <c r="A2112" s="20" t="s">
        <v>1103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1007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1612</v>
      </c>
      <c r="B2114" s="27" t="s">
        <v>930</v>
      </c>
      <c r="C2114" s="27" t="s">
        <v>1054</v>
      </c>
      <c r="D2114" s="27" t="s">
        <v>932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1614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1042</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row>
    <row r="2118" spans="1:12">
      <c r="A2118" s="20" t="s">
        <v>983</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1615</v>
      </c>
    </row>
    <row r="2120" spans="1:12">
      <c r="A2120" s="20" t="s">
        <v>929</v>
      </c>
      <c r="B2120" s="27" t="s">
        <v>930</v>
      </c>
      <c r="C2120" s="27" t="s">
        <v>931</v>
      </c>
      <c r="D2120" s="27" t="s">
        <v>932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1616</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1617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995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958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1618</v>
      </c>
      <c r="B2125" s="27" t="s">
        <v>939</v>
      </c>
      <c r="C2125" s="27" t="s">
        <v>999</v>
      </c>
      <c r="D2125" s="27" t="s">
        <v>932</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1320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928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1103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1007</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1612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1614</v>
      </c>
      <c r="B2131" s="27" t="s">
        <v>942</v>
      </c>
      <c r="C2131" s="27" t="s">
        <v>1054</v>
      </c>
      <c r="D2131" s="27" t="s">
        <v>932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1042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928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row>
    <row r="2135" spans="1:12">
      <c r="A2135" s="20" t="s">
        <v>1619</v>
      </c>
    </row>
    <row r="2136" spans="1:12">
      <c r="A2136" s="20" t="s">
        <v>965</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929</v>
      </c>
      <c r="B2137" s="27" t="s">
        <v>930</v>
      </c>
      <c r="C2137" s="27" t="s">
        <v>931</v>
      </c>
      <c r="D2137" s="27" t="s">
        <v>932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1620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936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1271</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929</v>
      </c>
      <c r="B2141" s="27" t="s">
        <v>968</v>
      </c>
      <c r="C2141" s="27" t="s">
        <v>931</v>
      </c>
      <c r="D2141" s="27" t="s">
        <v>932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1529</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947</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1502</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709</v>
      </c>
      <c r="B2145" s="27" t="s">
        <v>939</v>
      </c>
      <c r="C2145" s="27" t="s">
        <v>946</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936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958</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967</v>
      </c>
      <c r="B2148" s="27" t="s">
        <v>968</v>
      </c>
      <c r="C2148" s="27" t="s">
        <v>931</v>
      </c>
      <c r="D2148" s="27" t="s">
        <v>932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45</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1534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1621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1622</v>
      </c>
      <c r="B2152" s="27" t="s">
        <v>991</v>
      </c>
      <c r="C2152" s="27" t="s">
        <v>1097</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1042</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row>
    <row r="2155" spans="1:12">
      <c r="A2155" s="20" t="s">
        <v>983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1623</v>
      </c>
    </row>
    <row r="2157" spans="1:12">
      <c r="A2157" s="20" t="s">
        <v>1479</v>
      </c>
      <c r="B2157" s="27" t="s">
        <v>930</v>
      </c>
      <c r="C2157" s="27" t="s">
        <v>946</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1418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290</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936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928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1624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272</v>
      </c>
      <c r="B2163" s="27" t="s">
        <v>968</v>
      </c>
      <c r="C2163" s="27" t="s">
        <v>1097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1625</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1064</v>
      </c>
      <c r="B2165" s="27" t="s">
        <v>991</v>
      </c>
      <c r="C2165" s="27" t="s">
        <v>931</v>
      </c>
      <c r="D2165" s="27" t="s">
        <v>932</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1042</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928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row>
    <row r="2169" spans="1:12">
      <c r="A2169" s="20" t="s">
        <v>983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1626</v>
      </c>
    </row>
    <row r="2171" spans="1:12">
      <c r="A2171" s="20" t="s">
        <v>965</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1175</v>
      </c>
      <c r="B2172" s="27" t="s">
        <v>930</v>
      </c>
      <c r="C2172" s="27" t="s">
        <v>931</v>
      </c>
      <c r="D2172" s="27" t="s">
        <v>932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290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936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928</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929</v>
      </c>
      <c r="B2176" s="27" t="s">
        <v>968</v>
      </c>
      <c r="C2176" s="27" t="s">
        <v>931</v>
      </c>
      <c r="D2176" s="27" t="s">
        <v>932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903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1175</v>
      </c>
      <c r="B2178" s="27" t="s">
        <v>991</v>
      </c>
      <c r="C2178" s="27" t="s">
        <v>931</v>
      </c>
      <c r="D2178" s="27" t="s">
        <v>932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936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1627</v>
      </c>
      <c r="B2180" s="27" t="s">
        <v>1025</v>
      </c>
      <c r="C2180" s="27" t="s">
        <v>940</v>
      </c>
      <c r="D2180" s="27" t="s">
        <v>932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1430</v>
      </c>
      <c r="B2181" s="27" t="s">
        <v>1009</v>
      </c>
      <c r="C2181" s="27" t="s">
        <v>1087</v>
      </c>
      <c r="D2181" s="27" t="s">
        <v>932</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1625</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1175</v>
      </c>
      <c r="B2183" s="27" t="s">
        <v>1183</v>
      </c>
      <c r="C2183" s="27" t="s">
        <v>931</v>
      </c>
      <c r="D2183" s="27" t="s">
        <v>932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936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1627</v>
      </c>
      <c r="B2185" s="27" t="s">
        <v>1025</v>
      </c>
      <c r="C2185" s="27" t="s">
        <v>940</v>
      </c>
      <c r="D2185" s="27" t="s">
        <v>932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1086</v>
      </c>
      <c r="B2186" s="27" t="s">
        <v>1009</v>
      </c>
      <c r="C2186" s="27" t="s">
        <v>1087</v>
      </c>
      <c r="D2186" s="27" t="s">
        <v>932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1625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1175</v>
      </c>
      <c r="B2188" s="27" t="s">
        <v>1183</v>
      </c>
      <c r="C2188" s="27" t="s">
        <v>931</v>
      </c>
      <c r="D2188" s="27" t="s">
        <v>932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1042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928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1628</v>
      </c>
    </row>
    <row r="2193" spans="1:12">
      <c r="A2193" s="20" t="s">
        <v>1179</v>
      </c>
      <c r="B2193" s="27" t="s">
        <v>930</v>
      </c>
      <c r="C2193" s="27" t="s">
        <v>931</v>
      </c>
      <c r="D2193" s="27" t="s">
        <v>932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1230</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339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958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272</v>
      </c>
      <c r="B2197" s="27" t="s">
        <v>988</v>
      </c>
      <c r="C2197" s="27" t="s">
        <v>999</v>
      </c>
      <c r="D2197" s="27" t="s">
        <v>932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1629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1630</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936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1032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1631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1063</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1185</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709</v>
      </c>
      <c r="B2205" s="27" t="s">
        <v>942</v>
      </c>
      <c r="C2205" s="27" t="s">
        <v>946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1042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row>
    <row r="2208" spans="1:12">
      <c r="A2208" s="20" t="s">
        <v>983</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1632</v>
      </c>
    </row>
    <row r="2210" spans="1:12">
      <c r="A2210" s="20" t="s">
        <v>1103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709</v>
      </c>
      <c r="B2211" s="27" t="s">
        <v>930</v>
      </c>
      <c r="C2211" s="27" t="s">
        <v>946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1069</v>
      </c>
      <c r="B2212" s="27" t="s">
        <v>1009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1201</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1223</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1418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1315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290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936</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928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1624</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1633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1261</v>
      </c>
      <c r="B2222" s="27" t="s">
        <v>991</v>
      </c>
      <c r="C2222" s="27" t="s">
        <v>1121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749</v>
      </c>
      <c r="B2223" s="27" t="s">
        <v>955</v>
      </c>
      <c r="C2223" s="27" t="s">
        <v>931</v>
      </c>
      <c r="D2223" s="27" t="s">
        <v>932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286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936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749</v>
      </c>
      <c r="B2226" s="27" t="s">
        <v>968</v>
      </c>
      <c r="C2226" s="27" t="s">
        <v>931</v>
      </c>
      <c r="D2226" s="27" t="s">
        <v>932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1181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969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1264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980</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947</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49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937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1007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1351</v>
      </c>
      <c r="B2235" s="27" t="s">
        <v>949</v>
      </c>
      <c r="C2235" s="27" t="s">
        <v>1054</v>
      </c>
      <c r="D2235" s="27" t="s">
        <v>932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1042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928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row>
    <row r="2239" spans="1:12">
      <c r="A2239" s="20" t="s">
        <v>983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1634</v>
      </c>
    </row>
    <row r="2241" spans="1:12">
      <c r="A2241" s="20" t="s">
        <v>1155</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967</v>
      </c>
      <c r="B2242" s="27" t="s">
        <v>930</v>
      </c>
      <c r="C2242" s="27" t="s">
        <v>931</v>
      </c>
      <c r="D2242" s="27" t="s">
        <v>932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1227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290</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936</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928</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1434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1230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36</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1388</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1635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1636</v>
      </c>
      <c r="B2252" s="27" t="s">
        <v>968</v>
      </c>
      <c r="C2252" s="27" t="s">
        <v>1097</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1501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1338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1637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1638</v>
      </c>
      <c r="B2256" s="27" t="s">
        <v>949</v>
      </c>
      <c r="C2256" s="27" t="s">
        <v>1097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1042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row>
    <row r="2259" spans="1:12">
      <c r="A2259" s="20" t="s">
        <v>983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1639</v>
      </c>
    </row>
    <row r="2261" spans="1:12">
      <c r="A2261" s="20" t="s">
        <v>1640</v>
      </c>
      <c r="B2261" s="27" t="s">
        <v>930</v>
      </c>
      <c r="C2261" s="27" t="s">
        <v>1087</v>
      </c>
      <c r="D2261" s="27" t="s">
        <v>932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1000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1387</v>
      </c>
      <c r="B2263" s="27" t="s">
        <v>939</v>
      </c>
      <c r="C2263" s="27" t="s">
        <v>931</v>
      </c>
      <c r="D2263" s="27" t="s">
        <v>932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1056</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1641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937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1642</v>
      </c>
      <c r="B2267" s="27" t="s">
        <v>939</v>
      </c>
      <c r="C2267" s="27" t="s">
        <v>940</v>
      </c>
      <c r="D2267" s="27" t="s">
        <v>932</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1643</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1644</v>
      </c>
      <c r="B2269" s="27" t="s">
        <v>942</v>
      </c>
      <c r="C2269" s="27" t="s">
        <v>1087</v>
      </c>
      <c r="D2269" s="27" t="s">
        <v>932</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1042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928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983</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1645</v>
      </c>
    </row>
    <row r="2275" spans="1:12">
      <c r="A2275" s="20" t="s">
        <v>1646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1372</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1175</v>
      </c>
      <c r="B2277" s="27" t="s">
        <v>930</v>
      </c>
      <c r="C2277" s="27" t="s">
        <v>931</v>
      </c>
      <c r="D2277" s="27" t="s">
        <v>932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45</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947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290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936</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928</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1647</v>
      </c>
      <c r="B2283" s="27" t="s">
        <v>968</v>
      </c>
      <c r="C2283" s="27" t="s">
        <v>1061</v>
      </c>
      <c r="D2283" s="27" t="s">
        <v>932</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1176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1635</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936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1012</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929</v>
      </c>
      <c r="B2288" s="27" t="s">
        <v>1009</v>
      </c>
      <c r="C2288" s="27" t="s">
        <v>931</v>
      </c>
      <c r="D2288" s="27" t="s">
        <v>932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42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749</v>
      </c>
      <c r="B2290" s="27" t="s">
        <v>955</v>
      </c>
      <c r="C2290" s="27" t="s">
        <v>931</v>
      </c>
      <c r="D2290" s="27" t="s">
        <v>932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1157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1648</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1649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1412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1144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1261</v>
      </c>
      <c r="B2296" s="27" t="s">
        <v>1031</v>
      </c>
      <c r="C2296" s="27" t="s">
        <v>1121</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947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45</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1063</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1650</v>
      </c>
      <c r="B2300" s="27" t="s">
        <v>978</v>
      </c>
      <c r="C2300" s="27" t="s">
        <v>946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1042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928</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1651</v>
      </c>
    </row>
    <row r="2305" spans="1:12">
      <c r="A2305" s="20" t="s">
        <v>1652</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1653</v>
      </c>
      <c r="B2306" s="27" t="s">
        <v>942</v>
      </c>
      <c r="C2306" s="27" t="s">
        <v>943</v>
      </c>
      <c r="D2306" s="27" t="s">
        <v>932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1654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row>
    <row r="2309" spans="1:12">
      <c r="A2309" s="20" t="s">
        <v>1655</v>
      </c>
    </row>
    <row r="2310" spans="1:12">
      <c r="A2310" s="20" t="s">
        <v>1656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1152</v>
      </c>
      <c r="B2311" s="27" t="s">
        <v>930</v>
      </c>
      <c r="C2311" s="27" t="s">
        <v>973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1000</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1007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1239</v>
      </c>
      <c r="B2314" s="27" t="s">
        <v>939</v>
      </c>
      <c r="C2314" s="27" t="s">
        <v>1054</v>
      </c>
      <c r="D2314" s="27" t="s">
        <v>932</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936</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1261</v>
      </c>
      <c r="B2316" s="27" t="s">
        <v>1183</v>
      </c>
      <c r="C2316" s="27" t="s">
        <v>1121</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967</v>
      </c>
      <c r="B2317" s="27" t="s">
        <v>1009</v>
      </c>
      <c r="C2317" s="27" t="s">
        <v>931</v>
      </c>
      <c r="D2317" s="27" t="s">
        <v>932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1201</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1657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1056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1125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1546</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936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1012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1658</v>
      </c>
      <c r="B2325" s="27" t="s">
        <v>942</v>
      </c>
      <c r="C2325" s="27" t="s">
        <v>946</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936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944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272</v>
      </c>
      <c r="B2328" s="27" t="s">
        <v>968</v>
      </c>
      <c r="C2328" s="27" t="s">
        <v>1332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1659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947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42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1261</v>
      </c>
      <c r="B2332" s="27" t="s">
        <v>955</v>
      </c>
      <c r="C2332" s="27" t="s">
        <v>1121</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1176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1587</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1660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1056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958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1185</v>
      </c>
      <c r="B2338" s="27" t="s">
        <v>968</v>
      </c>
      <c r="C2338" s="27" t="s">
        <v>1087</v>
      </c>
      <c r="D2338" s="27" t="s">
        <v>932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1000</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1387</v>
      </c>
      <c r="B2340" s="27" t="s">
        <v>949</v>
      </c>
      <c r="C2340" s="27" t="s">
        <v>931</v>
      </c>
      <c r="D2340" s="27" t="s">
        <v>932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28</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1336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996</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1661</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1662</v>
      </c>
      <c r="B2345" s="27" t="s">
        <v>939</v>
      </c>
      <c r="C2345" s="27" t="s">
        <v>999</v>
      </c>
      <c r="D2345" s="27" t="s">
        <v>932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944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967</v>
      </c>
      <c r="B2347" s="27" t="s">
        <v>1009</v>
      </c>
      <c r="C2347" s="27" t="s">
        <v>931</v>
      </c>
      <c r="D2347" s="27" t="s">
        <v>932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286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1114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1663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1387</v>
      </c>
      <c r="B2351" s="27" t="s">
        <v>1183</v>
      </c>
      <c r="C2351" s="27" t="s">
        <v>931</v>
      </c>
      <c r="D2351" s="27" t="s">
        <v>932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1399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1136</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1042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row>
    <row r="2356" spans="1:12">
      <c r="A2356" s="20" t="s">
        <v>1664</v>
      </c>
    </row>
    <row r="2357" spans="1:12">
      <c r="A2357" s="20" t="s">
        <v>1434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961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934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1665</v>
      </c>
      <c r="B2360" s="27" t="s">
        <v>930</v>
      </c>
      <c r="C2360" s="27" t="s">
        <v>973</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929</v>
      </c>
      <c r="B2361" s="27" t="s">
        <v>1009</v>
      </c>
      <c r="C2361" s="27" t="s">
        <v>931</v>
      </c>
      <c r="D2361" s="27" t="s">
        <v>932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1666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1667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937</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1372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934</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1668</v>
      </c>
      <c r="B2367" s="27" t="s">
        <v>955</v>
      </c>
      <c r="C2367" s="27" t="s">
        <v>973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1000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1223</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944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934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1668</v>
      </c>
      <c r="B2372" s="27" t="s">
        <v>978</v>
      </c>
      <c r="C2372" s="27" t="s">
        <v>973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1000</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1669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709</v>
      </c>
      <c r="B2375" s="27" t="s">
        <v>1246</v>
      </c>
      <c r="C2375" s="27" t="s">
        <v>946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970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1670</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947</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1383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934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1671</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1672</v>
      </c>
      <c r="B2382" s="27" t="s">
        <v>982</v>
      </c>
      <c r="C2382" s="27" t="s">
        <v>973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1063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1013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130</v>
      </c>
      <c r="B2385" s="27" t="s">
        <v>1078</v>
      </c>
      <c r="C2385" s="27" t="s">
        <v>973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936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944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1032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1007</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1351</v>
      </c>
      <c r="B2390" s="27" t="s">
        <v>978</v>
      </c>
      <c r="C2390" s="27" t="s">
        <v>1054</v>
      </c>
      <c r="D2390" s="27" t="s">
        <v>932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1000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1007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130</v>
      </c>
      <c r="B2393" s="27" t="s">
        <v>1246</v>
      </c>
      <c r="C2393" s="27" t="s">
        <v>1054</v>
      </c>
      <c r="D2393" s="27" t="s">
        <v>932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936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967</v>
      </c>
      <c r="B2395" s="27" t="s">
        <v>1200</v>
      </c>
      <c r="C2395" s="27" t="s">
        <v>931</v>
      </c>
      <c r="D2395" s="27" t="s">
        <v>932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970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1670</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1335</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1534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1459</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1673</v>
      </c>
      <c r="B2401" s="27" t="s">
        <v>1167</v>
      </c>
      <c r="C2401" s="27" t="s">
        <v>1097</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967</v>
      </c>
      <c r="B2402" s="27" t="s">
        <v>1251</v>
      </c>
      <c r="C2402" s="27" t="s">
        <v>931</v>
      </c>
      <c r="D2402" s="27" t="s">
        <v>932</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977</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967</v>
      </c>
      <c r="B2404" s="27" t="s">
        <v>1491</v>
      </c>
      <c r="C2404" s="27" t="s">
        <v>931</v>
      </c>
      <c r="D2404" s="27" t="s">
        <v>932</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1065</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1674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1042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1675</v>
      </c>
    </row>
    <row r="2410" spans="1:12">
      <c r="A2410" s="20" t="s">
        <v>1123</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1502</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1668</v>
      </c>
      <c r="B2412" s="27" t="s">
        <v>930</v>
      </c>
      <c r="C2412" s="27" t="s">
        <v>1054</v>
      </c>
      <c r="D2412" s="27" t="s">
        <v>932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961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1676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1677</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947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1678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1336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52</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1679</v>
      </c>
      <c r="B2420" s="27" t="s">
        <v>939</v>
      </c>
      <c r="C2420" s="27" t="s">
        <v>1097</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936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944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1669</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709</v>
      </c>
      <c r="B2425" s="27" t="s">
        <v>968</v>
      </c>
      <c r="C2425" s="27" t="s">
        <v>1054</v>
      </c>
      <c r="D2425" s="27" t="s">
        <v>932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1680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1501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944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92</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1681</v>
      </c>
      <c r="B2431" s="27" t="s">
        <v>949</v>
      </c>
      <c r="C2431" s="27" t="s">
        <v>1097</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1271</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1534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1459</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1673</v>
      </c>
      <c r="B2435" s="27" t="s">
        <v>939</v>
      </c>
      <c r="C2435" s="27" t="s">
        <v>1097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16</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1271</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967</v>
      </c>
      <c r="B2438" s="27" t="s">
        <v>1009</v>
      </c>
      <c r="C2438" s="27" t="s">
        <v>931</v>
      </c>
      <c r="D2438" s="27" t="s">
        <v>932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1065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1374</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1674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1042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1682</v>
      </c>
    </row>
    <row r="2445" spans="1:12">
      <c r="A2445" s="20" t="s">
        <v>1656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1152</v>
      </c>
      <c r="B2446" s="27" t="s">
        <v>930</v>
      </c>
      <c r="C2446" s="27" t="s">
        <v>973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1000</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709</v>
      </c>
      <c r="B2448" s="27" t="s">
        <v>939</v>
      </c>
      <c r="C2448" s="27" t="s">
        <v>946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1232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936</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966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929</v>
      </c>
      <c r="B2452" s="27" t="s">
        <v>955</v>
      </c>
      <c r="C2452" s="27" t="s">
        <v>931</v>
      </c>
      <c r="D2452" s="27" t="s">
        <v>932</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1683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947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1684</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1336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938</v>
      </c>
      <c r="B2457" s="27" t="s">
        <v>978</v>
      </c>
      <c r="C2457" s="27" t="s">
        <v>940</v>
      </c>
      <c r="D2457" s="27" t="s">
        <v>932</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1040</v>
      </c>
      <c r="B2458" s="27" t="s">
        <v>1078</v>
      </c>
      <c r="C2458" s="27" t="s">
        <v>1087</v>
      </c>
      <c r="D2458" s="27" t="s">
        <v>932</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936</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958</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954</v>
      </c>
      <c r="B2461" s="27" t="s">
        <v>1009</v>
      </c>
      <c r="C2461" s="27" t="s">
        <v>931</v>
      </c>
      <c r="D2461" s="27" t="s">
        <v>932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1685</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36</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1399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1609</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947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36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1160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1000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958</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1686</v>
      </c>
      <c r="B2471" s="27" t="s">
        <v>949</v>
      </c>
      <c r="C2471" s="27" t="s">
        <v>999</v>
      </c>
      <c r="D2471" s="27" t="s">
        <v>932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936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947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45</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709</v>
      </c>
      <c r="B2475" s="27" t="s">
        <v>968</v>
      </c>
      <c r="C2475" s="27" t="s">
        <v>946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28</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1042</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row>
    <row r="2479" spans="1:12">
      <c r="A2479" s="20" t="s">
        <v>983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1687</v>
      </c>
    </row>
    <row r="2481" spans="1:12">
      <c r="A2481" s="20" t="s">
        <v>1398</v>
      </c>
      <c r="B2481" s="27" t="s">
        <v>930</v>
      </c>
      <c r="C2481" s="27" t="s">
        <v>931</v>
      </c>
      <c r="D2481" s="27" t="s">
        <v>932</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1232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936</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928</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1688</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709</v>
      </c>
      <c r="B2486" s="27" t="s">
        <v>968</v>
      </c>
      <c r="C2486" s="27" t="s">
        <v>946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384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947</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1175</v>
      </c>
      <c r="B2489" s="27" t="s">
        <v>939</v>
      </c>
      <c r="C2489" s="27" t="s">
        <v>931</v>
      </c>
      <c r="D2489" s="27" t="s">
        <v>932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1689</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1325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928</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row>
    <row r="2494" spans="1:12">
      <c r="A2494" s="20" t="s">
        <v>983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1690</v>
      </c>
    </row>
    <row r="2496" spans="1:12">
      <c r="A2496" s="20" t="s">
        <v>929</v>
      </c>
      <c r="B2496" s="27" t="s">
        <v>930</v>
      </c>
      <c r="C2496" s="27" t="s">
        <v>931</v>
      </c>
      <c r="D2496" s="27" t="s">
        <v>932</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1232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936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928</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1691</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936</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709</v>
      </c>
      <c r="B2502" s="27" t="s">
        <v>968</v>
      </c>
      <c r="C2502" s="27" t="s">
        <v>946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384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947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1064</v>
      </c>
      <c r="B2505" s="27" t="s">
        <v>939</v>
      </c>
      <c r="C2505" s="27" t="s">
        <v>931</v>
      </c>
      <c r="D2505" s="27" t="s">
        <v>932</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1689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1042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1692</v>
      </c>
    </row>
    <row r="2510" spans="1:12">
      <c r="A2510" s="20" t="s">
        <v>1398</v>
      </c>
      <c r="B2510" s="27" t="s">
        <v>930</v>
      </c>
      <c r="C2510" s="27" t="s">
        <v>931</v>
      </c>
      <c r="D2510" s="27" t="s">
        <v>932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384</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947</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1064</v>
      </c>
      <c r="B2513" s="27" t="s">
        <v>942</v>
      </c>
      <c r="C2513" s="27" t="s">
        <v>931</v>
      </c>
      <c r="D2513" s="27" t="s">
        <v>932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1689</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1693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1271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967</v>
      </c>
      <c r="B2517" s="27" t="s">
        <v>968</v>
      </c>
      <c r="C2517" s="27" t="s">
        <v>931</v>
      </c>
      <c r="D2517" s="27" t="s">
        <v>932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139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1694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1064</v>
      </c>
      <c r="B2520" s="27" t="s">
        <v>1183</v>
      </c>
      <c r="C2520" s="27" t="s">
        <v>931</v>
      </c>
      <c r="D2520" s="27" t="s">
        <v>932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1336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1188</v>
      </c>
      <c r="B2522" s="27" t="s">
        <v>1025</v>
      </c>
      <c r="C2522" s="27" t="s">
        <v>940</v>
      </c>
      <c r="D2522" s="27" t="s">
        <v>932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1467</v>
      </c>
      <c r="B2523" s="27" t="s">
        <v>949</v>
      </c>
      <c r="C2523" s="27" t="s">
        <v>1087</v>
      </c>
      <c r="D2523" s="27" t="s">
        <v>932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936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1242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1188</v>
      </c>
      <c r="B2526" s="27" t="s">
        <v>978</v>
      </c>
      <c r="C2526" s="27" t="s">
        <v>940</v>
      </c>
      <c r="D2526" s="27" t="s">
        <v>932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1695</v>
      </c>
      <c r="B2527" s="27" t="s">
        <v>1078</v>
      </c>
      <c r="C2527" s="27" t="s">
        <v>1087</v>
      </c>
      <c r="D2527" s="27" t="s">
        <v>932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1176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1467</v>
      </c>
      <c r="B2529" s="27" t="s">
        <v>1025</v>
      </c>
      <c r="C2529" s="27" t="s">
        <v>1087</v>
      </c>
      <c r="D2529" s="27" t="s">
        <v>932</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936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1242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1188</v>
      </c>
      <c r="B2532" s="27" t="s">
        <v>978</v>
      </c>
      <c r="C2532" s="27" t="s">
        <v>940</v>
      </c>
      <c r="D2532" s="27" t="s">
        <v>932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1532</v>
      </c>
      <c r="B2533" s="27" t="s">
        <v>1078</v>
      </c>
      <c r="C2533" s="27" t="s">
        <v>1087</v>
      </c>
      <c r="D2533" s="27" t="s">
        <v>932</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1176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1467</v>
      </c>
      <c r="B2535" s="27" t="s">
        <v>1025</v>
      </c>
      <c r="C2535" s="27" t="s">
        <v>1087</v>
      </c>
      <c r="D2535" s="27" t="s">
        <v>932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1042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row>
    <row r="2538" spans="1:12">
      <c r="A2538" s="20" t="s">
        <v>1696</v>
      </c>
    </row>
    <row r="2539" spans="1:12">
      <c r="A2539" s="20" t="s">
        <v>1697</v>
      </c>
      <c r="B2539" s="27" t="s">
        <v>930</v>
      </c>
      <c r="C2539" s="27" t="s">
        <v>946</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1201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1698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1279</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1412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929</v>
      </c>
      <c r="B2544" s="27" t="s">
        <v>968</v>
      </c>
      <c r="C2544" s="27" t="s">
        <v>931</v>
      </c>
      <c r="D2544" s="27" t="s">
        <v>932</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28</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958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1040</v>
      </c>
      <c r="B2547" s="27" t="s">
        <v>1009</v>
      </c>
      <c r="C2547" s="27" t="s">
        <v>946</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1056</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1007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1699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1700</v>
      </c>
      <c r="B2551" s="27" t="s">
        <v>939</v>
      </c>
      <c r="C2551" s="27" t="s">
        <v>1054</v>
      </c>
      <c r="D2551" s="27" t="s">
        <v>932</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958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1701</v>
      </c>
      <c r="B2553" s="27" t="s">
        <v>955</v>
      </c>
      <c r="C2553" s="27" t="s">
        <v>1332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1599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1042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row>
    <row r="2557" spans="1:12">
      <c r="A2557" s="20" t="s">
        <v>983</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1702</v>
      </c>
    </row>
    <row r="2559" spans="1:12">
      <c r="A2559" s="20" t="s">
        <v>929</v>
      </c>
      <c r="B2559" s="27" t="s">
        <v>930</v>
      </c>
      <c r="C2559" s="27" t="s">
        <v>931</v>
      </c>
      <c r="D2559" s="27" t="s">
        <v>932</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1340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934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1703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1096</v>
      </c>
      <c r="B2563" s="27" t="s">
        <v>939</v>
      </c>
      <c r="C2563" s="27" t="s">
        <v>973</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1413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947</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934</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1704</v>
      </c>
      <c r="B2567" s="27" t="s">
        <v>942</v>
      </c>
      <c r="C2567" s="27" t="s">
        <v>973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936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944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1144</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1705</v>
      </c>
      <c r="B2571" s="27" t="s">
        <v>942</v>
      </c>
      <c r="C2571" s="27" t="s">
        <v>943</v>
      </c>
      <c r="D2571" s="27" t="s">
        <v>932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1000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1007</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1105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1275</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1704</v>
      </c>
      <c r="B2577" s="27" t="s">
        <v>939</v>
      </c>
      <c r="C2577" s="27" t="s">
        <v>1054</v>
      </c>
      <c r="D2577" s="27" t="s">
        <v>932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936</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272</v>
      </c>
      <c r="B2579" s="27" t="s">
        <v>968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1007</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1706</v>
      </c>
      <c r="B2582" s="27" t="s">
        <v>949</v>
      </c>
      <c r="C2582" s="27" t="s">
        <v>1054</v>
      </c>
      <c r="D2582" s="27" t="s">
        <v>932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1707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1064</v>
      </c>
      <c r="B2584" s="27" t="s">
        <v>991</v>
      </c>
      <c r="C2584" s="27" t="s">
        <v>931</v>
      </c>
      <c r="D2584" s="27" t="s">
        <v>932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1708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936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944</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1549</v>
      </c>
      <c r="B2588" s="27" t="s">
        <v>968</v>
      </c>
      <c r="C2588" s="27" t="s">
        <v>931</v>
      </c>
      <c r="D2588" s="27" t="s">
        <v>932</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1232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936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928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929</v>
      </c>
      <c r="B2592" s="27" t="s">
        <v>1009</v>
      </c>
      <c r="C2592" s="27" t="s">
        <v>931</v>
      </c>
      <c r="D2592" s="27" t="s">
        <v>932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1709</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1095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1040</v>
      </c>
      <c r="B2595" s="27" t="s">
        <v>949</v>
      </c>
      <c r="C2595" s="27" t="s">
        <v>946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944</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929</v>
      </c>
      <c r="B2597" s="27" t="s">
        <v>955</v>
      </c>
      <c r="C2597" s="27" t="s">
        <v>931</v>
      </c>
      <c r="D2597" s="27" t="s">
        <v>932</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1305</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934</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1459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1710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1336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954</v>
      </c>
      <c r="B2603" s="27" t="s">
        <v>1025</v>
      </c>
      <c r="C2603" s="27" t="s">
        <v>931</v>
      </c>
      <c r="D2603" s="27" t="s">
        <v>932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936</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1012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929</v>
      </c>
      <c r="B2606" s="27" t="s">
        <v>968</v>
      </c>
      <c r="C2606" s="27" t="s">
        <v>931</v>
      </c>
      <c r="D2606" s="27" t="s">
        <v>932</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1590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1074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1711</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1317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1327</v>
      </c>
      <c r="B2611" s="27" t="s">
        <v>991</v>
      </c>
      <c r="C2611" s="27" t="s">
        <v>999</v>
      </c>
      <c r="D2611" s="27" t="s">
        <v>932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936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929</v>
      </c>
      <c r="B2614" s="27" t="s">
        <v>1009</v>
      </c>
      <c r="C2614" s="27" t="s">
        <v>931</v>
      </c>
      <c r="D2614" s="27" t="s">
        <v>932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1264</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1119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947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466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1175</v>
      </c>
      <c r="B2619" s="27" t="s">
        <v>1031</v>
      </c>
      <c r="C2619" s="27" t="s">
        <v>931</v>
      </c>
      <c r="D2619" s="27" t="s">
        <v>932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1261</v>
      </c>
      <c r="B2620" s="27" t="s">
        <v>982</v>
      </c>
      <c r="C2620" s="27" t="s">
        <v>1121</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1175</v>
      </c>
      <c r="B2621" s="27" t="s">
        <v>960</v>
      </c>
      <c r="C2621" s="27" t="s">
        <v>931</v>
      </c>
      <c r="D2621" s="27" t="s">
        <v>932</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42</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1325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928</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1712</v>
      </c>
    </row>
    <row r="2627" spans="1:12">
      <c r="A2627" s="20" t="s">
        <v>965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1209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929</v>
      </c>
      <c r="B2629" s="27" t="s">
        <v>930</v>
      </c>
      <c r="C2629" s="27" t="s">
        <v>931</v>
      </c>
      <c r="D2629" s="27" t="s">
        <v>932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1113</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938</v>
      </c>
      <c r="B2631" s="27" t="s">
        <v>942</v>
      </c>
      <c r="C2631" s="27" t="s">
        <v>940</v>
      </c>
      <c r="D2631" s="27" t="s">
        <v>932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396</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947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1713</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1537</v>
      </c>
      <c r="B2635" s="27" t="s">
        <v>991</v>
      </c>
      <c r="C2635" s="27" t="s">
        <v>931</v>
      </c>
      <c r="D2635" s="27" t="s">
        <v>932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1058</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1714</v>
      </c>
      <c r="B2637" s="27" t="s">
        <v>991</v>
      </c>
      <c r="C2637" s="27" t="s">
        <v>1061</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1271</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929</v>
      </c>
      <c r="B2639" s="27" t="s">
        <v>1009</v>
      </c>
      <c r="C2639" s="27" t="s">
        <v>931</v>
      </c>
      <c r="D2639" s="27" t="s">
        <v>932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1070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1042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row>
    <row r="2643" spans="1:12">
      <c r="A2643" s="20" t="s">
        <v>983</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1715</v>
      </c>
    </row>
    <row r="2645" spans="1:12">
      <c r="A2645" s="20" t="s">
        <v>965</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985</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1549</v>
      </c>
      <c r="B2647" s="27" t="s">
        <v>930</v>
      </c>
      <c r="C2647" s="27" t="s">
        <v>931</v>
      </c>
      <c r="D2647" s="27" t="s">
        <v>932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1232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936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928</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1179</v>
      </c>
      <c r="B2651" s="27" t="s">
        <v>1009</v>
      </c>
      <c r="C2651" s="27" t="s">
        <v>931</v>
      </c>
      <c r="D2651" s="27" t="s">
        <v>932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28</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936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938</v>
      </c>
      <c r="B2654" s="27" t="s">
        <v>949</v>
      </c>
      <c r="C2654" s="27" t="s">
        <v>940</v>
      </c>
      <c r="D2654" s="27" t="s">
        <v>932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1716</v>
      </c>
      <c r="B2655" s="27" t="s">
        <v>968</v>
      </c>
      <c r="C2655" s="27" t="s">
        <v>1087</v>
      </c>
      <c r="D2655" s="27" t="s">
        <v>932</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1138</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1717</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181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1317</v>
      </c>
      <c r="B2659" s="27" t="s">
        <v>991</v>
      </c>
      <c r="C2659" s="27" t="s">
        <v>1061</v>
      </c>
      <c r="D2659" s="27" t="s">
        <v>932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1042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row>
    <row r="2662" spans="1:12">
      <c r="A2662" s="20" t="s">
        <v>983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1718</v>
      </c>
    </row>
    <row r="2664" spans="1:12">
      <c r="A2664" s="20" t="s">
        <v>1719</v>
      </c>
      <c r="B2664" s="27" t="s">
        <v>930</v>
      </c>
      <c r="C2664" s="27" t="s">
        <v>931</v>
      </c>
      <c r="D2664" s="27" t="s">
        <v>932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1176</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1587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1007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1216</v>
      </c>
      <c r="B2668" s="27" t="s">
        <v>942</v>
      </c>
      <c r="C2668" s="27" t="s">
        <v>1054</v>
      </c>
      <c r="D2668" s="27" t="s">
        <v>932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1000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1720</v>
      </c>
      <c r="B2670" s="27" t="s">
        <v>942</v>
      </c>
      <c r="C2670" s="27" t="s">
        <v>946</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947</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1721</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1317</v>
      </c>
      <c r="B2673" s="27" t="s">
        <v>968</v>
      </c>
      <c r="C2673" s="27" t="s">
        <v>1061</v>
      </c>
      <c r="D2673" s="27" t="s">
        <v>932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1138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1114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451</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1116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1722</v>
      </c>
      <c r="B2678" s="27" t="s">
        <v>991</v>
      </c>
      <c r="C2678" s="27" t="s">
        <v>973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936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1209</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936</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1175</v>
      </c>
      <c r="B2682" s="27" t="s">
        <v>968</v>
      </c>
      <c r="C2682" s="27" t="s">
        <v>931</v>
      </c>
      <c r="D2682" s="27" t="s">
        <v>932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28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936</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954</v>
      </c>
      <c r="B2685" s="27" t="s">
        <v>968</v>
      </c>
      <c r="C2685" s="27" t="s">
        <v>931</v>
      </c>
      <c r="D2685" s="27" t="s">
        <v>932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1176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1264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1501</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1387</v>
      </c>
      <c r="B2689" s="27" t="s">
        <v>942</v>
      </c>
      <c r="C2689" s="27" t="s">
        <v>931</v>
      </c>
      <c r="D2689" s="27" t="s">
        <v>932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1042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928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1723</v>
      </c>
    </row>
    <row r="2694" spans="1:12">
      <c r="A2694" s="20" t="s">
        <v>965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929</v>
      </c>
      <c r="B2695" s="27" t="s">
        <v>930</v>
      </c>
      <c r="C2695" s="27" t="s">
        <v>931</v>
      </c>
      <c r="D2695" s="27" t="s">
        <v>932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1232</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936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983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1724</v>
      </c>
    </row>
    <row r="2701" spans="1:12">
      <c r="A2701" s="20" t="s">
        <v>928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1691</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936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958</v>
      </c>
      <c r="B2704" s="27" t="s">
        <v>930</v>
      </c>
      <c r="C2704" s="27" t="s">
        <v>1061</v>
      </c>
      <c r="D2704" s="27" t="s">
        <v>932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1176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1725</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1042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928</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row>
    <row r="2710" spans="1:12">
      <c r="A2710" s="20" t="s">
        <v>983</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1726</v>
      </c>
    </row>
    <row r="2712" spans="1:12">
      <c r="A2712" s="20" t="s">
        <v>1727</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1728</v>
      </c>
      <c r="B2713" s="27" t="s">
        <v>942</v>
      </c>
      <c r="C2713" s="27" t="s">
        <v>943</v>
      </c>
      <c r="D2713" s="27" t="s">
        <v>932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1000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1007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997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1704</v>
      </c>
      <c r="B2717" s="27" t="s">
        <v>939</v>
      </c>
      <c r="C2717" s="27" t="s">
        <v>1054</v>
      </c>
      <c r="D2717" s="27" t="s">
        <v>932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936</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1537</v>
      </c>
      <c r="B2719" s="27" t="s">
        <v>939</v>
      </c>
      <c r="C2719" s="27" t="s">
        <v>940</v>
      </c>
      <c r="D2719" s="27" t="s">
        <v>932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1716</v>
      </c>
      <c r="B2720" s="27" t="s">
        <v>930</v>
      </c>
      <c r="C2720" s="27" t="s">
        <v>1087</v>
      </c>
      <c r="D2720" s="27" t="s">
        <v>932</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1707</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1064</v>
      </c>
      <c r="B2722" s="27" t="s">
        <v>988</v>
      </c>
      <c r="C2722" s="27" t="s">
        <v>931</v>
      </c>
      <c r="D2722" s="27" t="s">
        <v>932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1708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936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944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1729</v>
      </c>
      <c r="B2726" s="27" t="s">
        <v>968</v>
      </c>
      <c r="C2726" s="27" t="s">
        <v>931</v>
      </c>
      <c r="D2726" s="27" t="s">
        <v>932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1232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936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928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1085</v>
      </c>
      <c r="B2730" s="27" t="s">
        <v>1025</v>
      </c>
      <c r="C2730" s="27" t="s">
        <v>940</v>
      </c>
      <c r="D2730" s="27" t="s">
        <v>932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1430</v>
      </c>
      <c r="B2731" s="27" t="s">
        <v>1009</v>
      </c>
      <c r="C2731" s="27" t="s">
        <v>1087</v>
      </c>
      <c r="D2731" s="27" t="s">
        <v>932</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1138</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1114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42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958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929</v>
      </c>
      <c r="B2736" s="27" t="s">
        <v>955</v>
      </c>
      <c r="C2736" s="27" t="s">
        <v>931</v>
      </c>
      <c r="D2736" s="27" t="s">
        <v>932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961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1587</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1136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1000</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934</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1720</v>
      </c>
      <c r="B2742" s="27" t="s">
        <v>1025</v>
      </c>
      <c r="C2742" s="27" t="s">
        <v>973</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1072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1549</v>
      </c>
      <c r="B2744" s="27" t="s">
        <v>1200</v>
      </c>
      <c r="C2744" s="27" t="s">
        <v>931</v>
      </c>
      <c r="D2744" s="27" t="s">
        <v>932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1345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1317</v>
      </c>
      <c r="B2746" s="27" t="s">
        <v>1167</v>
      </c>
      <c r="C2746" s="27" t="s">
        <v>1061</v>
      </c>
      <c r="D2746" s="27" t="s">
        <v>932</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936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1012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929</v>
      </c>
      <c r="B2749" s="27" t="s">
        <v>1196</v>
      </c>
      <c r="C2749" s="27" t="s">
        <v>931</v>
      </c>
      <c r="D2749" s="27" t="s">
        <v>932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1590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1074</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1730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995</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1317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1040</v>
      </c>
      <c r="B2755" s="27" t="s">
        <v>1246</v>
      </c>
      <c r="C2755" s="27" t="s">
        <v>999</v>
      </c>
      <c r="D2755" s="27" t="s">
        <v>932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944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929</v>
      </c>
      <c r="B2757" s="27" t="s">
        <v>1196</v>
      </c>
      <c r="C2757" s="27" t="s">
        <v>931</v>
      </c>
      <c r="D2757" s="27" t="s">
        <v>932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1305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1711</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1016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1327</v>
      </c>
      <c r="B2761" s="27" t="s">
        <v>1390</v>
      </c>
      <c r="C2761" s="27" t="s">
        <v>1097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936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944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929</v>
      </c>
      <c r="B2764" s="27" t="s">
        <v>1196</v>
      </c>
      <c r="C2764" s="27" t="s">
        <v>931</v>
      </c>
      <c r="D2764" s="27" t="s">
        <v>932</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1731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1261</v>
      </c>
      <c r="B2766" s="27" t="s">
        <v>1250</v>
      </c>
      <c r="C2766" s="27" t="s">
        <v>1121</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1175</v>
      </c>
      <c r="B2767" s="27" t="s">
        <v>1251</v>
      </c>
      <c r="C2767" s="27" t="s">
        <v>931</v>
      </c>
      <c r="D2767" s="27" t="s">
        <v>932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42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1325</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928</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row>
    <row r="2772" spans="1:12">
      <c r="A2772" s="20" t="s">
        <v>1732</v>
      </c>
    </row>
    <row r="2773" spans="1:12">
      <c r="A2773" s="20" t="s">
        <v>1398</v>
      </c>
      <c r="B2773" s="27" t="s">
        <v>930</v>
      </c>
      <c r="C2773" s="27" t="s">
        <v>931</v>
      </c>
      <c r="D2773" s="27" t="s">
        <v>932</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970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1733</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1007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997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1327</v>
      </c>
      <c r="B2778" s="27" t="s">
        <v>988</v>
      </c>
      <c r="C2778" s="27" t="s">
        <v>1054</v>
      </c>
      <c r="D2778" s="27" t="s">
        <v>932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937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1338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1698</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1734</v>
      </c>
      <c r="B2782" s="27" t="s">
        <v>942</v>
      </c>
      <c r="C2782" s="27" t="s">
        <v>1097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937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1007</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997</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1735</v>
      </c>
      <c r="B2786" s="27" t="s">
        <v>939</v>
      </c>
      <c r="C2786" s="27" t="s">
        <v>1054</v>
      </c>
      <c r="D2786" s="27" t="s">
        <v>932</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1042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row>
    <row r="2789" spans="1:12">
      <c r="A2789" s="20" t="s">
        <v>1736</v>
      </c>
    </row>
    <row r="2790" spans="1:12">
      <c r="A2790" s="20" t="s">
        <v>965</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929</v>
      </c>
      <c r="B2791" s="27" t="s">
        <v>930</v>
      </c>
      <c r="C2791" s="27" t="s">
        <v>931</v>
      </c>
      <c r="D2791" s="27" t="s">
        <v>932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1232</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958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929</v>
      </c>
      <c r="B2794" s="27" t="s">
        <v>968</v>
      </c>
      <c r="C2794" s="27" t="s">
        <v>931</v>
      </c>
      <c r="D2794" s="27" t="s">
        <v>932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977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1737</v>
      </c>
      <c r="B2796" s="27" t="s">
        <v>1009</v>
      </c>
      <c r="C2796" s="27" t="s">
        <v>946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1678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1007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1738</v>
      </c>
      <c r="B2799" s="27" t="s">
        <v>1025</v>
      </c>
      <c r="C2799" s="27" t="s">
        <v>1054</v>
      </c>
      <c r="D2799" s="27" t="s">
        <v>932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1739</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36</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1740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1016</v>
      </c>
      <c r="B2803" s="27" t="s">
        <v>1183</v>
      </c>
      <c r="C2803" s="27" t="s">
        <v>1087</v>
      </c>
      <c r="D2803" s="27" t="s">
        <v>932</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1000</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1188</v>
      </c>
      <c r="B2805" s="27" t="s">
        <v>1078</v>
      </c>
      <c r="C2805" s="27" t="s">
        <v>940</v>
      </c>
      <c r="D2805" s="27" t="s">
        <v>932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1741</v>
      </c>
      <c r="B2806" s="27" t="s">
        <v>1025</v>
      </c>
      <c r="C2806" s="27" t="s">
        <v>1087</v>
      </c>
      <c r="D2806" s="27" t="s">
        <v>932</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1042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1742</v>
      </c>
    </row>
    <row r="2810" spans="1:12">
      <c r="A2810" s="20" t="s">
        <v>1103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929</v>
      </c>
      <c r="B2811" s="27" t="s">
        <v>930</v>
      </c>
      <c r="C2811" s="27" t="s">
        <v>931</v>
      </c>
      <c r="D2811" s="27" t="s">
        <v>932</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961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1315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1743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1472</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1007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1744</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1745</v>
      </c>
      <c r="B2818" s="27" t="s">
        <v>942</v>
      </c>
      <c r="C2818" s="27" t="s">
        <v>1054</v>
      </c>
      <c r="D2818" s="27" t="s">
        <v>932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1000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1058</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1746</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1747</v>
      </c>
      <c r="B2822" s="27" t="s">
        <v>939</v>
      </c>
      <c r="C2822" s="27" t="s">
        <v>1061</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row>
    <row r="2825" spans="1:12">
      <c r="A2825" s="20" t="s">
        <v>1748</v>
      </c>
    </row>
    <row r="2826" spans="1:12">
      <c r="A2826" s="20" t="s">
        <v>1425</v>
      </c>
      <c r="B2826" s="27" t="s">
        <v>930</v>
      </c>
      <c r="C2826" s="27" t="s">
        <v>943</v>
      </c>
      <c r="D2826" s="27" t="s">
        <v>932</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1056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1209</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1749</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1042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row>
    <row r="2832" spans="1:12">
      <c r="A2832" s="20" t="s">
        <v>1750</v>
      </c>
    </row>
    <row r="2833" spans="1:12">
      <c r="A2833" s="20" t="s">
        <v>1215</v>
      </c>
      <c r="B2833" s="27" t="s">
        <v>930</v>
      </c>
      <c r="C2833" s="27" t="s">
        <v>931</v>
      </c>
      <c r="D2833" s="27" t="s">
        <v>932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1751</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1164</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1209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1136</v>
      </c>
      <c r="B2837" s="27" t="s">
        <v>988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1000</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1627</v>
      </c>
      <c r="B2839" s="27" t="s">
        <v>949</v>
      </c>
      <c r="C2839" s="27" t="s">
        <v>940</v>
      </c>
      <c r="D2839" s="27" t="s">
        <v>932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1239</v>
      </c>
      <c r="B2840" s="27" t="s">
        <v>939</v>
      </c>
      <c r="C2840" s="27" t="s">
        <v>1087</v>
      </c>
      <c r="D2840" s="27" t="s">
        <v>932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944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1752</v>
      </c>
      <c r="B2842" s="27" t="s">
        <v>949</v>
      </c>
      <c r="C2842" s="27" t="s">
        <v>946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936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944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1753</v>
      </c>
      <c r="B2845" s="27" t="s">
        <v>939</v>
      </c>
      <c r="C2845" s="27" t="s">
        <v>946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1336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954</v>
      </c>
      <c r="B2847" s="27" t="s">
        <v>949</v>
      </c>
      <c r="C2847" s="27" t="s">
        <v>931</v>
      </c>
      <c r="D2847" s="27" t="s">
        <v>932</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936</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954</v>
      </c>
      <c r="B2849" s="27" t="s">
        <v>968</v>
      </c>
      <c r="C2849" s="27" t="s">
        <v>931</v>
      </c>
      <c r="D2849" s="27" t="s">
        <v>932</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1587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1252</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451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1007</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1040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1754</v>
      </c>
      <c r="B2855" s="27" t="s">
        <v>991</v>
      </c>
      <c r="C2855" s="27" t="s">
        <v>1054</v>
      </c>
      <c r="D2855" s="27" t="s">
        <v>932</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1042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1755</v>
      </c>
    </row>
    <row r="2859" spans="1:12">
      <c r="A2859" s="20" t="s">
        <v>965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985</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929</v>
      </c>
      <c r="B2861" s="27" t="s">
        <v>930</v>
      </c>
      <c r="C2861" s="27" t="s">
        <v>931</v>
      </c>
      <c r="D2861" s="27" t="s">
        <v>932</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1004</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1212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1336</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969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1007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1756</v>
      </c>
      <c r="B2867" s="27" t="s">
        <v>991</v>
      </c>
      <c r="C2867" s="27" t="s">
        <v>1054</v>
      </c>
      <c r="D2867" s="27" t="s">
        <v>932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709</v>
      </c>
      <c r="B2868" s="27" t="s">
        <v>955</v>
      </c>
      <c r="C2868" s="27" t="s">
        <v>946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451</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1192</v>
      </c>
      <c r="B2870" s="27" t="s">
        <v>1031</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1460</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1042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row>
    <row r="2874" spans="1:12">
      <c r="A2874" s="20" t="s">
        <v>1757</v>
      </c>
    </row>
    <row r="2875" spans="1:12">
      <c r="A2875" s="20" t="s">
        <v>929</v>
      </c>
      <c r="B2875" s="27" t="s">
        <v>930</v>
      </c>
      <c r="C2875" s="27" t="s">
        <v>931</v>
      </c>
      <c r="D2875" s="27" t="s">
        <v>932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1073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1311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1553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1271</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934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1758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1759</v>
      </c>
      <c r="B2882" s="27" t="s">
        <v>942</v>
      </c>
      <c r="C2882" s="27" t="s">
        <v>973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1042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row>
    <row r="2885" spans="1:12">
      <c r="A2885" s="20" t="s">
        <v>1760</v>
      </c>
    </row>
    <row r="2886" spans="1:12">
      <c r="A2886" s="20" t="s">
        <v>929</v>
      </c>
      <c r="B2886" s="27" t="s">
        <v>930</v>
      </c>
      <c r="C2886" s="27" t="s">
        <v>931</v>
      </c>
      <c r="D2886" s="27" t="s">
        <v>932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1134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970</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934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1703</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1761</v>
      </c>
      <c r="B2892" s="27" t="s">
        <v>968</v>
      </c>
      <c r="C2892" s="27" t="s">
        <v>973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1000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1313</v>
      </c>
      <c r="B2894" s="27" t="s">
        <v>949</v>
      </c>
      <c r="C2894" s="27" t="s">
        <v>946</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958</v>
      </c>
      <c r="B2895" s="27" t="s">
        <v>960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1762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936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954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961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1763</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1261</v>
      </c>
      <c r="B2901" s="27" t="s">
        <v>1183</v>
      </c>
      <c r="C2901" s="27" t="s">
        <v>1121</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967</v>
      </c>
      <c r="B2902" s="27" t="s">
        <v>960</v>
      </c>
      <c r="C2902" s="27" t="s">
        <v>931</v>
      </c>
      <c r="D2902" s="27" t="s">
        <v>932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970</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16</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1134</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961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1327</v>
      </c>
      <c r="B2907" s="27" t="s">
        <v>1009</v>
      </c>
      <c r="C2907" s="27" t="s">
        <v>946</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936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1134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970</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1764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1765</v>
      </c>
      <c r="B2912" s="27" t="s">
        <v>968</v>
      </c>
      <c r="C2912" s="27" t="s">
        <v>946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936</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1134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961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1766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1767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1358</v>
      </c>
      <c r="B2918" s="27" t="s">
        <v>968</v>
      </c>
      <c r="C2918" s="27" t="s">
        <v>946</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936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944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958</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72</v>
      </c>
      <c r="B2922" s="27" t="s">
        <v>1009</v>
      </c>
      <c r="C2922" s="27" t="s">
        <v>1111</v>
      </c>
      <c r="D2922" s="27" t="s">
        <v>932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1333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961</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1768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1042</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1769</v>
      </c>
    </row>
    <row r="2929" spans="1:12">
      <c r="A2929" s="20" t="s">
        <v>1103</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985</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929</v>
      </c>
      <c r="B2931" s="27" t="s">
        <v>930</v>
      </c>
      <c r="C2931" s="27" t="s">
        <v>931</v>
      </c>
      <c r="D2931" s="27" t="s">
        <v>932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1620</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1309</v>
      </c>
      <c r="B2933" s="27" t="s">
        <v>988</v>
      </c>
      <c r="C2933" s="27" t="s">
        <v>1111</v>
      </c>
      <c r="D2933" s="27" t="s">
        <v>932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1042</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row>
    <row r="2936" spans="1:12">
      <c r="A2936" s="20" t="s">
        <v>1770</v>
      </c>
    </row>
    <row r="2937" spans="1:12">
      <c r="A2937" s="20" t="s">
        <v>1221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1175</v>
      </c>
      <c r="B2938" s="27" t="s">
        <v>968</v>
      </c>
      <c r="C2938" s="27" t="s">
        <v>931</v>
      </c>
      <c r="D2938" s="27" t="s">
        <v>932</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45</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1771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1772</v>
      </c>
      <c r="B2941" s="27" t="s">
        <v>991</v>
      </c>
      <c r="C2941" s="27" t="s">
        <v>946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936</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944</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1175</v>
      </c>
      <c r="B2944" s="27" t="s">
        <v>1009</v>
      </c>
      <c r="C2944" s="27" t="s">
        <v>931</v>
      </c>
      <c r="D2944" s="27" t="s">
        <v>932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290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958</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1773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1144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1627</v>
      </c>
      <c r="B2949" s="27" t="s">
        <v>1246</v>
      </c>
      <c r="C2949" s="27" t="s">
        <v>940</v>
      </c>
      <c r="D2949" s="27" t="s">
        <v>932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1774</v>
      </c>
      <c r="B2950" s="27" t="s">
        <v>978</v>
      </c>
      <c r="C2950" s="27" t="s">
        <v>1087</v>
      </c>
      <c r="D2950" s="27" t="s">
        <v>932</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1063</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92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1775</v>
      </c>
      <c r="B2953" s="27" t="s">
        <v>978</v>
      </c>
      <c r="C2953" s="27" t="s">
        <v>1097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1033</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1776</v>
      </c>
      <c r="B2955" s="27" t="s">
        <v>955</v>
      </c>
      <c r="C2955" s="27" t="s">
        <v>1035</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1777</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1175</v>
      </c>
      <c r="B2957" s="27" t="s">
        <v>1031</v>
      </c>
      <c r="C2957" s="27" t="s">
        <v>931</v>
      </c>
      <c r="D2957" s="27" t="s">
        <v>932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1460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936</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954</v>
      </c>
      <c r="B2961" s="27" t="s">
        <v>930</v>
      </c>
      <c r="C2961" s="27" t="s">
        <v>931</v>
      </c>
      <c r="D2961" s="27" t="s">
        <v>932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1778</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451</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1175</v>
      </c>
      <c r="B2964" s="27" t="s">
        <v>988</v>
      </c>
      <c r="C2964" s="27" t="s">
        <v>931</v>
      </c>
      <c r="D2964" s="27" t="s">
        <v>932</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1460</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936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1012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1175</v>
      </c>
      <c r="B2969" s="27" t="s">
        <v>968</v>
      </c>
      <c r="C2969" s="27" t="s">
        <v>931</v>
      </c>
      <c r="D2969" s="27" t="s">
        <v>932</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1455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45</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1771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1772</v>
      </c>
      <c r="B2973" s="27" t="s">
        <v>991</v>
      </c>
      <c r="C2973" s="27" t="s">
        <v>946</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936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944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1175</v>
      </c>
      <c r="B2976" s="27" t="s">
        <v>968</v>
      </c>
      <c r="C2976" s="27" t="s">
        <v>931</v>
      </c>
      <c r="D2976" s="27" t="s">
        <v>932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1227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1455</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1461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49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1095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954</v>
      </c>
      <c r="B2982" s="27" t="s">
        <v>939</v>
      </c>
      <c r="C2982" s="27" t="s">
        <v>931</v>
      </c>
      <c r="D2982" s="27" t="s">
        <v>932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1042</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row>
    <row r="2985" spans="1:12">
      <c r="A2985" s="20" t="s">
        <v>1779</v>
      </c>
    </row>
    <row r="2986" spans="1:12">
      <c r="A2986" s="20" t="s">
        <v>1103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1072</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1175</v>
      </c>
      <c r="B2988" s="27" t="s">
        <v>1009</v>
      </c>
      <c r="C2988" s="27" t="s">
        <v>931</v>
      </c>
      <c r="D2988" s="27" t="s">
        <v>932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290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958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1175</v>
      </c>
      <c r="B2991" s="27" t="s">
        <v>955</v>
      </c>
      <c r="C2991" s="27" t="s">
        <v>931</v>
      </c>
      <c r="D2991" s="27" t="s">
        <v>932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45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1040</v>
      </c>
      <c r="B2993" s="27" t="s">
        <v>1031</v>
      </c>
      <c r="C2993" s="27" t="s">
        <v>946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936</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944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1773</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1144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1627</v>
      </c>
      <c r="B2998" s="27" t="s">
        <v>1078</v>
      </c>
      <c r="C2998" s="27" t="s">
        <v>940</v>
      </c>
      <c r="D2998" s="27" t="s">
        <v>932</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1774</v>
      </c>
      <c r="B2999" s="27" t="s">
        <v>1025</v>
      </c>
      <c r="C2999" s="27" t="s">
        <v>1087</v>
      </c>
      <c r="D2999" s="27" t="s">
        <v>932</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1063</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92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1775</v>
      </c>
      <c r="B3002" s="27" t="s">
        <v>1025</v>
      </c>
      <c r="C3002" s="27" t="s">
        <v>1097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1033</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1275</v>
      </c>
      <c r="B3004" s="27" t="s">
        <v>1025</v>
      </c>
      <c r="C3004" s="27" t="s">
        <v>1035</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1777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1175</v>
      </c>
      <c r="B3006" s="27" t="s">
        <v>991</v>
      </c>
      <c r="C3006" s="27" t="s">
        <v>931</v>
      </c>
      <c r="D3006" s="27" t="s">
        <v>932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13</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1460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936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985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954</v>
      </c>
      <c r="B3011" s="27" t="s">
        <v>930</v>
      </c>
      <c r="C3011" s="27" t="s">
        <v>931</v>
      </c>
      <c r="D3011" s="27" t="s">
        <v>932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1176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1762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936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1279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1040</v>
      </c>
      <c r="B3016" s="27" t="s">
        <v>968</v>
      </c>
      <c r="C3016" s="27" t="s">
        <v>946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1056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1013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1546</v>
      </c>
      <c r="B3019" s="27" t="s">
        <v>942</v>
      </c>
      <c r="C3019" s="27" t="s">
        <v>973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1000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1335</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1175</v>
      </c>
      <c r="B3022" s="27" t="s">
        <v>1009</v>
      </c>
      <c r="C3022" s="27" t="s">
        <v>931</v>
      </c>
      <c r="D3022" s="27" t="s">
        <v>932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13</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936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944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1072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1175</v>
      </c>
      <c r="B3027" s="27" t="s">
        <v>960</v>
      </c>
      <c r="C3027" s="27" t="s">
        <v>931</v>
      </c>
      <c r="D3027" s="27" t="s">
        <v>932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13</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1460</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936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985</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1175</v>
      </c>
      <c r="B3032" s="27" t="s">
        <v>955</v>
      </c>
      <c r="C3032" s="27" t="s">
        <v>931</v>
      </c>
      <c r="D3032" s="27" t="s">
        <v>932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1201</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1780</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1125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1223</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1781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1042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row>
    <row r="3040" spans="1:12">
      <c r="A3040" s="20" t="s">
        <v>1782</v>
      </c>
    </row>
    <row r="3041" spans="1:12">
      <c r="A3041" s="20" t="s">
        <v>1783</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929</v>
      </c>
      <c r="B3042" s="27" t="s">
        <v>930</v>
      </c>
      <c r="C3042" s="27" t="s">
        <v>931</v>
      </c>
      <c r="D3042" s="27" t="s">
        <v>932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1616</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1136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1329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1784</v>
      </c>
      <c r="B3046" s="27" t="s">
        <v>988</v>
      </c>
      <c r="C3046" s="27" t="s">
        <v>946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1000</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1007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1785</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1594</v>
      </c>
      <c r="B3050" s="27" t="s">
        <v>939</v>
      </c>
      <c r="C3050" s="27" t="s">
        <v>1054</v>
      </c>
      <c r="D3050" s="27" t="s">
        <v>932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1000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1786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1395</v>
      </c>
      <c r="B3053" s="27" t="s">
        <v>949</v>
      </c>
      <c r="C3053" s="27" t="s">
        <v>946</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1042</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row>
    <row r="3056" spans="1:12">
      <c r="A3056" s="20" t="s">
        <v>1787</v>
      </c>
    </row>
    <row r="3057" spans="1:12">
      <c r="A3057" s="20" t="s">
        <v>965</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929</v>
      </c>
      <c r="B3058" s="27" t="s">
        <v>930</v>
      </c>
      <c r="C3058" s="27" t="s">
        <v>931</v>
      </c>
      <c r="D3058" s="27" t="s">
        <v>932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462</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1788</v>
      </c>
      <c r="B3060" s="27" t="s">
        <v>988</v>
      </c>
      <c r="C3060" s="27" t="s">
        <v>946</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936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929</v>
      </c>
      <c r="B3062" s="27" t="s">
        <v>968</v>
      </c>
      <c r="C3062" s="27" t="s">
        <v>931</v>
      </c>
      <c r="D3062" s="27" t="s">
        <v>932</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462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1789</v>
      </c>
      <c r="B3064" s="27" t="s">
        <v>991</v>
      </c>
      <c r="C3064" s="27" t="s">
        <v>946</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1000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1788</v>
      </c>
      <c r="B3066" s="27" t="s">
        <v>949</v>
      </c>
      <c r="C3066" s="27" t="s">
        <v>946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1095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709</v>
      </c>
      <c r="B3068" s="27" t="s">
        <v>939</v>
      </c>
      <c r="C3068" s="27" t="s">
        <v>946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1790</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947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242</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1064</v>
      </c>
      <c r="B3072" s="27" t="s">
        <v>1031</v>
      </c>
      <c r="C3072" s="27" t="s">
        <v>931</v>
      </c>
      <c r="D3072" s="27" t="s">
        <v>932</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1336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1261</v>
      </c>
      <c r="B3074" s="27" t="s">
        <v>960</v>
      </c>
      <c r="C3074" s="27" t="s">
        <v>1121</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1176</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1762</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1063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987</v>
      </c>
      <c r="B3078" s="27" t="s">
        <v>1078</v>
      </c>
      <c r="C3078" s="27" t="s">
        <v>931</v>
      </c>
      <c r="D3078" s="27" t="s">
        <v>932</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1042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row>
    <row r="3081" spans="1:12">
      <c r="A3081" s="20" t="s">
        <v>1791</v>
      </c>
    </row>
    <row r="3082" spans="1:12">
      <c r="A3082" s="20" t="s">
        <v>1792</v>
      </c>
      <c r="B3082" s="27" t="s">
        <v>930</v>
      </c>
      <c r="C3082" s="27" t="s">
        <v>1332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961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1793</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1064</v>
      </c>
      <c r="B3085" s="27" t="s">
        <v>988</v>
      </c>
      <c r="C3085" s="27" t="s">
        <v>931</v>
      </c>
      <c r="D3085" s="27" t="s">
        <v>932</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1794</v>
      </c>
      <c r="B3086" s="27" t="s">
        <v>988</v>
      </c>
      <c r="C3086" s="27" t="s">
        <v>946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1795</v>
      </c>
      <c r="B3087" s="27" t="s">
        <v>942</v>
      </c>
      <c r="C3087" s="27" t="s">
        <v>946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1336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1796</v>
      </c>
      <c r="B3089" s="27" t="s">
        <v>942</v>
      </c>
      <c r="C3089" s="27" t="s">
        <v>946</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1042</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row>
    <row r="3092" spans="1:12">
      <c r="A3092" s="20" t="s">
        <v>1797</v>
      </c>
    </row>
    <row r="3093" spans="1:12">
      <c r="A3093" s="20" t="s">
        <v>1085</v>
      </c>
      <c r="B3093" s="27" t="s">
        <v>939</v>
      </c>
      <c r="C3093" s="27" t="s">
        <v>940</v>
      </c>
      <c r="D3093" s="27" t="s">
        <v>932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1798</v>
      </c>
      <c r="B3094" s="27" t="s">
        <v>930</v>
      </c>
      <c r="C3094" s="27" t="s">
        <v>1087</v>
      </c>
      <c r="D3094" s="27" t="s">
        <v>932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1000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1007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1788</v>
      </c>
      <c r="B3097" s="27" t="s">
        <v>939</v>
      </c>
      <c r="C3097" s="27" t="s">
        <v>1054</v>
      </c>
      <c r="D3097" s="27" t="s">
        <v>932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958</v>
      </c>
      <c r="B3098" s="27" t="s">
        <v>1031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929</v>
      </c>
      <c r="B3099" s="27" t="s">
        <v>955</v>
      </c>
      <c r="C3099" s="27" t="s">
        <v>931</v>
      </c>
      <c r="D3099" s="27" t="s">
        <v>932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1099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961</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1007</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272</v>
      </c>
      <c r="B3103" s="27" t="s">
        <v>942</v>
      </c>
      <c r="C3103" s="27" t="s">
        <v>1054</v>
      </c>
      <c r="D3103" s="27" t="s">
        <v>932</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958</v>
      </c>
      <c r="B3104" s="27" t="s">
        <v>968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1799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1095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934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1800</v>
      </c>
      <c r="B3108" s="27" t="s">
        <v>939</v>
      </c>
      <c r="C3108" s="27" t="s">
        <v>973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1069</v>
      </c>
      <c r="B3109" s="27" t="s">
        <v>955</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1801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944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1232</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958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1549</v>
      </c>
      <c r="B3114" s="27" t="s">
        <v>1200</v>
      </c>
      <c r="C3114" s="27" t="s">
        <v>931</v>
      </c>
      <c r="D3114" s="27" t="s">
        <v>932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1065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1802</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1313</v>
      </c>
      <c r="B3117" s="27" t="s">
        <v>1167</v>
      </c>
      <c r="C3117" s="27" t="s">
        <v>946</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936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1327</v>
      </c>
      <c r="B3119" s="27" t="s">
        <v>1246</v>
      </c>
      <c r="C3119" s="27" t="s">
        <v>946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936</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1549</v>
      </c>
      <c r="B3121" s="27" t="s">
        <v>960</v>
      </c>
      <c r="C3121" s="27" t="s">
        <v>931</v>
      </c>
      <c r="D3121" s="27" t="s">
        <v>932</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1065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1802</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1629</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1136</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v>
      </c>
      <c r="B3126" s="27" t="s">
        <v>982</v>
      </c>
      <c r="C3126" s="27" t="s">
        <v>1111</v>
      </c>
      <c r="D3126" s="27" t="s">
        <v>932</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936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944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1549</v>
      </c>
      <c r="B3129" s="27" t="s">
        <v>960</v>
      </c>
      <c r="C3129" s="27" t="s">
        <v>931</v>
      </c>
      <c r="D3129" s="27" t="s">
        <v>932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1065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1107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934</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1803</v>
      </c>
      <c r="B3133" s="27" t="s">
        <v>982</v>
      </c>
      <c r="C3133" s="27" t="s">
        <v>973</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944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1804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929</v>
      </c>
      <c r="B3136" s="27" t="s">
        <v>1200</v>
      </c>
      <c r="C3136" s="27" t="s">
        <v>931</v>
      </c>
      <c r="D3136" s="27" t="s">
        <v>932</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1138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242</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1007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1594</v>
      </c>
      <c r="B3140" s="27" t="s">
        <v>1167</v>
      </c>
      <c r="C3140" s="27" t="s">
        <v>1054</v>
      </c>
      <c r="D3140" s="27" t="s">
        <v>932</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936</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944</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958</v>
      </c>
      <c r="B3143" s="27" t="s">
        <v>968</v>
      </c>
      <c r="C3143" s="27" t="s">
        <v>1061</v>
      </c>
      <c r="D3143" s="27" t="s">
        <v>932</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961</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1328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1459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1117</v>
      </c>
      <c r="B3147" s="27" t="s">
        <v>991</v>
      </c>
      <c r="C3147" s="27" t="s">
        <v>946</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1095</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1805</v>
      </c>
      <c r="B3149" s="27" t="s">
        <v>939</v>
      </c>
      <c r="C3149" s="27" t="s">
        <v>946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1042</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1806</v>
      </c>
    </row>
    <row r="3153" spans="1:12">
      <c r="A3153" s="20" t="s">
        <v>1544</v>
      </c>
      <c r="B3153" s="27" t="s">
        <v>930</v>
      </c>
      <c r="C3153" s="27" t="s">
        <v>931</v>
      </c>
      <c r="D3153" s="27" t="s">
        <v>932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1075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1064</v>
      </c>
      <c r="B3155" s="27" t="s">
        <v>988</v>
      </c>
      <c r="C3155" s="27" t="s">
        <v>931</v>
      </c>
      <c r="D3155" s="27" t="s">
        <v>932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1016</v>
      </c>
      <c r="B3156" s="27" t="s">
        <v>988</v>
      </c>
      <c r="C3156" s="27" t="s">
        <v>1087</v>
      </c>
      <c r="D3156" s="27" t="s">
        <v>932</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1000</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987</v>
      </c>
      <c r="B3158" s="27" t="s">
        <v>939</v>
      </c>
      <c r="C3158" s="27" t="s">
        <v>931</v>
      </c>
      <c r="D3158" s="27" t="s">
        <v>932</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1042</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1807</v>
      </c>
    </row>
    <row r="3162" spans="1:12">
      <c r="A3162" s="20" t="s">
        <v>965</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929</v>
      </c>
      <c r="B3163" s="27" t="s">
        <v>930</v>
      </c>
      <c r="C3163" s="27" t="s">
        <v>931</v>
      </c>
      <c r="D3163" s="27" t="s">
        <v>932</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1305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1125</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1808</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987</v>
      </c>
      <c r="B3167" s="27" t="s">
        <v>988</v>
      </c>
      <c r="C3167" s="27" t="s">
        <v>931</v>
      </c>
      <c r="D3167" s="27" t="s">
        <v>932</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1649</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1412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1042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row>
    <row r="3172" spans="1:12">
      <c r="A3172" s="20" t="s">
        <v>1809</v>
      </c>
    </row>
    <row r="3173" spans="1:12">
      <c r="A3173" s="20" t="s">
        <v>929</v>
      </c>
      <c r="B3173" s="27" t="s">
        <v>930</v>
      </c>
      <c r="C3173" s="27" t="s">
        <v>931</v>
      </c>
      <c r="D3173" s="27" t="s">
        <v>932</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1810</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947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1537</v>
      </c>
      <c r="B3176" s="27" t="s">
        <v>942</v>
      </c>
      <c r="C3176" s="27" t="s">
        <v>931</v>
      </c>
      <c r="D3176" s="27" t="s">
        <v>932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958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1549</v>
      </c>
      <c r="B3178" s="27" t="s">
        <v>968</v>
      </c>
      <c r="C3178" s="27" t="s">
        <v>931</v>
      </c>
      <c r="D3178" s="27" t="s">
        <v>932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1315</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1157</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1811</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1164</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1812</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1813</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1814</v>
      </c>
      <c r="B3185" s="27" t="s">
        <v>991</v>
      </c>
      <c r="C3185" s="27" t="s">
        <v>946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937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1007</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1815</v>
      </c>
      <c r="B3188" s="27" t="s">
        <v>949</v>
      </c>
      <c r="C3188" s="27" t="s">
        <v>1054</v>
      </c>
      <c r="D3188" s="27" t="s">
        <v>932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1042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row>
    <row r="3191" spans="1:12">
      <c r="A3191" s="20" t="s">
        <v>1816</v>
      </c>
    </row>
    <row r="3192" spans="1:12">
      <c r="A3192" s="20" t="s">
        <v>965</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1199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936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966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929</v>
      </c>
      <c r="B3196" s="27" t="s">
        <v>968</v>
      </c>
      <c r="C3196" s="27" t="s">
        <v>931</v>
      </c>
      <c r="D3196" s="27" t="s">
        <v>932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1340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947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1811</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1032</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1786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1395</v>
      </c>
      <c r="B3202" s="27" t="s">
        <v>949</v>
      </c>
      <c r="C3202" s="27" t="s">
        <v>946</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936</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929</v>
      </c>
      <c r="B3204" s="27" t="s">
        <v>930</v>
      </c>
      <c r="C3204" s="27" t="s">
        <v>931</v>
      </c>
      <c r="D3204" s="27" t="s">
        <v>932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1315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1817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1818</v>
      </c>
      <c r="B3207" s="27" t="s">
        <v>988</v>
      </c>
      <c r="C3207" s="27" t="s">
        <v>946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1144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942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1395</v>
      </c>
      <c r="B3210" s="27" t="s">
        <v>942</v>
      </c>
      <c r="C3210" s="27" t="s">
        <v>946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1042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row>
    <row r="3213" spans="1:12">
      <c r="A3213" s="20" t="s">
        <v>983</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1819</v>
      </c>
    </row>
    <row r="3215" spans="1:12">
      <c r="A3215" s="20" t="s">
        <v>929</v>
      </c>
      <c r="B3215" s="27" t="s">
        <v>930</v>
      </c>
      <c r="C3215" s="27" t="s">
        <v>931</v>
      </c>
      <c r="D3215" s="27" t="s">
        <v>932</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1340</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963</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934</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1820</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1821</v>
      </c>
      <c r="B3220" s="27" t="s">
        <v>942</v>
      </c>
      <c r="C3220" s="27" t="s">
        <v>973</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937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1822</v>
      </c>
      <c r="B3222" s="27" t="s">
        <v>939</v>
      </c>
      <c r="C3222" s="27" t="s">
        <v>943</v>
      </c>
      <c r="D3222" s="27" t="s">
        <v>932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958</v>
      </c>
      <c r="B3223" s="27" t="s">
        <v>968</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1823</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934</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1477</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1198</v>
      </c>
      <c r="B3227" s="27" t="s">
        <v>991</v>
      </c>
      <c r="C3227" s="27" t="s">
        <v>1087</v>
      </c>
      <c r="D3227" s="27" t="s">
        <v>932</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1000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1824</v>
      </c>
      <c r="B3229" s="27" t="s">
        <v>1025</v>
      </c>
      <c r="C3229" s="27" t="s">
        <v>946</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1176</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1825</v>
      </c>
      <c r="B3231" s="27" t="s">
        <v>949</v>
      </c>
      <c r="C3231" s="27" t="s">
        <v>1087</v>
      </c>
      <c r="D3231" s="27" t="s">
        <v>932</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944</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958</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929</v>
      </c>
      <c r="B3234" s="27" t="s">
        <v>968</v>
      </c>
      <c r="C3234" s="27" t="s">
        <v>931</v>
      </c>
      <c r="D3234" s="27" t="s">
        <v>932</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1305</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1125</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980</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947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1826</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1649</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1412</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936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1012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934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1703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1096</v>
      </c>
      <c r="B3246" s="27" t="s">
        <v>949</v>
      </c>
      <c r="C3246" s="27" t="s">
        <v>973</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1827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929</v>
      </c>
      <c r="B3248" s="27" t="s">
        <v>1009</v>
      </c>
      <c r="C3248" s="27" t="s">
        <v>931</v>
      </c>
      <c r="D3248" s="27" t="s">
        <v>932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961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937</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1828</v>
      </c>
      <c r="B3251" s="27" t="s">
        <v>939</v>
      </c>
      <c r="C3251" s="27" t="s">
        <v>943</v>
      </c>
      <c r="D3251" s="27" t="s">
        <v>932</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936</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1829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1144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934</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1698</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1830</v>
      </c>
      <c r="B3257" s="27" t="s">
        <v>1025</v>
      </c>
      <c r="C3257" s="27" t="s">
        <v>973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936</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944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929</v>
      </c>
      <c r="B3260" s="27" t="s">
        <v>955</v>
      </c>
      <c r="C3260" s="27" t="s">
        <v>931</v>
      </c>
      <c r="D3260" s="27" t="s">
        <v>932</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1831</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947</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1057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938</v>
      </c>
      <c r="B3264" s="27" t="s">
        <v>978</v>
      </c>
      <c r="C3264" s="27" t="s">
        <v>940</v>
      </c>
      <c r="D3264" s="27" t="s">
        <v>932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1467</v>
      </c>
      <c r="B3265" s="27" t="s">
        <v>982</v>
      </c>
      <c r="C3265" s="27" t="s">
        <v>1087</v>
      </c>
      <c r="D3265" s="27" t="s">
        <v>932</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947</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1331</v>
      </c>
      <c r="B3267" s="27" t="s">
        <v>978</v>
      </c>
      <c r="C3267" s="27" t="s">
        <v>1332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936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944</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1729</v>
      </c>
      <c r="B3270" s="27" t="s">
        <v>1251</v>
      </c>
      <c r="C3270" s="27" t="s">
        <v>931</v>
      </c>
      <c r="D3270" s="27" t="s">
        <v>932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1232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936</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928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1429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936</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958</v>
      </c>
      <c r="B3276" s="27" t="s">
        <v>1491</v>
      </c>
      <c r="C3276" s="27" t="s">
        <v>1061</v>
      </c>
      <c r="D3276" s="27" t="s">
        <v>932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1176</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1832</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1833</v>
      </c>
      <c r="B3279" s="27" t="s">
        <v>1256</v>
      </c>
      <c r="C3279" s="27" t="s">
        <v>943</v>
      </c>
      <c r="D3279" s="27" t="s">
        <v>932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936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944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749</v>
      </c>
      <c r="B3282" s="27" t="s">
        <v>1834</v>
      </c>
      <c r="C3282" s="27" t="s">
        <v>931</v>
      </c>
      <c r="D3282" s="27" t="s">
        <v>932</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1181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937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1835</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1833</v>
      </c>
      <c r="B3286" s="27" t="s">
        <v>1494</v>
      </c>
      <c r="C3286" s="27" t="s">
        <v>943</v>
      </c>
      <c r="D3286" s="27" t="s">
        <v>932</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936</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944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1391</v>
      </c>
      <c r="B3289" s="27" t="s">
        <v>1836</v>
      </c>
      <c r="C3289" s="27" t="s">
        <v>940</v>
      </c>
      <c r="D3289" s="27" t="s">
        <v>932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1837</v>
      </c>
      <c r="B3290" s="27" t="s">
        <v>1834</v>
      </c>
      <c r="C3290" s="27" t="s">
        <v>1087</v>
      </c>
      <c r="D3290" s="27" t="s">
        <v>932</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1201</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937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1016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1756</v>
      </c>
      <c r="B3294" s="27" t="s">
        <v>1494</v>
      </c>
      <c r="C3294" s="27" t="s">
        <v>1097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1399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1698</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936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1012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749</v>
      </c>
      <c r="B3299" s="27" t="s">
        <v>1834</v>
      </c>
      <c r="C3299" s="27" t="s">
        <v>931</v>
      </c>
      <c r="D3299" s="27" t="s">
        <v>932</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286</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45</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1016</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1837</v>
      </c>
      <c r="B3303" s="27" t="s">
        <v>1838</v>
      </c>
      <c r="C3303" s="27" t="s">
        <v>1097</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958</v>
      </c>
      <c r="B3304" s="27" t="s">
        <v>1839</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45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1309</v>
      </c>
      <c r="B3306" s="27" t="s">
        <v>1840</v>
      </c>
      <c r="C3306" s="27" t="s">
        <v>1111</v>
      </c>
      <c r="D3306" s="27" t="s">
        <v>932</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937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1841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995</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1261</v>
      </c>
      <c r="B3310" s="27" t="s">
        <v>1842</v>
      </c>
      <c r="C3310" s="27" t="s">
        <v>1121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1175</v>
      </c>
      <c r="B3311" s="27" t="s">
        <v>1843</v>
      </c>
      <c r="C3311" s="27" t="s">
        <v>931</v>
      </c>
      <c r="D3311" s="27" t="s">
        <v>932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1181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1844</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1042</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928</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983</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1845</v>
      </c>
    </row>
    <row r="3319" spans="1:12">
      <c r="A3319" s="20" t="s">
        <v>965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1729</v>
      </c>
      <c r="B3320" s="27" t="s">
        <v>930</v>
      </c>
      <c r="C3320" s="27" t="s">
        <v>931</v>
      </c>
      <c r="D3320" s="27" t="s">
        <v>932</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1232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936</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928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1103</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749</v>
      </c>
      <c r="B3325" s="27" t="s">
        <v>968</v>
      </c>
      <c r="C3325" s="27" t="s">
        <v>931</v>
      </c>
      <c r="D3325" s="27" t="s">
        <v>932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1590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1065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934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1152</v>
      </c>
      <c r="B3329" s="27" t="s">
        <v>991</v>
      </c>
      <c r="C3329" s="27" t="s">
        <v>973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1000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1307</v>
      </c>
      <c r="B3331" s="27" t="s">
        <v>949</v>
      </c>
      <c r="C3331" s="27" t="s">
        <v>946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995</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1846</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1847</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1848</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1849</v>
      </c>
      <c r="B3336" s="27" t="s">
        <v>1025</v>
      </c>
      <c r="C3336" s="27" t="s">
        <v>946</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936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1850</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1007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1851</v>
      </c>
      <c r="B3340" s="27" t="s">
        <v>991</v>
      </c>
      <c r="C3340" s="27" t="s">
        <v>1054</v>
      </c>
      <c r="D3340" s="27" t="s">
        <v>932</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1069</v>
      </c>
      <c r="B3341" s="27" t="s">
        <v>955</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1799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1649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1295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1007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1852</v>
      </c>
      <c r="B3346" s="27" t="s">
        <v>1025</v>
      </c>
      <c r="C3346" s="27" t="s">
        <v>1054</v>
      </c>
      <c r="D3346" s="27" t="s">
        <v>932</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1042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928</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983</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1853</v>
      </c>
    </row>
    <row r="3352" spans="1:12">
      <c r="A3352" s="20" t="s">
        <v>929</v>
      </c>
      <c r="B3352" s="27" t="s">
        <v>930</v>
      </c>
      <c r="C3352" s="27" t="s">
        <v>931</v>
      </c>
      <c r="D3352" s="27" t="s">
        <v>932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1232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936</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928</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1151</v>
      </c>
      <c r="B3356" s="27" t="s">
        <v>949</v>
      </c>
      <c r="C3356" s="27" t="s">
        <v>1121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1216</v>
      </c>
      <c r="B3357" s="27" t="s">
        <v>991</v>
      </c>
      <c r="C3357" s="27" t="s">
        <v>1035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1000</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1307</v>
      </c>
      <c r="B3359" s="27" t="s">
        <v>949</v>
      </c>
      <c r="C3359" s="27" t="s">
        <v>946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1113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1175</v>
      </c>
      <c r="B3361" s="27" t="s">
        <v>968</v>
      </c>
      <c r="C3361" s="27" t="s">
        <v>931</v>
      </c>
      <c r="D3361" s="27" t="s">
        <v>932</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45</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1325</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928</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983</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1854</v>
      </c>
    </row>
    <row r="3368" spans="1:12">
      <c r="A3368" s="20" t="s">
        <v>965</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1729</v>
      </c>
      <c r="B3369" s="27" t="s">
        <v>930</v>
      </c>
      <c r="C3369" s="27" t="s">
        <v>931</v>
      </c>
      <c r="D3369" s="27" t="s">
        <v>932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1232</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936</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928</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1429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936</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967</v>
      </c>
      <c r="B3375" s="27" t="s">
        <v>968</v>
      </c>
      <c r="C3375" s="27" t="s">
        <v>931</v>
      </c>
      <c r="D3375" s="27" t="s">
        <v>932</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1138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286</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1317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1855</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1435</v>
      </c>
      <c r="B3380" s="27" t="s">
        <v>991</v>
      </c>
      <c r="C3380" s="27" t="s">
        <v>999</v>
      </c>
      <c r="D3380" s="27" t="s">
        <v>932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1042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row>
    <row r="3383" spans="1:12">
      <c r="A3383" s="20" t="s">
        <v>1856</v>
      </c>
    </row>
    <row r="3384" spans="1:12">
      <c r="A3384" s="20" t="s">
        <v>1398</v>
      </c>
      <c r="B3384" s="27" t="s">
        <v>930</v>
      </c>
      <c r="C3384" s="27" t="s">
        <v>931</v>
      </c>
      <c r="D3384" s="27" t="s">
        <v>932</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1113</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1114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415</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709</v>
      </c>
      <c r="B3388" s="27" t="s">
        <v>988</v>
      </c>
      <c r="C3388" s="27" t="s">
        <v>946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1160</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937</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1007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1857</v>
      </c>
      <c r="B3392" s="27" t="s">
        <v>942</v>
      </c>
      <c r="C3392" s="27" t="s">
        <v>1054</v>
      </c>
      <c r="D3392" s="27" t="s">
        <v>932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1858</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1175</v>
      </c>
      <c r="B3394" s="27" t="s">
        <v>1009</v>
      </c>
      <c r="C3394" s="27" t="s">
        <v>931</v>
      </c>
      <c r="D3394" s="27" t="s">
        <v>932</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93</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947</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1460</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1042</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row>
    <row r="3401" spans="1:12">
      <c r="A3401" s="20" t="s">
        <v>1859</v>
      </c>
    </row>
    <row r="3402" spans="1:12">
      <c r="A3402" s="20" t="s">
        <v>1398</v>
      </c>
      <c r="B3402" s="27" t="s">
        <v>930</v>
      </c>
      <c r="C3402" s="27" t="s">
        <v>931</v>
      </c>
      <c r="D3402" s="27" t="s">
        <v>932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1113</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1114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505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1860</v>
      </c>
      <c r="B3406" s="27" t="s">
        <v>988</v>
      </c>
      <c r="C3406" s="27" t="s">
        <v>946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1242</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1861</v>
      </c>
      <c r="B3408" s="27" t="s">
        <v>939</v>
      </c>
      <c r="C3408" s="27" t="s">
        <v>946</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947</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462</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709</v>
      </c>
      <c r="B3411" s="27" t="s">
        <v>949</v>
      </c>
      <c r="C3411" s="27" t="s">
        <v>946</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1176</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1825</v>
      </c>
      <c r="B3413" s="27" t="s">
        <v>991</v>
      </c>
      <c r="C3413" s="27" t="s">
        <v>1087</v>
      </c>
      <c r="D3413" s="27" t="s">
        <v>932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980</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1042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row>
    <row r="3417" spans="1:12">
      <c r="A3417" s="20" t="s">
        <v>1862</v>
      </c>
    </row>
    <row r="3418" spans="1:12">
      <c r="A3418" s="20" t="s">
        <v>1398</v>
      </c>
      <c r="B3418" s="27" t="s">
        <v>930</v>
      </c>
      <c r="C3418" s="27" t="s">
        <v>931</v>
      </c>
      <c r="D3418" s="27" t="s">
        <v>932</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1113</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1114</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509</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1007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1863</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1864</v>
      </c>
      <c r="B3424" s="27" t="s">
        <v>988</v>
      </c>
      <c r="C3424" s="27" t="s">
        <v>1054</v>
      </c>
      <c r="D3424" s="27" t="s">
        <v>932</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1042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row>
    <row r="3427" spans="1:12">
      <c r="A3427" s="20" t="s">
        <v>1865</v>
      </c>
    </row>
    <row r="3428" spans="1:12">
      <c r="A3428" s="20" t="s">
        <v>1398</v>
      </c>
      <c r="B3428" s="27" t="s">
        <v>930</v>
      </c>
      <c r="C3428" s="27" t="s">
        <v>931</v>
      </c>
      <c r="D3428" s="27" t="s">
        <v>932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1113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1114</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513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1007</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1040</v>
      </c>
      <c r="B3433" s="27" t="s">
        <v>988</v>
      </c>
      <c r="C3433" s="27" t="s">
        <v>1054</v>
      </c>
      <c r="D3433" s="27" t="s">
        <v>932</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1271</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1013</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1866</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1867</v>
      </c>
      <c r="B3437" s="27" t="s">
        <v>942</v>
      </c>
      <c r="C3437" s="27" t="s">
        <v>973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1042</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row>
    <row r="3440" spans="1:12">
      <c r="A3440" s="20" t="s">
        <v>983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1868</v>
      </c>
    </row>
    <row r="3442" spans="1:12">
      <c r="A3442" s="20" t="s">
        <v>1869</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1261</v>
      </c>
      <c r="B3443" s="27" t="s">
        <v>942</v>
      </c>
      <c r="C3443" s="27" t="s">
        <v>1121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967</v>
      </c>
      <c r="B3444" s="27" t="s">
        <v>1009</v>
      </c>
      <c r="C3444" s="27" t="s">
        <v>931</v>
      </c>
      <c r="D3444" s="27" t="s">
        <v>932</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1113</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961</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967</v>
      </c>
      <c r="B3447" s="27" t="s">
        <v>930</v>
      </c>
      <c r="C3447" s="27" t="s">
        <v>931</v>
      </c>
      <c r="D3447" s="27" t="s">
        <v>932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1707</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709</v>
      </c>
      <c r="B3449" s="27" t="s">
        <v>988</v>
      </c>
      <c r="C3449" s="27" t="s">
        <v>946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272</v>
      </c>
      <c r="B3450" s="27" t="s">
        <v>988</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1032</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934</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1239</v>
      </c>
      <c r="B3453" s="27" t="s">
        <v>942</v>
      </c>
      <c r="C3453" s="27" t="s">
        <v>973</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1341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1870</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1459</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1871</v>
      </c>
      <c r="B3457" s="27" t="s">
        <v>942</v>
      </c>
      <c r="C3457" s="27" t="s">
        <v>946</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944</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1065</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987</v>
      </c>
      <c r="B3460" s="27" t="s">
        <v>991</v>
      </c>
      <c r="C3460" s="27" t="s">
        <v>931</v>
      </c>
      <c r="D3460" s="27" t="s">
        <v>932</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384</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1063</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1013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130</v>
      </c>
      <c r="B3464" s="27" t="s">
        <v>949</v>
      </c>
      <c r="C3464" s="27" t="s">
        <v>973</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1336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1596</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1117</v>
      </c>
      <c r="B3467" s="27" t="s">
        <v>1025</v>
      </c>
      <c r="C3467" s="27" t="s">
        <v>946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958</v>
      </c>
      <c r="B3468" s="27" t="s">
        <v>1200</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1065</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1831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947</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987</v>
      </c>
      <c r="B3472" s="27" t="s">
        <v>978</v>
      </c>
      <c r="C3472" s="27" t="s">
        <v>931</v>
      </c>
      <c r="D3472" s="27" t="s">
        <v>932</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1042</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928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row>
    <row r="3476" spans="1:12">
      <c r="A3476" s="20" t="s">
        <v>1872</v>
      </c>
    </row>
    <row r="3477" spans="1:12">
      <c r="A3477" s="20" t="s">
        <v>1652</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520</v>
      </c>
      <c r="B3478" s="27" t="s">
        <v>942</v>
      </c>
      <c r="C3478" s="27" t="s">
        <v>943</v>
      </c>
      <c r="D3478" s="27" t="s">
        <v>932</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1654</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row>
    <row r="3481" spans="1:12">
      <c r="A3481" s="20" t="s">
        <v>983</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1873</v>
      </c>
    </row>
    <row r="3483" spans="1:12">
      <c r="A3483" s="20" t="s">
        <v>1719</v>
      </c>
      <c r="B3483" s="27" t="s">
        <v>930</v>
      </c>
      <c r="C3483" s="27" t="s">
        <v>931</v>
      </c>
      <c r="D3483" s="27" t="s">
        <v>932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1232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936</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928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1039</v>
      </c>
      <c r="B3487" s="27" t="s">
        <v>968</v>
      </c>
      <c r="C3487" s="27" t="s">
        <v>931</v>
      </c>
      <c r="D3487" s="27" t="s">
        <v>932</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1065</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947</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466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987</v>
      </c>
      <c r="B3491" s="27" t="s">
        <v>1183</v>
      </c>
      <c r="C3491" s="27" t="s">
        <v>931</v>
      </c>
      <c r="D3491" s="27" t="s">
        <v>932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947</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1874</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1007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1875</v>
      </c>
      <c r="B3495" s="27" t="s">
        <v>1031</v>
      </c>
      <c r="C3495" s="27" t="s">
        <v>1054</v>
      </c>
      <c r="D3495" s="27" t="s">
        <v>932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1042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928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row>
    <row r="3499" spans="1:12">
      <c r="A3499" s="20" t="s">
        <v>1876</v>
      </c>
    </row>
    <row r="3500" spans="1:12">
      <c r="A3500" s="20" t="s">
        <v>1877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1032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1007</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942</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1351</v>
      </c>
      <c r="B3504" s="27" t="s">
        <v>939</v>
      </c>
      <c r="C3504" s="27" t="s">
        <v>1352</v>
      </c>
      <c r="D3504" s="27" t="s">
        <v>932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1000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1786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1395</v>
      </c>
      <c r="B3507" s="27" t="s">
        <v>949</v>
      </c>
      <c r="C3507" s="27" t="s">
        <v>946</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936</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527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1064</v>
      </c>
      <c r="B3510" s="27" t="s">
        <v>988</v>
      </c>
      <c r="C3510" s="27" t="s">
        <v>931</v>
      </c>
      <c r="D3510" s="27" t="s">
        <v>932</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242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1175</v>
      </c>
      <c r="B3512" s="27" t="s">
        <v>991</v>
      </c>
      <c r="C3512" s="27" t="s">
        <v>931</v>
      </c>
      <c r="D3512" s="27" t="s">
        <v>932</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1336</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1878</v>
      </c>
      <c r="B3514" s="27" t="s">
        <v>939</v>
      </c>
      <c r="C3514" s="27" t="s">
        <v>943</v>
      </c>
      <c r="D3514" s="27" t="s">
        <v>932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1879</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1042</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row>
    <row r="3518" spans="1:12">
      <c r="A3518" s="20" t="s">
        <v>1880</v>
      </c>
    </row>
    <row r="3519" spans="1:12">
      <c r="A3519" s="20" t="s">
        <v>1878</v>
      </c>
      <c r="B3519" s="27" t="s">
        <v>930</v>
      </c>
      <c r="C3519" s="27" t="s">
        <v>943</v>
      </c>
      <c r="D3519" s="27" t="s">
        <v>932</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1879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1065</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1007</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1556</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1040</v>
      </c>
      <c r="B3524" s="27" t="s">
        <v>988</v>
      </c>
      <c r="C3524" s="27" t="s">
        <v>1054</v>
      </c>
      <c r="D3524" s="27" t="s">
        <v>932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1277</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958</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929</v>
      </c>
      <c r="B3527" s="27" t="s">
        <v>968</v>
      </c>
      <c r="C3527" s="27" t="s">
        <v>931</v>
      </c>
      <c r="D3527" s="27" t="s">
        <v>932</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1590</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1557</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1558</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937</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934</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1881</v>
      </c>
      <c r="B3533" s="27" t="s">
        <v>939</v>
      </c>
      <c r="C3533" s="27" t="s">
        <v>973</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1042</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row>
    <row r="3536" spans="1:12">
      <c r="A3536" s="20" t="s">
        <v>1882</v>
      </c>
    </row>
    <row r="3537" spans="1:12">
      <c r="A3537" s="20" t="s">
        <v>1719</v>
      </c>
      <c r="B3537" s="27" t="s">
        <v>930</v>
      </c>
      <c r="C3537" s="27" t="s">
        <v>931</v>
      </c>
      <c r="D3537" s="27" t="s">
        <v>932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961</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1883</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1223</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1042</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row>
    <row r="3543" spans="1:12">
      <c r="A3543" s="20" t="s">
        <v>1884</v>
      </c>
    </row>
    <row r="3544" spans="1:12">
      <c r="A3544" s="20" t="s">
        <v>1719</v>
      </c>
      <c r="B3544" s="27" t="s">
        <v>930</v>
      </c>
      <c r="C3544" s="27" t="s">
        <v>931</v>
      </c>
      <c r="D3544" s="27" t="s">
        <v>932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961</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936</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929</v>
      </c>
      <c r="B3548" s="27" t="s">
        <v>1009</v>
      </c>
      <c r="C3548" s="27" t="s">
        <v>931</v>
      </c>
      <c r="D3548" s="27" t="s">
        <v>932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1885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1886</v>
      </c>
      <c r="B3550" s="27" t="s">
        <v>1183</v>
      </c>
      <c r="C3550" s="27" t="s">
        <v>931</v>
      </c>
      <c r="D3550" s="27" t="s">
        <v>932</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936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1032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934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1263</v>
      </c>
      <c r="B3554" s="27" t="s">
        <v>949</v>
      </c>
      <c r="C3554" s="27" t="s">
        <v>973</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1032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1372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1033</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1225</v>
      </c>
      <c r="B3558" s="27" t="s">
        <v>1078</v>
      </c>
      <c r="C3558" s="27" t="s">
        <v>1035</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936</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1729</v>
      </c>
      <c r="B3560" s="27" t="s">
        <v>968</v>
      </c>
      <c r="C3560" s="27" t="s">
        <v>931</v>
      </c>
      <c r="D3560" s="27" t="s">
        <v>932</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1138</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45</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1887</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1358</v>
      </c>
      <c r="B3564" s="27" t="s">
        <v>991</v>
      </c>
      <c r="C3564" s="27" t="s">
        <v>946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1042</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row>
    <row r="3567" spans="1:12">
      <c r="A3567" s="20" t="s">
        <v>1888</v>
      </c>
    </row>
    <row r="3568" spans="1:12">
      <c r="A3568" s="20" t="s">
        <v>1889</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1729</v>
      </c>
      <c r="B3569" s="27" t="s">
        <v>930</v>
      </c>
      <c r="C3569" s="27" t="s">
        <v>931</v>
      </c>
      <c r="D3569" s="27" t="s">
        <v>932</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1138</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13</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1890</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1000</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1891</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1063</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934</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1892</v>
      </c>
      <c r="B3577" s="27" t="s">
        <v>939</v>
      </c>
      <c r="C3577" s="27" t="s">
        <v>973</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1042</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row>
    <row r="3580" spans="1:12">
      <c r="A3580" s="20" t="s">
        <v>1893</v>
      </c>
    </row>
    <row r="3581" spans="1:12">
      <c r="A3581" s="20" t="s">
        <v>1889</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1729</v>
      </c>
      <c r="B3582" s="27" t="s">
        <v>930</v>
      </c>
      <c r="C3582" s="27" t="s">
        <v>931</v>
      </c>
      <c r="D3582" s="27" t="s">
        <v>932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1138</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1894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1063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934</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1892</v>
      </c>
      <c r="B3588" s="27" t="s">
        <v>942</v>
      </c>
      <c r="C3588" s="27" t="s">
        <v>973</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1042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row>
    <row r="3591" spans="1:12">
      <c r="A3591" s="20" t="s">
        <v>1895</v>
      </c>
    </row>
    <row r="3592" spans="1:12">
      <c r="A3592" s="20" t="s">
        <v>1889</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1729</v>
      </c>
      <c r="B3593" s="27" t="s">
        <v>930</v>
      </c>
      <c r="C3593" s="27" t="s">
        <v>931</v>
      </c>
      <c r="D3593" s="27" t="s">
        <v>932</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1138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45</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934</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1892</v>
      </c>
      <c r="B3597" s="27" t="s">
        <v>988</v>
      </c>
      <c r="C3597" s="27" t="s">
        <v>973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1000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980</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1896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1042</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row>
    <row r="3603" spans="1:12">
      <c r="A3603" s="20" t="s">
        <v>1897</v>
      </c>
    </row>
    <row r="3604" spans="1:12">
      <c r="A3604" s="20" t="s">
        <v>965</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985</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1729</v>
      </c>
      <c r="B3606" s="27" t="s">
        <v>930</v>
      </c>
      <c r="C3606" s="27" t="s">
        <v>931</v>
      </c>
      <c r="D3606" s="27" t="s">
        <v>932</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1138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45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1432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1887</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1358</v>
      </c>
      <c r="B3611" s="27" t="s">
        <v>988</v>
      </c>
      <c r="C3611" s="27" t="s">
        <v>973</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1042</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row>
    <row r="3614" spans="1:12">
      <c r="A3614" s="20" t="s">
        <v>983</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1898</v>
      </c>
    </row>
    <row r="3616" spans="1:12">
      <c r="A3616" s="20" t="s">
        <v>965</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1729</v>
      </c>
      <c r="B3617" s="27" t="s">
        <v>930</v>
      </c>
      <c r="C3617" s="27" t="s">
        <v>931</v>
      </c>
      <c r="D3617" s="27" t="s">
        <v>932</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1232</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947</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1064</v>
      </c>
      <c r="B3620" s="27" t="s">
        <v>942</v>
      </c>
      <c r="C3620" s="27" t="s">
        <v>931</v>
      </c>
      <c r="D3620" s="27" t="s">
        <v>932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966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929</v>
      </c>
      <c r="B3622" s="27" t="s">
        <v>1009</v>
      </c>
      <c r="C3622" s="27" t="s">
        <v>931</v>
      </c>
      <c r="D3622" s="27" t="s">
        <v>932</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1885</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1886</v>
      </c>
      <c r="B3624" s="27" t="s">
        <v>1183</v>
      </c>
      <c r="C3624" s="27" t="s">
        <v>931</v>
      </c>
      <c r="D3624" s="27" t="s">
        <v>932</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936</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928</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1215</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1176</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1899</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947</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268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963</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938</v>
      </c>
      <c r="B3633" s="27" t="s">
        <v>1025</v>
      </c>
      <c r="C3633" s="27" t="s">
        <v>940</v>
      </c>
      <c r="D3633" s="27" t="s">
        <v>932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1900</v>
      </c>
      <c r="B3634" s="27" t="s">
        <v>949</v>
      </c>
      <c r="C3634" s="27" t="s">
        <v>1087</v>
      </c>
      <c r="D3634" s="27" t="s">
        <v>932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1317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1206</v>
      </c>
      <c r="B3636" s="27" t="s">
        <v>949</v>
      </c>
      <c r="C3636" s="27" t="s">
        <v>999</v>
      </c>
      <c r="D3636" s="27" t="s">
        <v>932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1042</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row>
    <row r="3639" spans="1:12">
      <c r="A3639" s="20" t="s">
        <v>983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1901</v>
      </c>
    </row>
    <row r="3641" spans="1:12">
      <c r="A3641" s="20" t="s">
        <v>929</v>
      </c>
      <c r="B3641" s="27" t="s">
        <v>930</v>
      </c>
      <c r="C3641" s="27" t="s">
        <v>931</v>
      </c>
      <c r="D3641" s="27" t="s">
        <v>932</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1902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1114</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268</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1144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1317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1206</v>
      </c>
      <c r="B3647" s="27" t="s">
        <v>942</v>
      </c>
      <c r="C3647" s="27" t="s">
        <v>999</v>
      </c>
      <c r="D3647" s="27" t="s">
        <v>932</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936</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944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929</v>
      </c>
      <c r="B3650" s="27" t="s">
        <v>968</v>
      </c>
      <c r="C3650" s="27" t="s">
        <v>931</v>
      </c>
      <c r="D3650" s="27" t="s">
        <v>932</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1590</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1384</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1160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1335</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929</v>
      </c>
      <c r="B3655" s="27" t="s">
        <v>1009</v>
      </c>
      <c r="C3655" s="27" t="s">
        <v>931</v>
      </c>
      <c r="D3655" s="27" t="s">
        <v>932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1305</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980</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947</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1351</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954</v>
      </c>
      <c r="B3660" s="27" t="s">
        <v>1031</v>
      </c>
      <c r="C3660" s="27" t="s">
        <v>931</v>
      </c>
      <c r="D3660" s="27" t="s">
        <v>932</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1072</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929</v>
      </c>
      <c r="B3662" s="27" t="s">
        <v>960</v>
      </c>
      <c r="C3662" s="27" t="s">
        <v>931</v>
      </c>
      <c r="D3662" s="27" t="s">
        <v>932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286</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1114</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462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1460</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1042</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928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row>
    <row r="3670" spans="1:12">
      <c r="A3670" s="20" t="s">
        <v>983</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1903</v>
      </c>
    </row>
    <row r="3672" spans="1:12">
      <c r="A3672" s="20" t="s">
        <v>928</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1103</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936</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928</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1729</v>
      </c>
      <c r="B3676" s="27" t="s">
        <v>930</v>
      </c>
      <c r="C3676" s="27" t="s">
        <v>931</v>
      </c>
      <c r="D3676" s="27" t="s">
        <v>932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1232</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947</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1064</v>
      </c>
      <c r="B3679" s="27" t="s">
        <v>942</v>
      </c>
      <c r="C3679" s="27" t="s">
        <v>931</v>
      </c>
      <c r="D3679" s="27" t="s">
        <v>932</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936</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928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929</v>
      </c>
      <c r="B3682" s="27" t="s">
        <v>1009</v>
      </c>
      <c r="C3682" s="27" t="s">
        <v>931</v>
      </c>
      <c r="D3682" s="27" t="s">
        <v>932</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986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1336</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934</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1904</v>
      </c>
      <c r="B3686" s="27" t="s">
        <v>949</v>
      </c>
      <c r="C3686" s="27" t="s">
        <v>973</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1032</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1905</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1906</v>
      </c>
      <c r="B3689" s="27" t="s">
        <v>1025</v>
      </c>
      <c r="C3689" s="27" t="s">
        <v>943</v>
      </c>
      <c r="D3689" s="27" t="s">
        <v>932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1063</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934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1907</v>
      </c>
      <c r="B3692" s="27" t="s">
        <v>1025</v>
      </c>
      <c r="C3692" s="27" t="s">
        <v>973</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1908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934</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1909</v>
      </c>
      <c r="B3695" s="27" t="s">
        <v>991</v>
      </c>
      <c r="C3695" s="27" t="s">
        <v>973</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936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1372</v>
      </c>
      <c r="B3697" s="27" t="s">
        <v>955</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1056</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934</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1771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1910</v>
      </c>
      <c r="B3701" s="27" t="s">
        <v>949</v>
      </c>
      <c r="C3701" s="27" t="s">
        <v>973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936</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944</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929</v>
      </c>
      <c r="B3704" s="27" t="s">
        <v>1009</v>
      </c>
      <c r="C3704" s="27" t="s">
        <v>931</v>
      </c>
      <c r="D3704" s="27" t="s">
        <v>932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42</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929</v>
      </c>
      <c r="B3706" s="27" t="s">
        <v>955</v>
      </c>
      <c r="C3706" s="27" t="s">
        <v>931</v>
      </c>
      <c r="D3706" s="27" t="s">
        <v>932</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1305</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980</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947</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1713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958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934</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1911</v>
      </c>
      <c r="B3713" s="27" t="s">
        <v>982</v>
      </c>
      <c r="C3713" s="27" t="s">
        <v>973</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1042</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928</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row>
    <row r="3717" spans="1:12">
      <c r="A3717" s="20" t="s">
        <v>1912</v>
      </c>
    </row>
    <row r="3718" spans="1:12">
      <c r="A3718" s="20" t="s">
        <v>965</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929</v>
      </c>
      <c r="B3719" s="27" t="s">
        <v>930</v>
      </c>
      <c r="C3719" s="27" t="s">
        <v>931</v>
      </c>
      <c r="D3719" s="27" t="s">
        <v>932</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562</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1148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1913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1032</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958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1263</v>
      </c>
      <c r="B3725" s="27" t="s">
        <v>939</v>
      </c>
      <c r="C3725" s="27" t="s">
        <v>999</v>
      </c>
      <c r="D3725" s="27" t="s">
        <v>932</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947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42</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958</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1331</v>
      </c>
      <c r="B3729" s="27" t="s">
        <v>955</v>
      </c>
      <c r="C3729" s="27" t="s">
        <v>1332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1069</v>
      </c>
      <c r="B3730" s="27" t="s">
        <v>1200</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1914</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1065</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1209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1534</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1596</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1100</v>
      </c>
      <c r="B3736" s="27" t="s">
        <v>1167</v>
      </c>
      <c r="C3736" s="27" t="s">
        <v>1097</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995</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1209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1534</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1698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1395</v>
      </c>
      <c r="B3741" s="27" t="s">
        <v>978</v>
      </c>
      <c r="C3741" s="27" t="s">
        <v>1097</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1455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1065</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1915</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937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1886</v>
      </c>
      <c r="B3746" s="27" t="s">
        <v>1246</v>
      </c>
      <c r="C3746" s="27" t="s">
        <v>931</v>
      </c>
      <c r="D3746" s="27" t="s">
        <v>932</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936</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1916</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936</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1376</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1917</v>
      </c>
      <c r="B3751" s="27" t="s">
        <v>1078</v>
      </c>
      <c r="C3751" s="27" t="s">
        <v>946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947</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1289</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1160</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1063</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272</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1329</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1042</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row>
    <row r="3760" spans="1:12">
      <c r="A3760" s="20" t="s">
        <v>1918</v>
      </c>
    </row>
    <row r="3761" spans="1:12">
      <c r="A3761" s="20" t="s">
        <v>965</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1729</v>
      </c>
      <c r="B3762" s="27" t="s">
        <v>930</v>
      </c>
      <c r="C3762" s="27" t="s">
        <v>931</v>
      </c>
      <c r="D3762" s="27" t="s">
        <v>932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1065</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1007</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1909</v>
      </c>
      <c r="B3765" s="27" t="s">
        <v>988</v>
      </c>
      <c r="C3765" s="27" t="s">
        <v>1054</v>
      </c>
      <c r="D3765" s="27" t="s">
        <v>932</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936</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944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954</v>
      </c>
      <c r="B3768" s="27" t="s">
        <v>968</v>
      </c>
      <c r="C3768" s="27" t="s">
        <v>931</v>
      </c>
      <c r="D3768" s="27" t="s">
        <v>932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961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1453</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1919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1042</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row>
    <row r="3774" spans="1:12">
      <c r="A3774" s="20" t="s">
        <v>1920</v>
      </c>
    </row>
    <row r="3775" spans="1:12">
      <c r="A3775" s="20" t="s">
        <v>1719</v>
      </c>
      <c r="B3775" s="27" t="s">
        <v>930</v>
      </c>
      <c r="C3775" s="27" t="s">
        <v>931</v>
      </c>
      <c r="D3775" s="27" t="s">
        <v>932</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1176</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1412</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934</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1532</v>
      </c>
      <c r="B3779" s="27" t="s">
        <v>942</v>
      </c>
      <c r="C3779" s="27" t="s">
        <v>1087</v>
      </c>
      <c r="D3779" s="27" t="s">
        <v>932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1000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1921</v>
      </c>
      <c r="B3781" s="27" t="s">
        <v>942</v>
      </c>
      <c r="C3781" s="27" t="s">
        <v>1111</v>
      </c>
      <c r="D3781" s="27" t="s">
        <v>932</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1042</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row>
    <row r="3784" spans="1:12">
      <c r="A3784" s="20" t="s">
        <v>1922</v>
      </c>
    </row>
    <row r="3785" spans="1:12">
      <c r="A3785" s="20" t="s">
        <v>1719</v>
      </c>
      <c r="B3785" s="27" t="s">
        <v>930</v>
      </c>
      <c r="C3785" s="27" t="s">
        <v>931</v>
      </c>
      <c r="D3785" s="27" t="s">
        <v>932</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1599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934</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1923</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1430</v>
      </c>
      <c r="B3789" s="27" t="s">
        <v>988</v>
      </c>
      <c r="C3789" s="27" t="s">
        <v>973</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944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1338</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1924</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1925</v>
      </c>
      <c r="B3793" s="27" t="s">
        <v>939</v>
      </c>
      <c r="C3793" s="27" t="s">
        <v>1097</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1042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983</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1926</v>
      </c>
    </row>
    <row r="3798" spans="1:12">
      <c r="A3798" s="20" t="s">
        <v>1719</v>
      </c>
      <c r="B3798" s="27" t="s">
        <v>930</v>
      </c>
      <c r="C3798" s="27" t="s">
        <v>931</v>
      </c>
      <c r="D3798" s="27" t="s">
        <v>932</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1801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1064</v>
      </c>
      <c r="B3800" s="27" t="s">
        <v>988</v>
      </c>
      <c r="C3800" s="27" t="s">
        <v>931</v>
      </c>
      <c r="D3800" s="27" t="s">
        <v>932</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934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1927</v>
      </c>
      <c r="B3802" s="27" t="s">
        <v>988</v>
      </c>
      <c r="C3802" s="27" t="s">
        <v>973</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1007</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1928</v>
      </c>
      <c r="B3804" s="27" t="s">
        <v>939</v>
      </c>
      <c r="C3804" s="27" t="s">
        <v>943</v>
      </c>
      <c r="D3804" s="27" t="s">
        <v>932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1295</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1007</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1910</v>
      </c>
      <c r="B3807" s="27" t="s">
        <v>949</v>
      </c>
      <c r="C3807" s="27" t="s">
        <v>1054</v>
      </c>
      <c r="D3807" s="27" t="s">
        <v>932</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936</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928</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1085</v>
      </c>
      <c r="B3810" s="27" t="s">
        <v>949</v>
      </c>
      <c r="C3810" s="27" t="s">
        <v>940</v>
      </c>
      <c r="D3810" s="27" t="s">
        <v>932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1304</v>
      </c>
      <c r="B3811" s="27" t="s">
        <v>968</v>
      </c>
      <c r="C3811" s="27" t="s">
        <v>1087</v>
      </c>
      <c r="D3811" s="27" t="s">
        <v>932</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1075</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1064</v>
      </c>
      <c r="B3813" s="27" t="s">
        <v>991</v>
      </c>
      <c r="C3813" s="27" t="s">
        <v>931</v>
      </c>
      <c r="D3813" s="27" t="s">
        <v>932</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1338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1929</v>
      </c>
      <c r="B3815" s="27" t="s">
        <v>991</v>
      </c>
      <c r="C3815" s="27" t="s">
        <v>1097</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1317</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1539</v>
      </c>
      <c r="B3817" s="27" t="s">
        <v>939</v>
      </c>
      <c r="C3817" s="27" t="s">
        <v>999</v>
      </c>
      <c r="D3817" s="27" t="s">
        <v>932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936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1930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936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934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1931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1932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1933</v>
      </c>
      <c r="B3824" s="27" t="s">
        <v>988</v>
      </c>
      <c r="C3824" s="27" t="s">
        <v>973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1095</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1123</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1934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1935</v>
      </c>
      <c r="B3828" s="27" t="s">
        <v>939</v>
      </c>
      <c r="C3828" s="27" t="s">
        <v>1054</v>
      </c>
      <c r="D3828" s="27" t="s">
        <v>932</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958</v>
      </c>
      <c r="B3829" s="27" t="s">
        <v>1031</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929</v>
      </c>
      <c r="B3830" s="27" t="s">
        <v>955</v>
      </c>
      <c r="C3830" s="27" t="s">
        <v>931</v>
      </c>
      <c r="D3830" s="27" t="s">
        <v>932</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1113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1114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1587</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134</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936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1012</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929</v>
      </c>
      <c r="B3837" s="27" t="s">
        <v>968</v>
      </c>
      <c r="C3837" s="27" t="s">
        <v>931</v>
      </c>
      <c r="D3837" s="27" t="s">
        <v>932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1345</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1729</v>
      </c>
      <c r="B3839" s="27" t="s">
        <v>1009</v>
      </c>
      <c r="C3839" s="27" t="s">
        <v>931</v>
      </c>
      <c r="D3839" s="27" t="s">
        <v>932</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961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1936</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954</v>
      </c>
      <c r="B3842" s="27" t="s">
        <v>1183</v>
      </c>
      <c r="C3842" s="27" t="s">
        <v>931</v>
      </c>
      <c r="D3842" s="27" t="s">
        <v>932</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947</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1064</v>
      </c>
      <c r="B3844" s="27" t="s">
        <v>949</v>
      </c>
      <c r="C3844" s="27" t="s">
        <v>931</v>
      </c>
      <c r="D3844" s="27" t="s">
        <v>932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947</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1937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1007</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1938</v>
      </c>
      <c r="B3848" s="27" t="s">
        <v>1031</v>
      </c>
      <c r="C3848" s="27" t="s">
        <v>1054</v>
      </c>
      <c r="D3848" s="27" t="s">
        <v>932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958</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929</v>
      </c>
      <c r="B3850" s="27" t="s">
        <v>1200</v>
      </c>
      <c r="C3850" s="27" t="s">
        <v>931</v>
      </c>
      <c r="D3850" s="27" t="s">
        <v>932</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1305</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1354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1144</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938</v>
      </c>
      <c r="B3854" s="27" t="s">
        <v>1246</v>
      </c>
      <c r="C3854" s="27" t="s">
        <v>940</v>
      </c>
      <c r="D3854" s="27" t="s">
        <v>932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1643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944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45</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934</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1939</v>
      </c>
      <c r="B3859" s="27" t="s">
        <v>1390</v>
      </c>
      <c r="C3859" s="27" t="s">
        <v>973</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929</v>
      </c>
      <c r="B3860" s="27" t="s">
        <v>1491</v>
      </c>
      <c r="C3860" s="27" t="s">
        <v>931</v>
      </c>
      <c r="D3860" s="27" t="s">
        <v>932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1940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947</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903</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1042</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row>
    <row r="3866" spans="1:12">
      <c r="A3866" s="20" t="s">
        <v>1941</v>
      </c>
    </row>
    <row r="3867" spans="1:12">
      <c r="A3867" s="20" t="s">
        <v>965</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1007</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942</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1942</v>
      </c>
      <c r="B3870" s="27" t="s">
        <v>930</v>
      </c>
      <c r="C3870" s="27" t="s">
        <v>1352</v>
      </c>
      <c r="D3870" s="27" t="s">
        <v>932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961</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934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1943</v>
      </c>
      <c r="B3873" s="27" t="s">
        <v>942</v>
      </c>
      <c r="C3873" s="27" t="s">
        <v>1087</v>
      </c>
      <c r="D3873" s="27" t="s">
        <v>932</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1000</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938</v>
      </c>
      <c r="B3875" s="27" t="s">
        <v>939</v>
      </c>
      <c r="C3875" s="27" t="s">
        <v>940</v>
      </c>
      <c r="D3875" s="27" t="s">
        <v>932</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1944</v>
      </c>
      <c r="B3876" s="27" t="s">
        <v>942</v>
      </c>
      <c r="C3876" s="27" t="s">
        <v>1087</v>
      </c>
      <c r="D3876" s="27" t="s">
        <v>932</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936</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1069</v>
      </c>
      <c r="B3878" s="27" t="s">
        <v>968</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1945</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1946</v>
      </c>
      <c r="B3880" s="27" t="s">
        <v>991</v>
      </c>
      <c r="C3880" s="27" t="s">
        <v>946</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1042</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row>
    <row r="3883" spans="1:12">
      <c r="A3883" s="20" t="s">
        <v>1947</v>
      </c>
    </row>
    <row r="3884" spans="1:12">
      <c r="A3884" s="20" t="s">
        <v>1006</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929</v>
      </c>
      <c r="B3885" s="27" t="s">
        <v>968</v>
      </c>
      <c r="C3885" s="27" t="s">
        <v>931</v>
      </c>
      <c r="D3885" s="27" t="s">
        <v>932</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1948</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954</v>
      </c>
      <c r="B3887" s="27" t="s">
        <v>991</v>
      </c>
      <c r="C3887" s="27" t="s">
        <v>931</v>
      </c>
      <c r="D3887" s="27" t="s">
        <v>932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936</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929</v>
      </c>
      <c r="B3889" s="27" t="s">
        <v>930</v>
      </c>
      <c r="C3889" s="27" t="s">
        <v>931</v>
      </c>
      <c r="D3889" s="27" t="s">
        <v>932</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1004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947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1949</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936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944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938</v>
      </c>
      <c r="B3895" s="27" t="s">
        <v>949</v>
      </c>
      <c r="C3895" s="27" t="s">
        <v>940</v>
      </c>
      <c r="D3895" s="27" t="s">
        <v>932</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1086</v>
      </c>
      <c r="B3896" s="27" t="s">
        <v>968</v>
      </c>
      <c r="C3896" s="27" t="s">
        <v>1087</v>
      </c>
      <c r="D3896" s="27" t="s">
        <v>932</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1799</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1228</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944</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1232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936</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1561</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1950</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1175</v>
      </c>
      <c r="B3904" s="27" t="s">
        <v>955</v>
      </c>
      <c r="C3904" s="27" t="s">
        <v>931</v>
      </c>
      <c r="D3904" s="27" t="s">
        <v>932</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1951</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1279</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1000</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1007</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1952</v>
      </c>
      <c r="B3909" s="27" t="s">
        <v>1025</v>
      </c>
      <c r="C3909" s="27" t="s">
        <v>1054</v>
      </c>
      <c r="D3909" s="27" t="s">
        <v>932</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1175</v>
      </c>
      <c r="B3910" s="27" t="s">
        <v>1200</v>
      </c>
      <c r="C3910" s="27" t="s">
        <v>931</v>
      </c>
      <c r="D3910" s="27" t="s">
        <v>932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1717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1345</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1325</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1561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row>
    <row r="3916" spans="1:12">
      <c r="A3916" s="20" t="s">
        <v>1953</v>
      </c>
    </row>
    <row r="3917" spans="1:12">
      <c r="A3917" s="20" t="s">
        <v>965</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929</v>
      </c>
      <c r="B3918" s="27" t="s">
        <v>930</v>
      </c>
      <c r="C3918" s="27" t="s">
        <v>931</v>
      </c>
      <c r="D3918" s="27" t="s">
        <v>932</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1232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936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1561</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1544</v>
      </c>
      <c r="B3922" s="27" t="s">
        <v>968</v>
      </c>
      <c r="C3922" s="27" t="s">
        <v>931</v>
      </c>
      <c r="D3922" s="27" t="s">
        <v>932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1065</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1007</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997</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1954</v>
      </c>
      <c r="B3926" s="27" t="s">
        <v>991</v>
      </c>
      <c r="C3926" s="27" t="s">
        <v>1054</v>
      </c>
      <c r="D3926" s="27" t="s">
        <v>932</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929</v>
      </c>
      <c r="B3927" s="27" t="s">
        <v>955</v>
      </c>
      <c r="C3927" s="27" t="s">
        <v>931</v>
      </c>
      <c r="D3927" s="27" t="s">
        <v>932</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45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1042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1561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row>
    <row r="3932" spans="1:12">
      <c r="A3932" s="20" t="s">
        <v>1955</v>
      </c>
    </row>
    <row r="3933" spans="1:12">
      <c r="A3933" s="20" t="s">
        <v>929</v>
      </c>
      <c r="B3933" s="27" t="s">
        <v>930</v>
      </c>
      <c r="C3933" s="27" t="s">
        <v>931</v>
      </c>
      <c r="D3933" s="27" t="s">
        <v>932</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1305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1951</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1412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1271</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929</v>
      </c>
      <c r="B3938" s="27" t="s">
        <v>968</v>
      </c>
      <c r="C3938" s="27" t="s">
        <v>931</v>
      </c>
      <c r="D3938" s="27" t="s">
        <v>932</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1684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947</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1175</v>
      </c>
      <c r="B3941" s="27" t="s">
        <v>939</v>
      </c>
      <c r="C3941" s="27" t="s">
        <v>931</v>
      </c>
      <c r="D3941" s="27" t="s">
        <v>932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1042</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row>
    <row r="3944" spans="1:12">
      <c r="A3944" s="20" t="s">
        <v>1956</v>
      </c>
    </row>
    <row r="3945" spans="1:12">
      <c r="A3945" s="20" t="s">
        <v>1215</v>
      </c>
      <c r="B3945" s="27" t="s">
        <v>930</v>
      </c>
      <c r="C3945" s="27" t="s">
        <v>931</v>
      </c>
      <c r="D3945" s="27" t="s">
        <v>932</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1176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1125</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958</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929</v>
      </c>
      <c r="B3949" s="27" t="s">
        <v>930</v>
      </c>
      <c r="C3949" s="27" t="s">
        <v>931</v>
      </c>
      <c r="D3949" s="27" t="s">
        <v>932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1305</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1209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1457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936</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1012</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929</v>
      </c>
      <c r="B3955" s="27" t="s">
        <v>968</v>
      </c>
      <c r="C3955" s="27" t="s">
        <v>931</v>
      </c>
      <c r="D3955" s="27" t="s">
        <v>932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462</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1957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936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929</v>
      </c>
      <c r="B3959" s="27" t="s">
        <v>1009</v>
      </c>
      <c r="C3959" s="27" t="s">
        <v>931</v>
      </c>
      <c r="D3959" s="27" t="s">
        <v>932</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42</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936</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1279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929</v>
      </c>
      <c r="B3963" s="27" t="s">
        <v>968</v>
      </c>
      <c r="C3963" s="27" t="s">
        <v>931</v>
      </c>
      <c r="D3963" s="27" t="s">
        <v>932</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1070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45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1674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1067</v>
      </c>
      <c r="B3967" s="27" t="s">
        <v>991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936</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1012</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938</v>
      </c>
      <c r="B3970" s="27" t="s">
        <v>1025</v>
      </c>
      <c r="C3970" s="27" t="s">
        <v>940</v>
      </c>
      <c r="D3970" s="27" t="s">
        <v>932</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1560</v>
      </c>
      <c r="B3971" s="27" t="s">
        <v>1009</v>
      </c>
      <c r="C3971" s="27" t="s">
        <v>1087</v>
      </c>
      <c r="D3971" s="27" t="s">
        <v>932</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950</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1064</v>
      </c>
      <c r="B3973" s="27" t="s">
        <v>1183</v>
      </c>
      <c r="C3973" s="27" t="s">
        <v>931</v>
      </c>
      <c r="D3973" s="27" t="s">
        <v>932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980</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936</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944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1209</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1113</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1007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1958</v>
      </c>
      <c r="B3980" s="27" t="s">
        <v>982</v>
      </c>
      <c r="C3980" s="27" t="s">
        <v>1054</v>
      </c>
      <c r="D3980" s="27" t="s">
        <v>932</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936</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944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929</v>
      </c>
      <c r="B3983" s="27" t="s">
        <v>968</v>
      </c>
      <c r="C3983" s="27" t="s">
        <v>931</v>
      </c>
      <c r="D3983" s="27" t="s">
        <v>932</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1065</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1007</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1910</v>
      </c>
      <c r="B3986" s="27" t="s">
        <v>991</v>
      </c>
      <c r="C3986" s="27" t="s">
        <v>1054</v>
      </c>
      <c r="D3986" s="27" t="s">
        <v>932</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1042</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row>
    <row r="3989" spans="1:12">
      <c r="A3989" s="20" t="s">
        <v>1959</v>
      </c>
    </row>
    <row r="3990" spans="1:12">
      <c r="A3990" s="20" t="s">
        <v>929</v>
      </c>
      <c r="B3990" s="27" t="s">
        <v>930</v>
      </c>
      <c r="C3990" s="27" t="s">
        <v>931</v>
      </c>
      <c r="D3990" s="27" t="s">
        <v>932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1305</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1266</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944</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1411</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1042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row>
    <row r="3997" spans="1:12">
      <c r="A3997" s="20" t="s">
        <v>983</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1960</v>
      </c>
    </row>
    <row r="3999" spans="1:12">
      <c r="A3999" s="20" t="s">
        <v>1039</v>
      </c>
      <c r="B3999" s="27" t="s">
        <v>930</v>
      </c>
      <c r="C3999" s="27" t="s">
        <v>931</v>
      </c>
      <c r="D3999" s="27" t="s">
        <v>932</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602</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937</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1007</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1649</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1239</v>
      </c>
      <c r="B4004" s="27" t="s">
        <v>942</v>
      </c>
      <c r="C4004" s="27" t="s">
        <v>1054</v>
      </c>
      <c r="D4004" s="27" t="s">
        <v>932</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936</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1260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1072</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954</v>
      </c>
      <c r="B4008" s="27" t="s">
        <v>968</v>
      </c>
      <c r="C4008" s="27" t="s">
        <v>931</v>
      </c>
      <c r="D4008" s="27" t="s">
        <v>932</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1252</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1114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1066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974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954</v>
      </c>
      <c r="B4014" s="27" t="s">
        <v>939</v>
      </c>
      <c r="C4014" s="27" t="s">
        <v>931</v>
      </c>
      <c r="D4014" s="27" t="s">
        <v>932</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1042</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928</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row>
    <row r="4018" spans="1:12">
      <c r="A4018" s="20" t="s">
        <v>1961</v>
      </c>
    </row>
    <row r="4019" spans="1:12">
      <c r="A4019" s="20" t="s">
        <v>929</v>
      </c>
      <c r="B4019" s="27" t="s">
        <v>930</v>
      </c>
      <c r="C4019" s="27" t="s">
        <v>931</v>
      </c>
      <c r="D4019" s="27" t="s">
        <v>932</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961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1743</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1472</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1007</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1938</v>
      </c>
      <c r="B4024" s="27" t="s">
        <v>942</v>
      </c>
      <c r="C4024" s="27" t="s">
        <v>1054</v>
      </c>
      <c r="D4024" s="27" t="s">
        <v>932</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958</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1040</v>
      </c>
      <c r="B4026" s="27" t="s">
        <v>968</v>
      </c>
      <c r="C4026" s="27" t="s">
        <v>946</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1056</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1962</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1963</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947</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36</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934</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1964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936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1846</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936</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1965</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1966</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1435</v>
      </c>
      <c r="B4040" s="27" t="s">
        <v>1025</v>
      </c>
      <c r="C4040" s="27" t="s">
        <v>946</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936</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944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929</v>
      </c>
      <c r="B4043" s="27" t="s">
        <v>968</v>
      </c>
      <c r="C4043" s="27" t="s">
        <v>931</v>
      </c>
      <c r="D4043" s="27" t="s">
        <v>932</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1340</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947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1811</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1032</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1335</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954</v>
      </c>
      <c r="B4049" s="27" t="s">
        <v>955</v>
      </c>
      <c r="C4049" s="27" t="s">
        <v>931</v>
      </c>
      <c r="D4049" s="27" t="s">
        <v>932</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1967</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937</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934</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1968</v>
      </c>
      <c r="B4053" s="27" t="s">
        <v>1025</v>
      </c>
      <c r="C4053" s="27" t="s">
        <v>973</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1000</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942</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1969</v>
      </c>
      <c r="B4056" s="27" t="s">
        <v>1078</v>
      </c>
      <c r="C4056" s="27" t="s">
        <v>946</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936</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944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272</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1000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1007</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1117</v>
      </c>
      <c r="B4062" s="27" t="s">
        <v>939</v>
      </c>
      <c r="C4062" s="27" t="s">
        <v>1054</v>
      </c>
      <c r="D4062" s="27" t="s">
        <v>932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929</v>
      </c>
      <c r="B4063" s="27" t="s">
        <v>955</v>
      </c>
      <c r="C4063" s="27" t="s">
        <v>931</v>
      </c>
      <c r="D4063" s="27" t="s">
        <v>932</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961</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1185</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1970</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937</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961</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1040</v>
      </c>
      <c r="B4069" s="27" t="s">
        <v>1025</v>
      </c>
      <c r="C4069" s="27" t="s">
        <v>946</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1971</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1007</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1972</v>
      </c>
      <c r="B4072" s="27" t="s">
        <v>1078</v>
      </c>
      <c r="C4072" s="27" t="s">
        <v>1054</v>
      </c>
      <c r="D4072" s="27" t="s">
        <v>932</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1042</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1973</v>
      </c>
    </row>
    <row r="4076" spans="1:12">
      <c r="A4076" s="20" t="s">
        <v>965</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1209</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929</v>
      </c>
      <c r="B4078" s="27" t="s">
        <v>930</v>
      </c>
      <c r="C4078" s="27" t="s">
        <v>931</v>
      </c>
      <c r="D4078" s="27" t="s">
        <v>932</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1340</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1160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947</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1911</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947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1811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1032</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1261</v>
      </c>
      <c r="B4086" s="27" t="s">
        <v>955</v>
      </c>
      <c r="C4086" s="27" t="s">
        <v>1121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961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1148</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1415</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1063</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1974</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709</v>
      </c>
      <c r="B4092" s="27" t="s">
        <v>1025</v>
      </c>
      <c r="C4092" s="27" t="s">
        <v>946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995</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1040</v>
      </c>
      <c r="B4094" s="27" t="s">
        <v>1078</v>
      </c>
      <c r="C4094" s="27" t="s">
        <v>946</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1042</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1975</v>
      </c>
    </row>
    <row r="4098" spans="1:12">
      <c r="A4098" s="20" t="s">
        <v>965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1261</v>
      </c>
      <c r="B4099" s="27" t="s">
        <v>930</v>
      </c>
      <c r="C4099" s="27" t="s">
        <v>1121</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929</v>
      </c>
      <c r="B4100" s="27" t="s">
        <v>1009</v>
      </c>
      <c r="C4100" s="27" t="s">
        <v>931</v>
      </c>
      <c r="D4100" s="27" t="s">
        <v>932</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1620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1056</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958</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1974</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709</v>
      </c>
      <c r="B4105" s="27" t="s">
        <v>968</v>
      </c>
      <c r="C4105" s="27" t="s">
        <v>946</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1201</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1976</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1125</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1148</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1977</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1063</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1040</v>
      </c>
      <c r="B4112" s="27" t="s">
        <v>939</v>
      </c>
      <c r="C4112" s="27" t="s">
        <v>946</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1042</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row>
    <row r="4115" spans="1:12">
      <c r="A4115" s="20" t="s">
        <v>1978</v>
      </c>
    </row>
    <row r="4116" spans="1:12">
      <c r="A4116" s="20" t="s">
        <v>1425</v>
      </c>
      <c r="B4116" s="27" t="s">
        <v>930</v>
      </c>
      <c r="C4116" s="27" t="s">
        <v>943</v>
      </c>
      <c r="D4116" s="27" t="s">
        <v>932</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1056</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1007</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1979</v>
      </c>
      <c r="B4119" s="27" t="s">
        <v>942</v>
      </c>
      <c r="C4119" s="27" t="s">
        <v>1054</v>
      </c>
      <c r="D4119" s="27" t="s">
        <v>932</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1000</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934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1980</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1981</v>
      </c>
      <c r="B4123" s="27" t="s">
        <v>942</v>
      </c>
      <c r="C4123" s="27" t="s">
        <v>973</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936</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1372</v>
      </c>
      <c r="B4125" s="27" t="s">
        <v>1009</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1056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1982</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1983</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1984</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937</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1007</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1985</v>
      </c>
      <c r="B4132" s="27" t="s">
        <v>949</v>
      </c>
      <c r="C4132" s="27" t="s">
        <v>1054</v>
      </c>
      <c r="D4132" s="27" t="s">
        <v>932</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936</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944</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1740</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1473</v>
      </c>
      <c r="B4136" s="27" t="s">
        <v>942</v>
      </c>
      <c r="C4136" s="27" t="s">
        <v>946</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936</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1372</v>
      </c>
      <c r="B4138" s="27" t="s">
        <v>1009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1201</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1986</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947</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36</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1329</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1498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1063</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709</v>
      </c>
      <c r="B4146" s="27" t="s">
        <v>1025</v>
      </c>
      <c r="C4146" s="27" t="s">
        <v>946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1069</v>
      </c>
      <c r="B4147" s="27" t="s">
        <v>1200</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1201</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1987</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1042</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row>
    <row r="4152" spans="1:12">
      <c r="A4152" s="20" t="s">
        <v>983</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1988</v>
      </c>
    </row>
    <row r="4154" spans="1:12">
      <c r="A4154" s="20" t="s">
        <v>965</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1199</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954</v>
      </c>
      <c r="B4156" s="27" t="s">
        <v>930</v>
      </c>
      <c r="C4156" s="27" t="s">
        <v>931</v>
      </c>
      <c r="D4156" s="27" t="s">
        <v>932</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1989</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1160</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958</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1072</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1175</v>
      </c>
      <c r="B4161" s="27" t="s">
        <v>1009</v>
      </c>
      <c r="C4161" s="27" t="s">
        <v>931</v>
      </c>
      <c r="D4161" s="27" t="s">
        <v>932</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45</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934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1587</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1923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1349</v>
      </c>
      <c r="B4166" s="27" t="s">
        <v>1183</v>
      </c>
      <c r="C4166" s="27" t="s">
        <v>973</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1012</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13</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1990</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969</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1007</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1239</v>
      </c>
      <c r="B4172" s="27" t="s">
        <v>1078</v>
      </c>
      <c r="C4172" s="27" t="s">
        <v>1054</v>
      </c>
      <c r="D4172" s="27" t="s">
        <v>932</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936</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1175</v>
      </c>
      <c r="B4174" s="27" t="s">
        <v>968</v>
      </c>
      <c r="C4174" s="27" t="s">
        <v>931</v>
      </c>
      <c r="D4174" s="27" t="s">
        <v>932</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42</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936</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928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1991</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286</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929</v>
      </c>
      <c r="B4180" s="27" t="s">
        <v>1009</v>
      </c>
      <c r="C4180" s="27" t="s">
        <v>931</v>
      </c>
      <c r="D4180" s="27" t="s">
        <v>932</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13</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974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1317</v>
      </c>
      <c r="B4183" s="27" t="s">
        <v>949</v>
      </c>
      <c r="C4183" s="27" t="s">
        <v>1061</v>
      </c>
      <c r="D4183" s="27" t="s">
        <v>932</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1325</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row>
    <row r="4186" spans="1:12">
      <c r="A4186" s="20" t="s">
        <v>983</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1992</v>
      </c>
    </row>
    <row r="4188" spans="1:12">
      <c r="A4188" s="20" t="s">
        <v>929</v>
      </c>
      <c r="B4188" s="27" t="s">
        <v>930</v>
      </c>
      <c r="C4188" s="27" t="s">
        <v>931</v>
      </c>
      <c r="D4188" s="27" t="s">
        <v>932</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1685</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45</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1040</v>
      </c>
      <c r="B4191" s="27" t="s">
        <v>988</v>
      </c>
      <c r="C4191" s="27" t="s">
        <v>946</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1042</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928</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row>
    <row r="4195" spans="1:12">
      <c r="A4195" s="20" t="s">
        <v>1993</v>
      </c>
    </row>
    <row r="4196" spans="1:12">
      <c r="A4196" s="20" t="s">
        <v>965</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1175</v>
      </c>
      <c r="B4197" s="27" t="s">
        <v>930</v>
      </c>
      <c r="C4197" s="27" t="s">
        <v>931</v>
      </c>
      <c r="D4197" s="27" t="s">
        <v>932</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1219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1160</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947</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54</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1358</v>
      </c>
      <c r="B4202" s="27" t="s">
        <v>991</v>
      </c>
      <c r="C4202" s="27" t="s">
        <v>946</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1063</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954</v>
      </c>
      <c r="B4204" s="27" t="s">
        <v>939</v>
      </c>
      <c r="C4204" s="27" t="s">
        <v>931</v>
      </c>
      <c r="D4204" s="27" t="s">
        <v>932</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1042</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row>
    <row r="4207" spans="1:12">
      <c r="A4207" s="20" t="s">
        <v>983</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1994</v>
      </c>
    </row>
    <row r="4209" spans="1:12">
      <c r="A4209" s="20" t="s">
        <v>1103</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1072</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1175</v>
      </c>
      <c r="B4211" s="27" t="s">
        <v>968</v>
      </c>
      <c r="C4211" s="27" t="s">
        <v>931</v>
      </c>
      <c r="D4211" s="27" t="s">
        <v>932</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45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934</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1995</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1996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1349</v>
      </c>
      <c r="B4216" s="27" t="s">
        <v>991</v>
      </c>
      <c r="C4216" s="27" t="s">
        <v>973</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936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944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1175</v>
      </c>
      <c r="B4219" s="27" t="s">
        <v>1009</v>
      </c>
      <c r="C4219" s="27" t="s">
        <v>931</v>
      </c>
      <c r="D4219" s="27" t="s">
        <v>932</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13</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1990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969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1007</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1239</v>
      </c>
      <c r="B4224" s="27" t="s">
        <v>1025</v>
      </c>
      <c r="C4224" s="27" t="s">
        <v>1054</v>
      </c>
      <c r="D4224" s="27" t="s">
        <v>932</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936</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1007</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1206</v>
      </c>
      <c r="B4227" s="27" t="s">
        <v>930</v>
      </c>
      <c r="C4227" s="27" t="s">
        <v>1054</v>
      </c>
      <c r="D4227" s="27" t="s">
        <v>932</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1175</v>
      </c>
      <c r="B4228" s="27" t="s">
        <v>1009</v>
      </c>
      <c r="C4228" s="27" t="s">
        <v>931</v>
      </c>
      <c r="D4228" s="27" t="s">
        <v>932</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13</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1056</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1997</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995</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1627</v>
      </c>
      <c r="B4233" s="27" t="s">
        <v>939</v>
      </c>
      <c r="C4233" s="27" t="s">
        <v>940</v>
      </c>
      <c r="D4233" s="27" t="s">
        <v>932</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1349</v>
      </c>
      <c r="B4234" s="27" t="s">
        <v>942</v>
      </c>
      <c r="C4234" s="27" t="s">
        <v>1087</v>
      </c>
      <c r="D4234" s="27" t="s">
        <v>932</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936</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944</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954</v>
      </c>
      <c r="B4237" s="27" t="s">
        <v>968</v>
      </c>
      <c r="C4237" s="27" t="s">
        <v>931</v>
      </c>
      <c r="D4237" s="27" t="s">
        <v>932</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1252</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1114</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1998</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947</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1175</v>
      </c>
      <c r="B4242" s="27" t="s">
        <v>939</v>
      </c>
      <c r="C4242" s="27" t="s">
        <v>931</v>
      </c>
      <c r="D4242" s="27" t="s">
        <v>932</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947</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42</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936</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928</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1999</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1317</v>
      </c>
      <c r="B4248" s="27" t="s">
        <v>955</v>
      </c>
      <c r="C4248" s="27" t="s">
        <v>1061</v>
      </c>
      <c r="D4248" s="27" t="s">
        <v>932</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1056</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2000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1042</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928</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row>
    <row r="4254" spans="1:12">
      <c r="A4254" s="20" t="s">
        <v>2001</v>
      </c>
    </row>
    <row r="4255" spans="1:12">
      <c r="A4255" s="20" t="s">
        <v>965</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1209</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749</v>
      </c>
      <c r="B4257" s="27" t="s">
        <v>930</v>
      </c>
      <c r="C4257" s="27" t="s">
        <v>931</v>
      </c>
      <c r="D4257" s="27" t="s">
        <v>932</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45</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1013</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2002</v>
      </c>
      <c r="B4260" s="27" t="s">
        <v>988</v>
      </c>
      <c r="C4260" s="27" t="s">
        <v>973</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937</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1317</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1875</v>
      </c>
      <c r="B4263" s="27" t="s">
        <v>939</v>
      </c>
      <c r="C4263" s="27" t="s">
        <v>999</v>
      </c>
      <c r="D4263" s="27" t="s">
        <v>932</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1000</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1040</v>
      </c>
      <c r="B4265" s="27" t="s">
        <v>949</v>
      </c>
      <c r="C4265" s="27" t="s">
        <v>946</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1971</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1987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709</v>
      </c>
      <c r="B4268" s="27" t="s">
        <v>939</v>
      </c>
      <c r="C4268" s="27" t="s">
        <v>946</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958</v>
      </c>
      <c r="B4269" s="27" t="s">
        <v>955</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1176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1125</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1148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2003</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1164</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944</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958</v>
      </c>
      <c r="B4276" s="27" t="s">
        <v>960</v>
      </c>
      <c r="C4276" s="27" t="s">
        <v>1061</v>
      </c>
      <c r="D4276" s="27" t="s">
        <v>932</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1176</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1125</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1148</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1977</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944</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958</v>
      </c>
      <c r="B4282" s="27" t="s">
        <v>1200</v>
      </c>
      <c r="C4282" s="27" t="s">
        <v>1061</v>
      </c>
      <c r="D4282" s="27" t="s">
        <v>932</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1176</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1125</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1148</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2004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936</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944</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954</v>
      </c>
      <c r="B4289" s="27" t="s">
        <v>968</v>
      </c>
      <c r="C4289" s="27" t="s">
        <v>931</v>
      </c>
      <c r="D4289" s="27" t="s">
        <v>932</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1176</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934</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2005</v>
      </c>
      <c r="B4292" s="27" t="s">
        <v>942</v>
      </c>
      <c r="C4292" s="27" t="s">
        <v>973</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1000</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934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2006</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2007</v>
      </c>
      <c r="B4296" s="27" t="s">
        <v>939</v>
      </c>
      <c r="C4296" s="27" t="s">
        <v>973</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1042</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row>
    <row r="4299" spans="1:12">
      <c r="A4299" s="20" t="s">
        <v>2008</v>
      </c>
    </row>
    <row r="4300" spans="1:12">
      <c r="A4300" s="20" t="s">
        <v>965</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1209</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929</v>
      </c>
      <c r="B4302" s="27" t="s">
        <v>930</v>
      </c>
      <c r="C4302" s="27" t="s">
        <v>931</v>
      </c>
      <c r="D4302" s="27" t="s">
        <v>932</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1107</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1013</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2009</v>
      </c>
      <c r="B4305" s="27" t="s">
        <v>988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1069</v>
      </c>
      <c r="B4306" s="27" t="s">
        <v>1009</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961</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1210</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934</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2010</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1830</v>
      </c>
      <c r="B4311" s="27" t="s">
        <v>1183</v>
      </c>
      <c r="C4311" s="27" t="s">
        <v>973</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937</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2011</v>
      </c>
      <c r="B4313" s="27" t="s">
        <v>1025</v>
      </c>
      <c r="C4313" s="27" t="s">
        <v>1087</v>
      </c>
      <c r="D4313" s="27" t="s">
        <v>932</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2012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1000</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2013</v>
      </c>
      <c r="B4316" s="27" t="s">
        <v>1078</v>
      </c>
      <c r="C4316" s="27" t="s">
        <v>943</v>
      </c>
      <c r="D4316" s="27" t="s">
        <v>932</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936</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1858</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1549</v>
      </c>
      <c r="B4319" s="27" t="s">
        <v>968</v>
      </c>
      <c r="C4319" s="27" t="s">
        <v>931</v>
      </c>
      <c r="D4319" s="27" t="s">
        <v>932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2003</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1164</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2014</v>
      </c>
      <c r="B4322" s="27" t="s">
        <v>991</v>
      </c>
      <c r="C4322" s="27" t="s">
        <v>946</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1069</v>
      </c>
      <c r="B4323" s="27" t="s">
        <v>955</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1065</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76</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937</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1063</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942</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1848</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1741</v>
      </c>
      <c r="B4330" s="27" t="s">
        <v>1025</v>
      </c>
      <c r="C4330" s="27" t="s">
        <v>946</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944</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2015</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987</v>
      </c>
      <c r="B4333" s="27" t="s">
        <v>982</v>
      </c>
      <c r="C4333" s="27" t="s">
        <v>931</v>
      </c>
      <c r="D4333" s="27" t="s">
        <v>932</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995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1040</v>
      </c>
      <c r="B4335" s="27" t="s">
        <v>1078</v>
      </c>
      <c r="C4335" s="27" t="s">
        <v>946</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936</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944</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985</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2016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1254</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1255</v>
      </c>
      <c r="B4341" s="27" t="s">
        <v>982</v>
      </c>
      <c r="C4341" s="27" t="s">
        <v>1097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1000</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1007</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2017</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1904</v>
      </c>
      <c r="B4345" s="27" t="s">
        <v>978</v>
      </c>
      <c r="C4345" s="27" t="s">
        <v>1054</v>
      </c>
      <c r="D4345" s="27" t="s">
        <v>932</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1042</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row>
    <row r="4348" spans="1:12">
      <c r="A4348" s="20" t="s">
        <v>2018</v>
      </c>
    </row>
    <row r="4349" spans="1:12">
      <c r="A4349" s="20" t="s">
        <v>1514</v>
      </c>
      <c r="B4349" s="27" t="s">
        <v>930</v>
      </c>
      <c r="C4349" s="27" t="s">
        <v>1087</v>
      </c>
      <c r="D4349" s="27" t="s">
        <v>932</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1000</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987</v>
      </c>
      <c r="B4351" s="27" t="s">
        <v>939</v>
      </c>
      <c r="C4351" s="27" t="s">
        <v>931</v>
      </c>
      <c r="D4351" s="27" t="s">
        <v>932</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936</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2019</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936</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1799</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937</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936</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944</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1317</v>
      </c>
      <c r="B4359" s="27" t="s">
        <v>968</v>
      </c>
      <c r="C4359" s="27" t="s">
        <v>1061</v>
      </c>
      <c r="D4359" s="27" t="s">
        <v>932</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1056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1261</v>
      </c>
      <c r="B4361" s="27" t="s">
        <v>942</v>
      </c>
      <c r="C4361" s="27" t="s">
        <v>1121</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1549</v>
      </c>
      <c r="B4362" s="27" t="s">
        <v>1009</v>
      </c>
      <c r="C4362" s="27" t="s">
        <v>931</v>
      </c>
      <c r="D4362" s="27" t="s">
        <v>932</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1232</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1007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1275</v>
      </c>
      <c r="B4365" s="27" t="s">
        <v>949</v>
      </c>
      <c r="C4365" s="27" t="s">
        <v>1054</v>
      </c>
      <c r="D4365" s="27" t="s">
        <v>932</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1549</v>
      </c>
      <c r="B4366" s="27" t="s">
        <v>960</v>
      </c>
      <c r="C4366" s="27" t="s">
        <v>931</v>
      </c>
      <c r="D4366" s="27" t="s">
        <v>932</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1799</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937</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1042</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row>
    <row r="4371" spans="1:12">
      <c r="A4371" s="20" t="s">
        <v>2020</v>
      </c>
    </row>
    <row r="4372" spans="1:12">
      <c r="A4372" s="20" t="s">
        <v>1544</v>
      </c>
      <c r="B4372" s="27" t="s">
        <v>930</v>
      </c>
      <c r="C4372" s="27" t="s">
        <v>931</v>
      </c>
      <c r="D4372" s="27" t="s">
        <v>932</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1232</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936</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944</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1549</v>
      </c>
      <c r="B4376" s="27" t="s">
        <v>968</v>
      </c>
      <c r="C4376" s="27" t="s">
        <v>931</v>
      </c>
      <c r="D4376" s="27" t="s">
        <v>932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961</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934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1800</v>
      </c>
      <c r="B4379" s="27" t="s">
        <v>942</v>
      </c>
      <c r="C4379" s="27" t="s">
        <v>973</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936</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1472</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1007</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1206</v>
      </c>
      <c r="B4383" s="27" t="s">
        <v>939</v>
      </c>
      <c r="C4383" s="27" t="s">
        <v>1054</v>
      </c>
      <c r="D4383" s="27" t="s">
        <v>932</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936</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1069</v>
      </c>
      <c r="B4385" s="27" t="s">
        <v>955</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1065</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2021</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1925</v>
      </c>
      <c r="B4388" s="27" t="s">
        <v>1031</v>
      </c>
      <c r="C4388" s="27" t="s">
        <v>1097</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1042</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row>
    <row r="4391" spans="1:12">
      <c r="A4391" s="20" t="s">
        <v>983</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2022</v>
      </c>
    </row>
    <row r="4393" spans="1:12">
      <c r="A4393" s="20" t="s">
        <v>1544</v>
      </c>
      <c r="B4393" s="27" t="s">
        <v>930</v>
      </c>
      <c r="C4393" s="27" t="s">
        <v>931</v>
      </c>
      <c r="D4393" s="27" t="s">
        <v>932</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1232</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936</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928</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929</v>
      </c>
      <c r="B4397" s="27" t="s">
        <v>968</v>
      </c>
      <c r="C4397" s="27" t="s">
        <v>931</v>
      </c>
      <c r="D4397" s="27" t="s">
        <v>932</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2023</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947</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45</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934</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1939</v>
      </c>
      <c r="B4402" s="27" t="s">
        <v>1183</v>
      </c>
      <c r="C4402" s="27" t="s">
        <v>973</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1012</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929</v>
      </c>
      <c r="B4404" s="27" t="s">
        <v>1009</v>
      </c>
      <c r="C4404" s="27" t="s">
        <v>931</v>
      </c>
      <c r="D4404" s="27" t="s">
        <v>932</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1065</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947</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1713</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954</v>
      </c>
      <c r="B4408" s="27" t="s">
        <v>1031</v>
      </c>
      <c r="C4408" s="27" t="s">
        <v>931</v>
      </c>
      <c r="D4408" s="27" t="s">
        <v>932</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1164</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1279</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929</v>
      </c>
      <c r="B4411" s="27" t="s">
        <v>960</v>
      </c>
      <c r="C4411" s="27" t="s">
        <v>931</v>
      </c>
      <c r="D4411" s="27" t="s">
        <v>932</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1070</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1114</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268</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1160</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1000</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1007</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2024</v>
      </c>
      <c r="B4418" s="27" t="s">
        <v>1078</v>
      </c>
      <c r="C4418" s="27" t="s">
        <v>1054</v>
      </c>
      <c r="D4418" s="27" t="s">
        <v>932</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1042</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row>
    <row r="4421" spans="1:12">
      <c r="A4421" s="20" t="s">
        <v>2025</v>
      </c>
    </row>
    <row r="4422" spans="1:12">
      <c r="A4422" s="20" t="s">
        <v>929</v>
      </c>
      <c r="B4422" s="27" t="s">
        <v>930</v>
      </c>
      <c r="C4422" s="27" t="s">
        <v>931</v>
      </c>
      <c r="D4422" s="27" t="s">
        <v>932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45</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1414</v>
      </c>
      <c r="B4424" s="27" t="s">
        <v>988</v>
      </c>
      <c r="C4424" s="27" t="s">
        <v>1111</v>
      </c>
      <c r="D4424" s="27" t="s">
        <v>932</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947</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290</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947</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938</v>
      </c>
      <c r="B4428" s="27" t="s">
        <v>1025</v>
      </c>
      <c r="C4428" s="27" t="s">
        <v>940</v>
      </c>
      <c r="D4428" s="27" t="s">
        <v>932</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1925</v>
      </c>
      <c r="B4429" s="27" t="s">
        <v>949</v>
      </c>
      <c r="C4429" s="27" t="s">
        <v>1087</v>
      </c>
      <c r="D4429" s="27" t="s">
        <v>932</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1042</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row>
    <row r="4432" spans="1:12">
      <c r="A4432" s="20" t="s">
        <v>983</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2026</v>
      </c>
    </row>
    <row r="4434" spans="1:12">
      <c r="A4434" s="20" t="s">
        <v>1080</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1007</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1776</v>
      </c>
      <c r="B4436" s="27" t="s">
        <v>942</v>
      </c>
      <c r="C4436" s="27" t="s">
        <v>1054</v>
      </c>
      <c r="D4436" s="27" t="s">
        <v>932</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936</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929</v>
      </c>
      <c r="B4438" s="27" t="s">
        <v>930</v>
      </c>
      <c r="C4438" s="27" t="s">
        <v>931</v>
      </c>
      <c r="D4438" s="27" t="s">
        <v>932</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1902</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1114</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653</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1063</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987</v>
      </c>
      <c r="B4443" s="27" t="s">
        <v>968</v>
      </c>
      <c r="C4443" s="27" t="s">
        <v>931</v>
      </c>
      <c r="D4443" s="27" t="s">
        <v>932</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947</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1874</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936</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944</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985</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929</v>
      </c>
      <c r="B4449" s="27" t="s">
        <v>968</v>
      </c>
      <c r="C4449" s="27" t="s">
        <v>931</v>
      </c>
      <c r="D4449" s="27" t="s">
        <v>932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2027</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937</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1281</v>
      </c>
      <c r="B4452" s="27" t="s">
        <v>939</v>
      </c>
      <c r="C4452" s="27" t="s">
        <v>946</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944</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2028</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1007</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2029</v>
      </c>
      <c r="B4456" s="27" t="s">
        <v>991</v>
      </c>
      <c r="C4456" s="27" t="s">
        <v>1054</v>
      </c>
      <c r="D4456" s="27" t="s">
        <v>932</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1228</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938</v>
      </c>
      <c r="B4458" s="27" t="s">
        <v>949</v>
      </c>
      <c r="C4458" s="27" t="s">
        <v>940</v>
      </c>
      <c r="D4458" s="27" t="s">
        <v>932</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1774</v>
      </c>
      <c r="B4459" s="27" t="s">
        <v>939</v>
      </c>
      <c r="C4459" s="27" t="s">
        <v>1087</v>
      </c>
      <c r="D4459" s="27" t="s">
        <v>932</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936</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944</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1105</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2030</v>
      </c>
      <c r="B4463" s="27" t="s">
        <v>942</v>
      </c>
      <c r="C4463" s="27" t="s">
        <v>1097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966</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967</v>
      </c>
      <c r="B4465" s="27" t="s">
        <v>955</v>
      </c>
      <c r="C4465" s="27" t="s">
        <v>931</v>
      </c>
      <c r="D4465" s="27" t="s">
        <v>932</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76</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1139</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936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954</v>
      </c>
      <c r="B4469" s="27" t="s">
        <v>1009</v>
      </c>
      <c r="C4469" s="27" t="s">
        <v>931</v>
      </c>
      <c r="D4469" s="27" t="s">
        <v>932</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1264</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1659</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1209</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2031</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1042</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928</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row>
    <row r="4477" spans="1:12">
      <c r="A4477" s="20" t="s">
        <v>983</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2032</v>
      </c>
    </row>
    <row r="4479" spans="1:12">
      <c r="A4479" s="20" t="s">
        <v>1544</v>
      </c>
      <c r="B4479" s="27" t="s">
        <v>930</v>
      </c>
      <c r="C4479" s="27" t="s">
        <v>931</v>
      </c>
      <c r="D4479" s="27" t="s">
        <v>932</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1232</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936</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928</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929</v>
      </c>
      <c r="B4483" s="27" t="s">
        <v>968</v>
      </c>
      <c r="C4483" s="27" t="s">
        <v>931</v>
      </c>
      <c r="D4483" s="27" t="s">
        <v>932</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1590</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1074</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1711</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934</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1152</v>
      </c>
      <c r="B4488" s="27" t="s">
        <v>991</v>
      </c>
      <c r="C4488" s="27" t="s">
        <v>1087</v>
      </c>
      <c r="D4488" s="27" t="s">
        <v>932</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1000</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2033</v>
      </c>
      <c r="B4490" s="27" t="s">
        <v>949</v>
      </c>
      <c r="C4490" s="27" t="s">
        <v>943</v>
      </c>
      <c r="D4490" s="27" t="s">
        <v>932</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936</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2034</v>
      </c>
      <c r="B4492" s="27" t="s">
        <v>991</v>
      </c>
      <c r="C4492" s="27" t="s">
        <v>1111</v>
      </c>
      <c r="D4492" s="27" t="s">
        <v>932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929</v>
      </c>
      <c r="B4493" s="27" t="s">
        <v>955</v>
      </c>
      <c r="C4493" s="27" t="s">
        <v>931</v>
      </c>
      <c r="D4493" s="27" t="s">
        <v>932</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1230</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415</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1209</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958</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929</v>
      </c>
      <c r="B4498" s="27" t="s">
        <v>960</v>
      </c>
      <c r="C4498" s="27" t="s">
        <v>931</v>
      </c>
      <c r="D4498" s="27" t="s">
        <v>932</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1230</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2035</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1329</v>
      </c>
      <c r="B4501" s="27" t="s">
        <v>1031</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1042</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row>
    <row r="4504" spans="1:12">
      <c r="A4504" s="20" t="s">
        <v>2036</v>
      </c>
    </row>
    <row r="4505" spans="1:12">
      <c r="A4505" s="20" t="s">
        <v>1085</v>
      </c>
      <c r="B4505" s="27" t="s">
        <v>939</v>
      </c>
      <c r="C4505" s="27" t="s">
        <v>940</v>
      </c>
      <c r="D4505" s="27" t="s">
        <v>932</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1716</v>
      </c>
      <c r="B4506" s="27" t="s">
        <v>930</v>
      </c>
      <c r="C4506" s="27" t="s">
        <v>1087</v>
      </c>
      <c r="D4506" s="27" t="s">
        <v>932</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1599</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1074</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1694</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1064</v>
      </c>
      <c r="B4510" s="27" t="s">
        <v>988</v>
      </c>
      <c r="C4510" s="27" t="s">
        <v>931</v>
      </c>
      <c r="D4510" s="27" t="s">
        <v>932</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929</v>
      </c>
      <c r="B4511" s="27" t="s">
        <v>968</v>
      </c>
      <c r="C4511" s="27" t="s">
        <v>931</v>
      </c>
      <c r="D4511" s="27" t="s">
        <v>932</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1305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2037</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936</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929</v>
      </c>
      <c r="B4515" s="27" t="s">
        <v>968</v>
      </c>
      <c r="C4515" s="27" t="s">
        <v>931</v>
      </c>
      <c r="D4515" s="27" t="s">
        <v>932</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1305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2038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1042</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row>
    <row r="4520" spans="1:12">
      <c r="A4520" s="20" t="s">
        <v>983</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2039</v>
      </c>
    </row>
    <row r="4522" spans="1:12">
      <c r="A4522" s="20" t="s">
        <v>929</v>
      </c>
      <c r="B4522" s="27" t="s">
        <v>930</v>
      </c>
      <c r="C4522" s="27" t="s">
        <v>931</v>
      </c>
      <c r="D4522" s="27" t="s">
        <v>932</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663</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929</v>
      </c>
      <c r="B4524" s="27" t="s">
        <v>968</v>
      </c>
      <c r="C4524" s="27" t="s">
        <v>931</v>
      </c>
      <c r="D4524" s="27" t="s">
        <v>932</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1070</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2040</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1007</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2041</v>
      </c>
      <c r="B4528" s="27" t="s">
        <v>991</v>
      </c>
      <c r="C4528" s="27" t="s">
        <v>1054</v>
      </c>
      <c r="D4528" s="27" t="s">
        <v>932</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1042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928</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row>
    <row r="4532" spans="1:12">
      <c r="A4532" s="20" t="s">
        <v>983</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2042</v>
      </c>
    </row>
    <row r="4534" spans="1:12">
      <c r="A4534" s="20" t="s">
        <v>1429</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936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1549</v>
      </c>
      <c r="B4536" s="27" t="s">
        <v>930</v>
      </c>
      <c r="C4536" s="27" t="s">
        <v>931</v>
      </c>
      <c r="D4536" s="27" t="s">
        <v>932</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961</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2043</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1341</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1317</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2017</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1904</v>
      </c>
      <c r="B4542" s="27" t="s">
        <v>942</v>
      </c>
      <c r="C4542" s="27" t="s">
        <v>999</v>
      </c>
      <c r="D4542" s="27" t="s">
        <v>932</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936</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944</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966</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929</v>
      </c>
      <c r="B4546" s="27" t="s">
        <v>1009</v>
      </c>
      <c r="C4546" s="27" t="s">
        <v>931</v>
      </c>
      <c r="D4546" s="27" t="s">
        <v>932</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1511</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1537</v>
      </c>
      <c r="B4548" s="27" t="s">
        <v>1025</v>
      </c>
      <c r="C4548" s="27" t="s">
        <v>940</v>
      </c>
      <c r="D4548" s="27" t="s">
        <v>932</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1254</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1255</v>
      </c>
      <c r="B4550" s="27" t="s">
        <v>1183</v>
      </c>
      <c r="C4550" s="27" t="s">
        <v>1087</v>
      </c>
      <c r="D4550" s="27" t="s">
        <v>932</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1106</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936</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1549</v>
      </c>
      <c r="B4553" s="27" t="s">
        <v>968</v>
      </c>
      <c r="C4553" s="27" t="s">
        <v>931</v>
      </c>
      <c r="D4553" s="27" t="s">
        <v>932</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1065</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1552</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934</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1939</v>
      </c>
      <c r="B4557" s="27" t="s">
        <v>991</v>
      </c>
      <c r="C4557" s="27" t="s">
        <v>973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1829</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937</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2044</v>
      </c>
      <c r="B4560" s="27" t="s">
        <v>1025</v>
      </c>
      <c r="C4560" s="27" t="s">
        <v>946</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1063</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1007</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2045</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2046</v>
      </c>
      <c r="B4564" s="27" t="s">
        <v>1025</v>
      </c>
      <c r="C4564" s="27" t="s">
        <v>943</v>
      </c>
      <c r="D4564" s="27" t="s">
        <v>932</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936</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1549</v>
      </c>
      <c r="B4566" s="27" t="s">
        <v>968</v>
      </c>
      <c r="C4566" s="27" t="s">
        <v>931</v>
      </c>
      <c r="D4566" s="27" t="s">
        <v>932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1065</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2047</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1007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2048</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1716</v>
      </c>
      <c r="B4571" s="27" t="s">
        <v>991</v>
      </c>
      <c r="C4571" s="27" t="s">
        <v>1054</v>
      </c>
      <c r="D4571" s="27" t="s">
        <v>932</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936</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944</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1549</v>
      </c>
      <c r="B4574" s="27" t="s">
        <v>968</v>
      </c>
      <c r="C4574" s="27" t="s">
        <v>931</v>
      </c>
      <c r="D4574" s="27" t="s">
        <v>932</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1232</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947</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1064</v>
      </c>
      <c r="B4577" s="27" t="s">
        <v>939</v>
      </c>
      <c r="C4577" s="27" t="s">
        <v>931</v>
      </c>
      <c r="D4577" s="27" t="s">
        <v>932</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936</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928</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1085</v>
      </c>
      <c r="B4580" s="27" t="s">
        <v>949</v>
      </c>
      <c r="C4580" s="27" t="s">
        <v>940</v>
      </c>
      <c r="D4580" s="27" t="s">
        <v>932</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2049</v>
      </c>
      <c r="B4581" s="27" t="s">
        <v>968</v>
      </c>
      <c r="C4581" s="27" t="s">
        <v>1087</v>
      </c>
      <c r="D4581" s="27" t="s">
        <v>932</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1201</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1209</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1136</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2050</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1412</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1042</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928</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row>
    <row r="4590" spans="1:12">
      <c r="A4590" s="20" t="s">
        <v>983</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2051</v>
      </c>
    </row>
    <row r="4592" spans="1:12">
      <c r="A4592" s="20" t="s">
        <v>1544</v>
      </c>
      <c r="B4592" s="27" t="s">
        <v>930</v>
      </c>
      <c r="C4592" s="27" t="s">
        <v>931</v>
      </c>
      <c r="D4592" s="27" t="s">
        <v>932</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1232</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936</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928</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1434</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1176</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272</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2052</v>
      </c>
      <c r="B4599" s="27" t="s">
        <v>968</v>
      </c>
      <c r="C4599" s="27" t="s">
        <v>1097</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937</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938</v>
      </c>
      <c r="B4601" s="27" t="s">
        <v>1025</v>
      </c>
      <c r="C4601" s="27" t="s">
        <v>940</v>
      </c>
      <c r="D4601" s="27" t="s">
        <v>932</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2053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2054</v>
      </c>
      <c r="B4603" s="27" t="s">
        <v>949</v>
      </c>
      <c r="C4603" s="27" t="s">
        <v>1087</v>
      </c>
      <c r="D4603" s="27" t="s">
        <v>932</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1063</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1007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2055</v>
      </c>
      <c r="B4606" s="27" t="s">
        <v>1025</v>
      </c>
      <c r="C4606" s="27" t="s">
        <v>1054</v>
      </c>
      <c r="D4606" s="27" t="s">
        <v>932</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944</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272</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2052</v>
      </c>
      <c r="B4609" s="27" t="s">
        <v>1078</v>
      </c>
      <c r="C4609" s="27" t="s">
        <v>1097</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1063</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1007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2056</v>
      </c>
      <c r="B4612" s="27" t="s">
        <v>1078</v>
      </c>
      <c r="C4612" s="27" t="s">
        <v>1054</v>
      </c>
      <c r="D4612" s="27" t="s">
        <v>932</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936</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1012</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1032</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2057</v>
      </c>
      <c r="B4616" s="27" t="s">
        <v>939</v>
      </c>
      <c r="C4616" s="27" t="s">
        <v>946</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936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967</v>
      </c>
      <c r="B4618" s="27" t="s">
        <v>968</v>
      </c>
      <c r="C4618" s="27" t="s">
        <v>931</v>
      </c>
      <c r="D4618" s="27" t="s">
        <v>932</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1181</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1264</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969</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1164</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1144</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938</v>
      </c>
      <c r="B4624" s="27" t="s">
        <v>949</v>
      </c>
      <c r="C4624" s="27" t="s">
        <v>940</v>
      </c>
      <c r="D4624" s="27" t="s">
        <v>932</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1281</v>
      </c>
      <c r="B4625" s="27" t="s">
        <v>939</v>
      </c>
      <c r="C4625" s="27" t="s">
        <v>1087</v>
      </c>
      <c r="D4625" s="27" t="s">
        <v>932</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936</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944</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749</v>
      </c>
      <c r="B4628" s="27" t="s">
        <v>968</v>
      </c>
      <c r="C4628" s="27" t="s">
        <v>931</v>
      </c>
      <c r="D4628" s="27" t="s">
        <v>932</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1181</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1210</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2058</v>
      </c>
      <c r="B4631" s="27" t="s">
        <v>991</v>
      </c>
      <c r="C4631" s="27" t="s">
        <v>946</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969</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2059</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944</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72</v>
      </c>
      <c r="B4635" s="27" t="s">
        <v>949</v>
      </c>
      <c r="C4635" s="27" t="s">
        <v>1111</v>
      </c>
      <c r="D4635" s="27" t="s">
        <v>932</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1042</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row>
    <row r="4638" spans="1:12">
      <c r="A4638" s="20" t="s">
        <v>2060</v>
      </c>
    </row>
    <row r="4639" spans="1:12">
      <c r="A4639" s="20" t="s">
        <v>1514</v>
      </c>
      <c r="B4639" s="27" t="s">
        <v>930</v>
      </c>
      <c r="C4639" s="27" t="s">
        <v>1087</v>
      </c>
      <c r="D4639" s="27" t="s">
        <v>932</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1000</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987</v>
      </c>
      <c r="B4641" s="27" t="s">
        <v>939</v>
      </c>
      <c r="C4641" s="27" t="s">
        <v>931</v>
      </c>
      <c r="D4641" s="27" t="s">
        <v>932</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2061</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947</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36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934</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2062</v>
      </c>
      <c r="B4646" s="27" t="s">
        <v>942</v>
      </c>
      <c r="C4646" s="27" t="s">
        <v>973</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936</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272</v>
      </c>
      <c r="B4648" s="27" t="s">
        <v>968</v>
      </c>
      <c r="C4648" s="27" t="s">
        <v>1087</v>
      </c>
      <c r="D4648" s="27" t="s">
        <v>932</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1000</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987</v>
      </c>
      <c r="B4650" s="27" t="s">
        <v>949</v>
      </c>
      <c r="C4650" s="27" t="s">
        <v>931</v>
      </c>
      <c r="D4650" s="27" t="s">
        <v>932</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2061</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947</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36</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934</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2063</v>
      </c>
      <c r="B4655" s="27" t="s">
        <v>939</v>
      </c>
      <c r="C4655" s="27" t="s">
        <v>973</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936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944</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272</v>
      </c>
      <c r="B4658" s="27" t="s">
        <v>1009</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1000</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1007</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2056</v>
      </c>
      <c r="B4661" s="27" t="s">
        <v>1025</v>
      </c>
      <c r="C4661" s="27" t="s">
        <v>1054</v>
      </c>
      <c r="D4661" s="27" t="s">
        <v>932</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2064</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1549</v>
      </c>
      <c r="B4663" s="27" t="s">
        <v>955</v>
      </c>
      <c r="C4663" s="27" t="s">
        <v>931</v>
      </c>
      <c r="D4663" s="27" t="s">
        <v>932</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1176</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980</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947</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36</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934</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2065</v>
      </c>
      <c r="B4669" s="27" t="s">
        <v>1025</v>
      </c>
      <c r="C4669" s="27" t="s">
        <v>973</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1042</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row>
    <row r="4672" spans="1:12">
      <c r="A4672" s="20" t="s">
        <v>2066</v>
      </c>
    </row>
    <row r="4673" spans="1:12">
      <c r="A4673" s="20" t="s">
        <v>1398</v>
      </c>
      <c r="B4673" s="27" t="s">
        <v>930</v>
      </c>
      <c r="C4673" s="27" t="s">
        <v>931</v>
      </c>
      <c r="D4673" s="27" t="s">
        <v>932</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286</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1114</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1949</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974</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967</v>
      </c>
      <c r="B4678" s="27" t="s">
        <v>968</v>
      </c>
      <c r="C4678" s="27" t="s">
        <v>931</v>
      </c>
      <c r="D4678" s="27" t="s">
        <v>932</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2023</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947</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936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944</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967</v>
      </c>
      <c r="B4683" s="27" t="s">
        <v>968</v>
      </c>
      <c r="C4683" s="27" t="s">
        <v>931</v>
      </c>
      <c r="D4683" s="27" t="s">
        <v>932</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286</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1114</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1342</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974</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967</v>
      </c>
      <c r="B4688" s="27" t="s">
        <v>1009</v>
      </c>
      <c r="C4688" s="27" t="s">
        <v>931</v>
      </c>
      <c r="D4688" s="27" t="s">
        <v>932</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1113</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1042</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row>
    <row r="4692" spans="1:12">
      <c r="A4692" s="20" t="s">
        <v>2067</v>
      </c>
    </row>
    <row r="4693" spans="1:12">
      <c r="A4693" s="20" t="s">
        <v>1647</v>
      </c>
      <c r="B4693" s="27" t="s">
        <v>930</v>
      </c>
      <c r="C4693" s="27" t="s">
        <v>1061</v>
      </c>
      <c r="D4693" s="27" t="s">
        <v>932</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1176</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969</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929</v>
      </c>
      <c r="B4696" s="27" t="s">
        <v>968</v>
      </c>
      <c r="C4696" s="27" t="s">
        <v>931</v>
      </c>
      <c r="D4696" s="27" t="s">
        <v>932</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134</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1412</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936</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1056</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938</v>
      </c>
      <c r="B4701" s="27" t="s">
        <v>939</v>
      </c>
      <c r="C4701" s="27" t="s">
        <v>940</v>
      </c>
      <c r="D4701" s="27" t="s">
        <v>932</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2049</v>
      </c>
      <c r="B4702" s="27" t="s">
        <v>942</v>
      </c>
      <c r="C4702" s="27" t="s">
        <v>1087</v>
      </c>
      <c r="D4702" s="27" t="s">
        <v>932</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1042</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row>
    <row r="4705" spans="1:12">
      <c r="A4705" s="20" t="s">
        <v>2068</v>
      </c>
    </row>
    <row r="4706" spans="1:12">
      <c r="A4706" s="20" t="s">
        <v>1697</v>
      </c>
      <c r="B4706" s="27" t="s">
        <v>930</v>
      </c>
      <c r="C4706" s="27" t="s">
        <v>946</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20</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1144</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2069</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936</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1007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1206</v>
      </c>
      <c r="B4712" s="27" t="s">
        <v>988</v>
      </c>
      <c r="C4712" s="27" t="s">
        <v>1054</v>
      </c>
      <c r="D4712" s="27" t="s">
        <v>932</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929</v>
      </c>
      <c r="B4713" s="27" t="s">
        <v>1009</v>
      </c>
      <c r="C4713" s="27" t="s">
        <v>931</v>
      </c>
      <c r="D4713" s="27" t="s">
        <v>932</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2070</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936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1007</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1206</v>
      </c>
      <c r="B4717" s="27" t="s">
        <v>988</v>
      </c>
      <c r="C4717" s="27" t="s">
        <v>1054</v>
      </c>
      <c r="D4717" s="27" t="s">
        <v>932</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929</v>
      </c>
      <c r="B4718" s="27" t="s">
        <v>1009</v>
      </c>
      <c r="C4718" s="27" t="s">
        <v>931</v>
      </c>
      <c r="D4718" s="27" t="s">
        <v>932</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936</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1007</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1206</v>
      </c>
      <c r="B4722" s="27" t="s">
        <v>939</v>
      </c>
      <c r="C4722" s="27" t="s">
        <v>1054</v>
      </c>
      <c r="D4722" s="27" t="s">
        <v>932</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929</v>
      </c>
      <c r="B4723" s="27" t="s">
        <v>955</v>
      </c>
      <c r="C4723" s="27" t="s">
        <v>931</v>
      </c>
      <c r="D4723" s="27" t="s">
        <v>932</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2071</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1042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row>
    <row r="4727" spans="1:12">
      <c r="A4727" s="20" t="s">
        <v>2072</v>
      </c>
    </row>
    <row r="4728" spans="1:12">
      <c r="A4728" s="20" t="s">
        <v>929</v>
      </c>
      <c r="B4728" s="27" t="s">
        <v>930</v>
      </c>
      <c r="C4728" s="27" t="s">
        <v>931</v>
      </c>
      <c r="D4728" s="27" t="s">
        <v>932</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1230</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268</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2012</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1125</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1148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1259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1781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936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944</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929</v>
      </c>
      <c r="B4738" s="27" t="s">
        <v>968</v>
      </c>
      <c r="C4738" s="27" t="s">
        <v>931</v>
      </c>
      <c r="D4738" s="27" t="s">
        <v>932</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286</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1114</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42</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996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1596</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2073</v>
      </c>
      <c r="B4744" s="27" t="s">
        <v>1009</v>
      </c>
      <c r="C4744" s="27" t="s">
        <v>999</v>
      </c>
      <c r="D4744" s="27" t="s">
        <v>932</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1201</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2074</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1092</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936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944</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1072</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954</v>
      </c>
      <c r="B4751" s="27" t="s">
        <v>1009</v>
      </c>
      <c r="C4751" s="27" t="s">
        <v>931</v>
      </c>
      <c r="D4751" s="27" t="s">
        <v>932</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970</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1114</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1063</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2075</v>
      </c>
      <c r="B4755" s="27" t="s">
        <v>949</v>
      </c>
      <c r="C4755" s="27" t="s">
        <v>943</v>
      </c>
      <c r="D4755" s="27" t="s">
        <v>932</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2076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944</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958</v>
      </c>
      <c r="B4758" s="27" t="s">
        <v>1025</v>
      </c>
      <c r="C4758" s="27" t="s">
        <v>1061</v>
      </c>
      <c r="D4758" s="27" t="s">
        <v>932</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936</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929</v>
      </c>
      <c r="B4760" s="27" t="s">
        <v>1009</v>
      </c>
      <c r="C4760" s="27" t="s">
        <v>931</v>
      </c>
      <c r="D4760" s="27" t="s">
        <v>932</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1138</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1455</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36</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1032</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1139</v>
      </c>
      <c r="B4765" s="27" t="s">
        <v>939</v>
      </c>
      <c r="C4765" s="27" t="s">
        <v>946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995</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1007</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2029</v>
      </c>
      <c r="B4768" s="27" t="s">
        <v>949</v>
      </c>
      <c r="C4768" s="27" t="s">
        <v>1054</v>
      </c>
      <c r="D4768" s="27" t="s">
        <v>932</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2077</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1228</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938</v>
      </c>
      <c r="B4771" s="27" t="s">
        <v>978</v>
      </c>
      <c r="C4771" s="27" t="s">
        <v>940</v>
      </c>
      <c r="D4771" s="27" t="s">
        <v>932</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1774</v>
      </c>
      <c r="B4772" s="27" t="s">
        <v>982</v>
      </c>
      <c r="C4772" s="27" t="s">
        <v>1087</v>
      </c>
      <c r="D4772" s="27" t="s">
        <v>932</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936</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1072</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929</v>
      </c>
      <c r="B4775" s="27" t="s">
        <v>968</v>
      </c>
      <c r="C4775" s="27" t="s">
        <v>931</v>
      </c>
      <c r="D4775" s="27" t="s">
        <v>932</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970</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1455</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1266</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1032</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969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1042</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row>
    <row r="4783" spans="1:12">
      <c r="A4783" s="20" t="s">
        <v>983</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2078</v>
      </c>
    </row>
    <row r="4785" spans="1:12">
      <c r="A4785" s="20" t="s">
        <v>929</v>
      </c>
      <c r="B4785" s="27" t="s">
        <v>930</v>
      </c>
      <c r="C4785" s="27" t="s">
        <v>931</v>
      </c>
      <c r="D4785" s="27" t="s">
        <v>932</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1670</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1007</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2079</v>
      </c>
      <c r="B4788" s="27" t="s">
        <v>988</v>
      </c>
      <c r="C4788" s="27" t="s">
        <v>943</v>
      </c>
      <c r="D4788" s="27" t="s">
        <v>932</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947</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474</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1064</v>
      </c>
      <c r="B4791" s="27" t="s">
        <v>991</v>
      </c>
      <c r="C4791" s="27" t="s">
        <v>931</v>
      </c>
      <c r="D4791" s="27" t="s">
        <v>932</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1013</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2080</v>
      </c>
      <c r="B4793" s="27" t="s">
        <v>991</v>
      </c>
      <c r="C4793" s="27" t="s">
        <v>973</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936</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944</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1719</v>
      </c>
      <c r="B4796" s="27" t="s">
        <v>968</v>
      </c>
      <c r="C4796" s="27" t="s">
        <v>931</v>
      </c>
      <c r="D4796" s="27" t="s">
        <v>932</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986</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938</v>
      </c>
      <c r="B4798" s="27" t="s">
        <v>949</v>
      </c>
      <c r="C4798" s="27" t="s">
        <v>940</v>
      </c>
      <c r="D4798" s="27" t="s">
        <v>932</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2081</v>
      </c>
      <c r="B4799" s="27" t="s">
        <v>991</v>
      </c>
      <c r="C4799" s="27" t="s">
        <v>1087</v>
      </c>
      <c r="D4799" s="27" t="s">
        <v>932</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1042</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928</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row>
    <row r="4803" spans="1:12">
      <c r="A4803" s="20" t="s">
        <v>2082</v>
      </c>
    </row>
    <row r="4804" spans="1:12">
      <c r="A4804" s="20" t="s">
        <v>929</v>
      </c>
      <c r="B4804" s="27" t="s">
        <v>930</v>
      </c>
      <c r="C4804" s="27" t="s">
        <v>931</v>
      </c>
      <c r="D4804" s="27" t="s">
        <v>932</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961</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1587</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1091</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1472</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2083</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1100</v>
      </c>
      <c r="B4810" s="27" t="s">
        <v>942</v>
      </c>
      <c r="C4810" s="27" t="s">
        <v>999</v>
      </c>
      <c r="D4810" s="27" t="s">
        <v>932</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936</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944</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929</v>
      </c>
      <c r="B4813" s="27" t="s">
        <v>968</v>
      </c>
      <c r="C4813" s="27" t="s">
        <v>931</v>
      </c>
      <c r="D4813" s="27" t="s">
        <v>932</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2084</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958</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929</v>
      </c>
      <c r="B4816" s="27" t="s">
        <v>1009</v>
      </c>
      <c r="C4816" s="27" t="s">
        <v>931</v>
      </c>
      <c r="D4816" s="27" t="s">
        <v>932</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1119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947</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1684</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1336</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987</v>
      </c>
      <c r="B4821" s="27" t="s">
        <v>1025</v>
      </c>
      <c r="C4821" s="27" t="s">
        <v>931</v>
      </c>
      <c r="D4821" s="27" t="s">
        <v>932</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1125</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1267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937</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934</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2085</v>
      </c>
      <c r="B4826" s="27" t="s">
        <v>1025</v>
      </c>
      <c r="C4826" s="27" t="s">
        <v>973</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929</v>
      </c>
      <c r="B4827" s="27" t="s">
        <v>1200</v>
      </c>
      <c r="C4827" s="27" t="s">
        <v>931</v>
      </c>
      <c r="D4827" s="27" t="s">
        <v>932</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961</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1829</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1144</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936</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1012</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1315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937</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1013</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2086</v>
      </c>
      <c r="B4836" s="27" t="s">
        <v>942</v>
      </c>
      <c r="C4836" s="27" t="s">
        <v>973</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936</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944</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929</v>
      </c>
      <c r="B4839" s="27" t="s">
        <v>968</v>
      </c>
      <c r="C4839" s="27" t="s">
        <v>931</v>
      </c>
      <c r="D4839" s="27" t="s">
        <v>932</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1099</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934</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2087</v>
      </c>
      <c r="B4842" s="27" t="s">
        <v>991</v>
      </c>
      <c r="C4842" s="27" t="s">
        <v>973</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1095</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1123</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2088</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2089</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2090</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2091</v>
      </c>
      <c r="B4848" s="27" t="s">
        <v>939</v>
      </c>
      <c r="C4848" s="27" t="s">
        <v>943</v>
      </c>
      <c r="D4848" s="27" t="s">
        <v>932</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947</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1684</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1336</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1040</v>
      </c>
      <c r="B4852" s="27" t="s">
        <v>949</v>
      </c>
      <c r="C4852" s="27" t="s">
        <v>946</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1971</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1007</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1972</v>
      </c>
      <c r="B4855" s="27" t="s">
        <v>1025</v>
      </c>
      <c r="C4855" s="27" t="s">
        <v>1054</v>
      </c>
      <c r="D4855" s="27" t="s">
        <v>932</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1042</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row>
    <row r="4858" spans="1:12">
      <c r="A4858" s="20" t="s">
        <v>983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2092</v>
      </c>
    </row>
    <row r="4860" spans="1:12">
      <c r="A4860" s="20" t="s">
        <v>965</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929</v>
      </c>
      <c r="B4861" s="27" t="s">
        <v>930</v>
      </c>
      <c r="C4861" s="27" t="s">
        <v>931</v>
      </c>
      <c r="D4861" s="27" t="s">
        <v>932</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2093</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937</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938</v>
      </c>
      <c r="B4864" s="27" t="s">
        <v>939</v>
      </c>
      <c r="C4864" s="27" t="s">
        <v>940</v>
      </c>
      <c r="D4864" s="27" t="s">
        <v>932</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2094</v>
      </c>
      <c r="B4865" s="27" t="s">
        <v>988</v>
      </c>
      <c r="C4865" s="27" t="s">
        <v>1087</v>
      </c>
      <c r="D4865" s="27" t="s">
        <v>932</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936</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944</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938</v>
      </c>
      <c r="B4868" s="27" t="s">
        <v>949</v>
      </c>
      <c r="C4868" s="27" t="s">
        <v>940</v>
      </c>
      <c r="D4868" s="27" t="s">
        <v>932</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2095</v>
      </c>
      <c r="B4869" s="27" t="s">
        <v>968</v>
      </c>
      <c r="C4869" s="27" t="s">
        <v>1087</v>
      </c>
      <c r="D4869" s="27" t="s">
        <v>932</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1908</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1064</v>
      </c>
      <c r="B4871" s="27" t="s">
        <v>991</v>
      </c>
      <c r="C4871" s="27" t="s">
        <v>931</v>
      </c>
      <c r="D4871" s="27" t="s">
        <v>932</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944</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1232</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936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928</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1039</v>
      </c>
      <c r="B4876" s="27" t="s">
        <v>955</v>
      </c>
      <c r="C4876" s="27" t="s">
        <v>931</v>
      </c>
      <c r="D4876" s="27" t="s">
        <v>932</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1587</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1902</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1114</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2096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1317</v>
      </c>
      <c r="B4881" s="27" t="s">
        <v>1031</v>
      </c>
      <c r="C4881" s="27" t="s">
        <v>1061</v>
      </c>
      <c r="D4881" s="27" t="s">
        <v>932</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1042</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928</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row>
    <row r="4885" spans="1:12">
      <c r="A4885" s="20" t="s">
        <v>983</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2097</v>
      </c>
    </row>
    <row r="4887" spans="1:12">
      <c r="A4887" s="20" t="s">
        <v>965</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929</v>
      </c>
      <c r="B4888" s="27" t="s">
        <v>930</v>
      </c>
      <c r="C4888" s="27" t="s">
        <v>931</v>
      </c>
      <c r="D4888" s="27" t="s">
        <v>932</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1232</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936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928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1991</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1125</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1325</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928</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row>
    <row r="4897" spans="1:12">
      <c r="A4897" s="20" t="s">
        <v>983</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2098</v>
      </c>
    </row>
    <row r="4899" spans="1:12">
      <c r="A4899" s="20" t="s">
        <v>965</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1549</v>
      </c>
      <c r="B4900" s="27" t="s">
        <v>930</v>
      </c>
      <c r="C4900" s="27" t="s">
        <v>931</v>
      </c>
      <c r="D4900" s="27" t="s">
        <v>932</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1232</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936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928</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1215</v>
      </c>
      <c r="B4904" s="27" t="s">
        <v>968</v>
      </c>
      <c r="C4904" s="27" t="s">
        <v>931</v>
      </c>
      <c r="D4904" s="27" t="s">
        <v>932</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1264</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1056</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1135</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2099</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2100</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1042</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row>
    <row r="4912" spans="1:12">
      <c r="A4912" s="20" t="s">
        <v>2101</v>
      </c>
    </row>
    <row r="4913" spans="1:12">
      <c r="A4913" s="20" t="s">
        <v>2102</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709</v>
      </c>
      <c r="B4914" s="27" t="s">
        <v>942</v>
      </c>
      <c r="C4914" s="27" t="s">
        <v>999</v>
      </c>
      <c r="D4914" s="27" t="s">
        <v>932</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1069</v>
      </c>
      <c r="B4915" s="27" t="s">
        <v>968</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1201</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1890</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1000</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1032</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1007</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1399</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2103</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2104</v>
      </c>
      <c r="B4923" s="27" t="s">
        <v>942</v>
      </c>
      <c r="C4923" s="27" t="s">
        <v>1054</v>
      </c>
      <c r="D4923" s="27" t="s">
        <v>932</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1000</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2105</v>
      </c>
      <c r="B4925" s="27" t="s">
        <v>939</v>
      </c>
      <c r="C4925" s="27" t="s">
        <v>946</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944</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985</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967</v>
      </c>
      <c r="B4928" s="27" t="s">
        <v>1009</v>
      </c>
      <c r="C4928" s="27" t="s">
        <v>931</v>
      </c>
      <c r="D4928" s="27" t="s">
        <v>932</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462</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934</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1703</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1255</v>
      </c>
      <c r="B4932" s="27" t="s">
        <v>1183</v>
      </c>
      <c r="C4932" s="27" t="s">
        <v>973</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1000</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1358</v>
      </c>
      <c r="B4934" s="27" t="s">
        <v>1025</v>
      </c>
      <c r="C4934" s="27" t="s">
        <v>946</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944</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967</v>
      </c>
      <c r="B4936" s="27" t="s">
        <v>1009</v>
      </c>
      <c r="C4936" s="27" t="s">
        <v>931</v>
      </c>
      <c r="D4936" s="27" t="s">
        <v>932</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1181</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2106</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2107</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947</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2108</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2109</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2110</v>
      </c>
      <c r="B4943" s="27" t="s">
        <v>1031</v>
      </c>
      <c r="C4943" s="27" t="s">
        <v>943</v>
      </c>
      <c r="D4943" s="27" t="s">
        <v>932</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1325</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row>
    <row r="4946" spans="1:12">
      <c r="A4946" s="20" t="s">
        <v>983</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2111</v>
      </c>
    </row>
    <row r="4948" spans="1:12">
      <c r="A4948" s="20" t="s">
        <v>1215</v>
      </c>
      <c r="B4948" s="27" t="s">
        <v>930</v>
      </c>
      <c r="C4948" s="27" t="s">
        <v>931</v>
      </c>
      <c r="D4948" s="27" t="s">
        <v>932</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1176</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1264</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1135</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2112</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1042</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928</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row>
    <row r="4956" spans="1:12">
      <c r="A4956" s="20" t="s">
        <v>983</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2113</v>
      </c>
    </row>
    <row r="4958" spans="1:12">
      <c r="A4958" s="20" t="s">
        <v>1544</v>
      </c>
      <c r="B4958" s="27" t="s">
        <v>930</v>
      </c>
      <c r="C4958" s="27" t="s">
        <v>931</v>
      </c>
      <c r="D4958" s="27" t="s">
        <v>932</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1232</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936</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928</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929</v>
      </c>
      <c r="B4962" s="27" t="s">
        <v>968</v>
      </c>
      <c r="C4962" s="27" t="s">
        <v>931</v>
      </c>
      <c r="D4962" s="27" t="s">
        <v>932</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1590</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1717</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1260</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986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1000</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2034</v>
      </c>
      <c r="B4968" s="27" t="s">
        <v>939</v>
      </c>
      <c r="C4968" s="27" t="s">
        <v>1111</v>
      </c>
      <c r="D4968" s="27" t="s">
        <v>932</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974</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954</v>
      </c>
      <c r="B4970" s="27" t="s">
        <v>949</v>
      </c>
      <c r="C4970" s="27" t="s">
        <v>931</v>
      </c>
      <c r="D4970" s="27" t="s">
        <v>932</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1042</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928</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row>
    <row r="4974" spans="1:12">
      <c r="A4974" s="20" t="s">
        <v>983</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2114</v>
      </c>
    </row>
    <row r="4976" spans="1:12">
      <c r="A4976" s="20" t="s">
        <v>965</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929</v>
      </c>
      <c r="B4977" s="27" t="s">
        <v>930</v>
      </c>
      <c r="C4977" s="27" t="s">
        <v>931</v>
      </c>
      <c r="D4977" s="27" t="s">
        <v>932</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1232</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936</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928</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1123</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1938</v>
      </c>
      <c r="B4982" s="27" t="s">
        <v>930</v>
      </c>
      <c r="C4982" s="27" t="s">
        <v>1054</v>
      </c>
      <c r="D4982" s="27" t="s">
        <v>932</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958</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1175</v>
      </c>
      <c r="B4984" s="27" t="s">
        <v>1009</v>
      </c>
      <c r="C4984" s="27" t="s">
        <v>931</v>
      </c>
      <c r="D4984" s="27" t="s">
        <v>932</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1590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1717</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986</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1000</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954</v>
      </c>
      <c r="B4989" s="27" t="s">
        <v>955</v>
      </c>
      <c r="C4989" s="27" t="s">
        <v>931</v>
      </c>
      <c r="D4989" s="27" t="s">
        <v>932</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1056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1013</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2115</v>
      </c>
      <c r="B4992" s="27" t="s">
        <v>949</v>
      </c>
      <c r="C4992" s="27" t="s">
        <v>973</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958</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954</v>
      </c>
      <c r="B4994" s="27" t="s">
        <v>960</v>
      </c>
      <c r="C4994" s="27" t="s">
        <v>931</v>
      </c>
      <c r="D4994" s="27" t="s">
        <v>932</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1056</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2116</v>
      </c>
      <c r="B4996" s="27" t="s">
        <v>1025</v>
      </c>
      <c r="C4996" s="27" t="s">
        <v>946</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1042</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928</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row>
    <row r="5000" spans="1:12">
      <c r="A5000" s="20" t="s">
        <v>983</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2117</v>
      </c>
    </row>
    <row r="5002" spans="1:12">
      <c r="A5002" s="20" t="s">
        <v>928</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965</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1175</v>
      </c>
      <c r="B5004" s="27" t="s">
        <v>930</v>
      </c>
      <c r="C5004" s="27" t="s">
        <v>931</v>
      </c>
      <c r="D5004" s="27" t="s">
        <v>932</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1201</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934</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2116</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2118</v>
      </c>
      <c r="B5008" s="27" t="s">
        <v>942</v>
      </c>
      <c r="C5008" s="27" t="s">
        <v>973</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1042</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928</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row>
    <row r="5012" spans="1:12">
      <c r="A5012" s="20" t="s">
        <v>2119</v>
      </c>
    </row>
    <row r="5013" spans="1:12">
      <c r="A5013" s="20" t="s">
        <v>1783</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1295</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934</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1764</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2120</v>
      </c>
      <c r="B5017" s="27" t="s">
        <v>942</v>
      </c>
      <c r="C5017" s="27" t="s">
        <v>973</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1000</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2121</v>
      </c>
      <c r="B5019" s="27" t="s">
        <v>939</v>
      </c>
      <c r="C5019" s="27" t="s">
        <v>946</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936</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967</v>
      </c>
      <c r="B5021" s="27" t="s">
        <v>930</v>
      </c>
      <c r="C5021" s="27" t="s">
        <v>931</v>
      </c>
      <c r="D5021" s="27" t="s">
        <v>932</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2122</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947</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954</v>
      </c>
      <c r="B5024" s="27" t="s">
        <v>942</v>
      </c>
      <c r="C5024" s="27" t="s">
        <v>931</v>
      </c>
      <c r="D5024" s="27" t="s">
        <v>932</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1042</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row>
    <row r="5027" spans="1:12">
      <c r="A5027" s="20" t="s">
        <v>2123</v>
      </c>
    </row>
    <row r="5028" spans="1:12">
      <c r="A5028" s="20" t="s">
        <v>1103</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929</v>
      </c>
      <c r="B5029" s="27" t="s">
        <v>930</v>
      </c>
      <c r="C5029" s="27" t="s">
        <v>931</v>
      </c>
      <c r="D5029" s="27" t="s">
        <v>932</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42</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934</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1152</v>
      </c>
      <c r="B5032" s="27" t="s">
        <v>988</v>
      </c>
      <c r="C5032" s="27" t="s">
        <v>973</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1000</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1261</v>
      </c>
      <c r="B5034" s="27" t="s">
        <v>939</v>
      </c>
      <c r="C5034" s="27" t="s">
        <v>1121</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967</v>
      </c>
      <c r="B5035" s="27" t="s">
        <v>955</v>
      </c>
      <c r="C5035" s="27" t="s">
        <v>931</v>
      </c>
      <c r="D5035" s="27" t="s">
        <v>932</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1232</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961</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2124</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937</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1016</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1017</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1206</v>
      </c>
      <c r="B5042" s="27" t="s">
        <v>1078</v>
      </c>
      <c r="C5042" s="27" t="s">
        <v>1097</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947</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1317</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2125</v>
      </c>
      <c r="B5045" s="27" t="s">
        <v>978</v>
      </c>
      <c r="C5045" s="27" t="s">
        <v>999</v>
      </c>
      <c r="D5045" s="27" t="s">
        <v>932</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958</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709</v>
      </c>
      <c r="B5047" s="27" t="s">
        <v>1200</v>
      </c>
      <c r="C5047" s="27" t="s">
        <v>946</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1455</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45</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1063</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1007</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2126</v>
      </c>
      <c r="B5052" s="27" t="s">
        <v>978</v>
      </c>
      <c r="C5052" s="27" t="s">
        <v>1054</v>
      </c>
      <c r="D5052" s="27" t="s">
        <v>932</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1000</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1358</v>
      </c>
      <c r="B5054" s="27" t="s">
        <v>1246</v>
      </c>
      <c r="C5054" s="27" t="s">
        <v>946</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936</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1007</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2127</v>
      </c>
      <c r="B5057" s="27" t="s">
        <v>978</v>
      </c>
      <c r="C5057" s="27" t="s">
        <v>1054</v>
      </c>
      <c r="D5057" s="27" t="s">
        <v>932</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958</v>
      </c>
      <c r="B5058" s="27" t="s">
        <v>1251</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1302</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1072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749</v>
      </c>
      <c r="B5061" s="27" t="s">
        <v>1491</v>
      </c>
      <c r="C5061" s="27" t="s">
        <v>931</v>
      </c>
      <c r="D5061" s="27" t="s">
        <v>932</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1340</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1160</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944</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1977</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934</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1152</v>
      </c>
      <c r="B5067" s="27" t="s">
        <v>1838</v>
      </c>
      <c r="C5067" s="27" t="s">
        <v>973</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1000</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709</v>
      </c>
      <c r="B5069" s="27" t="s">
        <v>1836</v>
      </c>
      <c r="C5069" s="27" t="s">
        <v>946</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937</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1972</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2128</v>
      </c>
      <c r="B5072" s="27" t="s">
        <v>1836</v>
      </c>
      <c r="C5072" s="27" t="s">
        <v>946</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936</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958</v>
      </c>
      <c r="B5074" s="27" t="s">
        <v>1251</v>
      </c>
      <c r="C5074" s="27" t="s">
        <v>1061</v>
      </c>
      <c r="D5074" s="27" t="s">
        <v>932</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1138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36</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2129</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936</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1279</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749</v>
      </c>
      <c r="B5080" s="27" t="s">
        <v>1196</v>
      </c>
      <c r="C5080" s="27" t="s">
        <v>931</v>
      </c>
      <c r="D5080" s="27" t="s">
        <v>932</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1138</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36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2069</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987</v>
      </c>
      <c r="B5084" s="27" t="s">
        <v>1390</v>
      </c>
      <c r="C5084" s="27" t="s">
        <v>931</v>
      </c>
      <c r="D5084" s="27" t="s">
        <v>932</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1042</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row>
    <row r="5087" spans="1:12">
      <c r="A5087" s="20" t="s">
        <v>2130</v>
      </c>
    </row>
    <row r="5088" spans="1:12">
      <c r="A5088" s="20" t="s">
        <v>1434</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1056</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1317</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2131</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2132</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2133</v>
      </c>
      <c r="B5093" s="27" t="s">
        <v>930</v>
      </c>
      <c r="C5093" s="27" t="s">
        <v>999</v>
      </c>
      <c r="D5093" s="27" t="s">
        <v>932</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958</v>
      </c>
      <c r="B5094" s="27" t="s">
        <v>1009</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2134</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947</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36</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969</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1207</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1387</v>
      </c>
      <c r="B5100" s="27" t="s">
        <v>1025</v>
      </c>
      <c r="C5100" s="27" t="s">
        <v>931</v>
      </c>
      <c r="D5100" s="27" t="s">
        <v>932</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936</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958</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1358</v>
      </c>
      <c r="B5103" s="27" t="s">
        <v>942</v>
      </c>
      <c r="C5103" s="27" t="s">
        <v>999</v>
      </c>
      <c r="D5103" s="27" t="s">
        <v>932</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1000</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1040</v>
      </c>
      <c r="B5105" s="27" t="s">
        <v>939</v>
      </c>
      <c r="C5105" s="27" t="s">
        <v>946</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936</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1007</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1312</v>
      </c>
      <c r="B5108" s="27" t="s">
        <v>942</v>
      </c>
      <c r="C5108" s="27" t="s">
        <v>1054</v>
      </c>
      <c r="D5108" s="27" t="s">
        <v>932</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944</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1209</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1144</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936</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1201</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1013</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2135</v>
      </c>
      <c r="B5115" s="27" t="s">
        <v>942</v>
      </c>
      <c r="C5115" s="27" t="s">
        <v>973</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936</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944</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958</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954</v>
      </c>
      <c r="B5119" s="27" t="s">
        <v>1009</v>
      </c>
      <c r="C5119" s="27" t="s">
        <v>931</v>
      </c>
      <c r="D5119" s="27" t="s">
        <v>932</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1176</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1125</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2136</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1042</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row>
    <row r="5125" spans="1:12">
      <c r="A5125" s="20" t="s">
        <v>2137</v>
      </c>
    </row>
    <row r="5126" spans="1:12">
      <c r="A5126" s="20" t="s">
        <v>965</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929</v>
      </c>
      <c r="B5127" s="27" t="s">
        <v>930</v>
      </c>
      <c r="C5127" s="27" t="s">
        <v>931</v>
      </c>
      <c r="D5127" s="27" t="s">
        <v>932</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42</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958</v>
      </c>
      <c r="B5129" s="27" t="s">
        <v>968</v>
      </c>
      <c r="C5129" s="27" t="s">
        <v>1061</v>
      </c>
      <c r="D5129" s="27" t="s">
        <v>932</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1176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1399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2138</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1042</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row>
    <row r="5135" spans="1:12">
      <c r="A5135" s="20" t="s">
        <v>2139</v>
      </c>
    </row>
    <row r="5136" spans="1:12">
      <c r="A5136" s="20" t="s">
        <v>1215</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1138</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36</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2136</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1063</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709</v>
      </c>
      <c r="B5141" s="27" t="s">
        <v>949</v>
      </c>
      <c r="C5141" s="27" t="s">
        <v>946</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1176</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2140</v>
      </c>
      <c r="B5143" s="27" t="s">
        <v>968</v>
      </c>
      <c r="C5143" s="27" t="s">
        <v>1087</v>
      </c>
      <c r="D5143" s="27" t="s">
        <v>932</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947</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2141</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1160</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936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1012</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1134</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1056</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1584</v>
      </c>
      <c r="B5151" s="27" t="s">
        <v>968</v>
      </c>
      <c r="C5151" s="27" t="s">
        <v>1111</v>
      </c>
      <c r="D5151" s="27" t="s">
        <v>932</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2142</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2143</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2144</v>
      </c>
      <c r="B5154" s="27" t="s">
        <v>1025</v>
      </c>
      <c r="C5154" s="27" t="s">
        <v>946</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936</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1032</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1631</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1125</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937</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938</v>
      </c>
      <c r="B5160" s="27" t="s">
        <v>939</v>
      </c>
      <c r="C5160" s="27" t="s">
        <v>940</v>
      </c>
      <c r="D5160" s="27" t="s">
        <v>932</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2145</v>
      </c>
      <c r="B5161" s="27" t="s">
        <v>942</v>
      </c>
      <c r="C5161" s="27" t="s">
        <v>1087</v>
      </c>
      <c r="D5161" s="27" t="s">
        <v>932</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1042</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row>
    <row r="5164" spans="1:12">
      <c r="A5164" s="20" t="s">
        <v>983</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2146</v>
      </c>
    </row>
    <row r="5166" spans="1:12">
      <c r="A5166" s="20" t="s">
        <v>1479</v>
      </c>
      <c r="B5166" s="27" t="s">
        <v>930</v>
      </c>
      <c r="C5166" s="27" t="s">
        <v>946</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985</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290</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936</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928</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1103</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1056</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1114</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1040</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2147</v>
      </c>
      <c r="B5175" s="27" t="s">
        <v>942</v>
      </c>
      <c r="C5175" s="27" t="s">
        <v>946</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1000</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1261</v>
      </c>
      <c r="B5177" s="27" t="s">
        <v>939</v>
      </c>
      <c r="C5177" s="27" t="s">
        <v>1121</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709</v>
      </c>
      <c r="B5178" s="27" t="s">
        <v>955</v>
      </c>
      <c r="C5178" s="27" t="s">
        <v>946</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1201</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2148</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947</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1467</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1325</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row>
    <row r="5185" spans="1:12">
      <c r="A5185" s="20" t="s">
        <v>2149</v>
      </c>
    </row>
    <row r="5186" spans="1:12">
      <c r="A5186" s="20" t="s">
        <v>2150</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1114</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749</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2151</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947</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45</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1040</v>
      </c>
      <c r="B5192" s="27" t="s">
        <v>991</v>
      </c>
      <c r="C5192" s="27" t="s">
        <v>946</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1325</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row>
    <row r="5195" spans="1:12">
      <c r="A5195" s="20" t="s">
        <v>983</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2152</v>
      </c>
    </row>
    <row r="5197" spans="1:12">
      <c r="A5197" s="20" t="s">
        <v>2153</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1114</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954</v>
      </c>
      <c r="B5199" s="27" t="s">
        <v>942</v>
      </c>
      <c r="C5199" s="27" t="s">
        <v>940</v>
      </c>
      <c r="D5199" s="27" t="s">
        <v>932</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2147</v>
      </c>
      <c r="B5200" s="27" t="s">
        <v>942</v>
      </c>
      <c r="C5200" s="27" t="s">
        <v>1087</v>
      </c>
      <c r="D5200" s="27" t="s">
        <v>932</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t="s">
        <v>1000</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1627</v>
      </c>
      <c r="B5202" s="27" t="s">
        <v>939</v>
      </c>
      <c r="C5202" s="27" t="s">
        <v>940</v>
      </c>
      <c r="D5202" s="27" t="s">
        <v>932</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1393</v>
      </c>
      <c r="B5203" s="27" t="s">
        <v>942</v>
      </c>
      <c r="C5203" s="27" t="s">
        <v>1087</v>
      </c>
      <c r="D5203" s="27" t="s">
        <v>932</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1325</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928</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row>
    <row r="5207" spans="1:12">
      <c r="A5207" s="20" t="s">
        <v>2154</v>
      </c>
    </row>
    <row r="5208" spans="1:12">
      <c r="A5208" s="20" t="s">
        <v>1646</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1372</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929</v>
      </c>
      <c r="B5210" s="27" t="s">
        <v>930</v>
      </c>
      <c r="C5210" s="27" t="s">
        <v>931</v>
      </c>
      <c r="D5210" s="27" t="s">
        <v>932</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1138</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290</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936</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1597</v>
      </c>
      <c r="B5214" s="27" t="s">
        <v>968</v>
      </c>
      <c r="C5214" s="27" t="s">
        <v>946</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1056</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2155</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1042</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row>
    <row r="5219" spans="1:12">
      <c r="A5219" s="20" t="s">
        <v>2156</v>
      </c>
    </row>
    <row r="5220" spans="1:12">
      <c r="A5220" s="20" t="s">
        <v>1011</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1046</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947</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45</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1447</v>
      </c>
      <c r="B5224" s="27" t="s">
        <v>991</v>
      </c>
      <c r="C5224" s="27" t="s">
        <v>1097</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944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2157</v>
      </c>
      <c r="B5226" s="27" t="s">
        <v>949</v>
      </c>
      <c r="C5226" s="27" t="s">
        <v>946</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944</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2158</v>
      </c>
      <c r="B5228" s="27" t="s">
        <v>949</v>
      </c>
      <c r="C5228" s="27" t="s">
        <v>946</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944</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2159</v>
      </c>
      <c r="B5230" s="27" t="s">
        <v>1025</v>
      </c>
      <c r="C5230" s="27" t="s">
        <v>946</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t="s">
        <v>944</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969</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1000</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1007</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942</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2160</v>
      </c>
      <c r="B5236" s="27" t="s">
        <v>1025</v>
      </c>
      <c r="C5236" s="27" t="s">
        <v>1352</v>
      </c>
      <c r="D5236" s="27" t="s">
        <v>932</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958</v>
      </c>
      <c r="B5237" s="27" t="s">
        <v>1167</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749</v>
      </c>
      <c r="B5238" s="27" t="s">
        <v>1200</v>
      </c>
      <c r="C5238" s="27" t="s">
        <v>931</v>
      </c>
      <c r="D5238" s="27" t="s">
        <v>932</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45</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936</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958</v>
      </c>
      <c r="B5241" s="27" t="s">
        <v>968</v>
      </c>
      <c r="C5241" s="27" t="s">
        <v>1061</v>
      </c>
      <c r="D5241" s="27" t="s">
        <v>932</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1176</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1453</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2161</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1042</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row>
    <row r="5247" spans="1:12">
      <c r="A5247" s="20" t="s">
        <v>2162</v>
      </c>
    </row>
    <row r="5248" spans="1:12">
      <c r="A5248" s="20" t="s">
        <v>965</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2163</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1040</v>
      </c>
      <c r="B5250" s="27" t="s">
        <v>930</v>
      </c>
      <c r="C5250" s="27" t="s">
        <v>946</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1056</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1309</v>
      </c>
      <c r="B5252" s="27" t="s">
        <v>942</v>
      </c>
      <c r="C5252" s="27" t="s">
        <v>1111</v>
      </c>
      <c r="D5252" s="27" t="s">
        <v>932</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958</v>
      </c>
      <c r="B5253" s="27" t="s">
        <v>968</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2164</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966</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958</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2165</v>
      </c>
      <c r="B5257" s="27" t="s">
        <v>1009</v>
      </c>
      <c r="C5257" s="27" t="s">
        <v>999</v>
      </c>
      <c r="D5257" s="27" t="s">
        <v>932</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1172</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2166</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1042</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row>
    <row r="5262" spans="1:12">
      <c r="A5262" s="20" t="s">
        <v>2167</v>
      </c>
    </row>
    <row r="5263" spans="1:12">
      <c r="A5263" s="20" t="s">
        <v>1215</v>
      </c>
      <c r="B5263" s="27" t="s">
        <v>930</v>
      </c>
      <c r="C5263" s="27" t="s">
        <v>931</v>
      </c>
      <c r="D5263" s="27" t="s">
        <v>932</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1176</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2168</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1042</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row>
    <row r="5268" spans="1:12">
      <c r="A5268" s="20" t="s">
        <v>983</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2169</v>
      </c>
    </row>
    <row r="5270" spans="1:12">
      <c r="A5270" s="20" t="s">
        <v>1479</v>
      </c>
      <c r="B5270" s="27" t="s">
        <v>930</v>
      </c>
      <c r="C5270" s="27" t="s">
        <v>946</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1418</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76</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947</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1064</v>
      </c>
      <c r="B5274" s="27" t="s">
        <v>942</v>
      </c>
      <c r="C5274" s="27" t="s">
        <v>931</v>
      </c>
      <c r="D5274" s="27" t="s">
        <v>932</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944</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290</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936</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928</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929</v>
      </c>
      <c r="B5279" s="27" t="s">
        <v>1009</v>
      </c>
      <c r="C5279" s="27" t="s">
        <v>931</v>
      </c>
      <c r="D5279" s="27" t="s">
        <v>932</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42</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936</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2170</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936</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1072</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929</v>
      </c>
      <c r="B5285" s="27" t="s">
        <v>968</v>
      </c>
      <c r="C5285" s="27" t="s">
        <v>931</v>
      </c>
      <c r="D5285" s="27" t="s">
        <v>932</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1264</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2171</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954</v>
      </c>
      <c r="B5288" s="27" t="s">
        <v>991</v>
      </c>
      <c r="C5288" s="27" t="s">
        <v>931</v>
      </c>
      <c r="D5288" s="27" t="s">
        <v>932</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1160</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1063</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1432</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1539</v>
      </c>
      <c r="B5292" s="27" t="s">
        <v>939</v>
      </c>
      <c r="C5292" s="27" t="s">
        <v>973</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936</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929</v>
      </c>
      <c r="B5294" s="27" t="s">
        <v>968</v>
      </c>
      <c r="C5294" s="27" t="s">
        <v>931</v>
      </c>
      <c r="D5294" s="27" t="s">
        <v>932</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42</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929</v>
      </c>
      <c r="B5296" s="27" t="s">
        <v>1009</v>
      </c>
      <c r="C5296" s="27" t="s">
        <v>931</v>
      </c>
      <c r="D5296" s="27" t="s">
        <v>932</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1230</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1264</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462</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963</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1317</v>
      </c>
      <c r="B5301" s="27" t="s">
        <v>949</v>
      </c>
      <c r="C5301" s="27" t="s">
        <v>1061</v>
      </c>
      <c r="D5301" s="27" t="s">
        <v>932</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1042</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928</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row>
    <row r="5305" spans="1:12">
      <c r="A5305" s="20" t="s">
        <v>983</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2172</v>
      </c>
    </row>
    <row r="5307" spans="1:12">
      <c r="A5307" s="20" t="s">
        <v>965</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929</v>
      </c>
      <c r="B5308" s="27" t="s">
        <v>930</v>
      </c>
      <c r="C5308" s="27" t="s">
        <v>931</v>
      </c>
      <c r="D5308" s="27" t="s">
        <v>932</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1066</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290</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947</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987</v>
      </c>
      <c r="B5312" s="27" t="s">
        <v>942</v>
      </c>
      <c r="C5312" s="27" t="s">
        <v>931</v>
      </c>
      <c r="D5312" s="27" t="s">
        <v>932</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936</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928</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1179</v>
      </c>
      <c r="B5315" s="27" t="s">
        <v>968</v>
      </c>
      <c r="C5315" s="27" t="s">
        <v>931</v>
      </c>
      <c r="D5315" s="27" t="s">
        <v>932</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1778</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462</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963</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954</v>
      </c>
      <c r="B5319" s="27" t="s">
        <v>939</v>
      </c>
      <c r="C5319" s="27" t="s">
        <v>931</v>
      </c>
      <c r="D5319" s="27" t="s">
        <v>932</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936</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1012</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1175</v>
      </c>
      <c r="B5322" s="27" t="s">
        <v>968</v>
      </c>
      <c r="C5322" s="27" t="s">
        <v>931</v>
      </c>
      <c r="D5322" s="27" t="s">
        <v>932</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1227</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1717</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36</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159</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1002</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1042</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row>
    <row r="5330" spans="1:12">
      <c r="A5330" s="20" t="s">
        <v>2173</v>
      </c>
    </row>
    <row r="5331" spans="1:12">
      <c r="A5331" s="20" t="s">
        <v>2174</v>
      </c>
      <c r="B5331" s="27" t="s">
        <v>930</v>
      </c>
      <c r="C5331" s="27" t="s">
        <v>946</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1056</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2175</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936</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944</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958</v>
      </c>
      <c r="B5336" s="27" t="s">
        <v>968</v>
      </c>
      <c r="C5336" s="27" t="s">
        <v>1061</v>
      </c>
      <c r="D5336" s="27" t="s">
        <v>932</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1176</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934</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1863</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1539</v>
      </c>
      <c r="B5340" s="27" t="s">
        <v>942</v>
      </c>
      <c r="C5340" s="27" t="s">
        <v>973</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1175</v>
      </c>
      <c r="B5341" s="27" t="s">
        <v>1009</v>
      </c>
      <c r="C5341" s="27" t="s">
        <v>931</v>
      </c>
      <c r="D5341" s="27" t="s">
        <v>932</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1181</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2176</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1336</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1936</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1164</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1042</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row>
    <row r="5349" spans="1:12">
      <c r="A5349" s="20" t="s">
        <v>983</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2177</v>
      </c>
    </row>
    <row r="5351" spans="1:12">
      <c r="A5351" s="20" t="s">
        <v>2178</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954</v>
      </c>
      <c r="B5352" s="27" t="s">
        <v>988</v>
      </c>
      <c r="C5352" s="27" t="s">
        <v>931</v>
      </c>
      <c r="D5352" s="27" t="s">
        <v>932</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963</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1042</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928</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row>
    <row r="5357" spans="1:12">
      <c r="A5357" s="20" t="s">
        <v>2179</v>
      </c>
    </row>
    <row r="5358" spans="1:12">
      <c r="A5358" s="20" t="s">
        <v>1215</v>
      </c>
      <c r="B5358" s="27" t="s">
        <v>930</v>
      </c>
      <c r="C5358" s="27" t="s">
        <v>931</v>
      </c>
      <c r="D5358" s="27" t="s">
        <v>932</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1176</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934</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1017</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2180</v>
      </c>
      <c r="B5362" s="27" t="s">
        <v>942</v>
      </c>
      <c r="C5362" s="27" t="s">
        <v>973</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1000</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1007</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2181</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1048</v>
      </c>
      <c r="B5366" s="27" t="s">
        <v>942</v>
      </c>
      <c r="C5366" s="27" t="s">
        <v>1054</v>
      </c>
      <c r="D5366" s="27" t="s">
        <v>932</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936</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944</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2182</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1000</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1534</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942</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2183</v>
      </c>
      <c r="B5373" s="27" t="s">
        <v>942</v>
      </c>
      <c r="C5373" s="27" t="s">
        <v>1097</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936</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958</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749</v>
      </c>
      <c r="B5376" s="27" t="s">
        <v>968</v>
      </c>
      <c r="C5376" s="27" t="s">
        <v>931</v>
      </c>
      <c r="D5376" s="27" t="s">
        <v>932</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2184</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1317</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997</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2185</v>
      </c>
      <c r="B5380" s="27" t="s">
        <v>991</v>
      </c>
      <c r="C5380" s="27" t="s">
        <v>999</v>
      </c>
      <c r="D5380" s="27" t="s">
        <v>932</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936</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1040</v>
      </c>
      <c r="B5382" s="27" t="s">
        <v>949</v>
      </c>
      <c r="C5382" s="27" t="s">
        <v>946</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936</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947</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1057</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1335</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934</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2186</v>
      </c>
      <c r="B5388" s="27" t="s">
        <v>955</v>
      </c>
      <c r="C5388" s="27" t="s">
        <v>973</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2187</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966</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954</v>
      </c>
      <c r="B5391" s="27" t="s">
        <v>960</v>
      </c>
      <c r="C5391" s="27" t="s">
        <v>931</v>
      </c>
      <c r="D5391" s="27" t="s">
        <v>932</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2188</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1144</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1642</v>
      </c>
      <c r="B5394" s="27" t="s">
        <v>978</v>
      </c>
      <c r="C5394" s="27" t="s">
        <v>940</v>
      </c>
      <c r="D5394" s="27" t="s">
        <v>932</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2189</v>
      </c>
      <c r="B5395" s="27" t="s">
        <v>1078</v>
      </c>
      <c r="C5395" s="27" t="s">
        <v>1087</v>
      </c>
      <c r="D5395" s="27" t="s">
        <v>932</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936</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944</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947</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1057</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1335</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2190</v>
      </c>
      <c r="B5401" s="27" t="s">
        <v>1009</v>
      </c>
      <c r="C5401" s="27" t="s">
        <v>1111</v>
      </c>
      <c r="D5401" s="27" t="s">
        <v>932</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2187</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1007</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2191</v>
      </c>
      <c r="B5404" s="27" t="s">
        <v>1183</v>
      </c>
      <c r="C5404" s="27" t="s">
        <v>1054</v>
      </c>
      <c r="D5404" s="27" t="s">
        <v>932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2192</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967</v>
      </c>
      <c r="B5406" s="27" t="s">
        <v>955</v>
      </c>
      <c r="C5406" s="27" t="s">
        <v>931</v>
      </c>
      <c r="D5406" s="27" t="s">
        <v>932</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2193</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1946</v>
      </c>
      <c r="B5408" s="27" t="s">
        <v>1031</v>
      </c>
      <c r="C5408" s="27" t="s">
        <v>946</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1042</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row>
    <row r="5411" spans="1:12">
      <c r="A5411" s="20" t="s">
        <v>983</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2194</v>
      </c>
    </row>
    <row r="5413" spans="1:12">
      <c r="A5413" s="20" t="s">
        <v>1479</v>
      </c>
      <c r="B5413" s="27" t="s">
        <v>930</v>
      </c>
      <c r="C5413" s="27" t="s">
        <v>946</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290</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947</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1064</v>
      </c>
      <c r="B5416" s="27" t="s">
        <v>942</v>
      </c>
      <c r="C5416" s="27" t="s">
        <v>931</v>
      </c>
      <c r="D5416" s="27" t="s">
        <v>932</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936</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928</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1429</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936</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1056</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954</v>
      </c>
      <c r="B5422" s="27" t="s">
        <v>968</v>
      </c>
      <c r="C5422" s="27" t="s">
        <v>931</v>
      </c>
      <c r="D5422" s="27" t="s">
        <v>932</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2195</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995</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2196</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1447</v>
      </c>
      <c r="B5426" s="27" t="s">
        <v>939</v>
      </c>
      <c r="C5426" s="27" t="s">
        <v>946</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1325</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928</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row>
    <row r="5430" spans="1:12">
      <c r="A5430" s="20" t="s">
        <v>2197</v>
      </c>
    </row>
    <row r="5431" spans="1:12">
      <c r="A5431" s="20" t="s">
        <v>965</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929</v>
      </c>
      <c r="B5432" s="27" t="s">
        <v>930</v>
      </c>
      <c r="C5432" s="27" t="s">
        <v>931</v>
      </c>
      <c r="D5432" s="27" t="s">
        <v>932</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290</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936</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937</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934</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1206</v>
      </c>
      <c r="B5437" s="27" t="s">
        <v>942</v>
      </c>
      <c r="C5437" s="27" t="s">
        <v>973</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954</v>
      </c>
      <c r="B5438" s="27" t="s">
        <v>1009</v>
      </c>
      <c r="C5438" s="27" t="s">
        <v>931</v>
      </c>
      <c r="D5438" s="27" t="s">
        <v>932</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1176</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2195</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995</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2196</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1447</v>
      </c>
      <c r="B5443" s="27" t="s">
        <v>949</v>
      </c>
      <c r="C5443" s="27" t="s">
        <v>946</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1042</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row>
    <row r="5446" spans="1:12">
      <c r="A5446" s="20" t="s">
        <v>2198</v>
      </c>
    </row>
    <row r="5447" spans="1:12">
      <c r="A5447" s="20" t="s">
        <v>1434</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1056</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934</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1764</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2120</v>
      </c>
      <c r="B5451" s="27" t="s">
        <v>930</v>
      </c>
      <c r="C5451" s="27" t="s">
        <v>973</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1000</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2199</v>
      </c>
      <c r="B5453" s="27" t="s">
        <v>939</v>
      </c>
      <c r="C5453" s="27" t="s">
        <v>946</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t="s">
        <v>936</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1012</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954</v>
      </c>
      <c r="B5456" s="27" t="s">
        <v>968</v>
      </c>
      <c r="C5456" s="27" t="s">
        <v>931</v>
      </c>
      <c r="D5456" s="27" t="s">
        <v>932</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1176</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1007</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997</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1206</v>
      </c>
      <c r="B5460" s="27" t="s">
        <v>942</v>
      </c>
      <c r="C5460" s="27" t="s">
        <v>1054</v>
      </c>
      <c r="D5460" s="27" t="s">
        <v>932</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1134</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1176</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2199</v>
      </c>
      <c r="B5463" s="27" t="s">
        <v>1009</v>
      </c>
      <c r="C5463" s="27" t="s">
        <v>946</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1501</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2200</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1013</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2201</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2202</v>
      </c>
      <c r="B5468" s="27" t="s">
        <v>982</v>
      </c>
      <c r="C5468" s="27" t="s">
        <v>973</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2012</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1627</v>
      </c>
      <c r="B5470" s="27" t="s">
        <v>1246</v>
      </c>
      <c r="C5470" s="27" t="s">
        <v>940</v>
      </c>
      <c r="D5470" s="27" t="s">
        <v>932</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2024</v>
      </c>
      <c r="B5471" s="27" t="s">
        <v>978</v>
      </c>
      <c r="C5471" s="27" t="s">
        <v>1087</v>
      </c>
      <c r="D5471" s="27" t="s">
        <v>932</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958</v>
      </c>
      <c r="B5472" s="27" t="s">
        <v>1196</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1172</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934</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1459</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2203</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2204</v>
      </c>
      <c r="B5477" s="27" t="s">
        <v>1390</v>
      </c>
      <c r="C5477" s="27" t="s">
        <v>973</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958</v>
      </c>
      <c r="B5478" s="27" t="s">
        <v>2205</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1175</v>
      </c>
      <c r="B5479" s="27" t="s">
        <v>1491</v>
      </c>
      <c r="C5479" s="27" t="s">
        <v>931</v>
      </c>
      <c r="D5479" s="27" t="s">
        <v>932</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45</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947</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2206</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1553</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944</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286</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934</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1459</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2207</v>
      </c>
      <c r="B5488" s="27" t="s">
        <v>2208</v>
      </c>
      <c r="C5488" s="27" t="s">
        <v>973</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936</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944</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1261</v>
      </c>
      <c r="B5491" s="27" t="s">
        <v>968</v>
      </c>
      <c r="C5491" s="27" t="s">
        <v>1121</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2164</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1072</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1175</v>
      </c>
      <c r="B5494" s="27" t="s">
        <v>1009</v>
      </c>
      <c r="C5494" s="27" t="s">
        <v>931</v>
      </c>
      <c r="D5494" s="27" t="s">
        <v>932</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1874</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1007</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2024</v>
      </c>
      <c r="B5497" s="27" t="s">
        <v>1183</v>
      </c>
      <c r="C5497" s="27" t="s">
        <v>1054</v>
      </c>
      <c r="D5497" s="27" t="s">
        <v>932</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1063</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395</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1096</v>
      </c>
      <c r="B5500" s="27" t="s">
        <v>949</v>
      </c>
      <c r="C5500" s="27" t="s">
        <v>1097</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944</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954</v>
      </c>
      <c r="B5502" s="27" t="s">
        <v>955</v>
      </c>
      <c r="C5502" s="27" t="s">
        <v>931</v>
      </c>
      <c r="D5502" s="27" t="s">
        <v>932</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2209</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963</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2210</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954</v>
      </c>
      <c r="B5506" s="27" t="s">
        <v>960</v>
      </c>
      <c r="C5506" s="27" t="s">
        <v>931</v>
      </c>
      <c r="D5506" s="27" t="s">
        <v>932</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1176</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1267</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934</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2211</v>
      </c>
      <c r="B5510" s="27" t="s">
        <v>1025</v>
      </c>
      <c r="C5510" s="27" t="s">
        <v>973</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1000</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2212</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2213</v>
      </c>
      <c r="B5513" s="27" t="s">
        <v>1078</v>
      </c>
      <c r="C5513" s="27" t="s">
        <v>946</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1042</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row>
    <row r="5516" spans="1:12">
      <c r="A5516" s="20" t="s">
        <v>2214</v>
      </c>
    </row>
    <row r="5517" spans="1:12">
      <c r="A5517" s="20" t="s">
        <v>965</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954</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1176</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958</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2212</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2213</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2204</v>
      </c>
      <c r="B5523" s="27" t="s">
        <v>968</v>
      </c>
      <c r="C5523" s="27" t="s">
        <v>946</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936</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958</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2212</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2213</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1366</v>
      </c>
      <c r="B5528" s="27" t="s">
        <v>949</v>
      </c>
      <c r="C5528" s="27" t="s">
        <v>999</v>
      </c>
      <c r="D5528" s="27" t="s">
        <v>932</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936</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958</v>
      </c>
      <c r="B5530" s="27" t="s">
        <v>968</v>
      </c>
      <c r="C5530" s="27" t="s">
        <v>1061</v>
      </c>
      <c r="D5530" s="27" t="s">
        <v>932</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1176</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1007</v>
      </c>
      <c r="E5532" s="21">
        <f>IF(D5532="?OLD","!!!","")</f>
        <v/>
      </c>
      <c r="F5532" s="22" t="str">
        <f>IF(OR(E5532="",E5532="!!!"),"",IF(NOT(ISNA(VLOOKUP(E5532,E$1:E5531,1,FALSE()))),"OLD",IF(AND(E5532&lt;&gt;"",E5532&lt;&gt;"!!!"),"NEW","")))</f>
        <v> </v>
      </c>
      <c r="G5532" s="23" t="str">
        <f>IF(OR(E5532="",E5532="!!!"),"",IF(OR(J5532=0,AND(J5532=1,K5532=1),AND(J5532=1,I5532="SBJ"),AND(J5532=1,I5532=0)),"?IN_FOCUS",IF(J5532&lt;=2,"?ACTIVATED",IF(J5532&lt;&gt;"","?FAMILIAR",IF(F5532="NEW",IF(ISNA(VLOOKUP(E5532,#REF!,1,FALSE())),"?TYPE_IDENTIFIABLE","?REFERENTIAL"),"_")))))</f>
        <v> </v>
      </c>
      <c r="H5532" s="24" t="str">
        <f>IF(J5532&lt;&gt;1,"",IF(I5532="SBJ","CB","?"))</f>
        <v> </v>
      </c>
      <c r="I5532" s="25" t="str">
        <f>IF(OR(E5532="",E5532="!!!",F5532="NEW"),"",INDEX(B5531:B$2,-1+SUMPRODUCT(MAX(ROW(E5531:E$2)*(E5532=E5531:E$2)))))</f>
        <v> </v>
      </c>
      <c r="J5532" s="25" t="str">
        <f>IF(OR(E5532="",E5532="!!!",F5532="NEW"),"",COUNTBLANK(OFFSET(A$1,,,SUMPRODUCT(MAX(ROW(E$2:E5532)*(E5532=E$2:E5532)))))-COUNTBLANK(OFFSET(A$1,,,SUMPRODUCT(MAX(ROW(E$1:E5531)*(E2=E$1:E5531))))))</f>
        <v> </v>
      </c>
      <c r="K5532" s="25" t="str">
        <f>IF(OR(E5532="",E5532="!!!",F5532="NEW"),"",INDEX(J$1:J5531,SUMPRODUCT(MAX(ROW(E$1:E5531)*(E5532=E$1:E5531)))))</f>
        <v> </v>
      </c>
      <c r="L5532" s="26"/>
    </row>
    <row r="5533" spans="1:12">
      <c r="A5533" s="20" t="s">
        <v>272</v>
      </c>
      <c r="B5533" s="27" t="s">
        <v>930</v>
      </c>
      <c r="C5533" s="27" t="s">
        <v>1054</v>
      </c>
      <c r="D5533" s="27" t="s">
        <v>932</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t="s">
        <v>749</v>
      </c>
      <c r="B5534" s="27" t="s">
        <v>1009</v>
      </c>
      <c r="C5534" s="27" t="s">
        <v>931</v>
      </c>
      <c r="D5534" s="27" t="s">
        <v>932</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1181</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2215</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1160</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947</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2216</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1042</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row>
    <row r="5542" spans="1:12">
      <c r="A5542" s="20" t="s">
        <v>983</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t="s">
        <v>2217</v>
      </c>
    </row>
    <row r="5544" spans="1:12">
      <c r="A5544" s="20" t="s">
        <v>1783</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1412</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709</v>
      </c>
      <c r="B5546" s="27" t="s">
        <v>930</v>
      </c>
      <c r="C5546" s="27" t="s">
        <v>946</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290</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936</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928</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1179</v>
      </c>
      <c r="B5550" s="27" t="s">
        <v>968</v>
      </c>
      <c r="C5550" s="27" t="s">
        <v>931</v>
      </c>
      <c r="D5550" s="27" t="s">
        <v>932</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415</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2083</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2218</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2219</v>
      </c>
      <c r="B5554" s="27" t="s">
        <v>991</v>
      </c>
      <c r="C5554" s="27" t="s">
        <v>999</v>
      </c>
      <c r="D5554" s="27" t="s">
        <v>932</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t="s">
        <v>936</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944</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286</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1175</v>
      </c>
      <c r="B5558" s="27" t="s">
        <v>968</v>
      </c>
      <c r="C5558" s="27" t="s">
        <v>931</v>
      </c>
      <c r="D5558" s="27" t="s">
        <v>932</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13</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2218</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1325</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928</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row>
    <row r="5564" spans="1:12">
      <c r="A5564" s="20" t="s">
        <v>2220</v>
      </c>
    </row>
    <row r="5565" spans="1:12">
      <c r="A5565" s="20" t="s">
        <v>965</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929</v>
      </c>
      <c r="B5566" s="27" t="s">
        <v>930</v>
      </c>
      <c r="C5566" s="27" t="s">
        <v>931</v>
      </c>
      <c r="D5566" s="27" t="s">
        <v>932</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286</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1114</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1042</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row>
    <row r="5571" spans="1:12">
      <c r="A5571" s="20" t="s">
        <v>2221</v>
      </c>
    </row>
    <row r="5572" spans="1:12">
      <c r="A5572" s="20" t="s">
        <v>1103</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929</v>
      </c>
      <c r="B5573" s="27" t="s">
        <v>930</v>
      </c>
      <c r="C5573" s="27" t="s">
        <v>931</v>
      </c>
      <c r="D5573" s="27" t="s">
        <v>932</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286</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1114</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13</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1457</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1336</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2200</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t="s">
        <v>947</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1190</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1158</v>
      </c>
      <c r="B5582" s="27" t="s">
        <v>1031</v>
      </c>
      <c r="C5582" s="27" t="s">
        <v>946</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936</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944</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929</v>
      </c>
      <c r="B5585" s="27" t="s">
        <v>968</v>
      </c>
      <c r="C5585" s="27" t="s">
        <v>931</v>
      </c>
      <c r="D5585" s="27" t="s">
        <v>932</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286</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1114</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13</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1457</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1336</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938</v>
      </c>
      <c r="B5591" s="27" t="s">
        <v>1025</v>
      </c>
      <c r="C5591" s="27" t="s">
        <v>940</v>
      </c>
      <c r="D5591" s="27" t="s">
        <v>932</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1145</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1146</v>
      </c>
      <c r="B5593" s="27" t="s">
        <v>949</v>
      </c>
      <c r="C5593" s="27" t="s">
        <v>1087</v>
      </c>
      <c r="D5593" s="27" t="s">
        <v>932</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936</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1336</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1711</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934</v>
      </c>
      <c r="E5597" s="21">
        <f>IF(D5597="?OLD","!!!","")</f>
        <v/>
      </c>
      <c r="F5597" s="22" t="str">
        <f>IF(OR(E5597="",E5597="!!!"),"",IF(NOT(ISNA(VLOOKUP(E5597,E$1:E5596,1,FALSE()))),"OLD",IF(AND(E5597&lt;&gt;"",E5597&lt;&gt;"!!!"),"NEW","")))</f>
        <v> </v>
      </c>
      <c r="G5597" s="23" t="str">
        <f>IF(OR(E5597="",E5597="!!!"),"",IF(OR(J5597=0,AND(J5597=1,K5597=1),AND(J5597=1,I5597="SBJ"),AND(J5597=1,I5597=0)),"?IN_FOCUS",IF(J5597&lt;=2,"?ACTIVATED",IF(J5597&lt;&gt;"","?FAMILIAR",IF(F5597="NEW",IF(ISNA(VLOOKUP(E5597,#REF!,1,FALSE())),"?TYPE_IDENTIFIABLE","?REFERENTIAL"),"_")))))</f>
        <v> </v>
      </c>
      <c r="H5597" s="24" t="str">
        <f>IF(J5597&lt;&gt;1,"",IF(I5597="SBJ","CB","?"))</f>
        <v> </v>
      </c>
      <c r="I5597" s="25" t="str">
        <f>IF(OR(E5597="",E5597="!!!",F5597="NEW"),"",INDEX(B5596:B$2,-1+SUMPRODUCT(MAX(ROW(E5596:E$2)*(E5597=E5596:E$2)))))</f>
        <v> </v>
      </c>
      <c r="J5597" s="25" t="str">
        <f>IF(OR(E5597="",E5597="!!!",F5597="NEW"),"",COUNTBLANK(OFFSET(A$1,,,SUMPRODUCT(MAX(ROW(E$2:E5597)*(E5597=E$2:E5597)))))-COUNTBLANK(OFFSET(A$1,,,SUMPRODUCT(MAX(ROW(E$1:E5596)*(E2=E$1:E5596))))))</f>
        <v> </v>
      </c>
      <c r="K5597" s="25" t="str">
        <f>IF(OR(E5597="",E5597="!!!",F5597="NEW"),"",INDEX(J$1:J5596,SUMPRODUCT(MAX(ROW(E$1:E5596)*(E5597=E$1:E5596)))))</f>
        <v> </v>
      </c>
      <c r="L5597" s="26"/>
    </row>
    <row r="5598" spans="1:12">
      <c r="A5598" s="20" t="s">
        <v>1193</v>
      </c>
      <c r="B5598" s="27" t="s">
        <v>1183</v>
      </c>
      <c r="C5598" s="27" t="s">
        <v>973</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1042</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row>
    <row r="5601" spans="1:12">
      <c r="A5601" s="20" t="s">
        <v>2222</v>
      </c>
    </row>
    <row r="5602" spans="1:12">
      <c r="A5602" s="20" t="s">
        <v>929</v>
      </c>
      <c r="B5602" s="27" t="s">
        <v>930</v>
      </c>
      <c r="C5602" s="27" t="s">
        <v>931</v>
      </c>
      <c r="D5602" s="27" t="s">
        <v>932</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13</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1329</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936</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937</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1938</v>
      </c>
      <c r="B5607" s="27" t="s">
        <v>939</v>
      </c>
      <c r="C5607" s="27" t="s">
        <v>946</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936</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929</v>
      </c>
      <c r="B5609" s="27" t="s">
        <v>968</v>
      </c>
      <c r="C5609" s="27" t="s">
        <v>931</v>
      </c>
      <c r="D5609" s="27" t="s">
        <v>932</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42</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936</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1279</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929</v>
      </c>
      <c r="B5613" s="27" t="s">
        <v>1009</v>
      </c>
      <c r="C5613" s="27" t="s">
        <v>931</v>
      </c>
      <c r="D5613" s="27" t="s">
        <v>932</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1230</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13</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1447</v>
      </c>
      <c r="B5616" s="27" t="s">
        <v>1183</v>
      </c>
      <c r="C5616" s="27" t="s">
        <v>946</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1436</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1217</v>
      </c>
      <c r="B5618" s="27" t="s">
        <v>949</v>
      </c>
      <c r="C5618" s="27" t="s">
        <v>946</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1042</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row>
    <row r="5621" spans="1:12">
      <c r="A5621" s="20" t="s">
        <v>2223</v>
      </c>
    </row>
    <row r="5622" spans="1:12">
      <c r="A5622" s="20" t="s">
        <v>929</v>
      </c>
      <c r="B5622" s="27" t="s">
        <v>930</v>
      </c>
      <c r="C5622" s="27" t="s">
        <v>931</v>
      </c>
      <c r="D5622" s="27" t="s">
        <v>932</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13</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1457</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1336</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2224</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2225</v>
      </c>
      <c r="B5627" s="27" t="s">
        <v>939</v>
      </c>
      <c r="C5627" s="27" t="s">
        <v>946</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936</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1336</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2226</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2227</v>
      </c>
      <c r="B5631" s="27" t="s">
        <v>942</v>
      </c>
      <c r="C5631" s="27" t="s">
        <v>946</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936</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1336</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2228</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2229</v>
      </c>
      <c r="B5635" s="27" t="s">
        <v>939</v>
      </c>
      <c r="C5635" s="27" t="s">
        <v>946</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1042</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row>
    <row r="5638" spans="1:12">
      <c r="A5638" s="20" t="s">
        <v>2230</v>
      </c>
    </row>
    <row r="5639" spans="1:12">
      <c r="A5639" s="20" t="s">
        <v>2231</v>
      </c>
      <c r="B5639" s="27" t="s">
        <v>930</v>
      </c>
      <c r="C5639" s="27" t="s">
        <v>1061</v>
      </c>
      <c r="D5639" s="27" t="s">
        <v>932</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1201</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1007</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1117</v>
      </c>
      <c r="B5642" s="27" t="s">
        <v>942</v>
      </c>
      <c r="C5642" s="27" t="s">
        <v>1054</v>
      </c>
      <c r="D5642" s="27" t="s">
        <v>932</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958</v>
      </c>
      <c r="B5643" s="27" t="s">
        <v>991</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929</v>
      </c>
      <c r="B5644" s="27" t="s">
        <v>968</v>
      </c>
      <c r="C5644" s="27" t="s">
        <v>931</v>
      </c>
      <c r="D5644" s="27" t="s">
        <v>932</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13</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1457</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1336</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1412</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1042</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row>
    <row r="5651" spans="1:12">
      <c r="A5651" s="20" t="s">
        <v>2232</v>
      </c>
    </row>
    <row r="5652" spans="1:12">
      <c r="A5652" s="20" t="s">
        <v>965</v>
      </c>
      <c r="E5652" s="21">
        <f>IF(D5652="?OLD","!!!","")</f>
        <v/>
      </c>
      <c r="F5652" s="22" t="str">
        <f>IF(OR(E5652="",E5652="!!!"),"",IF(NOT(ISNA(VLOOKUP(E5652,E$1:E5651,1,FALSE()))),"OLD",IF(AND(E5652&lt;&gt;"",E5652&lt;&gt;"!!!"),"NEW","")))</f>
        <v> </v>
      </c>
      <c r="G5652" s="23" t="str">
        <f>IF(OR(E5652="",E5652="!!!"),"",IF(OR(J5652=0,AND(J5652=1,K5652=1),AND(J5652=1,I5652="SBJ"),AND(J5652=1,I5652=0)),"?IN_FOCUS",IF(J5652&lt;=2,"?ACTIVATED",IF(J5652&lt;&gt;"","?FAMILIAR",IF(F5652="NEW",IF(ISNA(VLOOKUP(E5652,#REF!,1,FALSE())),"?TYPE_IDENTIFIABLE","?REFERENTIAL"),"_")))))</f>
        <v> </v>
      </c>
      <c r="H5652" s="24" t="str">
        <f>IF(J5652&lt;&gt;1,"",IF(I5652="SBJ","CB","?"))</f>
        <v> </v>
      </c>
      <c r="I5652" s="25" t="str">
        <f>IF(OR(E5652="",E5652="!!!",F5652="NEW"),"",INDEX(B5651:B$2,-1+SUMPRODUCT(MAX(ROW(E5651:E$2)*(E5652=E5651:E$2)))))</f>
        <v> </v>
      </c>
      <c r="J5652" s="25" t="str">
        <f>IF(OR(E5652="",E5652="!!!",F5652="NEW"),"",COUNTBLANK(OFFSET(A$1,,,SUMPRODUCT(MAX(ROW(E$2:E5652)*(E5652=E$2:E5652)))))-COUNTBLANK(OFFSET(A$1,,,SUMPRODUCT(MAX(ROW(E$1:E5651)*(E2=E$1:E5651))))))</f>
        <v> </v>
      </c>
      <c r="K5652" s="25" t="str">
        <f>IF(OR(E5652="",E5652="!!!",F5652="NEW"),"",INDEX(J$1:J5651,SUMPRODUCT(MAX(ROW(E$1:E5651)*(E5652=E$1:E5651)))))</f>
        <v> </v>
      </c>
      <c r="L5652" s="26"/>
    </row>
    <row r="5653" spans="1:12">
      <c r="A5653" s="20" t="s">
        <v>929</v>
      </c>
      <c r="B5653" s="27" t="s">
        <v>930</v>
      </c>
      <c r="C5653" s="27" t="s">
        <v>931</v>
      </c>
      <c r="D5653" s="27" t="s">
        <v>932</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1232</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t="s">
        <v>947</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1067</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936</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1350</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936</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1261</v>
      </c>
      <c r="B5660" s="27" t="s">
        <v>942</v>
      </c>
      <c r="C5660" s="27" t="s">
        <v>1121</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1056</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1007</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2233</v>
      </c>
      <c r="B5663" s="27" t="s">
        <v>968</v>
      </c>
      <c r="C5663" s="27" t="s">
        <v>1054</v>
      </c>
      <c r="D5663" s="27" t="s">
        <v>932</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1325</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row>
    <row r="5666" spans="1:12">
      <c r="A5666" s="20" t="s">
        <v>2234</v>
      </c>
    </row>
    <row r="5667" spans="1:12">
      <c r="A5667" s="20" t="s">
        <v>2235</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1113</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996</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709</v>
      </c>
      <c r="B5670" s="27" t="s">
        <v>968</v>
      </c>
      <c r="C5670" s="27" t="s">
        <v>999</v>
      </c>
      <c r="D5670" s="27" t="s">
        <v>932</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1069</v>
      </c>
      <c r="B5671" s="27" t="s">
        <v>955</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45</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1460</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1499</v>
      </c>
      <c r="B5674" s="27" t="s">
        <v>1031</v>
      </c>
      <c r="C5674" s="27" t="s">
        <v>946</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1260</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995</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2236</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1040</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1186</v>
      </c>
      <c r="B5679" s="27" t="s">
        <v>1025</v>
      </c>
      <c r="C5679" s="27" t="s">
        <v>946</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947</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462</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963</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1325</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row>
    <row r="5685" spans="1:12">
      <c r="A5685" s="20" t="s">
        <v>2237</v>
      </c>
    </row>
    <row r="5686" spans="1:12">
      <c r="A5686" s="20" t="s">
        <v>1151</v>
      </c>
      <c r="B5686" s="27" t="s">
        <v>942</v>
      </c>
      <c r="C5686" s="27" t="s">
        <v>1121</v>
      </c>
      <c r="E5686" s="21">
        <f>IF(D5686="?OLD","!!!","")</f>
        <v/>
      </c>
      <c r="F5686" s="22" t="str">
        <f>IF(OR(E5686="",E5686="!!!"),"",IF(NOT(ISNA(VLOOKUP(E5686,E$1:E5685,1,FALSE()))),"OLD",IF(AND(E5686&lt;&gt;"",E5686&lt;&gt;"!!!"),"NEW","")))</f>
        <v> </v>
      </c>
      <c r="G5686" s="23" t="str">
        <f>IF(OR(E5686="",E5686="!!!"),"",IF(OR(J5686=0,AND(J5686=1,K5686=1),AND(J5686=1,I5686="SBJ"),AND(J5686=1,I5686=0)),"?IN_FOCUS",IF(J5686&lt;=2,"?ACTIVATED",IF(J5686&lt;&gt;"","?FAMILIAR",IF(F5686="NEW",IF(ISNA(VLOOKUP(E5686,#REF!,1,FALSE())),"?TYPE_IDENTIFIABLE","?REFERENTIAL"),"_")))))</f>
        <v> </v>
      </c>
      <c r="H5686" s="24" t="str">
        <f>IF(J5686&lt;&gt;1,"",IF(I5686="SBJ","CB","?"))</f>
        <v> </v>
      </c>
      <c r="I5686" s="25" t="str">
        <f>IF(OR(E5686="",E5686="!!!",F5686="NEW"),"",INDEX(B5685:B$2,-1+SUMPRODUCT(MAX(ROW(E5685:E$2)*(E5686=E5685:E$2)))))</f>
        <v> </v>
      </c>
      <c r="J5686" s="25" t="str">
        <f>IF(OR(E5686="",E5686="!!!",F5686="NEW"),"",COUNTBLANK(OFFSET(A$1,,,SUMPRODUCT(MAX(ROW(E$2:E5686)*(E5686=E$2:E5686)))))-COUNTBLANK(OFFSET(A$1,,,SUMPRODUCT(MAX(ROW(E$1:E5685)*(E2=E$1:E5685))))))</f>
        <v> </v>
      </c>
      <c r="K5686" s="25" t="str">
        <f>IF(OR(E5686="",E5686="!!!",F5686="NEW"),"",INDEX(J$1:J5685,SUMPRODUCT(MAX(ROW(E$1:E5685)*(E5686=E$1:E5685)))))</f>
        <v> </v>
      </c>
      <c r="L5686" s="26"/>
    </row>
    <row r="5687" spans="1:12">
      <c r="A5687" s="20" t="s">
        <v>1056</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1007</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2238</v>
      </c>
      <c r="B5689" s="27" t="s">
        <v>930</v>
      </c>
      <c r="C5689" s="27" t="s">
        <v>1054</v>
      </c>
      <c r="D5689" s="27" t="s">
        <v>932</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1000</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2239</v>
      </c>
      <c r="B5691" s="27" t="s">
        <v>939</v>
      </c>
      <c r="C5691" s="27" t="s">
        <v>946</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1325</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row>
    <row r="5694" spans="1:12">
      <c r="A5694" s="20" t="s">
        <v>983</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2240</v>
      </c>
    </row>
    <row r="5696" spans="1:12">
      <c r="A5696" s="20" t="s">
        <v>965</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1261</v>
      </c>
      <c r="B5697" s="27" t="s">
        <v>930</v>
      </c>
      <c r="C5697" s="27" t="s">
        <v>1121</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929</v>
      </c>
      <c r="B5698" s="27" t="s">
        <v>1009</v>
      </c>
      <c r="C5698" s="27" t="s">
        <v>931</v>
      </c>
      <c r="D5698" s="27" t="s">
        <v>932</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1799</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1164</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995</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1228</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1239</v>
      </c>
      <c r="B5703" s="27" t="s">
        <v>949</v>
      </c>
      <c r="C5703" s="27" t="s">
        <v>946</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961</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958</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1007</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709</v>
      </c>
      <c r="B5707" s="27" t="s">
        <v>960</v>
      </c>
      <c r="C5707" s="27" t="s">
        <v>1054</v>
      </c>
      <c r="D5707" s="27" t="s">
        <v>932</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1069</v>
      </c>
      <c r="B5708" s="27" t="s">
        <v>1196</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2241</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1188</v>
      </c>
      <c r="B5710" s="27" t="s">
        <v>1256</v>
      </c>
      <c r="C5710" s="27" t="s">
        <v>940</v>
      </c>
      <c r="D5710" s="27" t="s">
        <v>932</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1467</v>
      </c>
      <c r="B5711" s="27" t="s">
        <v>1390</v>
      </c>
      <c r="C5711" s="27" t="s">
        <v>1087</v>
      </c>
      <c r="D5711" s="27" t="s">
        <v>932</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936</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944</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290</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936</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928</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929</v>
      </c>
      <c r="B5717" s="27" t="s">
        <v>1491</v>
      </c>
      <c r="C5717" s="27" t="s">
        <v>931</v>
      </c>
      <c r="D5717" s="27" t="s">
        <v>932</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961</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1223</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934</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1226</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1239</v>
      </c>
      <c r="B5722" s="27" t="s">
        <v>2242</v>
      </c>
      <c r="C5722" s="27" t="s">
        <v>973</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1413</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936</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929</v>
      </c>
      <c r="B5725" s="27" t="s">
        <v>960</v>
      </c>
      <c r="C5725" s="27" t="s">
        <v>931</v>
      </c>
      <c r="D5725" s="27" t="s">
        <v>932</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1717</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1115</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947</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42</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1336</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954</v>
      </c>
      <c r="B5731" s="27" t="s">
        <v>978</v>
      </c>
      <c r="C5731" s="27" t="s">
        <v>931</v>
      </c>
      <c r="D5731" s="27" t="s">
        <v>932</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1002</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936</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929</v>
      </c>
      <c r="B5734" s="27" t="s">
        <v>930</v>
      </c>
      <c r="C5734" s="27" t="s">
        <v>931</v>
      </c>
      <c r="D5734" s="27" t="s">
        <v>932</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1305</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1125</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980</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947</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1811</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1032</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954</v>
      </c>
      <c r="B5741" s="27" t="s">
        <v>939</v>
      </c>
      <c r="C5741" s="27" t="s">
        <v>931</v>
      </c>
      <c r="D5741" s="27" t="s">
        <v>932</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944</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929</v>
      </c>
      <c r="B5743" s="27" t="s">
        <v>968</v>
      </c>
      <c r="C5743" s="27" t="s">
        <v>931</v>
      </c>
      <c r="D5743" s="27" t="s">
        <v>932</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t="s">
        <v>1305</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1264</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980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947</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462</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1144</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995</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938</v>
      </c>
      <c r="B5751" s="27" t="s">
        <v>1025</v>
      </c>
      <c r="C5751" s="27" t="s">
        <v>940</v>
      </c>
      <c r="D5751" s="27" t="s">
        <v>932</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1349</v>
      </c>
      <c r="B5752" s="27" t="s">
        <v>949</v>
      </c>
      <c r="C5752" s="27" t="s">
        <v>1087</v>
      </c>
      <c r="D5752" s="27" t="s">
        <v>932</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936</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928</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2243</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936</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996</v>
      </c>
      <c r="B5757" s="27" t="s">
        <v>968</v>
      </c>
      <c r="C5757" s="27" t="s">
        <v>1061</v>
      </c>
      <c r="D5757" s="27" t="s">
        <v>932</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1201</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1007</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709</v>
      </c>
      <c r="B5760" s="27" t="s">
        <v>942</v>
      </c>
      <c r="C5760" s="27" t="s">
        <v>1054</v>
      </c>
      <c r="D5760" s="27" t="s">
        <v>932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1069</v>
      </c>
      <c r="B5761" s="27" t="s">
        <v>1009</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1201</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1185</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t="s">
        <v>2244</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1472</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1261</v>
      </c>
      <c r="B5766" s="27" t="s">
        <v>949</v>
      </c>
      <c r="C5766" s="27" t="s">
        <v>1121</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967</v>
      </c>
      <c r="B5767" s="27" t="s">
        <v>960</v>
      </c>
      <c r="C5767" s="27" t="s">
        <v>931</v>
      </c>
      <c r="D5767" s="27" t="s">
        <v>932</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45</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1042</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row>
    <row r="5771" spans="1:12">
      <c r="A5771" s="20" t="s">
        <v>2245</v>
      </c>
    </row>
    <row r="5772" spans="1:12">
      <c r="A5772" s="20" t="s">
        <v>2246</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1160</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1007</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1040</v>
      </c>
      <c r="B5775" s="27" t="s">
        <v>968</v>
      </c>
      <c r="C5775" s="27" t="s">
        <v>1054</v>
      </c>
      <c r="D5775" s="27" t="s">
        <v>932</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2247</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954</v>
      </c>
      <c r="B5777" s="27" t="s">
        <v>991</v>
      </c>
      <c r="C5777" s="27" t="s">
        <v>931</v>
      </c>
      <c r="D5777" s="27" t="s">
        <v>932</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1042</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row>
    <row r="5780" spans="1:12">
      <c r="A5780" s="20" t="s">
        <v>2248</v>
      </c>
    </row>
    <row r="5781" spans="1:12">
      <c r="A5781" s="20" t="s">
        <v>2249</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1175</v>
      </c>
      <c r="B5782" s="27" t="s">
        <v>968</v>
      </c>
      <c r="C5782" s="27" t="s">
        <v>931</v>
      </c>
      <c r="D5782" s="27" t="s">
        <v>932</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419</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1095</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954</v>
      </c>
      <c r="B5785" s="27" t="s">
        <v>939</v>
      </c>
      <c r="C5785" s="27" t="s">
        <v>931</v>
      </c>
      <c r="D5785" s="27" t="s">
        <v>932</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936</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954</v>
      </c>
      <c r="B5787" s="27" t="s">
        <v>930</v>
      </c>
      <c r="C5787" s="27" t="s">
        <v>931</v>
      </c>
      <c r="D5787" s="27" t="s">
        <v>932</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2250</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1042</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row>
    <row r="5791" spans="1:12">
      <c r="A5791" s="20" t="s">
        <v>2251</v>
      </c>
    </row>
    <row r="5792" spans="1:12">
      <c r="A5792" s="20" t="s">
        <v>965</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1007</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709</v>
      </c>
      <c r="B5794" s="27" t="s">
        <v>930</v>
      </c>
      <c r="C5794" s="27" t="s">
        <v>1054</v>
      </c>
      <c r="D5794" s="27" t="s">
        <v>932</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1069</v>
      </c>
      <c r="B5795" s="27" t="s">
        <v>1009</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286</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1460</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t="s">
        <v>1201</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1007</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1851</v>
      </c>
      <c r="B5800" s="27" t="s">
        <v>942</v>
      </c>
      <c r="C5800" s="27" t="s">
        <v>1054</v>
      </c>
      <c r="D5800" s="27" t="s">
        <v>932</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1069</v>
      </c>
      <c r="B5801" s="27" t="s">
        <v>968</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1201</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1046</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947</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2252</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1007</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1938</v>
      </c>
      <c r="B5807" s="27" t="s">
        <v>1183</v>
      </c>
      <c r="C5807" s="27" t="s">
        <v>1054</v>
      </c>
      <c r="D5807" s="27" t="s">
        <v>932</v>
      </c>
      <c r="E5807" s="21">
        <f>IF(D5807="?OLD","!!!","")</f>
        <v/>
      </c>
      <c r="F5807" s="22" t="str">
        <f>IF(OR(E5807="",E5807="!!!"),"",IF(NOT(ISNA(VLOOKUP(E5807,E$1:E5806,1,FALSE()))),"OLD",IF(AND(E5807&lt;&gt;"",E5807&lt;&gt;"!!!"),"NEW","")))</f>
        <v> </v>
      </c>
      <c r="G5807" s="23" t="str">
        <f>IF(OR(E5807="",E5807="!!!"),"",IF(OR(J5807=0,AND(J5807=1,K5807=1),AND(J5807=1,I5807="SBJ"),AND(J5807=1,I5807=0)),"?IN_FOCUS",IF(J5807&lt;=2,"?ACTIVATED",IF(J5807&lt;&gt;"","?FAMILIAR",IF(F5807="NEW",IF(ISNA(VLOOKUP(E5807,#REF!,1,FALSE())),"?TYPE_IDENTIFIABLE","?REFERENTIAL"),"_")))))</f>
        <v> </v>
      </c>
      <c r="H5807" s="24" t="str">
        <f>IF(J5807&lt;&gt;1,"",IF(I5807="SBJ","CB","?"))</f>
        <v> </v>
      </c>
      <c r="I5807" s="25" t="str">
        <f>IF(OR(E5807="",E5807="!!!",F5807="NEW"),"",INDEX(B5806:B$2,-1+SUMPRODUCT(MAX(ROW(E5806:E$2)*(E5807=E5806:E$2)))))</f>
        <v> </v>
      </c>
      <c r="J5807" s="25" t="str">
        <f>IF(OR(E5807="",E5807="!!!",F5807="NEW"),"",COUNTBLANK(OFFSET(A$1,,,SUMPRODUCT(MAX(ROW(E$2:E5807)*(E5807=E$2:E5807)))))-COUNTBLANK(OFFSET(A$1,,,SUMPRODUCT(MAX(ROW(E$1:E5806)*(E2=E$1:E5806))))))</f>
        <v> </v>
      </c>
      <c r="K5807" s="25" t="str">
        <f>IF(OR(E5807="",E5807="!!!",F5807="NEW"),"",INDEX(J$1:J5806,SUMPRODUCT(MAX(ROW(E$1:E5806)*(E5807=E$1:E5806)))))</f>
        <v> </v>
      </c>
      <c r="L5807" s="26"/>
    </row>
    <row r="5808" spans="1:12">
      <c r="A5808" s="20" t="s">
        <v>958</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967</v>
      </c>
      <c r="B5809" s="27" t="s">
        <v>960</v>
      </c>
      <c r="C5809" s="27" t="s">
        <v>931</v>
      </c>
      <c r="D5809" s="27" t="s">
        <v>932</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45</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1317</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2253</v>
      </c>
      <c r="B5812" s="27" t="s">
        <v>982</v>
      </c>
      <c r="C5812" s="27" t="s">
        <v>999</v>
      </c>
      <c r="D5812" s="27" t="s">
        <v>932</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1042</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row>
    <row r="5815" spans="1:12">
      <c r="A5815" s="20" t="s">
        <v>2254</v>
      </c>
    </row>
    <row r="5816" spans="1:12">
      <c r="A5816" s="20" t="s">
        <v>2231</v>
      </c>
      <c r="B5816" s="27" t="s">
        <v>930</v>
      </c>
      <c r="C5816" s="27" t="s">
        <v>1061</v>
      </c>
      <c r="D5816" s="27" t="s">
        <v>932</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1069</v>
      </c>
      <c r="B5817" s="27" t="s">
        <v>1009</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1230</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2252</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1188</v>
      </c>
      <c r="B5820" s="27" t="s">
        <v>1025</v>
      </c>
      <c r="C5820" s="27" t="s">
        <v>940</v>
      </c>
      <c r="D5820" s="27" t="s">
        <v>932</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1040</v>
      </c>
      <c r="B5821" s="27" t="s">
        <v>1183</v>
      </c>
      <c r="C5821" s="27" t="s">
        <v>1087</v>
      </c>
      <c r="D5821" s="27" t="s">
        <v>932</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1201</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1007</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1851</v>
      </c>
      <c r="B5824" s="27" t="s">
        <v>942</v>
      </c>
      <c r="C5824" s="27" t="s">
        <v>1054</v>
      </c>
      <c r="D5824" s="27" t="s">
        <v>932</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1069</v>
      </c>
      <c r="B5825" s="27" t="s">
        <v>968</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2255</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2239</v>
      </c>
      <c r="B5827" s="27" t="s">
        <v>991</v>
      </c>
      <c r="C5827" s="27" t="s">
        <v>946</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t="s">
        <v>1042</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row>
    <row r="5830" spans="1:12">
      <c r="A5830" s="20" t="s">
        <v>983</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2256</v>
      </c>
    </row>
    <row r="5832" spans="1:12">
      <c r="A5832" s="20" t="s">
        <v>1783</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1878</v>
      </c>
      <c r="B5833" s="27" t="s">
        <v>930</v>
      </c>
      <c r="C5833" s="27" t="s">
        <v>943</v>
      </c>
      <c r="D5833" s="27" t="s">
        <v>932</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1879</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1232</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947</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1064</v>
      </c>
      <c r="B5837" s="27" t="s">
        <v>942</v>
      </c>
      <c r="C5837" s="27" t="s">
        <v>931</v>
      </c>
      <c r="D5837" s="27" t="s">
        <v>932</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936</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928</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1221</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929</v>
      </c>
      <c r="B5841" s="27" t="s">
        <v>1009</v>
      </c>
      <c r="C5841" s="27" t="s">
        <v>931</v>
      </c>
      <c r="D5841" s="27" t="s">
        <v>932</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1065</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934</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286</v>
      </c>
      <c r="B5844" s="27" t="s">
        <v>1183</v>
      </c>
      <c r="C5844" s="27" t="s">
        <v>973</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16</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1228</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936</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929</v>
      </c>
      <c r="B5848" s="27" t="s">
        <v>968</v>
      </c>
      <c r="C5848" s="27" t="s">
        <v>931</v>
      </c>
      <c r="D5848" s="27" t="s">
        <v>932</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2257</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929</v>
      </c>
      <c r="B5850" s="27" t="s">
        <v>1009</v>
      </c>
      <c r="C5850" s="27" t="s">
        <v>931</v>
      </c>
      <c r="D5850" s="27" t="s">
        <v>932</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1138</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1114</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286</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954</v>
      </c>
      <c r="B5854" s="27" t="s">
        <v>1183</v>
      </c>
      <c r="C5854" s="27" t="s">
        <v>931</v>
      </c>
      <c r="D5854" s="27" t="s">
        <v>932</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1317</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1206</v>
      </c>
      <c r="B5856" s="27" t="s">
        <v>949</v>
      </c>
      <c r="C5856" s="27" t="s">
        <v>999</v>
      </c>
      <c r="D5856" s="27" t="s">
        <v>932</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t="s">
        <v>936</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1012</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937</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934</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1017</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1206</v>
      </c>
      <c r="B5862" s="27" t="s">
        <v>1025</v>
      </c>
      <c r="C5862" s="27" t="s">
        <v>973</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936</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929</v>
      </c>
      <c r="B5864" s="27" t="s">
        <v>955</v>
      </c>
      <c r="C5864" s="27" t="s">
        <v>931</v>
      </c>
      <c r="D5864" s="27" t="s">
        <v>932</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1305</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1411</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1063</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1261</v>
      </c>
      <c r="B5868" s="27" t="s">
        <v>1025</v>
      </c>
      <c r="C5868" s="27" t="s">
        <v>1121</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929</v>
      </c>
      <c r="B5869" s="27" t="s">
        <v>1200</v>
      </c>
      <c r="C5869" s="27" t="s">
        <v>931</v>
      </c>
      <c r="D5869" s="27" t="s">
        <v>932</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1590</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1486</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1042</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row>
    <row r="5874" spans="1:12">
      <c r="A5874" s="20" t="s">
        <v>2258</v>
      </c>
    </row>
    <row r="5875" spans="1:12">
      <c r="A5875" s="20" t="s">
        <v>929</v>
      </c>
      <c r="B5875" s="27" t="s">
        <v>930</v>
      </c>
      <c r="C5875" s="27" t="s">
        <v>931</v>
      </c>
      <c r="D5875" s="27" t="s">
        <v>932</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1305</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2259</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947</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45</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1074</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937</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1007</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2260</v>
      </c>
      <c r="E5883" s="21">
        <f>IF(D5883="?OLD","!!!","")</f>
        <v/>
      </c>
      <c r="F5883" s="22" t="str">
        <f>IF(OR(E5883="",E5883="!!!"),"",IF(NOT(ISNA(VLOOKUP(E5883,E$1:E5882,1,FALSE()))),"OLD",IF(AND(E5883&lt;&gt;"",E5883&lt;&gt;"!!!"),"NEW","")))</f>
        <v> </v>
      </c>
      <c r="G5883" s="23" t="str">
        <f>IF(OR(E5883="",E5883="!!!"),"",IF(OR(J5883=0,AND(J5883=1,K5883=1),AND(J5883=1,I5883="SBJ"),AND(J5883=1,I5883=0)),"?IN_FOCUS",IF(J5883&lt;=2,"?ACTIVATED",IF(J5883&lt;&gt;"","?FAMILIAR",IF(F5883="NEW",IF(ISNA(VLOOKUP(E5883,#REF!,1,FALSE())),"?TYPE_IDENTIFIABLE","?REFERENTIAL"),"_")))))</f>
        <v> </v>
      </c>
      <c r="H5883" s="24" t="str">
        <f>IF(J5883&lt;&gt;1,"",IF(I5883="SBJ","CB","?"))</f>
        <v> </v>
      </c>
      <c r="I5883" s="25" t="str">
        <f>IF(OR(E5883="",E5883="!!!",F5883="NEW"),"",INDEX(B5882:B$2,-1+SUMPRODUCT(MAX(ROW(E5882:E$2)*(E5883=E5882:E$2)))))</f>
        <v> </v>
      </c>
      <c r="J5883" s="25" t="str">
        <f>IF(OR(E5883="",E5883="!!!",F5883="NEW"),"",COUNTBLANK(OFFSET(A$1,,,SUMPRODUCT(MAX(ROW(E$2:E5883)*(E5883=E$2:E5883)))))-COUNTBLANK(OFFSET(A$1,,,SUMPRODUCT(MAX(ROW(E$1:E5882)*(E2=E$1:E5882))))))</f>
        <v> </v>
      </c>
      <c r="K5883" s="25" t="str">
        <f>IF(OR(E5883="",E5883="!!!",F5883="NEW"),"",INDEX(J$1:J5882,SUMPRODUCT(MAX(ROW(E$1:E5882)*(E5883=E$1:E5882)))))</f>
        <v> </v>
      </c>
      <c r="L5883" s="26"/>
    </row>
    <row r="5884" spans="1:12">
      <c r="A5884" s="20" t="s">
        <v>170</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1681</v>
      </c>
      <c r="B5885" s="27" t="s">
        <v>942</v>
      </c>
      <c r="C5885" s="27" t="s">
        <v>946</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1042</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row>
    <row r="5888" spans="1:12">
      <c r="A5888" s="20" t="s">
        <v>983</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2261</v>
      </c>
    </row>
    <row r="5890" spans="1:12">
      <c r="A5890" s="20" t="s">
        <v>1215</v>
      </c>
      <c r="B5890" s="27" t="s">
        <v>930</v>
      </c>
      <c r="C5890" s="27" t="s">
        <v>931</v>
      </c>
      <c r="D5890" s="27" t="s">
        <v>932</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2262</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1064</v>
      </c>
      <c r="B5892" s="27" t="s">
        <v>988</v>
      </c>
      <c r="C5892" s="27" t="s">
        <v>931</v>
      </c>
      <c r="D5892" s="27" t="s">
        <v>932</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1209</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1136</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1336</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903</v>
      </c>
      <c r="B5896" s="27" t="s">
        <v>942</v>
      </c>
      <c r="C5896" s="27" t="s">
        <v>946</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936</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944</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938</v>
      </c>
      <c r="B5899" s="27" t="s">
        <v>949</v>
      </c>
      <c r="C5899" s="27" t="s">
        <v>940</v>
      </c>
      <c r="D5899" s="27" t="s">
        <v>932</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1089</v>
      </c>
      <c r="B5900" s="27" t="s">
        <v>968</v>
      </c>
      <c r="C5900" s="27" t="s">
        <v>1087</v>
      </c>
      <c r="D5900" s="27" t="s">
        <v>932</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995</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938</v>
      </c>
      <c r="B5902" s="27" t="s">
        <v>1025</v>
      </c>
      <c r="C5902" s="27" t="s">
        <v>940</v>
      </c>
      <c r="D5902" s="27" t="s">
        <v>932</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1560</v>
      </c>
      <c r="B5903" s="27" t="s">
        <v>949</v>
      </c>
      <c r="C5903" s="27" t="s">
        <v>1087</v>
      </c>
      <c r="D5903" s="27" t="s">
        <v>932</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944</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938</v>
      </c>
      <c r="B5905" s="27" t="s">
        <v>949</v>
      </c>
      <c r="C5905" s="27" t="s">
        <v>940</v>
      </c>
      <c r="D5905" s="27" t="s">
        <v>932</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1958</v>
      </c>
      <c r="B5906" s="27" t="s">
        <v>968</v>
      </c>
      <c r="C5906" s="27" t="s">
        <v>1087</v>
      </c>
      <c r="D5906" s="27" t="s">
        <v>932</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1599</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1074</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1209</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2263</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947</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1064</v>
      </c>
      <c r="B5912" s="27" t="s">
        <v>939</v>
      </c>
      <c r="C5912" s="27" t="s">
        <v>931</v>
      </c>
      <c r="D5912" s="27" t="s">
        <v>932</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936</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944</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1418</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36</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1066</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t="s">
        <v>1042</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928</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row>
    <row r="5921" spans="1:12">
      <c r="A5921" s="20" t="s">
        <v>983</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2264</v>
      </c>
    </row>
    <row r="5923" spans="1:12">
      <c r="A5923" s="20" t="s">
        <v>965</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1570</v>
      </c>
      <c r="B5924" s="27" t="s">
        <v>930</v>
      </c>
      <c r="C5924" s="27" t="s">
        <v>943</v>
      </c>
      <c r="D5924" s="27" t="s">
        <v>932</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1571</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1232</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936</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928</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929</v>
      </c>
      <c r="B5929" s="27" t="s">
        <v>968</v>
      </c>
      <c r="C5929" s="27" t="s">
        <v>931</v>
      </c>
      <c r="D5929" s="27" t="s">
        <v>932</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2023</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947</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2265</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937</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1013</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2266</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2267</v>
      </c>
      <c r="B5936" s="27" t="s">
        <v>949</v>
      </c>
      <c r="C5936" s="27" t="s">
        <v>973</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936</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944</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929</v>
      </c>
      <c r="B5939" s="27" t="s">
        <v>1009</v>
      </c>
      <c r="C5939" s="27" t="s">
        <v>931</v>
      </c>
      <c r="D5939" s="27" t="s">
        <v>932</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1138</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1264</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384</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944</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384</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944</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384</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936</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944</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1007</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709</v>
      </c>
      <c r="B5950" s="27" t="s">
        <v>968</v>
      </c>
      <c r="C5950" s="27" t="s">
        <v>1054</v>
      </c>
      <c r="D5950" s="27" t="s">
        <v>932</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929</v>
      </c>
      <c r="B5951" s="27" t="s">
        <v>955</v>
      </c>
      <c r="C5951" s="27" t="s">
        <v>931</v>
      </c>
      <c r="D5951" s="27" t="s">
        <v>932</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961</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1730</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995</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970</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1114</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1399</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2268</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t="s">
        <v>936</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944</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929</v>
      </c>
      <c r="B5961" s="27" t="s">
        <v>968</v>
      </c>
      <c r="C5961" s="27" t="s">
        <v>931</v>
      </c>
      <c r="D5961" s="27" t="s">
        <v>932</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977</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936</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1561</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1647</v>
      </c>
      <c r="B5965" s="27" t="s">
        <v>1009</v>
      </c>
      <c r="C5965" s="27" t="s">
        <v>1061</v>
      </c>
      <c r="D5965" s="27" t="s">
        <v>932</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1176</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1125</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1399</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2269</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1242</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2270</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1000</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987</v>
      </c>
      <c r="B5973" s="27" t="s">
        <v>949</v>
      </c>
      <c r="C5973" s="27" t="s">
        <v>931</v>
      </c>
      <c r="D5973" s="27" t="s">
        <v>932</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1042</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1561</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928</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row>
    <row r="5978" spans="1:12">
      <c r="A5978" s="20" t="s">
        <v>983</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2271</v>
      </c>
    </row>
    <row r="5980" spans="1:12">
      <c r="A5980" s="20" t="s">
        <v>928</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965</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985</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929</v>
      </c>
      <c r="B5983" s="27" t="s">
        <v>930</v>
      </c>
      <c r="C5983" s="27" t="s">
        <v>931</v>
      </c>
      <c r="D5983" s="27" t="s">
        <v>932</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2272</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936</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929</v>
      </c>
      <c r="B5986" s="27" t="s">
        <v>968</v>
      </c>
      <c r="C5986" s="27" t="s">
        <v>931</v>
      </c>
      <c r="D5986" s="27" t="s">
        <v>932</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2272</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t="s">
        <v>958</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967</v>
      </c>
      <c r="B5989" s="27" t="s">
        <v>1009</v>
      </c>
      <c r="C5989" s="27" t="s">
        <v>931</v>
      </c>
      <c r="D5989" s="27" t="s">
        <v>932</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t="s">
        <v>970</v>
      </c>
      <c r="E5990" s="21">
        <f>IF(D5990="?OLD","!!!","")</f>
        <v/>
      </c>
      <c r="F5990" s="22" t="str">
        <f>IF(OR(E5990="",E5990="!!!"),"",IF(NOT(ISNA(VLOOKUP(E5990,E$1:E5989,1,FALSE()))),"OLD",IF(AND(E5990&lt;&gt;"",E5990&lt;&gt;"!!!"),"NEW","")))</f>
        <v> </v>
      </c>
      <c r="G5990" s="23" t="str">
        <f>IF(OR(E5990="",E5990="!!!"),"",IF(OR(J5990=0,AND(J5990=1,K5990=1),AND(J5990=1,I5990="SBJ"),AND(J5990=1,I5990=0)),"?IN_FOCUS",IF(J5990&lt;=2,"?ACTIVATED",IF(J5990&lt;&gt;"","?FAMILIAR",IF(F5990="NEW",IF(ISNA(VLOOKUP(E5990,#REF!,1,FALSE())),"?TYPE_IDENTIFIABLE","?REFERENTIAL"),"_")))))</f>
        <v> </v>
      </c>
      <c r="H5990" s="24" t="str">
        <f>IF(J5990&lt;&gt;1,"",IF(I5990="SBJ","CB","?"))</f>
        <v> </v>
      </c>
      <c r="I5990" s="25" t="str">
        <f>IF(OR(E5990="",E5990="!!!",F5990="NEW"),"",INDEX(B5989:B$2,-1+SUMPRODUCT(MAX(ROW(E5989:E$2)*(E5990=E5989:E$2)))))</f>
        <v> </v>
      </c>
      <c r="J5990" s="25" t="str">
        <f>IF(OR(E5990="",E5990="!!!",F5990="NEW"),"",COUNTBLANK(OFFSET(A$1,,,SUMPRODUCT(MAX(ROW(E$2:E5990)*(E5990=E$2:E5990)))))-COUNTBLANK(OFFSET(A$1,,,SUMPRODUCT(MAX(ROW(E$1:E5989)*(E2=E$1:E5989))))))</f>
        <v> </v>
      </c>
      <c r="K5990" s="25" t="str">
        <f>IF(OR(E5990="",E5990="!!!",F5990="NEW"),"",INDEX(J$1:J5989,SUMPRODUCT(MAX(ROW(E$1:E5989)*(E5990=E$1:E5989)))))</f>
        <v> </v>
      </c>
      <c r="L5990" s="26"/>
    </row>
    <row r="5991" spans="1:12">
      <c r="A5991" s="20" t="s">
        <v>1114</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980</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947</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286</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1329</v>
      </c>
      <c r="B5995" s="27" t="s">
        <v>1031</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1237</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451</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996</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1344</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1703</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1775</v>
      </c>
      <c r="B6001" s="27" t="s">
        <v>982</v>
      </c>
      <c r="C6001" s="27" t="s">
        <v>999</v>
      </c>
      <c r="D6001" s="27" t="s">
        <v>932</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1000</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2273</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384</v>
      </c>
      <c r="B6004" s="27" t="s">
        <v>978</v>
      </c>
      <c r="C6004" s="27" t="s">
        <v>946</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1042</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row>
    <row r="6007" spans="1:12">
      <c r="A6007" s="20" t="s">
        <v>2274</v>
      </c>
    </row>
    <row r="6008" spans="1:12">
      <c r="A6008" s="20" t="s">
        <v>1215</v>
      </c>
      <c r="B6008" s="27" t="s">
        <v>930</v>
      </c>
      <c r="C6008" s="27" t="s">
        <v>931</v>
      </c>
      <c r="D6008" s="27" t="s">
        <v>932</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961</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2275</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980</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947</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36</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1013</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2276</v>
      </c>
      <c r="B6015" s="27" t="s">
        <v>942</v>
      </c>
      <c r="C6015" s="27" t="s">
        <v>973</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1858</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929</v>
      </c>
      <c r="B6017" s="27" t="s">
        <v>1009</v>
      </c>
      <c r="C6017" s="27" t="s">
        <v>931</v>
      </c>
      <c r="D6017" s="27" t="s">
        <v>932</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1113</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1114</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45</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2266</v>
      </c>
      <c r="B6021" s="27" t="s">
        <v>1183</v>
      </c>
      <c r="C6021" s="27" t="s">
        <v>946</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944</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929</v>
      </c>
      <c r="B6023" s="27" t="s">
        <v>1009</v>
      </c>
      <c r="C6023" s="27" t="s">
        <v>931</v>
      </c>
      <c r="D6023" s="27" t="s">
        <v>932</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961</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1114</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2277</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936</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1012</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1070</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2252</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1007</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1938</v>
      </c>
      <c r="B6032" s="27" t="s">
        <v>991</v>
      </c>
      <c r="C6032" s="27" t="s">
        <v>1054</v>
      </c>
      <c r="D6032" s="27" t="s">
        <v>932</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958</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967</v>
      </c>
      <c r="B6034" s="27" t="s">
        <v>955</v>
      </c>
      <c r="C6034" s="27" t="s">
        <v>931</v>
      </c>
      <c r="D6034" s="27" t="s">
        <v>932</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1113</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944</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967</v>
      </c>
      <c r="B6037" s="27" t="s">
        <v>960</v>
      </c>
      <c r="C6037" s="27" t="s">
        <v>931</v>
      </c>
      <c r="D6037" s="27" t="s">
        <v>932</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970</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1042</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row>
    <row r="6041" spans="1:12">
      <c r="A6041" s="20" t="s">
        <v>2278</v>
      </c>
    </row>
    <row r="6042" spans="1:12">
      <c r="A6042" s="20" t="s">
        <v>2279</v>
      </c>
      <c r="B6042" s="27" t="s">
        <v>939</v>
      </c>
      <c r="C6042" s="27" t="s">
        <v>940</v>
      </c>
      <c r="D6042" s="27" t="s">
        <v>932</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1607</v>
      </c>
      <c r="B6043" s="27" t="s">
        <v>930</v>
      </c>
      <c r="C6043" s="27" t="s">
        <v>1087</v>
      </c>
      <c r="D6043" s="27" t="s">
        <v>932</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t="s">
        <v>1201</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t="s">
        <v>1391</v>
      </c>
      <c r="B6045" s="27" t="s">
        <v>942</v>
      </c>
      <c r="C6045" s="27" t="s">
        <v>940</v>
      </c>
      <c r="D6045" s="27" t="s">
        <v>932</v>
      </c>
      <c r="E6045" s="21">
        <f>IF(D6045="?OLD","!!!","")</f>
        <v/>
      </c>
      <c r="F6045" s="22" t="str">
        <f>IF(OR(E6045="",E6045="!!!"),"",IF(NOT(ISNA(VLOOKUP(E6045,E$1:E6044,1,FALSE()))),"OLD",IF(AND(E6045&lt;&gt;"",E6045&lt;&gt;"!!!"),"NEW","")))</f>
        <v> </v>
      </c>
      <c r="G6045" s="23" t="str">
        <f>IF(OR(E6045="",E6045="!!!"),"",IF(OR(J6045=0,AND(J6045=1,K6045=1),AND(J6045=1,I6045="SBJ"),AND(J6045=1,I6045=0)),"?IN_FOCUS",IF(J6045&lt;=2,"?ACTIVATED",IF(J6045&lt;&gt;"","?FAMILIAR",IF(F6045="NEW",IF(ISNA(VLOOKUP(E6045,#REF!,1,FALSE())),"?TYPE_IDENTIFIABLE","?REFERENTIAL"),"_")))))</f>
        <v> </v>
      </c>
      <c r="H6045" s="24" t="str">
        <f>IF(J6045&lt;&gt;1,"",IF(I6045="SBJ","CB","?"))</f>
        <v> </v>
      </c>
      <c r="I6045" s="25" t="str">
        <f>IF(OR(E6045="",E6045="!!!",F6045="NEW"),"",INDEX(B6044:B$2,-1+SUMPRODUCT(MAX(ROW(E6044:E$2)*(E6045=E6044:E$2)))))</f>
        <v> </v>
      </c>
      <c r="J6045" s="25" t="str">
        <f>IF(OR(E6045="",E6045="!!!",F6045="NEW"),"",COUNTBLANK(OFFSET(A$1,,,SUMPRODUCT(MAX(ROW(E$2:E6045)*(E6045=E$2:E6045)))))-COUNTBLANK(OFFSET(A$1,,,SUMPRODUCT(MAX(ROW(E$1:E6044)*(E2=E$1:E6044))))))</f>
        <v> </v>
      </c>
      <c r="K6045" s="25" t="str">
        <f>IF(OR(E6045="",E6045="!!!",F6045="NEW"),"",INDEX(J$1:J6044,SUMPRODUCT(MAX(ROW(E$1:E6044)*(E6045=E$1:E6044)))))</f>
        <v> </v>
      </c>
      <c r="L6045" s="26"/>
    </row>
    <row r="6046" spans="1:12">
      <c r="A6046" s="20" t="s">
        <v>2280</v>
      </c>
      <c r="E6046" s="21">
        <f>IF(D6046="?OLD","!!!","")</f>
        <v/>
      </c>
      <c r="F6046" s="22" t="str">
        <f>IF(OR(E6046="",E6046="!!!"),"",IF(NOT(ISNA(VLOOKUP(E6046,E$1:E6045,1,FALSE()))),"OLD",IF(AND(E6046&lt;&gt;"",E6046&lt;&gt;"!!!"),"NEW","")))</f>
        <v> </v>
      </c>
      <c r="G6046" s="23" t="str">
        <f>IF(OR(E6046="",E6046="!!!"),"",IF(OR(J6046=0,AND(J6046=1,K6046=1),AND(J6046=1,I6046="SBJ"),AND(J6046=1,I6046=0)),"?IN_FOCUS",IF(J6046&lt;=2,"?ACTIVATED",IF(J6046&lt;&gt;"","?FAMILIAR",IF(F6046="NEW",IF(ISNA(VLOOKUP(E6046,#REF!,1,FALSE())),"?TYPE_IDENTIFIABLE","?REFERENTIAL"),"_")))))</f>
        <v> </v>
      </c>
      <c r="H6046" s="24" t="str">
        <f>IF(J6046&lt;&gt;1,"",IF(I6046="SBJ","CB","?"))</f>
        <v> </v>
      </c>
      <c r="I6046" s="25" t="str">
        <f>IF(OR(E6046="",E6046="!!!",F6046="NEW"),"",INDEX(B6045:B$2,-1+SUMPRODUCT(MAX(ROW(E6045:E$2)*(E6046=E6045:E$2)))))</f>
        <v> </v>
      </c>
      <c r="J6046" s="25" t="str">
        <f>IF(OR(E6046="",E6046="!!!",F6046="NEW"),"",COUNTBLANK(OFFSET(A$1,,,SUMPRODUCT(MAX(ROW(E$2:E6046)*(E6046=E$2:E6046)))))-COUNTBLANK(OFFSET(A$1,,,SUMPRODUCT(MAX(ROW(E$1:E6045)*(E2=E$1:E6045))))))</f>
        <v> </v>
      </c>
      <c r="K6046" s="25" t="str">
        <f>IF(OR(E6046="",E6046="!!!",F6046="NEW"),"",INDEX(J$1:J6045,SUMPRODUCT(MAX(ROW(E$1:E6045)*(E6046=E$1:E6045)))))</f>
        <v> </v>
      </c>
      <c r="L6046" s="26"/>
    </row>
    <row r="6047" spans="1:12">
      <c r="A6047" s="20" t="s">
        <v>2281</v>
      </c>
      <c r="B6047" s="27" t="s">
        <v>942</v>
      </c>
      <c r="C6047" s="27" t="s">
        <v>1087</v>
      </c>
      <c r="D6047" s="27" t="s">
        <v>932</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1042</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row>
    <row r="6050" spans="1:12">
      <c r="A6050" s="20" t="s">
        <v>983</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2282</v>
      </c>
    </row>
    <row r="6052" spans="1:12">
      <c r="A6052" s="20" t="s">
        <v>1215</v>
      </c>
      <c r="B6052" s="27" t="s">
        <v>930</v>
      </c>
      <c r="C6052" s="27" t="s">
        <v>931</v>
      </c>
      <c r="D6052" s="27" t="s">
        <v>932</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1989</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1160</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929</v>
      </c>
      <c r="B6055" s="27" t="s">
        <v>968</v>
      </c>
      <c r="C6055" s="27" t="s">
        <v>931</v>
      </c>
      <c r="D6055" s="27" t="s">
        <v>932</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1590</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2283</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947</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1713</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969</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1007</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1117</v>
      </c>
      <c r="B6062" s="27" t="s">
        <v>1183</v>
      </c>
      <c r="C6062" s="27" t="s">
        <v>1054</v>
      </c>
      <c r="D6062" s="27" t="s">
        <v>932</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929</v>
      </c>
      <c r="B6063" s="27" t="s">
        <v>960</v>
      </c>
      <c r="C6063" s="27" t="s">
        <v>931</v>
      </c>
      <c r="D6063" s="27" t="s">
        <v>932</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134</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1042</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928</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row>
    <row r="6068" spans="1:12">
      <c r="A6068" s="20" t="s">
        <v>2284</v>
      </c>
    </row>
    <row r="6069" spans="1:12">
      <c r="A6069" s="20" t="s">
        <v>2285</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272</v>
      </c>
      <c r="B6070" s="27" t="s">
        <v>949</v>
      </c>
      <c r="C6070" s="27" t="s">
        <v>940</v>
      </c>
      <c r="D6070" s="27" t="s">
        <v>932</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1176</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1040</v>
      </c>
      <c r="B6072" s="27" t="s">
        <v>991</v>
      </c>
      <c r="C6072" s="27" t="s">
        <v>1087</v>
      </c>
      <c r="D6072" s="27" t="s">
        <v>932</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1252</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1125</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878</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934</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t="s">
        <v>2286</v>
      </c>
      <c r="B6077" s="27" t="s">
        <v>988</v>
      </c>
      <c r="C6077" s="27" t="s">
        <v>973</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t="s">
        <v>936</v>
      </c>
      <c r="E6078" s="21">
        <f>IF(D6078="?OLD","!!!","")</f>
        <v/>
      </c>
      <c r="F6078" s="22" t="str">
        <f>IF(OR(E6078="",E6078="!!!"),"",IF(NOT(ISNA(VLOOKUP(E6078,E$1:E6077,1,FALSE()))),"OLD",IF(AND(E6078&lt;&gt;"",E6078&lt;&gt;"!!!"),"NEW","")))</f>
        <v> </v>
      </c>
      <c r="G6078" s="23" t="str">
        <f>IF(OR(E6078="",E6078="!!!"),"",IF(OR(J6078=0,AND(J6078=1,K6078=1),AND(J6078=1,I6078="SBJ"),AND(J6078=1,I6078=0)),"?IN_FOCUS",IF(J6078&lt;=2,"?ACTIVATED",IF(J6078&lt;&gt;"","?FAMILIAR",IF(F6078="NEW",IF(ISNA(VLOOKUP(E6078,#REF!,1,FALSE())),"?TYPE_IDENTIFIABLE","?REFERENTIAL"),"_")))))</f>
        <v> </v>
      </c>
      <c r="H6078" s="24" t="str">
        <f>IF(J6078&lt;&gt;1,"",IF(I6078="SBJ","CB","?"))</f>
        <v> </v>
      </c>
      <c r="I6078" s="25" t="str">
        <f>IF(OR(E6078="",E6078="!!!",F6078="NEW"),"",INDEX(B6077:B$2,-1+SUMPRODUCT(MAX(ROW(E6077:E$2)*(E6078=E6077:E$2)))))</f>
        <v> </v>
      </c>
      <c r="J6078" s="25" t="str">
        <f>IF(OR(E6078="",E6078="!!!",F6078="NEW"),"",COUNTBLANK(OFFSET(A$1,,,SUMPRODUCT(MAX(ROW(E$2:E6078)*(E6078=E$2:E6078)))))-COUNTBLANK(OFFSET(A$1,,,SUMPRODUCT(MAX(ROW(E$1:E6077)*(E2=E$1:E6077))))))</f>
        <v> </v>
      </c>
      <c r="K6078" s="25" t="str">
        <f>IF(OR(E6078="",E6078="!!!",F6078="NEW"),"",INDEX(J$1:J6077,SUMPRODUCT(MAX(ROW(E$1:E6077)*(E6078=E$1:E6077)))))</f>
        <v> </v>
      </c>
      <c r="L6078" s="26"/>
    </row>
    <row r="6079" spans="1:12">
      <c r="A6079" s="20" t="s">
        <v>1012</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954</v>
      </c>
      <c r="B6080" s="27" t="s">
        <v>968</v>
      </c>
      <c r="C6080" s="27" t="s">
        <v>931</v>
      </c>
      <c r="D6080" s="27" t="s">
        <v>932</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1778</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451</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1007</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2287</v>
      </c>
      <c r="B6084" s="27" t="s">
        <v>991</v>
      </c>
      <c r="C6084" s="27" t="s">
        <v>1054</v>
      </c>
      <c r="D6084" s="27" t="s">
        <v>932</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1000</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2286</v>
      </c>
      <c r="B6086" s="27" t="s">
        <v>949</v>
      </c>
      <c r="C6086" s="27" t="s">
        <v>946</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944</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1260</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2286</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1464</v>
      </c>
      <c r="B6090" s="27" t="s">
        <v>1183</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1602</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947</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2252</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1042</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row>
    <row r="6096" spans="1:12">
      <c r="A6096" s="20" t="s">
        <v>2288</v>
      </c>
    </row>
    <row r="6097" spans="1:12">
      <c r="A6097" s="20" t="s">
        <v>1123</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1319</v>
      </c>
      <c r="B6098" s="27" t="s">
        <v>930</v>
      </c>
      <c r="C6098" s="27" t="s">
        <v>1054</v>
      </c>
      <c r="D6098" s="27" t="s">
        <v>932</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t="s">
        <v>1056</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1125</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1209</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1136</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1000</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2289</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1477</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2290</v>
      </c>
      <c r="B6106" s="27" t="s">
        <v>991</v>
      </c>
      <c r="C6106" s="27" t="s">
        <v>946</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944</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2291</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1627</v>
      </c>
      <c r="B6109" s="27" t="s">
        <v>1025</v>
      </c>
      <c r="C6109" s="27" t="s">
        <v>940</v>
      </c>
      <c r="D6109" s="27" t="s">
        <v>932</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1040</v>
      </c>
      <c r="B6110" s="27" t="s">
        <v>1183</v>
      </c>
      <c r="C6110" s="27" t="s">
        <v>1087</v>
      </c>
      <c r="D6110" s="27" t="s">
        <v>932</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1599</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1074</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1399</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2292</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1042</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row>
    <row r="6117" spans="1:12">
      <c r="A6117" s="20" t="s">
        <v>983</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2293</v>
      </c>
    </row>
    <row r="6119" spans="1:12">
      <c r="A6119" s="20" t="s">
        <v>1215</v>
      </c>
      <c r="B6119" s="27" t="s">
        <v>930</v>
      </c>
      <c r="C6119" s="27" t="s">
        <v>931</v>
      </c>
      <c r="D6119" s="27" t="s">
        <v>932</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1176</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1000</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2294</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958</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2290</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944</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t="s">
        <v>1212</v>
      </c>
      <c r="E6126" s="21">
        <f>IF(D6126="?OLD","!!!","")</f>
        <v/>
      </c>
      <c r="F6126" s="22" t="str">
        <f>IF(OR(E6126="",E6126="!!!"),"",IF(NOT(ISNA(VLOOKUP(E6126,E$1:E6125,1,FALSE()))),"OLD",IF(AND(E6126&lt;&gt;"",E6126&lt;&gt;"!!!"),"NEW","")))</f>
        <v> </v>
      </c>
      <c r="G6126" s="23" t="str">
        <f>IF(OR(E6126="",E6126="!!!"),"",IF(OR(J6126=0,AND(J6126=1,K6126=1),AND(J6126=1,I6126="SBJ"),AND(J6126=1,I6126=0)),"?IN_FOCUS",IF(J6126&lt;=2,"?ACTIVATED",IF(J6126&lt;&gt;"","?FAMILIAR",IF(F6126="NEW",IF(ISNA(VLOOKUP(E6126,#REF!,1,FALSE())),"?TYPE_IDENTIFIABLE","?REFERENTIAL"),"_")))))</f>
        <v> </v>
      </c>
      <c r="H6126" s="24" t="str">
        <f>IF(J6126&lt;&gt;1,"",IF(I6126="SBJ","CB","?"))</f>
        <v> </v>
      </c>
      <c r="I6126" s="25" t="str">
        <f>IF(OR(E6126="",E6126="!!!",F6126="NEW"),"",INDEX(B6125:B$2,-1+SUMPRODUCT(MAX(ROW(E6125:E$2)*(E6126=E6125:E$2)))))</f>
        <v> </v>
      </c>
      <c r="J6126" s="25" t="str">
        <f>IF(OR(E6126="",E6126="!!!",F6126="NEW"),"",COUNTBLANK(OFFSET(A$1,,,SUMPRODUCT(MAX(ROW(E$2:E6126)*(E6126=E$2:E6126)))))-COUNTBLANK(OFFSET(A$1,,,SUMPRODUCT(MAX(ROW(E$1:E6125)*(E2=E$1:E6125))))))</f>
        <v> </v>
      </c>
      <c r="K6126" s="25" t="str">
        <f>IF(OR(E6126="",E6126="!!!",F6126="NEW"),"",INDEX(J$1:J6125,SUMPRODUCT(MAX(ROW(E$1:E6125)*(E6126=E$1:E6125)))))</f>
        <v> </v>
      </c>
      <c r="L6126" s="26"/>
    </row>
    <row r="6127" spans="1:12">
      <c r="A6127" s="20" t="s">
        <v>936</v>
      </c>
      <c r="E6127" s="21">
        <f>IF(D6127="?OLD","!!!","")</f>
        <v/>
      </c>
      <c r="F6127" s="22" t="str">
        <f>IF(OR(E6127="",E6127="!!!"),"",IF(NOT(ISNA(VLOOKUP(E6127,E$1:E6126,1,FALSE()))),"OLD",IF(AND(E6127&lt;&gt;"",E6127&lt;&gt;"!!!"),"NEW","")))</f>
        <v> </v>
      </c>
      <c r="G6127" s="23" t="str">
        <f>IF(OR(E6127="",E6127="!!!"),"",IF(OR(J6127=0,AND(J6127=1,K6127=1),AND(J6127=1,I6127="SBJ"),AND(J6127=1,I6127=0)),"?IN_FOCUS",IF(J6127&lt;=2,"?ACTIVATED",IF(J6127&lt;&gt;"","?FAMILIAR",IF(F6127="NEW",IF(ISNA(VLOOKUP(E6127,#REF!,1,FALSE())),"?TYPE_IDENTIFIABLE","?REFERENTIAL"),"_")))))</f>
        <v> </v>
      </c>
      <c r="H6127" s="24" t="str">
        <f>IF(J6127&lt;&gt;1,"",IF(I6127="SBJ","CB","?"))</f>
        <v> </v>
      </c>
      <c r="I6127" s="25" t="str">
        <f>IF(OR(E6127="",E6127="!!!",F6127="NEW"),"",INDEX(B6126:B$2,-1+SUMPRODUCT(MAX(ROW(E6126:E$2)*(E6127=E6126:E$2)))))</f>
        <v> </v>
      </c>
      <c r="J6127" s="25" t="str">
        <f>IF(OR(E6127="",E6127="!!!",F6127="NEW"),"",COUNTBLANK(OFFSET(A$1,,,SUMPRODUCT(MAX(ROW(E$2:E6127)*(E6127=E$2:E6127)))))-COUNTBLANK(OFFSET(A$1,,,SUMPRODUCT(MAX(ROW(E$1:E6126)*(E2=E$1:E6126))))))</f>
        <v> </v>
      </c>
      <c r="K6127" s="25" t="str">
        <f>IF(OR(E6127="",E6127="!!!",F6127="NEW"),"",INDEX(J$1:J6126,SUMPRODUCT(MAX(ROW(E$1:E6126)*(E6127=E$1:E6126)))))</f>
        <v> </v>
      </c>
      <c r="L6127" s="26"/>
    </row>
    <row r="6128" spans="1:12">
      <c r="A6128" s="20" t="s">
        <v>966</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954</v>
      </c>
      <c r="B6129" s="27" t="s">
        <v>1009</v>
      </c>
      <c r="C6129" s="27" t="s">
        <v>931</v>
      </c>
      <c r="D6129" s="27" t="s">
        <v>932</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1659</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1002</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936</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928</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2295</v>
      </c>
      <c r="B6134" s="27" t="s">
        <v>968</v>
      </c>
      <c r="C6134" s="27" t="s">
        <v>1061</v>
      </c>
      <c r="D6134" s="27" t="s">
        <v>932</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1418</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t="s">
        <v>36</v>
      </c>
      <c r="E6136" s="21">
        <f>IF(D6136="?OLD","!!!","")</f>
        <v/>
      </c>
      <c r="F6136" s="22" t="str">
        <f>IF(OR(E6136="",E6136="!!!"),"",IF(NOT(ISNA(VLOOKUP(E6136,E$1:E6135,1,FALSE()))),"OLD",IF(AND(E6136&lt;&gt;"",E6136&lt;&gt;"!!!"),"NEW","")))</f>
        <v> </v>
      </c>
      <c r="G6136" s="23" t="str">
        <f>IF(OR(E6136="",E6136="!!!"),"",IF(OR(J6136=0,AND(J6136=1,K6136=1),AND(J6136=1,I6136="SBJ"),AND(J6136=1,I6136=0)),"?IN_FOCUS",IF(J6136&lt;=2,"?ACTIVATED",IF(J6136&lt;&gt;"","?FAMILIAR",IF(F6136="NEW",IF(ISNA(VLOOKUP(E6136,#REF!,1,FALSE())),"?TYPE_IDENTIFIABLE","?REFERENTIAL"),"_")))))</f>
        <v> </v>
      </c>
      <c r="H6136" s="24" t="str">
        <f>IF(J6136&lt;&gt;1,"",IF(I6136="SBJ","CB","?"))</f>
        <v> </v>
      </c>
      <c r="I6136" s="25" t="str">
        <f>IF(OR(E6136="",E6136="!!!",F6136="NEW"),"",INDEX(B6135:B$2,-1+SUMPRODUCT(MAX(ROW(E6135:E$2)*(E6136=E6135:E$2)))))</f>
        <v> </v>
      </c>
      <c r="J6136" s="25" t="str">
        <f>IF(OR(E6136="",E6136="!!!",F6136="NEW"),"",COUNTBLANK(OFFSET(A$1,,,SUMPRODUCT(MAX(ROW(E$2:E6136)*(E6136=E$2:E6136)))))-COUNTBLANK(OFFSET(A$1,,,SUMPRODUCT(MAX(ROW(E$1:E6135)*(E2=E$1:E6135))))))</f>
        <v> </v>
      </c>
      <c r="K6136" s="25" t="str">
        <f>IF(OR(E6136="",E6136="!!!",F6136="NEW"),"",INDEX(J$1:J6135,SUMPRODUCT(MAX(ROW(E$1:E6135)*(E6136=E$1:E6135)))))</f>
        <v> </v>
      </c>
      <c r="L6136" s="26"/>
    </row>
    <row r="6137" spans="1:12">
      <c r="A6137" s="20" t="s">
        <v>2296</v>
      </c>
      <c r="E6137" s="21">
        <f>IF(D6137="?OLD","!!!","")</f>
        <v/>
      </c>
      <c r="F6137" s="22" t="str">
        <f>IF(OR(E6137="",E6137="!!!"),"",IF(NOT(ISNA(VLOOKUP(E6137,E$1:E6136,1,FALSE()))),"OLD",IF(AND(E6137&lt;&gt;"",E6137&lt;&gt;"!!!"),"NEW","")))</f>
        <v> </v>
      </c>
      <c r="G6137" s="23" t="str">
        <f>IF(OR(E6137="",E6137="!!!"),"",IF(OR(J6137=0,AND(J6137=1,K6137=1),AND(J6137=1,I6137="SBJ"),AND(J6137=1,I6137=0)),"?IN_FOCUS",IF(J6137&lt;=2,"?ACTIVATED",IF(J6137&lt;&gt;"","?FAMILIAR",IF(F6137="NEW",IF(ISNA(VLOOKUP(E6137,#REF!,1,FALSE())),"?TYPE_IDENTIFIABLE","?REFERENTIAL"),"_")))))</f>
        <v> </v>
      </c>
      <c r="H6137" s="24" t="str">
        <f>IF(J6137&lt;&gt;1,"",IF(I6137="SBJ","CB","?"))</f>
        <v> </v>
      </c>
      <c r="I6137" s="25" t="str">
        <f>IF(OR(E6137="",E6137="!!!",F6137="NEW"),"",INDEX(B6136:B$2,-1+SUMPRODUCT(MAX(ROW(E6136:E$2)*(E6137=E6136:E$2)))))</f>
        <v> </v>
      </c>
      <c r="J6137" s="25" t="str">
        <f>IF(OR(E6137="",E6137="!!!",F6137="NEW"),"",COUNTBLANK(OFFSET(A$1,,,SUMPRODUCT(MAX(ROW(E$2:E6137)*(E6137=E$2:E6137)))))-COUNTBLANK(OFFSET(A$1,,,SUMPRODUCT(MAX(ROW(E$1:E6136)*(E2=E$1:E6136))))))</f>
        <v> </v>
      </c>
      <c r="K6137" s="25" t="str">
        <f>IF(OR(E6137="",E6137="!!!",F6137="NEW"),"",INDEX(J$1:J6136,SUMPRODUCT(MAX(ROW(E$1:E6136)*(E6137=E$1:E6136)))))</f>
        <v> </v>
      </c>
      <c r="L6137" s="26"/>
    </row>
    <row r="6138" spans="1:12">
      <c r="A6138" s="20" t="s">
        <v>936</v>
      </c>
      <c r="E6138" s="21">
        <f>IF(D6138="?OLD","!!!","")</f>
        <v/>
      </c>
      <c r="F6138" s="22" t="str">
        <f>IF(OR(E6138="",E6138="!!!"),"",IF(NOT(ISNA(VLOOKUP(E6138,E$1:E6137,1,FALSE()))),"OLD",IF(AND(E6138&lt;&gt;"",E6138&lt;&gt;"!!!"),"NEW","")))</f>
        <v> </v>
      </c>
      <c r="G6138" s="23" t="str">
        <f>IF(OR(E6138="",E6138="!!!"),"",IF(OR(J6138=0,AND(J6138=1,K6138=1),AND(J6138=1,I6138="SBJ"),AND(J6138=1,I6138=0)),"?IN_FOCUS",IF(J6138&lt;=2,"?ACTIVATED",IF(J6138&lt;&gt;"","?FAMILIAR",IF(F6138="NEW",IF(ISNA(VLOOKUP(E6138,#REF!,1,FALSE())),"?TYPE_IDENTIFIABLE","?REFERENTIAL"),"_")))))</f>
        <v> </v>
      </c>
      <c r="H6138" s="24" t="str">
        <f>IF(J6138&lt;&gt;1,"",IF(I6138="SBJ","CB","?"))</f>
        <v> </v>
      </c>
      <c r="I6138" s="25" t="str">
        <f>IF(OR(E6138="",E6138="!!!",F6138="NEW"),"",INDEX(B6137:B$2,-1+SUMPRODUCT(MAX(ROW(E6137:E$2)*(E6138=E6137:E$2)))))</f>
        <v> </v>
      </c>
      <c r="J6138" s="25" t="str">
        <f>IF(OR(E6138="",E6138="!!!",F6138="NEW"),"",COUNTBLANK(OFFSET(A$1,,,SUMPRODUCT(MAX(ROW(E$2:E6138)*(E6138=E$2:E6138)))))-COUNTBLANK(OFFSET(A$1,,,SUMPRODUCT(MAX(ROW(E$1:E6137)*(E2=E$1:E6137))))))</f>
        <v> </v>
      </c>
      <c r="K6138" s="25" t="str">
        <f>IF(OR(E6138="",E6138="!!!",F6138="NEW"),"",INDEX(J$1:J6137,SUMPRODUCT(MAX(ROW(E$1:E6137)*(E6138=E$1:E6137)))))</f>
        <v> </v>
      </c>
      <c r="L6138" s="26"/>
    </row>
    <row r="6139" spans="1:12">
      <c r="A6139" s="20" t="s">
        <v>1012</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929</v>
      </c>
      <c r="B6140" s="27" t="s">
        <v>968</v>
      </c>
      <c r="C6140" s="27" t="s">
        <v>931</v>
      </c>
      <c r="D6140" s="27" t="s">
        <v>932</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1418</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2297</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t="s">
        <v>1309</v>
      </c>
      <c r="B6143" s="27" t="s">
        <v>991</v>
      </c>
      <c r="C6143" s="27" t="s">
        <v>1111</v>
      </c>
      <c r="D6143" s="27" t="s">
        <v>932</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1095</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954</v>
      </c>
      <c r="B6145" s="27" t="s">
        <v>949</v>
      </c>
      <c r="C6145" s="27" t="s">
        <v>931</v>
      </c>
      <c r="D6145" s="27" t="s">
        <v>932</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1042</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928</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row>
    <row r="6149" spans="1:12">
      <c r="A6149" s="20" t="s">
        <v>2298</v>
      </c>
    </row>
    <row r="6150" spans="1:12">
      <c r="A6150" s="20" t="s">
        <v>929</v>
      </c>
      <c r="B6150" s="27" t="s">
        <v>930</v>
      </c>
      <c r="C6150" s="27" t="s">
        <v>931</v>
      </c>
      <c r="D6150" s="27" t="s">
        <v>932</v>
      </c>
      <c r="E6150" s="21">
        <f>IF(D6150="?OLD","!!!","")</f>
        <v/>
      </c>
      <c r="F6150" s="22" t="str">
        <f>IF(OR(E6150="",E6150="!!!"),"",IF(NOT(ISNA(VLOOKUP(E6150,E$1:E6149,1,FALSE()))),"OLD",IF(AND(E6150&lt;&gt;"",E6150&lt;&gt;"!!!"),"NEW","")))</f>
        <v> </v>
      </c>
      <c r="G6150" s="23" t="str">
        <f>IF(OR(E6150="",E6150="!!!"),"",IF(OR(J6150=0,AND(J6150=1,K6150=1),AND(J6150=1,I6150="SBJ"),AND(J6150=1,I6150=0)),"?IN_FOCUS",IF(J6150&lt;=2,"?ACTIVATED",IF(J6150&lt;&gt;"","?FAMILIAR",IF(F6150="NEW",IF(ISNA(VLOOKUP(E6150,#REF!,1,FALSE())),"?TYPE_IDENTIFIABLE","?REFERENTIAL"),"_")))))</f>
        <v> </v>
      </c>
      <c r="H6150" s="24" t="str">
        <f>IF(J6150&lt;&gt;1,"",IF(I6150="SBJ","CB","?"))</f>
        <v> </v>
      </c>
      <c r="I6150" s="25" t="str">
        <f>IF(OR(E6150="",E6150="!!!",F6150="NEW"),"",INDEX(B6149:B$2,-1+SUMPRODUCT(MAX(ROW(E6149:E$2)*(E6150=E6149:E$2)))))</f>
        <v> </v>
      </c>
      <c r="J6150" s="25" t="str">
        <f>IF(OR(E6150="",E6150="!!!",F6150="NEW"),"",COUNTBLANK(OFFSET(A$1,,,SUMPRODUCT(MAX(ROW(E$2:E6150)*(E6150=E$2:E6150)))))-COUNTBLANK(OFFSET(A$1,,,SUMPRODUCT(MAX(ROW(E$1:E6149)*(E2=E$1:E6149))))))</f>
        <v> </v>
      </c>
      <c r="K6150" s="25" t="str">
        <f>IF(OR(E6150="",E6150="!!!",F6150="NEW"),"",INDEX(J$1:J6149,SUMPRODUCT(MAX(ROW(E$1:E6149)*(E6150=E$1:E6149)))))</f>
        <v> </v>
      </c>
      <c r="L6150" s="26"/>
    </row>
    <row r="6151" spans="1:12">
      <c r="A6151" s="20" t="s">
        <v>45</v>
      </c>
      <c r="E6151" s="21">
        <f>IF(D6151="?OLD","!!!","")</f>
        <v/>
      </c>
      <c r="F6151" s="22" t="str">
        <f>IF(OR(E6151="",E6151="!!!"),"",IF(NOT(ISNA(VLOOKUP(E6151,E$1:E6150,1,FALSE()))),"OLD",IF(AND(E6151&lt;&gt;"",E6151&lt;&gt;"!!!"),"NEW","")))</f>
        <v> </v>
      </c>
      <c r="G6151" s="23" t="str">
        <f>IF(OR(E6151="",E6151="!!!"),"",IF(OR(J6151=0,AND(J6151=1,K6151=1),AND(J6151=1,I6151="SBJ"),AND(J6151=1,I6151=0)),"?IN_FOCUS",IF(J6151&lt;=2,"?ACTIVATED",IF(J6151&lt;&gt;"","?FAMILIAR",IF(F6151="NEW",IF(ISNA(VLOOKUP(E6151,#REF!,1,FALSE())),"?TYPE_IDENTIFIABLE","?REFERENTIAL"),"_")))))</f>
        <v> </v>
      </c>
      <c r="H6151" s="24" t="str">
        <f>IF(J6151&lt;&gt;1,"",IF(I6151="SBJ","CB","?"))</f>
        <v> </v>
      </c>
      <c r="I6151" s="25" t="str">
        <f>IF(OR(E6151="",E6151="!!!",F6151="NEW"),"",INDEX(B6150:B$2,-1+SUMPRODUCT(MAX(ROW(E6150:E$2)*(E6151=E6150:E$2)))))</f>
        <v> </v>
      </c>
      <c r="J6151" s="25" t="str">
        <f>IF(OR(E6151="",E6151="!!!",F6151="NEW"),"",COUNTBLANK(OFFSET(A$1,,,SUMPRODUCT(MAX(ROW(E$2:E6151)*(E6151=E$2:E6151)))))-COUNTBLANK(OFFSET(A$1,,,SUMPRODUCT(MAX(ROW(E$1:E6150)*(E2=E$1:E6150))))))</f>
        <v> </v>
      </c>
      <c r="K6151" s="25" t="str">
        <f>IF(OR(E6151="",E6151="!!!",F6151="NEW"),"",INDEX(J$1:J6150,SUMPRODUCT(MAX(ROW(E$1:E6150)*(E6151=E$1:E6150)))))</f>
        <v> </v>
      </c>
      <c r="L6151" s="26"/>
    </row>
    <row r="6152" spans="1:12">
      <c r="A6152" s="20" t="s">
        <v>2283</v>
      </c>
      <c r="E6152" s="21">
        <f>IF(D6152="?OLD","!!!","")</f>
        <v/>
      </c>
      <c r="F6152" s="22" t="str">
        <f>IF(OR(E6152="",E6152="!!!"),"",IF(NOT(ISNA(VLOOKUP(E6152,E$1:E6151,1,FALSE()))),"OLD",IF(AND(E6152&lt;&gt;"",E6152&lt;&gt;"!!!"),"NEW","")))</f>
        <v> </v>
      </c>
      <c r="G6152" s="23" t="str">
        <f>IF(OR(E6152="",E6152="!!!"),"",IF(OR(J6152=0,AND(J6152=1,K6152=1),AND(J6152=1,I6152="SBJ"),AND(J6152=1,I6152=0)),"?IN_FOCUS",IF(J6152&lt;=2,"?ACTIVATED",IF(J6152&lt;&gt;"","?FAMILIAR",IF(F6152="NEW",IF(ISNA(VLOOKUP(E6152,#REF!,1,FALSE())),"?TYPE_IDENTIFIABLE","?REFERENTIAL"),"_")))))</f>
        <v> </v>
      </c>
      <c r="H6152" s="24" t="str">
        <f>IF(J6152&lt;&gt;1,"",IF(I6152="SBJ","CB","?"))</f>
        <v> </v>
      </c>
      <c r="I6152" s="25" t="str">
        <f>IF(OR(E6152="",E6152="!!!",F6152="NEW"),"",INDEX(B6151:B$2,-1+SUMPRODUCT(MAX(ROW(E6151:E$2)*(E6152=E6151:E$2)))))</f>
        <v> </v>
      </c>
      <c r="J6152" s="25" t="str">
        <f>IF(OR(E6152="",E6152="!!!",F6152="NEW"),"",COUNTBLANK(OFFSET(A$1,,,SUMPRODUCT(MAX(ROW(E$2:E6152)*(E6152=E$2:E6152)))))-COUNTBLANK(OFFSET(A$1,,,SUMPRODUCT(MAX(ROW(E$1:E6151)*(E2=E$1:E6151))))))</f>
        <v> </v>
      </c>
      <c r="K6152" s="25" t="str">
        <f>IF(OR(E6152="",E6152="!!!",F6152="NEW"),"",INDEX(J$1:J6151,SUMPRODUCT(MAX(ROW(E$1:E6151)*(E6152=E$1:E6151)))))</f>
        <v> </v>
      </c>
      <c r="L6152" s="26"/>
    </row>
    <row r="6153" spans="1:12">
      <c r="A6153" s="20" t="s">
        <v>937</v>
      </c>
      <c r="E6153" s="21">
        <f>IF(D6153="?OLD","!!!","")</f>
        <v/>
      </c>
      <c r="F6153" s="22" t="str">
        <f>IF(OR(E6153="",E6153="!!!"),"",IF(NOT(ISNA(VLOOKUP(E6153,E$1:E6152,1,FALSE()))),"OLD",IF(AND(E6153&lt;&gt;"",E6153&lt;&gt;"!!!"),"NEW","")))</f>
        <v> </v>
      </c>
      <c r="G6153" s="23" t="str">
        <f>IF(OR(E6153="",E6153="!!!"),"",IF(OR(J6153=0,AND(J6153=1,K6153=1),AND(J6153=1,I6153="SBJ"),AND(J6153=1,I6153=0)),"?IN_FOCUS",IF(J6153&lt;=2,"?ACTIVATED",IF(J6153&lt;&gt;"","?FAMILIAR",IF(F6153="NEW",IF(ISNA(VLOOKUP(E6153,#REF!,1,FALSE())),"?TYPE_IDENTIFIABLE","?REFERENTIAL"),"_")))))</f>
        <v> </v>
      </c>
      <c r="H6153" s="24" t="str">
        <f>IF(J6153&lt;&gt;1,"",IF(I6153="SBJ","CB","?"))</f>
        <v> </v>
      </c>
      <c r="I6153" s="25" t="str">
        <f>IF(OR(E6153="",E6153="!!!",F6153="NEW"),"",INDEX(B6152:B$2,-1+SUMPRODUCT(MAX(ROW(E6152:E$2)*(E6153=E6152:E$2)))))</f>
        <v> </v>
      </c>
      <c r="J6153" s="25" t="str">
        <f>IF(OR(E6153="",E6153="!!!",F6153="NEW"),"",COUNTBLANK(OFFSET(A$1,,,SUMPRODUCT(MAX(ROW(E$2:E6153)*(E6153=E$2:E6153)))))-COUNTBLANK(OFFSET(A$1,,,SUMPRODUCT(MAX(ROW(E$1:E6152)*(E2=E$1:E6152))))))</f>
        <v> </v>
      </c>
      <c r="K6153" s="25" t="str">
        <f>IF(OR(E6153="",E6153="!!!",F6153="NEW"),"",INDEX(J$1:J6152,SUMPRODUCT(MAX(ROW(E$1:E6152)*(E6153=E$1:E6152)))))</f>
        <v> </v>
      </c>
      <c r="L6153" s="26"/>
    </row>
    <row r="6154" spans="1:12">
      <c r="A6154" s="20" t="s">
        <v>938</v>
      </c>
      <c r="B6154" s="27" t="s">
        <v>939</v>
      </c>
      <c r="C6154" s="27" t="s">
        <v>940</v>
      </c>
      <c r="D6154" s="27" t="s">
        <v>932</v>
      </c>
      <c r="E6154" s="21">
        <f>IF(D6154="?OLD","!!!","")</f>
        <v/>
      </c>
      <c r="F6154" s="22" t="str">
        <f>IF(OR(E6154="",E6154="!!!"),"",IF(NOT(ISNA(VLOOKUP(E6154,E$1:E6153,1,FALSE()))),"OLD",IF(AND(E6154&lt;&gt;"",E6154&lt;&gt;"!!!"),"NEW","")))</f>
        <v> </v>
      </c>
      <c r="G6154" s="23" t="str">
        <f>IF(OR(E6154="",E6154="!!!"),"",IF(OR(J6154=0,AND(J6154=1,K6154=1),AND(J6154=1,I6154="SBJ"),AND(J6154=1,I6154=0)),"?IN_FOCUS",IF(J6154&lt;=2,"?ACTIVATED",IF(J6154&lt;&gt;"","?FAMILIAR",IF(F6154="NEW",IF(ISNA(VLOOKUP(E6154,#REF!,1,FALSE())),"?TYPE_IDENTIFIABLE","?REFERENTIAL"),"_")))))</f>
        <v> </v>
      </c>
      <c r="H6154" s="24" t="str">
        <f>IF(J6154&lt;&gt;1,"",IF(I6154="SBJ","CB","?"))</f>
        <v> </v>
      </c>
      <c r="I6154" s="25" t="str">
        <f>IF(OR(E6154="",E6154="!!!",F6154="NEW"),"",INDEX(B6153:B$2,-1+SUMPRODUCT(MAX(ROW(E6153:E$2)*(E6154=E6153:E$2)))))</f>
        <v> </v>
      </c>
      <c r="J6154" s="25" t="str">
        <f>IF(OR(E6154="",E6154="!!!",F6154="NEW"),"",COUNTBLANK(OFFSET(A$1,,,SUMPRODUCT(MAX(ROW(E$2:E6154)*(E6154=E$2:E6154)))))-COUNTBLANK(OFFSET(A$1,,,SUMPRODUCT(MAX(ROW(E$1:E6153)*(E2=E$1:E6153))))))</f>
        <v> </v>
      </c>
      <c r="K6154" s="25" t="str">
        <f>IF(OR(E6154="",E6154="!!!",F6154="NEW"),"",INDEX(J$1:J6153,SUMPRODUCT(MAX(ROW(E$1:E6153)*(E6154=E$1:E6153)))))</f>
        <v> </v>
      </c>
      <c r="L6154" s="26"/>
    </row>
    <row r="6155" spans="1:12">
      <c r="A6155" s="20" t="s">
        <v>1643</v>
      </c>
      <c r="E6155" s="21">
        <f>IF(D6155="?OLD","!!!","")</f>
        <v/>
      </c>
      <c r="F6155" s="22" t="str">
        <f>IF(OR(E6155="",E6155="!!!"),"",IF(NOT(ISNA(VLOOKUP(E6155,E$1:E6154,1,FALSE()))),"OLD",IF(AND(E6155&lt;&gt;"",E6155&lt;&gt;"!!!"),"NEW","")))</f>
        <v> </v>
      </c>
      <c r="G6155" s="23" t="str">
        <f>IF(OR(E6155="",E6155="!!!"),"",IF(OR(J6155=0,AND(J6155=1,K6155=1),AND(J6155=1,I6155="SBJ"),AND(J6155=1,I6155=0)),"?IN_FOCUS",IF(J6155&lt;=2,"?ACTIVATED",IF(J6155&lt;&gt;"","?FAMILIAR",IF(F6155="NEW",IF(ISNA(VLOOKUP(E6155,#REF!,1,FALSE())),"?TYPE_IDENTIFIABLE","?REFERENTIAL"),"_")))))</f>
        <v> </v>
      </c>
      <c r="H6155" s="24" t="str">
        <f>IF(J6155&lt;&gt;1,"",IF(I6155="SBJ","CB","?"))</f>
        <v> </v>
      </c>
      <c r="I6155" s="25" t="str">
        <f>IF(OR(E6155="",E6155="!!!",F6155="NEW"),"",INDEX(B6154:B$2,-1+SUMPRODUCT(MAX(ROW(E6154:E$2)*(E6155=E6154:E$2)))))</f>
        <v> </v>
      </c>
      <c r="J6155" s="25" t="str">
        <f>IF(OR(E6155="",E6155="!!!",F6155="NEW"),"",COUNTBLANK(OFFSET(A$1,,,SUMPRODUCT(MAX(ROW(E$2:E6155)*(E6155=E$2:E6155)))))-COUNTBLANK(OFFSET(A$1,,,SUMPRODUCT(MAX(ROW(E$1:E6154)*(E2=E$1:E6154))))))</f>
        <v> </v>
      </c>
      <c r="K6155" s="25" t="str">
        <f>IF(OR(E6155="",E6155="!!!",F6155="NEW"),"",INDEX(J$1:J6154,SUMPRODUCT(MAX(ROW(E$1:E6154)*(E6155=E$1:E6154)))))</f>
        <v> </v>
      </c>
      <c r="L6155" s="26"/>
    </row>
    <row r="6156" spans="1:12">
      <c r="A6156" s="20" t="s">
        <v>1040</v>
      </c>
      <c r="B6156" s="27" t="s">
        <v>942</v>
      </c>
      <c r="C6156" s="27" t="s">
        <v>1087</v>
      </c>
      <c r="D6156" s="27" t="s">
        <v>932</v>
      </c>
      <c r="E6156" s="21">
        <f>IF(D6156="?OLD","!!!","")</f>
        <v/>
      </c>
      <c r="F6156" s="22" t="str">
        <f>IF(OR(E6156="",E6156="!!!"),"",IF(NOT(ISNA(VLOOKUP(E6156,E$1:E6155,1,FALSE()))),"OLD",IF(AND(E6156&lt;&gt;"",E6156&lt;&gt;"!!!"),"NEW","")))</f>
        <v> </v>
      </c>
      <c r="G6156" s="23" t="str">
        <f>IF(OR(E6156="",E6156="!!!"),"",IF(OR(J6156=0,AND(J6156=1,K6156=1),AND(J6156=1,I6156="SBJ"),AND(J6156=1,I6156=0)),"?IN_FOCUS",IF(J6156&lt;=2,"?ACTIVATED",IF(J6156&lt;&gt;"","?FAMILIAR",IF(F6156="NEW",IF(ISNA(VLOOKUP(E6156,#REF!,1,FALSE())),"?TYPE_IDENTIFIABLE","?REFERENTIAL"),"_")))))</f>
        <v> </v>
      </c>
      <c r="H6156" s="24" t="str">
        <f>IF(J6156&lt;&gt;1,"",IF(I6156="SBJ","CB","?"))</f>
        <v> </v>
      </c>
      <c r="I6156" s="25" t="str">
        <f>IF(OR(E6156="",E6156="!!!",F6156="NEW"),"",INDEX(B6155:B$2,-1+SUMPRODUCT(MAX(ROW(E6155:E$2)*(E6156=E6155:E$2)))))</f>
        <v> </v>
      </c>
      <c r="J6156" s="25" t="str">
        <f>IF(OR(E6156="",E6156="!!!",F6156="NEW"),"",COUNTBLANK(OFFSET(A$1,,,SUMPRODUCT(MAX(ROW(E$2:E6156)*(E6156=E$2:E6156)))))-COUNTBLANK(OFFSET(A$1,,,SUMPRODUCT(MAX(ROW(E$1:E6155)*(E2=E$1:E6155))))))</f>
        <v> </v>
      </c>
      <c r="K6156" s="25" t="str">
        <f>IF(OR(E6156="",E6156="!!!",F6156="NEW"),"",INDEX(J$1:J6155,SUMPRODUCT(MAX(ROW(E$1:E6155)*(E6156=E$1:E6155)))))</f>
        <v> </v>
      </c>
      <c r="L6156" s="26"/>
    </row>
    <row r="6157" spans="1:12">
      <c r="A6157" s="20" t="s">
        <v>1335</v>
      </c>
      <c r="E6157" s="21">
        <f>IF(D6157="?OLD","!!!","")</f>
        <v/>
      </c>
      <c r="F6157" s="22" t="str">
        <f>IF(OR(E6157="",E6157="!!!"),"",IF(NOT(ISNA(VLOOKUP(E6157,E$1:E6156,1,FALSE()))),"OLD",IF(AND(E6157&lt;&gt;"",E6157&lt;&gt;"!!!"),"NEW","")))</f>
        <v> </v>
      </c>
      <c r="G6157" s="23" t="str">
        <f>IF(OR(E6157="",E6157="!!!"),"",IF(OR(J6157=0,AND(J6157=1,K6157=1),AND(J6157=1,I6157="SBJ"),AND(J6157=1,I6157=0)),"?IN_FOCUS",IF(J6157&lt;=2,"?ACTIVATED",IF(J6157&lt;&gt;"","?FAMILIAR",IF(F6157="NEW",IF(ISNA(VLOOKUP(E6157,#REF!,1,FALSE())),"?TYPE_IDENTIFIABLE","?REFERENTIAL"),"_")))))</f>
        <v> </v>
      </c>
      <c r="H6157" s="24" t="str">
        <f>IF(J6157&lt;&gt;1,"",IF(I6157="SBJ","CB","?"))</f>
        <v> </v>
      </c>
      <c r="I6157" s="25" t="str">
        <f>IF(OR(E6157="",E6157="!!!",F6157="NEW"),"",INDEX(B6156:B$2,-1+SUMPRODUCT(MAX(ROW(E6156:E$2)*(E6157=E6156:E$2)))))</f>
        <v> </v>
      </c>
      <c r="J6157" s="25" t="str">
        <f>IF(OR(E6157="",E6157="!!!",F6157="NEW"),"",COUNTBLANK(OFFSET(A$1,,,SUMPRODUCT(MAX(ROW(E$2:E6157)*(E6157=E$2:E6157)))))-COUNTBLANK(OFFSET(A$1,,,SUMPRODUCT(MAX(ROW(E$1:E6156)*(E2=E$1:E6156))))))</f>
        <v> </v>
      </c>
      <c r="K6157" s="25" t="str">
        <f>IF(OR(E6157="",E6157="!!!",F6157="NEW"),"",INDEX(J$1:J6156,SUMPRODUCT(MAX(ROW(E$1:E6156)*(E6157=E$1:E6156)))))</f>
        <v> </v>
      </c>
      <c r="L6157" s="26"/>
    </row>
    <row r="6158" spans="1:12">
      <c r="A6158" s="20" t="s">
        <v>1197</v>
      </c>
      <c r="E6158" s="21">
        <f>IF(D6158="?OLD","!!!","")</f>
        <v/>
      </c>
      <c r="F6158" s="22" t="str">
        <f>IF(OR(E6158="",E6158="!!!"),"",IF(NOT(ISNA(VLOOKUP(E6158,E$1:E6157,1,FALSE()))),"OLD",IF(AND(E6158&lt;&gt;"",E6158&lt;&gt;"!!!"),"NEW","")))</f>
        <v> </v>
      </c>
      <c r="G6158" s="23" t="str">
        <f>IF(OR(E6158="",E6158="!!!"),"",IF(OR(J6158=0,AND(J6158=1,K6158=1),AND(J6158=1,I6158="SBJ"),AND(J6158=1,I6158=0)),"?IN_FOCUS",IF(J6158&lt;=2,"?ACTIVATED",IF(J6158&lt;&gt;"","?FAMILIAR",IF(F6158="NEW",IF(ISNA(VLOOKUP(E6158,#REF!,1,FALSE())),"?TYPE_IDENTIFIABLE","?REFERENTIAL"),"_")))))</f>
        <v> </v>
      </c>
      <c r="H6158" s="24" t="str">
        <f>IF(J6158&lt;&gt;1,"",IF(I6158="SBJ","CB","?"))</f>
        <v> </v>
      </c>
      <c r="I6158" s="25" t="str">
        <f>IF(OR(E6158="",E6158="!!!",F6158="NEW"),"",INDEX(B6157:B$2,-1+SUMPRODUCT(MAX(ROW(E6157:E$2)*(E6158=E6157:E$2)))))</f>
        <v> </v>
      </c>
      <c r="J6158" s="25" t="str">
        <f>IF(OR(E6158="",E6158="!!!",F6158="NEW"),"",COUNTBLANK(OFFSET(A$1,,,SUMPRODUCT(MAX(ROW(E$2:E6158)*(E6158=E$2:E6158)))))-COUNTBLANK(OFFSET(A$1,,,SUMPRODUCT(MAX(ROW(E$1:E6157)*(E2=E$1:E6157))))))</f>
        <v> </v>
      </c>
      <c r="K6158" s="25" t="str">
        <f>IF(OR(E6158="",E6158="!!!",F6158="NEW"),"",INDEX(J$1:J6157,SUMPRODUCT(MAX(ROW(E$1:E6157)*(E6158=E$1:E6157)))))</f>
        <v> </v>
      </c>
      <c r="L6158" s="26"/>
    </row>
    <row r="6159" spans="1:12">
      <c r="A6159" s="20" t="s">
        <v>1013</v>
      </c>
      <c r="E6159" s="21">
        <f>IF(D6159="?OLD","!!!","")</f>
        <v/>
      </c>
      <c r="F6159" s="22" t="str">
        <f>IF(OR(E6159="",E6159="!!!"),"",IF(NOT(ISNA(VLOOKUP(E6159,E$1:E6158,1,FALSE()))),"OLD",IF(AND(E6159&lt;&gt;"",E6159&lt;&gt;"!!!"),"NEW","")))</f>
        <v> </v>
      </c>
      <c r="G6159" s="23" t="str">
        <f>IF(OR(E6159="",E6159="!!!"),"",IF(OR(J6159=0,AND(J6159=1,K6159=1),AND(J6159=1,I6159="SBJ"),AND(J6159=1,I6159=0)),"?IN_FOCUS",IF(J6159&lt;=2,"?ACTIVATED",IF(J6159&lt;&gt;"","?FAMILIAR",IF(F6159="NEW",IF(ISNA(VLOOKUP(E6159,#REF!,1,FALSE())),"?TYPE_IDENTIFIABLE","?REFERENTIAL"),"_")))))</f>
        <v> </v>
      </c>
      <c r="H6159" s="24" t="str">
        <f>IF(J6159&lt;&gt;1,"",IF(I6159="SBJ","CB","?"))</f>
        <v> </v>
      </c>
      <c r="I6159" s="25" t="str">
        <f>IF(OR(E6159="",E6159="!!!",F6159="NEW"),"",INDEX(B6158:B$2,-1+SUMPRODUCT(MAX(ROW(E6158:E$2)*(E6159=E6158:E$2)))))</f>
        <v> </v>
      </c>
      <c r="J6159" s="25" t="str">
        <f>IF(OR(E6159="",E6159="!!!",F6159="NEW"),"",COUNTBLANK(OFFSET(A$1,,,SUMPRODUCT(MAX(ROW(E$2:E6159)*(E6159=E$2:E6159)))))-COUNTBLANK(OFFSET(A$1,,,SUMPRODUCT(MAX(ROW(E$1:E6158)*(E2=E$1:E6158))))))</f>
        <v> </v>
      </c>
      <c r="K6159" s="25" t="str">
        <f>IF(OR(E6159="",E6159="!!!",F6159="NEW"),"",INDEX(J$1:J6158,SUMPRODUCT(MAX(ROW(E$1:E6158)*(E6159=E$1:E6158)))))</f>
        <v> </v>
      </c>
      <c r="L6159" s="26"/>
    </row>
    <row r="6160" spans="1:12">
      <c r="A6160" s="20" t="s">
        <v>2299</v>
      </c>
      <c r="B6160" s="27" t="s">
        <v>968</v>
      </c>
      <c r="C6160" s="27" t="s">
        <v>973</v>
      </c>
      <c r="E6160" s="21">
        <f>IF(D6160="?OLD","!!!","")</f>
        <v/>
      </c>
      <c r="F6160" s="22" t="str">
        <f>IF(OR(E6160="",E6160="!!!"),"",IF(NOT(ISNA(VLOOKUP(E6160,E$1:E6159,1,FALSE()))),"OLD",IF(AND(E6160&lt;&gt;"",E6160&lt;&gt;"!!!"),"NEW","")))</f>
        <v> </v>
      </c>
      <c r="G6160" s="23" t="str">
        <f>IF(OR(E6160="",E6160="!!!"),"",IF(OR(J6160=0,AND(J6160=1,K6160=1),AND(J6160=1,I6160="SBJ"),AND(J6160=1,I6160=0)),"?IN_FOCUS",IF(J6160&lt;=2,"?ACTIVATED",IF(J6160&lt;&gt;"","?FAMILIAR",IF(F6160="NEW",IF(ISNA(VLOOKUP(E6160,#REF!,1,FALSE())),"?TYPE_IDENTIFIABLE","?REFERENTIAL"),"_")))))</f>
        <v> </v>
      </c>
      <c r="H6160" s="24" t="str">
        <f>IF(J6160&lt;&gt;1,"",IF(I6160="SBJ","CB","?"))</f>
        <v> </v>
      </c>
      <c r="I6160" s="25" t="str">
        <f>IF(OR(E6160="",E6160="!!!",F6160="NEW"),"",INDEX(B6159:B$2,-1+SUMPRODUCT(MAX(ROW(E6159:E$2)*(E6160=E6159:E$2)))))</f>
        <v> </v>
      </c>
      <c r="J6160" s="25" t="str">
        <f>IF(OR(E6160="",E6160="!!!",F6160="NEW"),"",COUNTBLANK(OFFSET(A$1,,,SUMPRODUCT(MAX(ROW(E$2:E6160)*(E6160=E$2:E6160)))))-COUNTBLANK(OFFSET(A$1,,,SUMPRODUCT(MAX(ROW(E$1:E6159)*(E2=E$1:E6159))))))</f>
        <v> </v>
      </c>
      <c r="K6160" s="25" t="str">
        <f>IF(OR(E6160="",E6160="!!!",F6160="NEW"),"",INDEX(J$1:J6159,SUMPRODUCT(MAX(ROW(E$1:E6159)*(E6160=E$1:E6159)))))</f>
        <v> </v>
      </c>
      <c r="L6160" s="26"/>
    </row>
    <row r="6161" spans="1:12">
      <c r="A6161" s="20" t="s">
        <v>1230</v>
      </c>
      <c r="E6161" s="21">
        <f>IF(D6161="?OLD","!!!","")</f>
        <v/>
      </c>
      <c r="F6161" s="22" t="str">
        <f>IF(OR(E6161="",E6161="!!!"),"",IF(NOT(ISNA(VLOOKUP(E6161,E$1:E6160,1,FALSE()))),"OLD",IF(AND(E6161&lt;&gt;"",E6161&lt;&gt;"!!!"),"NEW","")))</f>
        <v> </v>
      </c>
      <c r="G6161" s="23" t="str">
        <f>IF(OR(E6161="",E6161="!!!"),"",IF(OR(J6161=0,AND(J6161=1,K6161=1),AND(J6161=1,I6161="SBJ"),AND(J6161=1,I6161=0)),"?IN_FOCUS",IF(J6161&lt;=2,"?ACTIVATED",IF(J6161&lt;&gt;"","?FAMILIAR",IF(F6161="NEW",IF(ISNA(VLOOKUP(E6161,#REF!,1,FALSE())),"?TYPE_IDENTIFIABLE","?REFERENTIAL"),"_")))))</f>
        <v> </v>
      </c>
      <c r="H6161" s="24" t="str">
        <f>IF(J6161&lt;&gt;1,"",IF(I6161="SBJ","CB","?"))</f>
        <v> </v>
      </c>
      <c r="I6161" s="25" t="str">
        <f>IF(OR(E6161="",E6161="!!!",F6161="NEW"),"",INDEX(B6160:B$2,-1+SUMPRODUCT(MAX(ROW(E6160:E$2)*(E6161=E6160:E$2)))))</f>
        <v> </v>
      </c>
      <c r="J6161" s="25" t="str">
        <f>IF(OR(E6161="",E6161="!!!",F6161="NEW"),"",COUNTBLANK(OFFSET(A$1,,,SUMPRODUCT(MAX(ROW(E$2:E6161)*(E6161=E$2:E6161)))))-COUNTBLANK(OFFSET(A$1,,,SUMPRODUCT(MAX(ROW(E$1:E6160)*(E2=E$1:E6160))))))</f>
        <v> </v>
      </c>
      <c r="K6161" s="25" t="str">
        <f>IF(OR(E6161="",E6161="!!!",F6161="NEW"),"",INDEX(J$1:J6160,SUMPRODUCT(MAX(ROW(E$1:E6160)*(E6161=E$1:E6160)))))</f>
        <v> </v>
      </c>
      <c r="L6161" s="26"/>
    </row>
    <row r="6162" spans="1:12">
      <c r="A6162" s="20" t="s">
        <v>36</v>
      </c>
      <c r="E6162" s="21">
        <f>IF(D6162="?OLD","!!!","")</f>
        <v/>
      </c>
      <c r="F6162" s="22" t="str">
        <f>IF(OR(E6162="",E6162="!!!"),"",IF(NOT(ISNA(VLOOKUP(E6162,E$1:E6161,1,FALSE()))),"OLD",IF(AND(E6162&lt;&gt;"",E6162&lt;&gt;"!!!"),"NEW","")))</f>
        <v> </v>
      </c>
      <c r="G6162" s="23" t="str">
        <f>IF(OR(E6162="",E6162="!!!"),"",IF(OR(J6162=0,AND(J6162=1,K6162=1),AND(J6162=1,I6162="SBJ"),AND(J6162=1,I6162=0)),"?IN_FOCUS",IF(J6162&lt;=2,"?ACTIVATED",IF(J6162&lt;&gt;"","?FAMILIAR",IF(F6162="NEW",IF(ISNA(VLOOKUP(E6162,#REF!,1,FALSE())),"?TYPE_IDENTIFIABLE","?REFERENTIAL"),"_")))))</f>
        <v> </v>
      </c>
      <c r="H6162" s="24" t="str">
        <f>IF(J6162&lt;&gt;1,"",IF(I6162="SBJ","CB","?"))</f>
        <v> </v>
      </c>
      <c r="I6162" s="25" t="str">
        <f>IF(OR(E6162="",E6162="!!!",F6162="NEW"),"",INDEX(B6161:B$2,-1+SUMPRODUCT(MAX(ROW(E6161:E$2)*(E6162=E6161:E$2)))))</f>
        <v> </v>
      </c>
      <c r="J6162" s="25" t="str">
        <f>IF(OR(E6162="",E6162="!!!",F6162="NEW"),"",COUNTBLANK(OFFSET(A$1,,,SUMPRODUCT(MAX(ROW(E$2:E6162)*(E6162=E$2:E6162)))))-COUNTBLANK(OFFSET(A$1,,,SUMPRODUCT(MAX(ROW(E$1:E6161)*(E2=E$1:E6161))))))</f>
        <v> </v>
      </c>
      <c r="K6162" s="25" t="str">
        <f>IF(OR(E6162="",E6162="!!!",F6162="NEW"),"",INDEX(J$1:J6161,SUMPRODUCT(MAX(ROW(E$1:E6161)*(E6162=E$1:E6161)))))</f>
        <v> </v>
      </c>
      <c r="L6162" s="26"/>
    </row>
    <row r="6163" spans="1:12">
      <c r="A6163" s="20" t="s">
        <v>936</v>
      </c>
      <c r="E6163" s="21">
        <f>IF(D6163="?OLD","!!!","")</f>
        <v/>
      </c>
      <c r="F6163" s="22" t="str">
        <f>IF(OR(E6163="",E6163="!!!"),"",IF(NOT(ISNA(VLOOKUP(E6163,E$1:E6162,1,FALSE()))),"OLD",IF(AND(E6163&lt;&gt;"",E6163&lt;&gt;"!!!"),"NEW","")))</f>
        <v> </v>
      </c>
      <c r="G6163" s="23" t="str">
        <f>IF(OR(E6163="",E6163="!!!"),"",IF(OR(J6163=0,AND(J6163=1,K6163=1),AND(J6163=1,I6163="SBJ"),AND(J6163=1,I6163=0)),"?IN_FOCUS",IF(J6163&lt;=2,"?ACTIVATED",IF(J6163&lt;&gt;"","?FAMILIAR",IF(F6163="NEW",IF(ISNA(VLOOKUP(E6163,#REF!,1,FALSE())),"?TYPE_IDENTIFIABLE","?REFERENTIAL"),"_")))))</f>
        <v> </v>
      </c>
      <c r="H6163" s="24" t="str">
        <f>IF(J6163&lt;&gt;1,"",IF(I6163="SBJ","CB","?"))</f>
        <v> </v>
      </c>
      <c r="I6163" s="25" t="str">
        <f>IF(OR(E6163="",E6163="!!!",F6163="NEW"),"",INDEX(B6162:B$2,-1+SUMPRODUCT(MAX(ROW(E6162:E$2)*(E6163=E6162:E$2)))))</f>
        <v> </v>
      </c>
      <c r="J6163" s="25" t="str">
        <f>IF(OR(E6163="",E6163="!!!",F6163="NEW"),"",COUNTBLANK(OFFSET(A$1,,,SUMPRODUCT(MAX(ROW(E$2:E6163)*(E6163=E$2:E6163)))))-COUNTBLANK(OFFSET(A$1,,,SUMPRODUCT(MAX(ROW(E$1:E6162)*(E2=E$1:E6162))))))</f>
        <v> </v>
      </c>
      <c r="K6163" s="25" t="str">
        <f>IF(OR(E6163="",E6163="!!!",F6163="NEW"),"",INDEX(J$1:J6162,SUMPRODUCT(MAX(ROW(E$1:E6162)*(E6163=E$1:E6162)))))</f>
        <v> </v>
      </c>
      <c r="L6163" s="26"/>
    </row>
    <row r="6164" spans="1:12">
      <c r="A6164" s="20" t="s">
        <v>1335</v>
      </c>
      <c r="E6164" s="21">
        <f>IF(D6164="?OLD","!!!","")</f>
        <v/>
      </c>
      <c r="F6164" s="22" t="str">
        <f>IF(OR(E6164="",E6164="!!!"),"",IF(NOT(ISNA(VLOOKUP(E6164,E$1:E6163,1,FALSE()))),"OLD",IF(AND(E6164&lt;&gt;"",E6164&lt;&gt;"!!!"),"NEW","")))</f>
        <v> </v>
      </c>
      <c r="G6164" s="23" t="str">
        <f>IF(OR(E6164="",E6164="!!!"),"",IF(OR(J6164=0,AND(J6164=1,K6164=1),AND(J6164=1,I6164="SBJ"),AND(J6164=1,I6164=0)),"?IN_FOCUS",IF(J6164&lt;=2,"?ACTIVATED",IF(J6164&lt;&gt;"","?FAMILIAR",IF(F6164="NEW",IF(ISNA(VLOOKUP(E6164,#REF!,1,FALSE())),"?TYPE_IDENTIFIABLE","?REFERENTIAL"),"_")))))</f>
        <v> </v>
      </c>
      <c r="H6164" s="24" t="str">
        <f>IF(J6164&lt;&gt;1,"",IF(I6164="SBJ","CB","?"))</f>
        <v> </v>
      </c>
      <c r="I6164" s="25" t="str">
        <f>IF(OR(E6164="",E6164="!!!",F6164="NEW"),"",INDEX(B6163:B$2,-1+SUMPRODUCT(MAX(ROW(E6163:E$2)*(E6164=E6163:E$2)))))</f>
        <v> </v>
      </c>
      <c r="J6164" s="25" t="str">
        <f>IF(OR(E6164="",E6164="!!!",F6164="NEW"),"",COUNTBLANK(OFFSET(A$1,,,SUMPRODUCT(MAX(ROW(E$2:E6164)*(E6164=E$2:E6164)))))-COUNTBLANK(OFFSET(A$1,,,SUMPRODUCT(MAX(ROW(E$1:E6163)*(E2=E$1:E6163))))))</f>
        <v> </v>
      </c>
      <c r="K6164" s="25" t="str">
        <f>IF(OR(E6164="",E6164="!!!",F6164="NEW"),"",INDEX(J$1:J6163,SUMPRODUCT(MAX(ROW(E$1:E6163)*(E6164=E$1:E6163)))))</f>
        <v> </v>
      </c>
      <c r="L6164" s="26"/>
    </row>
    <row r="6165" spans="1:12">
      <c r="A6165" s="20" t="s">
        <v>954</v>
      </c>
      <c r="B6165" s="27" t="s">
        <v>968</v>
      </c>
      <c r="C6165" s="27" t="s">
        <v>931</v>
      </c>
      <c r="D6165" s="27" t="s">
        <v>932</v>
      </c>
      <c r="E6165" s="21">
        <f>IF(D6165="?OLD","!!!","")</f>
        <v/>
      </c>
      <c r="F6165" s="22" t="str">
        <f>IF(OR(E6165="",E6165="!!!"),"",IF(NOT(ISNA(VLOOKUP(E6165,E$1:E6164,1,FALSE()))),"OLD",IF(AND(E6165&lt;&gt;"",E6165&lt;&gt;"!!!"),"NEW","")))</f>
        <v> </v>
      </c>
      <c r="G6165" s="23" t="str">
        <f>IF(OR(E6165="",E6165="!!!"),"",IF(OR(J6165=0,AND(J6165=1,K6165=1),AND(J6165=1,I6165="SBJ"),AND(J6165=1,I6165=0)),"?IN_FOCUS",IF(J6165&lt;=2,"?ACTIVATED",IF(J6165&lt;&gt;"","?FAMILIAR",IF(F6165="NEW",IF(ISNA(VLOOKUP(E6165,#REF!,1,FALSE())),"?TYPE_IDENTIFIABLE","?REFERENTIAL"),"_")))))</f>
        <v> </v>
      </c>
      <c r="H6165" s="24" t="str">
        <f>IF(J6165&lt;&gt;1,"",IF(I6165="SBJ","CB","?"))</f>
        <v> </v>
      </c>
      <c r="I6165" s="25" t="str">
        <f>IF(OR(E6165="",E6165="!!!",F6165="NEW"),"",INDEX(B6164:B$2,-1+SUMPRODUCT(MAX(ROW(E6164:E$2)*(E6165=E6164:E$2)))))</f>
        <v> </v>
      </c>
      <c r="J6165" s="25" t="str">
        <f>IF(OR(E6165="",E6165="!!!",F6165="NEW"),"",COUNTBLANK(OFFSET(A$1,,,SUMPRODUCT(MAX(ROW(E$2:E6165)*(E6165=E$2:E6165)))))-COUNTBLANK(OFFSET(A$1,,,SUMPRODUCT(MAX(ROW(E$1:E6164)*(E2=E$1:E6164))))))</f>
        <v> </v>
      </c>
      <c r="K6165" s="25" t="str">
        <f>IF(OR(E6165="",E6165="!!!",F6165="NEW"),"",INDEX(J$1:J6164,SUMPRODUCT(MAX(ROW(E$1:E6164)*(E6165=E$1:E6164)))))</f>
        <v> </v>
      </c>
      <c r="L6165" s="26"/>
    </row>
    <row r="6166" spans="1:12">
      <c r="A6166" s="20" t="s">
        <v>1230</v>
      </c>
      <c r="E6166" s="21">
        <f>IF(D6166="?OLD","!!!","")</f>
        <v/>
      </c>
      <c r="F6166" s="22" t="str">
        <f>IF(OR(E6166="",E6166="!!!"),"",IF(NOT(ISNA(VLOOKUP(E6166,E$1:E6165,1,FALSE()))),"OLD",IF(AND(E6166&lt;&gt;"",E6166&lt;&gt;"!!!"),"NEW","")))</f>
        <v> </v>
      </c>
      <c r="G6166" s="23" t="str">
        <f>IF(OR(E6166="",E6166="!!!"),"",IF(OR(J6166=0,AND(J6166=1,K6166=1),AND(J6166=1,I6166="SBJ"),AND(J6166=1,I6166=0)),"?IN_FOCUS",IF(J6166&lt;=2,"?ACTIVATED",IF(J6166&lt;&gt;"","?FAMILIAR",IF(F6166="NEW",IF(ISNA(VLOOKUP(E6166,#REF!,1,FALSE())),"?TYPE_IDENTIFIABLE","?REFERENTIAL"),"_")))))</f>
        <v> </v>
      </c>
      <c r="H6166" s="24" t="str">
        <f>IF(J6166&lt;&gt;1,"",IF(I6166="SBJ","CB","?"))</f>
        <v> </v>
      </c>
      <c r="I6166" s="25" t="str">
        <f>IF(OR(E6166="",E6166="!!!",F6166="NEW"),"",INDEX(B6165:B$2,-1+SUMPRODUCT(MAX(ROW(E6165:E$2)*(E6166=E6165:E$2)))))</f>
        <v> </v>
      </c>
      <c r="J6166" s="25" t="str">
        <f>IF(OR(E6166="",E6166="!!!",F6166="NEW"),"",COUNTBLANK(OFFSET(A$1,,,SUMPRODUCT(MAX(ROW(E$2:E6166)*(E6166=E$2:E6166)))))-COUNTBLANK(OFFSET(A$1,,,SUMPRODUCT(MAX(ROW(E$1:E6165)*(E2=E$1:E6165))))))</f>
        <v> </v>
      </c>
      <c r="K6166" s="25" t="str">
        <f>IF(OR(E6166="",E6166="!!!",F6166="NEW"),"",INDEX(J$1:J6165,SUMPRODUCT(MAX(ROW(E$1:E6165)*(E6166=E$1:E6165)))))</f>
        <v> </v>
      </c>
      <c r="L6166" s="26"/>
    </row>
    <row r="6167" spans="1:12">
      <c r="A6167" s="20" t="s">
        <v>36</v>
      </c>
      <c r="E6167" s="21">
        <f>IF(D6167="?OLD","!!!","")</f>
        <v/>
      </c>
      <c r="F6167" s="22" t="str">
        <f>IF(OR(E6167="",E6167="!!!"),"",IF(NOT(ISNA(VLOOKUP(E6167,E$1:E6166,1,FALSE()))),"OLD",IF(AND(E6167&lt;&gt;"",E6167&lt;&gt;"!!!"),"NEW","")))</f>
        <v> </v>
      </c>
      <c r="G6167" s="23" t="str">
        <f>IF(OR(E6167="",E6167="!!!"),"",IF(OR(J6167=0,AND(J6167=1,K6167=1),AND(J6167=1,I6167="SBJ"),AND(J6167=1,I6167=0)),"?IN_FOCUS",IF(J6167&lt;=2,"?ACTIVATED",IF(J6167&lt;&gt;"","?FAMILIAR",IF(F6167="NEW",IF(ISNA(VLOOKUP(E6167,#REF!,1,FALSE())),"?TYPE_IDENTIFIABLE","?REFERENTIAL"),"_")))))</f>
        <v> </v>
      </c>
      <c r="H6167" s="24" t="str">
        <f>IF(J6167&lt;&gt;1,"",IF(I6167="SBJ","CB","?"))</f>
        <v> </v>
      </c>
      <c r="I6167" s="25" t="str">
        <f>IF(OR(E6167="",E6167="!!!",F6167="NEW"),"",INDEX(B6166:B$2,-1+SUMPRODUCT(MAX(ROW(E6166:E$2)*(E6167=E6166:E$2)))))</f>
        <v> </v>
      </c>
      <c r="J6167" s="25" t="str">
        <f>IF(OR(E6167="",E6167="!!!",F6167="NEW"),"",COUNTBLANK(OFFSET(A$1,,,SUMPRODUCT(MAX(ROW(E$2:E6167)*(E6167=E$2:E6167)))))-COUNTBLANK(OFFSET(A$1,,,SUMPRODUCT(MAX(ROW(E$1:E6166)*(E2=E$1:E6166))))))</f>
        <v> </v>
      </c>
      <c r="K6167" s="25" t="str">
        <f>IF(OR(E6167="",E6167="!!!",F6167="NEW"),"",INDEX(J$1:J6166,SUMPRODUCT(MAX(ROW(E$1:E6166)*(E6167=E$1:E6166)))))</f>
        <v> </v>
      </c>
      <c r="L6167" s="26"/>
    </row>
    <row r="6168" spans="1:12">
      <c r="A6168" s="20" t="s">
        <v>1329</v>
      </c>
      <c r="E6168" s="21">
        <f>IF(D6168="?OLD","!!!","")</f>
        <v/>
      </c>
      <c r="F6168" s="22" t="str">
        <f>IF(OR(E6168="",E6168="!!!"),"",IF(NOT(ISNA(VLOOKUP(E6168,E$1:E6167,1,FALSE()))),"OLD",IF(AND(E6168&lt;&gt;"",E6168&lt;&gt;"!!!"),"NEW","")))</f>
        <v> </v>
      </c>
      <c r="G6168" s="23" t="str">
        <f>IF(OR(E6168="",E6168="!!!"),"",IF(OR(J6168=0,AND(J6168=1,K6168=1),AND(J6168=1,I6168="SBJ"),AND(J6168=1,I6168=0)),"?IN_FOCUS",IF(J6168&lt;=2,"?ACTIVATED",IF(J6168&lt;&gt;"","?FAMILIAR",IF(F6168="NEW",IF(ISNA(VLOOKUP(E6168,#REF!,1,FALSE())),"?TYPE_IDENTIFIABLE","?REFERENTIAL"),"_")))))</f>
        <v> </v>
      </c>
      <c r="H6168" s="24" t="str">
        <f>IF(J6168&lt;&gt;1,"",IF(I6168="SBJ","CB","?"))</f>
        <v> </v>
      </c>
      <c r="I6168" s="25" t="str">
        <f>IF(OR(E6168="",E6168="!!!",F6168="NEW"),"",INDEX(B6167:B$2,-1+SUMPRODUCT(MAX(ROW(E6167:E$2)*(E6168=E6167:E$2)))))</f>
        <v> </v>
      </c>
      <c r="J6168" s="25" t="str">
        <f>IF(OR(E6168="",E6168="!!!",F6168="NEW"),"",COUNTBLANK(OFFSET(A$1,,,SUMPRODUCT(MAX(ROW(E$2:E6168)*(E6168=E$2:E6168)))))-COUNTBLANK(OFFSET(A$1,,,SUMPRODUCT(MAX(ROW(E$1:E6167)*(E2=E$1:E6167))))))</f>
        <v> </v>
      </c>
      <c r="K6168" s="25" t="str">
        <f>IF(OR(E6168="",E6168="!!!",F6168="NEW"),"",INDEX(J$1:J6167,SUMPRODUCT(MAX(ROW(E$1:E6167)*(E6168=E$1:E6167)))))</f>
        <v> </v>
      </c>
      <c r="L6168" s="26"/>
    </row>
    <row r="6169" spans="1:12">
      <c r="A6169" s="20" t="s">
        <v>2300</v>
      </c>
      <c r="E6169" s="21">
        <f>IF(D6169="?OLD","!!!","")</f>
        <v/>
      </c>
      <c r="F6169" s="22" t="str">
        <f>IF(OR(E6169="",E6169="!!!"),"",IF(NOT(ISNA(VLOOKUP(E6169,E$1:E6168,1,FALSE()))),"OLD",IF(AND(E6169&lt;&gt;"",E6169&lt;&gt;"!!!"),"NEW","")))</f>
        <v> </v>
      </c>
      <c r="G6169" s="23" t="str">
        <f>IF(OR(E6169="",E6169="!!!"),"",IF(OR(J6169=0,AND(J6169=1,K6169=1),AND(J6169=1,I6169="SBJ"),AND(J6169=1,I6169=0)),"?IN_FOCUS",IF(J6169&lt;=2,"?ACTIVATED",IF(J6169&lt;&gt;"","?FAMILIAR",IF(F6169="NEW",IF(ISNA(VLOOKUP(E6169,#REF!,1,FALSE())),"?TYPE_IDENTIFIABLE","?REFERENTIAL"),"_")))))</f>
        <v> </v>
      </c>
      <c r="H6169" s="24" t="str">
        <f>IF(J6169&lt;&gt;1,"",IF(I6169="SBJ","CB","?"))</f>
        <v> </v>
      </c>
      <c r="I6169" s="25" t="str">
        <f>IF(OR(E6169="",E6169="!!!",F6169="NEW"),"",INDEX(B6168:B$2,-1+SUMPRODUCT(MAX(ROW(E6168:E$2)*(E6169=E6168:E$2)))))</f>
        <v> </v>
      </c>
      <c r="J6169" s="25" t="str">
        <f>IF(OR(E6169="",E6169="!!!",F6169="NEW"),"",COUNTBLANK(OFFSET(A$1,,,SUMPRODUCT(MAX(ROW(E$2:E6169)*(E6169=E$2:E6169)))))-COUNTBLANK(OFFSET(A$1,,,SUMPRODUCT(MAX(ROW(E$1:E6168)*(E2=E$1:E6168))))))</f>
        <v> </v>
      </c>
      <c r="K6169" s="25" t="str">
        <f>IF(OR(E6169="",E6169="!!!",F6169="NEW"),"",INDEX(J$1:J6168,SUMPRODUCT(MAX(ROW(E$1:E6168)*(E6169=E$1:E6168)))))</f>
        <v> </v>
      </c>
      <c r="L6169" s="26"/>
    </row>
    <row r="6170" spans="1:12">
      <c r="A6170" s="20" t="s">
        <v>1237</v>
      </c>
      <c r="E6170" s="21">
        <f>IF(D6170="?OLD","!!!","")</f>
        <v/>
      </c>
      <c r="F6170" s="22" t="str">
        <f>IF(OR(E6170="",E6170="!!!"),"",IF(NOT(ISNA(VLOOKUP(E6170,E$1:E6169,1,FALSE()))),"OLD",IF(AND(E6170&lt;&gt;"",E6170&lt;&gt;"!!!"),"NEW","")))</f>
        <v> </v>
      </c>
      <c r="G6170" s="23" t="str">
        <f>IF(OR(E6170="",E6170="!!!"),"",IF(OR(J6170=0,AND(J6170=1,K6170=1),AND(J6170=1,I6170="SBJ"),AND(J6170=1,I6170=0)),"?IN_FOCUS",IF(J6170&lt;=2,"?ACTIVATED",IF(J6170&lt;&gt;"","?FAMILIAR",IF(F6170="NEW",IF(ISNA(VLOOKUP(E6170,#REF!,1,FALSE())),"?TYPE_IDENTIFIABLE","?REFERENTIAL"),"_")))))</f>
        <v> </v>
      </c>
      <c r="H6170" s="24" t="str">
        <f>IF(J6170&lt;&gt;1,"",IF(I6170="SBJ","CB","?"))</f>
        <v> </v>
      </c>
      <c r="I6170" s="25" t="str">
        <f>IF(OR(E6170="",E6170="!!!",F6170="NEW"),"",INDEX(B6169:B$2,-1+SUMPRODUCT(MAX(ROW(E6169:E$2)*(E6170=E6169:E$2)))))</f>
        <v> </v>
      </c>
      <c r="J6170" s="25" t="str">
        <f>IF(OR(E6170="",E6170="!!!",F6170="NEW"),"",COUNTBLANK(OFFSET(A$1,,,SUMPRODUCT(MAX(ROW(E$2:E6170)*(E6170=E$2:E6170)))))-COUNTBLANK(OFFSET(A$1,,,SUMPRODUCT(MAX(ROW(E$1:E6169)*(E2=E$1:E6169))))))</f>
        <v> </v>
      </c>
      <c r="K6170" s="25" t="str">
        <f>IF(OR(E6170="",E6170="!!!",F6170="NEW"),"",INDEX(J$1:J6169,SUMPRODUCT(MAX(ROW(E$1:E6169)*(E6170=E$1:E6169)))))</f>
        <v> </v>
      </c>
      <c r="L6170" s="26"/>
    </row>
    <row r="6171" spans="1:12">
      <c r="A6171" s="20" t="s">
        <v>2301</v>
      </c>
      <c r="B6171" s="27" t="s">
        <v>939</v>
      </c>
      <c r="C6171" s="27" t="s">
        <v>946</v>
      </c>
      <c r="E6171" s="21">
        <f>IF(D6171="?OLD","!!!","")</f>
        <v/>
      </c>
      <c r="F6171" s="22" t="str">
        <f>IF(OR(E6171="",E6171="!!!"),"",IF(NOT(ISNA(VLOOKUP(E6171,E$1:E6170,1,FALSE()))),"OLD",IF(AND(E6171&lt;&gt;"",E6171&lt;&gt;"!!!"),"NEW","")))</f>
        <v> </v>
      </c>
      <c r="G6171" s="23" t="str">
        <f>IF(OR(E6171="",E6171="!!!"),"",IF(OR(J6171=0,AND(J6171=1,K6171=1),AND(J6171=1,I6171="SBJ"),AND(J6171=1,I6171=0)),"?IN_FOCUS",IF(J6171&lt;=2,"?ACTIVATED",IF(J6171&lt;&gt;"","?FAMILIAR",IF(F6171="NEW",IF(ISNA(VLOOKUP(E6171,#REF!,1,FALSE())),"?TYPE_IDENTIFIABLE","?REFERENTIAL"),"_")))))</f>
        <v> </v>
      </c>
      <c r="H6171" s="24" t="str">
        <f>IF(J6171&lt;&gt;1,"",IF(I6171="SBJ","CB","?"))</f>
        <v> </v>
      </c>
      <c r="I6171" s="25" t="str">
        <f>IF(OR(E6171="",E6171="!!!",F6171="NEW"),"",INDEX(B6170:B$2,-1+SUMPRODUCT(MAX(ROW(E6170:E$2)*(E6171=E6170:E$2)))))</f>
        <v> </v>
      </c>
      <c r="J6171" s="25" t="str">
        <f>IF(OR(E6171="",E6171="!!!",F6171="NEW"),"",COUNTBLANK(OFFSET(A$1,,,SUMPRODUCT(MAX(ROW(E$2:E6171)*(E6171=E$2:E6171)))))-COUNTBLANK(OFFSET(A$1,,,SUMPRODUCT(MAX(ROW(E$1:E6170)*(E2=E$1:E6170))))))</f>
        <v> </v>
      </c>
      <c r="K6171" s="25" t="str">
        <f>IF(OR(E6171="",E6171="!!!",F6171="NEW"),"",INDEX(J$1:J6170,SUMPRODUCT(MAX(ROW(E$1:E6170)*(E6171=E$1:E6170)))))</f>
        <v> </v>
      </c>
      <c r="L6171" s="26"/>
    </row>
    <row r="6172" spans="1:12">
      <c r="A6172" s="20" t="s">
        <v>936</v>
      </c>
      <c r="E6172" s="21">
        <f>IF(D6172="?OLD","!!!","")</f>
        <v/>
      </c>
      <c r="F6172" s="22" t="str">
        <f>IF(OR(E6172="",E6172="!!!"),"",IF(NOT(ISNA(VLOOKUP(E6172,E$1:E6171,1,FALSE()))),"OLD",IF(AND(E6172&lt;&gt;"",E6172&lt;&gt;"!!!"),"NEW","")))</f>
        <v> </v>
      </c>
      <c r="G6172" s="23" t="str">
        <f>IF(OR(E6172="",E6172="!!!"),"",IF(OR(J6172=0,AND(J6172=1,K6172=1),AND(J6172=1,I6172="SBJ"),AND(J6172=1,I6172=0)),"?IN_FOCUS",IF(J6172&lt;=2,"?ACTIVATED",IF(J6172&lt;&gt;"","?FAMILIAR",IF(F6172="NEW",IF(ISNA(VLOOKUP(E6172,#REF!,1,FALSE())),"?TYPE_IDENTIFIABLE","?REFERENTIAL"),"_")))))</f>
        <v> </v>
      </c>
      <c r="H6172" s="24" t="str">
        <f>IF(J6172&lt;&gt;1,"",IF(I6172="SBJ","CB","?"))</f>
        <v> </v>
      </c>
      <c r="I6172" s="25" t="str">
        <f>IF(OR(E6172="",E6172="!!!",F6172="NEW"),"",INDEX(B6171:B$2,-1+SUMPRODUCT(MAX(ROW(E6171:E$2)*(E6172=E6171:E$2)))))</f>
        <v> </v>
      </c>
      <c r="J6172" s="25" t="str">
        <f>IF(OR(E6172="",E6172="!!!",F6172="NEW"),"",COUNTBLANK(OFFSET(A$1,,,SUMPRODUCT(MAX(ROW(E$2:E6172)*(E6172=E$2:E6172)))))-COUNTBLANK(OFFSET(A$1,,,SUMPRODUCT(MAX(ROW(E$1:E6171)*(E2=E$1:E6171))))))</f>
        <v> </v>
      </c>
      <c r="K6172" s="25" t="str">
        <f>IF(OR(E6172="",E6172="!!!",F6172="NEW"),"",INDEX(J$1:J6171,SUMPRODUCT(MAX(ROW(E$1:E6171)*(E6172=E$1:E6171)))))</f>
        <v> </v>
      </c>
      <c r="L6172" s="26"/>
    </row>
    <row r="6173" spans="1:12">
      <c r="A6173" s="20" t="s">
        <v>944</v>
      </c>
      <c r="E6173" s="21">
        <f>IF(D6173="?OLD","!!!","")</f>
        <v/>
      </c>
      <c r="F6173" s="22" t="str">
        <f>IF(OR(E6173="",E6173="!!!"),"",IF(NOT(ISNA(VLOOKUP(E6173,E$1:E6172,1,FALSE()))),"OLD",IF(AND(E6173&lt;&gt;"",E6173&lt;&gt;"!!!"),"NEW","")))</f>
        <v> </v>
      </c>
      <c r="G6173" s="23" t="str">
        <f>IF(OR(E6173="",E6173="!!!"),"",IF(OR(J6173=0,AND(J6173=1,K6173=1),AND(J6173=1,I6173="SBJ"),AND(J6173=1,I6173=0)),"?IN_FOCUS",IF(J6173&lt;=2,"?ACTIVATED",IF(J6173&lt;&gt;"","?FAMILIAR",IF(F6173="NEW",IF(ISNA(VLOOKUP(E6173,#REF!,1,FALSE())),"?TYPE_IDENTIFIABLE","?REFERENTIAL"),"_")))))</f>
        <v> </v>
      </c>
      <c r="H6173" s="24" t="str">
        <f>IF(J6173&lt;&gt;1,"",IF(I6173="SBJ","CB","?"))</f>
        <v> </v>
      </c>
      <c r="I6173" s="25" t="str">
        <f>IF(OR(E6173="",E6173="!!!",F6173="NEW"),"",INDEX(B6172:B$2,-1+SUMPRODUCT(MAX(ROW(E6172:E$2)*(E6173=E6172:E$2)))))</f>
        <v> </v>
      </c>
      <c r="J6173" s="25" t="str">
        <f>IF(OR(E6173="",E6173="!!!",F6173="NEW"),"",COUNTBLANK(OFFSET(A$1,,,SUMPRODUCT(MAX(ROW(E$2:E6173)*(E6173=E$2:E6173)))))-COUNTBLANK(OFFSET(A$1,,,SUMPRODUCT(MAX(ROW(E$1:E6172)*(E2=E$1:E6172))))))</f>
        <v> </v>
      </c>
      <c r="K6173" s="25" t="str">
        <f>IF(OR(E6173="",E6173="!!!",F6173="NEW"),"",INDEX(J$1:J6172,SUMPRODUCT(MAX(ROW(E$1:E6172)*(E6173=E$1:E6172)))))</f>
        <v> </v>
      </c>
      <c r="L6173" s="26"/>
    </row>
    <row r="6174" spans="1:12">
      <c r="A6174" s="20" t="s">
        <v>929</v>
      </c>
      <c r="B6174" s="27" t="s">
        <v>968</v>
      </c>
      <c r="C6174" s="27" t="s">
        <v>931</v>
      </c>
      <c r="D6174" s="27" t="s">
        <v>932</v>
      </c>
      <c r="E6174" s="21">
        <f>IF(D6174="?OLD","!!!","")</f>
        <v/>
      </c>
      <c r="F6174" s="22" t="str">
        <f>IF(OR(E6174="",E6174="!!!"),"",IF(NOT(ISNA(VLOOKUP(E6174,E$1:E6173,1,FALSE()))),"OLD",IF(AND(E6174&lt;&gt;"",E6174&lt;&gt;"!!!"),"NEW","")))</f>
        <v> </v>
      </c>
      <c r="G6174" s="23" t="str">
        <f>IF(OR(E6174="",E6174="!!!"),"",IF(OR(J6174=0,AND(J6174=1,K6174=1),AND(J6174=1,I6174="SBJ"),AND(J6174=1,I6174=0)),"?IN_FOCUS",IF(J6174&lt;=2,"?ACTIVATED",IF(J6174&lt;&gt;"","?FAMILIAR",IF(F6174="NEW",IF(ISNA(VLOOKUP(E6174,#REF!,1,FALSE())),"?TYPE_IDENTIFIABLE","?REFERENTIAL"),"_")))))</f>
        <v> </v>
      </c>
      <c r="H6174" s="24" t="str">
        <f>IF(J6174&lt;&gt;1,"",IF(I6174="SBJ","CB","?"))</f>
        <v> </v>
      </c>
      <c r="I6174" s="25" t="str">
        <f>IF(OR(E6174="",E6174="!!!",F6174="NEW"),"",INDEX(B6173:B$2,-1+SUMPRODUCT(MAX(ROW(E6173:E$2)*(E6174=E6173:E$2)))))</f>
        <v> </v>
      </c>
      <c r="J6174" s="25" t="str">
        <f>IF(OR(E6174="",E6174="!!!",F6174="NEW"),"",COUNTBLANK(OFFSET(A$1,,,SUMPRODUCT(MAX(ROW(E$2:E6174)*(E6174=E$2:E6174)))))-COUNTBLANK(OFFSET(A$1,,,SUMPRODUCT(MAX(ROW(E$1:E6173)*(E2=E$1:E6173))))))</f>
        <v> </v>
      </c>
      <c r="K6174" s="25" t="str">
        <f>IF(OR(E6174="",E6174="!!!",F6174="NEW"),"",INDEX(J$1:J6173,SUMPRODUCT(MAX(ROW(E$1:E6173)*(E6174=E$1:E6173)))))</f>
        <v> </v>
      </c>
      <c r="L6174" s="26"/>
    </row>
    <row r="6175" spans="1:12">
      <c r="A6175" s="20" t="s">
        <v>45</v>
      </c>
      <c r="E6175" s="21">
        <f>IF(D6175="?OLD","!!!","")</f>
        <v/>
      </c>
      <c r="F6175" s="22" t="str">
        <f>IF(OR(E6175="",E6175="!!!"),"",IF(NOT(ISNA(VLOOKUP(E6175,E$1:E6174,1,FALSE()))),"OLD",IF(AND(E6175&lt;&gt;"",E6175&lt;&gt;"!!!"),"NEW","")))</f>
        <v> </v>
      </c>
      <c r="G6175" s="23" t="str">
        <f>IF(OR(E6175="",E6175="!!!"),"",IF(OR(J6175=0,AND(J6175=1,K6175=1),AND(J6175=1,I6175="SBJ"),AND(J6175=1,I6175=0)),"?IN_FOCUS",IF(J6175&lt;=2,"?ACTIVATED",IF(J6175&lt;&gt;"","?FAMILIAR",IF(F6175="NEW",IF(ISNA(VLOOKUP(E6175,#REF!,1,FALSE())),"?TYPE_IDENTIFIABLE","?REFERENTIAL"),"_")))))</f>
        <v> </v>
      </c>
      <c r="H6175" s="24" t="str">
        <f>IF(J6175&lt;&gt;1,"",IF(I6175="SBJ","CB","?"))</f>
        <v> </v>
      </c>
      <c r="I6175" s="25" t="str">
        <f>IF(OR(E6175="",E6175="!!!",F6175="NEW"),"",INDEX(B6174:B$2,-1+SUMPRODUCT(MAX(ROW(E6174:E$2)*(E6175=E6174:E$2)))))</f>
        <v> </v>
      </c>
      <c r="J6175" s="25" t="str">
        <f>IF(OR(E6175="",E6175="!!!",F6175="NEW"),"",COUNTBLANK(OFFSET(A$1,,,SUMPRODUCT(MAX(ROW(E$2:E6175)*(E6175=E$2:E6175)))))-COUNTBLANK(OFFSET(A$1,,,SUMPRODUCT(MAX(ROW(E$1:E6174)*(E2=E$1:E6174))))))</f>
        <v> </v>
      </c>
      <c r="K6175" s="25" t="str">
        <f>IF(OR(E6175="",E6175="!!!",F6175="NEW"),"",INDEX(J$1:J6174,SUMPRODUCT(MAX(ROW(E$1:E6174)*(E6175=E$1:E6174)))))</f>
        <v> </v>
      </c>
      <c r="L6175" s="26"/>
    </row>
    <row r="6176" spans="1:12">
      <c r="A6176" s="20" t="s">
        <v>1107</v>
      </c>
      <c r="E6176" s="21">
        <f>IF(D6176="?OLD","!!!","")</f>
        <v/>
      </c>
      <c r="F6176" s="22" t="str">
        <f>IF(OR(E6176="",E6176="!!!"),"",IF(NOT(ISNA(VLOOKUP(E6176,E$1:E6175,1,FALSE()))),"OLD",IF(AND(E6176&lt;&gt;"",E6176&lt;&gt;"!!!"),"NEW","")))</f>
        <v> </v>
      </c>
      <c r="G6176" s="23" t="str">
        <f>IF(OR(E6176="",E6176="!!!"),"",IF(OR(J6176=0,AND(J6176=1,K6176=1),AND(J6176=1,I6176="SBJ"),AND(J6176=1,I6176=0)),"?IN_FOCUS",IF(J6176&lt;=2,"?ACTIVATED",IF(J6176&lt;&gt;"","?FAMILIAR",IF(F6176="NEW",IF(ISNA(VLOOKUP(E6176,#REF!,1,FALSE())),"?TYPE_IDENTIFIABLE","?REFERENTIAL"),"_")))))</f>
        <v> </v>
      </c>
      <c r="H6176" s="24" t="str">
        <f>IF(J6176&lt;&gt;1,"",IF(I6176="SBJ","CB","?"))</f>
        <v> </v>
      </c>
      <c r="I6176" s="25" t="str">
        <f>IF(OR(E6176="",E6176="!!!",F6176="NEW"),"",INDEX(B6175:B$2,-1+SUMPRODUCT(MAX(ROW(E6175:E$2)*(E6176=E6175:E$2)))))</f>
        <v> </v>
      </c>
      <c r="J6176" s="25" t="str">
        <f>IF(OR(E6176="",E6176="!!!",F6176="NEW"),"",COUNTBLANK(OFFSET(A$1,,,SUMPRODUCT(MAX(ROW(E$2:E6176)*(E6176=E$2:E6176)))))-COUNTBLANK(OFFSET(A$1,,,SUMPRODUCT(MAX(ROW(E$1:E6175)*(E2=E$1:E6175))))))</f>
        <v> </v>
      </c>
      <c r="K6176" s="25" t="str">
        <f>IF(OR(E6176="",E6176="!!!",F6176="NEW"),"",INDEX(J$1:J6175,SUMPRODUCT(MAX(ROW(E$1:E6175)*(E6176=E$1:E6175)))))</f>
        <v> </v>
      </c>
      <c r="L6176" s="26"/>
    </row>
    <row r="6177" spans="1:12">
      <c r="A6177" s="20" t="s">
        <v>958</v>
      </c>
      <c r="E6177" s="21">
        <f>IF(D6177="?OLD","!!!","")</f>
        <v/>
      </c>
      <c r="F6177" s="22" t="str">
        <f>IF(OR(E6177="",E6177="!!!"),"",IF(NOT(ISNA(VLOOKUP(E6177,E$1:E6176,1,FALSE()))),"OLD",IF(AND(E6177&lt;&gt;"",E6177&lt;&gt;"!!!"),"NEW","")))</f>
        <v> </v>
      </c>
      <c r="G6177" s="23" t="str">
        <f>IF(OR(E6177="",E6177="!!!"),"",IF(OR(J6177=0,AND(J6177=1,K6177=1),AND(J6177=1,I6177="SBJ"),AND(J6177=1,I6177=0)),"?IN_FOCUS",IF(J6177&lt;=2,"?ACTIVATED",IF(J6177&lt;&gt;"","?FAMILIAR",IF(F6177="NEW",IF(ISNA(VLOOKUP(E6177,#REF!,1,FALSE())),"?TYPE_IDENTIFIABLE","?REFERENTIAL"),"_")))))</f>
        <v> </v>
      </c>
      <c r="H6177" s="24" t="str">
        <f>IF(J6177&lt;&gt;1,"",IF(I6177="SBJ","CB","?"))</f>
        <v> </v>
      </c>
      <c r="I6177" s="25" t="str">
        <f>IF(OR(E6177="",E6177="!!!",F6177="NEW"),"",INDEX(B6176:B$2,-1+SUMPRODUCT(MAX(ROW(E6176:E$2)*(E6177=E6176:E$2)))))</f>
        <v> </v>
      </c>
      <c r="J6177" s="25" t="str">
        <f>IF(OR(E6177="",E6177="!!!",F6177="NEW"),"",COUNTBLANK(OFFSET(A$1,,,SUMPRODUCT(MAX(ROW(E$2:E6177)*(E6177=E$2:E6177)))))-COUNTBLANK(OFFSET(A$1,,,SUMPRODUCT(MAX(ROW(E$1:E6176)*(E2=E$1:E6176))))))</f>
        <v> </v>
      </c>
      <c r="K6177" s="25" t="str">
        <f>IF(OR(E6177="",E6177="!!!",F6177="NEW"),"",INDEX(J$1:J6176,SUMPRODUCT(MAX(ROW(E$1:E6176)*(E6177=E$1:E6176)))))</f>
        <v> </v>
      </c>
      <c r="L6177" s="26"/>
    </row>
    <row r="6178" spans="1:12">
      <c r="A6178" s="20" t="s">
        <v>958</v>
      </c>
      <c r="E6178" s="21">
        <f>IF(D6178="?OLD","!!!","")</f>
        <v/>
      </c>
      <c r="F6178" s="22" t="str">
        <f>IF(OR(E6178="",E6178="!!!"),"",IF(NOT(ISNA(VLOOKUP(E6178,E$1:E6177,1,FALSE()))),"OLD",IF(AND(E6178&lt;&gt;"",E6178&lt;&gt;"!!!"),"NEW","")))</f>
        <v> </v>
      </c>
      <c r="G6178" s="23" t="str">
        <f>IF(OR(E6178="",E6178="!!!"),"",IF(OR(J6178=0,AND(J6178=1,K6178=1),AND(J6178=1,I6178="SBJ"),AND(J6178=1,I6178=0)),"?IN_FOCUS",IF(J6178&lt;=2,"?ACTIVATED",IF(J6178&lt;&gt;"","?FAMILIAR",IF(F6178="NEW",IF(ISNA(VLOOKUP(E6178,#REF!,1,FALSE())),"?TYPE_IDENTIFIABLE","?REFERENTIAL"),"_")))))</f>
        <v> </v>
      </c>
      <c r="H6178" s="24" t="str">
        <f>IF(J6178&lt;&gt;1,"",IF(I6178="SBJ","CB","?"))</f>
        <v> </v>
      </c>
      <c r="I6178" s="25" t="str">
        <f>IF(OR(E6178="",E6178="!!!",F6178="NEW"),"",INDEX(B6177:B$2,-1+SUMPRODUCT(MAX(ROW(E6177:E$2)*(E6178=E6177:E$2)))))</f>
        <v> </v>
      </c>
      <c r="J6178" s="25" t="str">
        <f>IF(OR(E6178="",E6178="!!!",F6178="NEW"),"",COUNTBLANK(OFFSET(A$1,,,SUMPRODUCT(MAX(ROW(E$2:E6178)*(E6178=E$2:E6178)))))-COUNTBLANK(OFFSET(A$1,,,SUMPRODUCT(MAX(ROW(E$1:E6177)*(E2=E$1:E6177))))))</f>
        <v> </v>
      </c>
      <c r="K6178" s="25" t="str">
        <f>IF(OR(E6178="",E6178="!!!",F6178="NEW"),"",INDEX(J$1:J6177,SUMPRODUCT(MAX(ROW(E$1:E6177)*(E6178=E$1:E6177)))))</f>
        <v> </v>
      </c>
      <c r="L6178" s="26"/>
    </row>
    <row r="6179" spans="1:12">
      <c r="A6179" s="20" t="s">
        <v>1467</v>
      </c>
      <c r="B6179" s="27" t="s">
        <v>1009</v>
      </c>
      <c r="C6179" s="27" t="s">
        <v>999</v>
      </c>
      <c r="D6179" s="27" t="s">
        <v>932</v>
      </c>
      <c r="E6179" s="21">
        <f>IF(D6179="?OLD","!!!","")</f>
        <v/>
      </c>
      <c r="F6179" s="22" t="str">
        <f>IF(OR(E6179="",E6179="!!!"),"",IF(NOT(ISNA(VLOOKUP(E6179,E$1:E6178,1,FALSE()))),"OLD",IF(AND(E6179&lt;&gt;"",E6179&lt;&gt;"!!!"),"NEW","")))</f>
        <v> </v>
      </c>
      <c r="G6179" s="23" t="str">
        <f>IF(OR(E6179="",E6179="!!!"),"",IF(OR(J6179=0,AND(J6179=1,K6179=1),AND(J6179=1,I6179="SBJ"),AND(J6179=1,I6179=0)),"?IN_FOCUS",IF(J6179&lt;=2,"?ACTIVATED",IF(J6179&lt;&gt;"","?FAMILIAR",IF(F6179="NEW",IF(ISNA(VLOOKUP(E6179,#REF!,1,FALSE())),"?TYPE_IDENTIFIABLE","?REFERENTIAL"),"_")))))</f>
        <v> </v>
      </c>
      <c r="H6179" s="24" t="str">
        <f>IF(J6179&lt;&gt;1,"",IF(I6179="SBJ","CB","?"))</f>
        <v> </v>
      </c>
      <c r="I6179" s="25" t="str">
        <f>IF(OR(E6179="",E6179="!!!",F6179="NEW"),"",INDEX(B6178:B$2,-1+SUMPRODUCT(MAX(ROW(E6178:E$2)*(E6179=E6178:E$2)))))</f>
        <v> </v>
      </c>
      <c r="J6179" s="25" t="str">
        <f>IF(OR(E6179="",E6179="!!!",F6179="NEW"),"",COUNTBLANK(OFFSET(A$1,,,SUMPRODUCT(MAX(ROW(E$2:E6179)*(E6179=E$2:E6179)))))-COUNTBLANK(OFFSET(A$1,,,SUMPRODUCT(MAX(ROW(E$1:E6178)*(E2=E$1:E6178))))))</f>
        <v> </v>
      </c>
      <c r="K6179" s="25" t="str">
        <f>IF(OR(E6179="",E6179="!!!",F6179="NEW"),"",INDEX(J$1:J6178,SUMPRODUCT(MAX(ROW(E$1:E6178)*(E6179=E$1:E6178)))))</f>
        <v> </v>
      </c>
      <c r="L6179" s="26"/>
    </row>
    <row r="6180" spans="1:12">
      <c r="A6180" s="20" t="s">
        <v>1599</v>
      </c>
      <c r="E6180" s="21">
        <f>IF(D6180="?OLD","!!!","")</f>
        <v/>
      </c>
      <c r="F6180" s="22" t="str">
        <f>IF(OR(E6180="",E6180="!!!"),"",IF(NOT(ISNA(VLOOKUP(E6180,E$1:E6179,1,FALSE()))),"OLD",IF(AND(E6180&lt;&gt;"",E6180&lt;&gt;"!!!"),"NEW","")))</f>
        <v> </v>
      </c>
      <c r="G6180" s="23" t="str">
        <f>IF(OR(E6180="",E6180="!!!"),"",IF(OR(J6180=0,AND(J6180=1,K6180=1),AND(J6180=1,I6180="SBJ"),AND(J6180=1,I6180=0)),"?IN_FOCUS",IF(J6180&lt;=2,"?ACTIVATED",IF(J6180&lt;&gt;"","?FAMILIAR",IF(F6180="NEW",IF(ISNA(VLOOKUP(E6180,#REF!,1,FALSE())),"?TYPE_IDENTIFIABLE","?REFERENTIAL"),"_")))))</f>
        <v> </v>
      </c>
      <c r="H6180" s="24" t="str">
        <f>IF(J6180&lt;&gt;1,"",IF(I6180="SBJ","CB","?"))</f>
        <v> </v>
      </c>
      <c r="I6180" s="25" t="str">
        <f>IF(OR(E6180="",E6180="!!!",F6180="NEW"),"",INDEX(B6179:B$2,-1+SUMPRODUCT(MAX(ROW(E6179:E$2)*(E6180=E6179:E$2)))))</f>
        <v> </v>
      </c>
      <c r="J6180" s="25" t="str">
        <f>IF(OR(E6180="",E6180="!!!",F6180="NEW"),"",COUNTBLANK(OFFSET(A$1,,,SUMPRODUCT(MAX(ROW(E$2:E6180)*(E6180=E$2:E6180)))))-COUNTBLANK(OFFSET(A$1,,,SUMPRODUCT(MAX(ROW(E$1:E6179)*(E2=E$1:E6179))))))</f>
        <v> </v>
      </c>
      <c r="K6180" s="25" t="str">
        <f>IF(OR(E6180="",E6180="!!!",F6180="NEW"),"",INDEX(J$1:J6179,SUMPRODUCT(MAX(ROW(E$1:E6179)*(E6180=E$1:E6179)))))</f>
        <v> </v>
      </c>
      <c r="L6180" s="26"/>
    </row>
    <row r="6181" spans="1:12">
      <c r="A6181" s="20" t="s">
        <v>2302</v>
      </c>
      <c r="E6181" s="21">
        <f>IF(D6181="?OLD","!!!","")</f>
        <v/>
      </c>
      <c r="F6181" s="22" t="str">
        <f>IF(OR(E6181="",E6181="!!!"),"",IF(NOT(ISNA(VLOOKUP(E6181,E$1:E6180,1,FALSE()))),"OLD",IF(AND(E6181&lt;&gt;"",E6181&lt;&gt;"!!!"),"NEW","")))</f>
        <v> </v>
      </c>
      <c r="G6181" s="23" t="str">
        <f>IF(OR(E6181="",E6181="!!!"),"",IF(OR(J6181=0,AND(J6181=1,K6181=1),AND(J6181=1,I6181="SBJ"),AND(J6181=1,I6181=0)),"?IN_FOCUS",IF(J6181&lt;=2,"?ACTIVATED",IF(J6181&lt;&gt;"","?FAMILIAR",IF(F6181="NEW",IF(ISNA(VLOOKUP(E6181,#REF!,1,FALSE())),"?TYPE_IDENTIFIABLE","?REFERENTIAL"),"_")))))</f>
        <v> </v>
      </c>
      <c r="H6181" s="24" t="str">
        <f>IF(J6181&lt;&gt;1,"",IF(I6181="SBJ","CB","?"))</f>
        <v> </v>
      </c>
      <c r="I6181" s="25" t="str">
        <f>IF(OR(E6181="",E6181="!!!",F6181="NEW"),"",INDEX(B6180:B$2,-1+SUMPRODUCT(MAX(ROW(E6180:E$2)*(E6181=E6180:E$2)))))</f>
        <v> </v>
      </c>
      <c r="J6181" s="25" t="str">
        <f>IF(OR(E6181="",E6181="!!!",F6181="NEW"),"",COUNTBLANK(OFFSET(A$1,,,SUMPRODUCT(MAX(ROW(E$2:E6181)*(E6181=E$2:E6181)))))-COUNTBLANK(OFFSET(A$1,,,SUMPRODUCT(MAX(ROW(E$1:E6180)*(E2=E$1:E6180))))))</f>
        <v> </v>
      </c>
      <c r="K6181" s="25" t="str">
        <f>IF(OR(E6181="",E6181="!!!",F6181="NEW"),"",INDEX(J$1:J6180,SUMPRODUCT(MAX(ROW(E$1:E6180)*(E6181=E$1:E6180)))))</f>
        <v> </v>
      </c>
      <c r="L6181" s="26"/>
    </row>
    <row r="6182" spans="1:12">
      <c r="A6182" s="20" t="s">
        <v>1064</v>
      </c>
      <c r="B6182" s="27" t="s">
        <v>1183</v>
      </c>
      <c r="C6182" s="27" t="s">
        <v>931</v>
      </c>
      <c r="D6182" s="27" t="s">
        <v>932</v>
      </c>
      <c r="E6182" s="21">
        <f>IF(D6182="?OLD","!!!","")</f>
        <v/>
      </c>
      <c r="F6182" s="22" t="str">
        <f>IF(OR(E6182="",E6182="!!!"),"",IF(NOT(ISNA(VLOOKUP(E6182,E$1:E6181,1,FALSE()))),"OLD",IF(AND(E6182&lt;&gt;"",E6182&lt;&gt;"!!!"),"NEW","")))</f>
        <v> </v>
      </c>
      <c r="G6182" s="23" t="str">
        <f>IF(OR(E6182="",E6182="!!!"),"",IF(OR(J6182=0,AND(J6182=1,K6182=1),AND(J6182=1,I6182="SBJ"),AND(J6182=1,I6182=0)),"?IN_FOCUS",IF(J6182&lt;=2,"?ACTIVATED",IF(J6182&lt;&gt;"","?FAMILIAR",IF(F6182="NEW",IF(ISNA(VLOOKUP(E6182,#REF!,1,FALSE())),"?TYPE_IDENTIFIABLE","?REFERENTIAL"),"_")))))</f>
        <v> </v>
      </c>
      <c r="H6182" s="24" t="str">
        <f>IF(J6182&lt;&gt;1,"",IF(I6182="SBJ","CB","?"))</f>
        <v> </v>
      </c>
      <c r="I6182" s="25" t="str">
        <f>IF(OR(E6182="",E6182="!!!",F6182="NEW"),"",INDEX(B6181:B$2,-1+SUMPRODUCT(MAX(ROW(E6181:E$2)*(E6182=E6181:E$2)))))</f>
        <v> </v>
      </c>
      <c r="J6182" s="25" t="str">
        <f>IF(OR(E6182="",E6182="!!!",F6182="NEW"),"",COUNTBLANK(OFFSET(A$1,,,SUMPRODUCT(MAX(ROW(E$2:E6182)*(E6182=E$2:E6182)))))-COUNTBLANK(OFFSET(A$1,,,SUMPRODUCT(MAX(ROW(E$1:E6181)*(E2=E$1:E6181))))))</f>
        <v> </v>
      </c>
      <c r="K6182" s="25" t="str">
        <f>IF(OR(E6182="",E6182="!!!",F6182="NEW"),"",INDEX(J$1:J6181,SUMPRODUCT(MAX(ROW(E$1:E6181)*(E6182=E$1:E6181)))))</f>
        <v> </v>
      </c>
      <c r="L6182" s="26"/>
    </row>
    <row r="6183" spans="1:12">
      <c r="A6183" s="20" t="s">
        <v>947</v>
      </c>
      <c r="E6183" s="21">
        <f>IF(D6183="?OLD","!!!","")</f>
        <v/>
      </c>
      <c r="F6183" s="22" t="str">
        <f>IF(OR(E6183="",E6183="!!!"),"",IF(NOT(ISNA(VLOOKUP(E6183,E$1:E6182,1,FALSE()))),"OLD",IF(AND(E6183&lt;&gt;"",E6183&lt;&gt;"!!!"),"NEW","")))</f>
        <v> </v>
      </c>
      <c r="G6183" s="23" t="str">
        <f>IF(OR(E6183="",E6183="!!!"),"",IF(OR(J6183=0,AND(J6183=1,K6183=1),AND(J6183=1,I6183="SBJ"),AND(J6183=1,I6183=0)),"?IN_FOCUS",IF(J6183&lt;=2,"?ACTIVATED",IF(J6183&lt;&gt;"","?FAMILIAR",IF(F6183="NEW",IF(ISNA(VLOOKUP(E6183,#REF!,1,FALSE())),"?TYPE_IDENTIFIABLE","?REFERENTIAL"),"_")))))</f>
        <v> </v>
      </c>
      <c r="H6183" s="24" t="str">
        <f>IF(J6183&lt;&gt;1,"",IF(I6183="SBJ","CB","?"))</f>
        <v> </v>
      </c>
      <c r="I6183" s="25" t="str">
        <f>IF(OR(E6183="",E6183="!!!",F6183="NEW"),"",INDEX(B6182:B$2,-1+SUMPRODUCT(MAX(ROW(E6182:E$2)*(E6183=E6182:E$2)))))</f>
        <v> </v>
      </c>
      <c r="J6183" s="25" t="str">
        <f>IF(OR(E6183="",E6183="!!!",F6183="NEW"),"",COUNTBLANK(OFFSET(A$1,,,SUMPRODUCT(MAX(ROW(E$2:E6183)*(E6183=E$2:E6183)))))-COUNTBLANK(OFFSET(A$1,,,SUMPRODUCT(MAX(ROW(E$1:E6182)*(E2=E$1:E6182))))))</f>
        <v> </v>
      </c>
      <c r="K6183" s="25" t="str">
        <f>IF(OR(E6183="",E6183="!!!",F6183="NEW"),"",INDEX(J$1:J6182,SUMPRODUCT(MAX(ROW(E$1:E6182)*(E6183=E$1:E6182)))))</f>
        <v> </v>
      </c>
      <c r="L6183" s="26"/>
    </row>
    <row r="6184" spans="1:12">
      <c r="A6184" s="20" t="s">
        <v>1467</v>
      </c>
      <c r="E6184" s="21">
        <f>IF(D6184="?OLD","!!!","")</f>
        <v/>
      </c>
      <c r="F6184" s="22" t="str">
        <f>IF(OR(E6184="",E6184="!!!"),"",IF(NOT(ISNA(VLOOKUP(E6184,E$1:E6183,1,FALSE()))),"OLD",IF(AND(E6184&lt;&gt;"",E6184&lt;&gt;"!!!"),"NEW","")))</f>
        <v> </v>
      </c>
      <c r="G6184" s="23" t="str">
        <f>IF(OR(E6184="",E6184="!!!"),"",IF(OR(J6184=0,AND(J6184=1,K6184=1),AND(J6184=1,I6184="SBJ"),AND(J6184=1,I6184=0)),"?IN_FOCUS",IF(J6184&lt;=2,"?ACTIVATED",IF(J6184&lt;&gt;"","?FAMILIAR",IF(F6184="NEW",IF(ISNA(VLOOKUP(E6184,#REF!,1,FALSE())),"?TYPE_IDENTIFIABLE","?REFERENTIAL"),"_")))))</f>
        <v> </v>
      </c>
      <c r="H6184" s="24" t="str">
        <f>IF(J6184&lt;&gt;1,"",IF(I6184="SBJ","CB","?"))</f>
        <v> </v>
      </c>
      <c r="I6184" s="25" t="str">
        <f>IF(OR(E6184="",E6184="!!!",F6184="NEW"),"",INDEX(B6183:B$2,-1+SUMPRODUCT(MAX(ROW(E6183:E$2)*(E6184=E6183:E$2)))))</f>
        <v> </v>
      </c>
      <c r="J6184" s="25" t="str">
        <f>IF(OR(E6184="",E6184="!!!",F6184="NEW"),"",COUNTBLANK(OFFSET(A$1,,,SUMPRODUCT(MAX(ROW(E$2:E6184)*(E6184=E$2:E6184)))))-COUNTBLANK(OFFSET(A$1,,,SUMPRODUCT(MAX(ROW(E$1:E6183)*(E2=E$1:E6183))))))</f>
        <v> </v>
      </c>
      <c r="K6184" s="25" t="str">
        <f>IF(OR(E6184="",E6184="!!!",F6184="NEW"),"",INDEX(J$1:J6183,SUMPRODUCT(MAX(ROW(E$1:E6183)*(E6184=E$1:E6183)))))</f>
        <v> </v>
      </c>
      <c r="L6184" s="26"/>
    </row>
    <row r="6185" spans="1:12">
      <c r="A6185" s="20" t="s">
        <v>2303</v>
      </c>
      <c r="E6185" s="21">
        <f>IF(D6185="?OLD","!!!","")</f>
        <v/>
      </c>
      <c r="F6185" s="22" t="str">
        <f>IF(OR(E6185="",E6185="!!!"),"",IF(NOT(ISNA(VLOOKUP(E6185,E$1:E6184,1,FALSE()))),"OLD",IF(AND(E6185&lt;&gt;"",E6185&lt;&gt;"!!!"),"NEW","")))</f>
        <v> </v>
      </c>
      <c r="G6185" s="23" t="str">
        <f>IF(OR(E6185="",E6185="!!!"),"",IF(OR(J6185=0,AND(J6185=1,K6185=1),AND(J6185=1,I6185="SBJ"),AND(J6185=1,I6185=0)),"?IN_FOCUS",IF(J6185&lt;=2,"?ACTIVATED",IF(J6185&lt;&gt;"","?FAMILIAR",IF(F6185="NEW",IF(ISNA(VLOOKUP(E6185,#REF!,1,FALSE())),"?TYPE_IDENTIFIABLE","?REFERENTIAL"),"_")))))</f>
        <v> </v>
      </c>
      <c r="H6185" s="24" t="str">
        <f>IF(J6185&lt;&gt;1,"",IF(I6185="SBJ","CB","?"))</f>
        <v> </v>
      </c>
      <c r="I6185" s="25" t="str">
        <f>IF(OR(E6185="",E6185="!!!",F6185="NEW"),"",INDEX(B6184:B$2,-1+SUMPRODUCT(MAX(ROW(E6184:E$2)*(E6185=E6184:E$2)))))</f>
        <v> </v>
      </c>
      <c r="J6185" s="25" t="str">
        <f>IF(OR(E6185="",E6185="!!!",F6185="NEW"),"",COUNTBLANK(OFFSET(A$1,,,SUMPRODUCT(MAX(ROW(E$2:E6185)*(E6185=E$2:E6185)))))-COUNTBLANK(OFFSET(A$1,,,SUMPRODUCT(MAX(ROW(E$1:E6184)*(E2=E$1:E6184))))))</f>
        <v> </v>
      </c>
      <c r="K6185" s="25" t="str">
        <f>IF(OR(E6185="",E6185="!!!",F6185="NEW"),"",INDEX(J$1:J6184,SUMPRODUCT(MAX(ROW(E$1:E6184)*(E6185=E$1:E6184)))))</f>
        <v> </v>
      </c>
      <c r="L6185" s="26"/>
    </row>
    <row r="6186" spans="1:12">
      <c r="A6186" s="20" t="s">
        <v>2299</v>
      </c>
      <c r="B6186" s="27" t="s">
        <v>1031</v>
      </c>
      <c r="C6186" s="27" t="s">
        <v>946</v>
      </c>
      <c r="E6186" s="21">
        <f>IF(D6186="?OLD","!!!","")</f>
        <v/>
      </c>
      <c r="F6186" s="22" t="str">
        <f>IF(OR(E6186="",E6186="!!!"),"",IF(NOT(ISNA(VLOOKUP(E6186,E$1:E6185,1,FALSE()))),"OLD",IF(AND(E6186&lt;&gt;"",E6186&lt;&gt;"!!!"),"NEW","")))</f>
        <v> </v>
      </c>
      <c r="G6186" s="23" t="str">
        <f>IF(OR(E6186="",E6186="!!!"),"",IF(OR(J6186=0,AND(J6186=1,K6186=1),AND(J6186=1,I6186="SBJ"),AND(J6186=1,I6186=0)),"?IN_FOCUS",IF(J6186&lt;=2,"?ACTIVATED",IF(J6186&lt;&gt;"","?FAMILIAR",IF(F6186="NEW",IF(ISNA(VLOOKUP(E6186,#REF!,1,FALSE())),"?TYPE_IDENTIFIABLE","?REFERENTIAL"),"_")))))</f>
        <v> </v>
      </c>
      <c r="H6186" s="24" t="str">
        <f>IF(J6186&lt;&gt;1,"",IF(I6186="SBJ","CB","?"))</f>
        <v> </v>
      </c>
      <c r="I6186" s="25" t="str">
        <f>IF(OR(E6186="",E6186="!!!",F6186="NEW"),"",INDEX(B6185:B$2,-1+SUMPRODUCT(MAX(ROW(E6185:E$2)*(E6186=E6185:E$2)))))</f>
        <v> </v>
      </c>
      <c r="J6186" s="25" t="str">
        <f>IF(OR(E6186="",E6186="!!!",F6186="NEW"),"",COUNTBLANK(OFFSET(A$1,,,SUMPRODUCT(MAX(ROW(E$2:E6186)*(E6186=E$2:E6186)))))-COUNTBLANK(OFFSET(A$1,,,SUMPRODUCT(MAX(ROW(E$1:E6185)*(E2=E$1:E6185))))))</f>
        <v> </v>
      </c>
      <c r="K6186" s="25" t="str">
        <f>IF(OR(E6186="",E6186="!!!",F6186="NEW"),"",INDEX(J$1:J6185,SUMPRODUCT(MAX(ROW(E$1:E6185)*(E6186=E$1:E6185)))))</f>
        <v> </v>
      </c>
      <c r="L6186" s="26"/>
    </row>
    <row r="6187" spans="1:12">
      <c r="A6187" s="20" t="s">
        <v>937</v>
      </c>
      <c r="E6187" s="21">
        <f>IF(D6187="?OLD","!!!","")</f>
        <v/>
      </c>
      <c r="F6187" s="22" t="str">
        <f>IF(OR(E6187="",E6187="!!!"),"",IF(NOT(ISNA(VLOOKUP(E6187,E$1:E6186,1,FALSE()))),"OLD",IF(AND(E6187&lt;&gt;"",E6187&lt;&gt;"!!!"),"NEW","")))</f>
        <v> </v>
      </c>
      <c r="G6187" s="23" t="str">
        <f>IF(OR(E6187="",E6187="!!!"),"",IF(OR(J6187=0,AND(J6187=1,K6187=1),AND(J6187=1,I6187="SBJ"),AND(J6187=1,I6187=0)),"?IN_FOCUS",IF(J6187&lt;=2,"?ACTIVATED",IF(J6187&lt;&gt;"","?FAMILIAR",IF(F6187="NEW",IF(ISNA(VLOOKUP(E6187,#REF!,1,FALSE())),"?TYPE_IDENTIFIABLE","?REFERENTIAL"),"_")))))</f>
        <v> </v>
      </c>
      <c r="H6187" s="24" t="str">
        <f>IF(J6187&lt;&gt;1,"",IF(I6187="SBJ","CB","?"))</f>
        <v> </v>
      </c>
      <c r="I6187" s="25" t="str">
        <f>IF(OR(E6187="",E6187="!!!",F6187="NEW"),"",INDEX(B6186:B$2,-1+SUMPRODUCT(MAX(ROW(E6186:E$2)*(E6187=E6186:E$2)))))</f>
        <v> </v>
      </c>
      <c r="J6187" s="25" t="str">
        <f>IF(OR(E6187="",E6187="!!!",F6187="NEW"),"",COUNTBLANK(OFFSET(A$1,,,SUMPRODUCT(MAX(ROW(E$2:E6187)*(E6187=E$2:E6187)))))-COUNTBLANK(OFFSET(A$1,,,SUMPRODUCT(MAX(ROW(E$1:E6186)*(E2=E$1:E6186))))))</f>
        <v> </v>
      </c>
      <c r="K6187" s="25" t="str">
        <f>IF(OR(E6187="",E6187="!!!",F6187="NEW"),"",INDEX(J$1:J6186,SUMPRODUCT(MAX(ROW(E$1:E6186)*(E6187=E$1:E6186)))))</f>
        <v> </v>
      </c>
      <c r="L6187" s="26"/>
    </row>
    <row r="6188" spans="1:12">
      <c r="A6188" s="20" t="s">
        <v>934</v>
      </c>
      <c r="E6188" s="21">
        <f>IF(D6188="?OLD","!!!","")</f>
        <v/>
      </c>
      <c r="F6188" s="22" t="str">
        <f>IF(OR(E6188="",E6188="!!!"),"",IF(NOT(ISNA(VLOOKUP(E6188,E$1:E6187,1,FALSE()))),"OLD",IF(AND(E6188&lt;&gt;"",E6188&lt;&gt;"!!!"),"NEW","")))</f>
        <v> </v>
      </c>
      <c r="G6188" s="23" t="str">
        <f>IF(OR(E6188="",E6188="!!!"),"",IF(OR(J6188=0,AND(J6188=1,K6188=1),AND(J6188=1,I6188="SBJ"),AND(J6188=1,I6188=0)),"?IN_FOCUS",IF(J6188&lt;=2,"?ACTIVATED",IF(J6188&lt;&gt;"","?FAMILIAR",IF(F6188="NEW",IF(ISNA(VLOOKUP(E6188,#REF!,1,FALSE())),"?TYPE_IDENTIFIABLE","?REFERENTIAL"),"_")))))</f>
        <v> </v>
      </c>
      <c r="H6188" s="24" t="str">
        <f>IF(J6188&lt;&gt;1,"",IF(I6188="SBJ","CB","?"))</f>
        <v> </v>
      </c>
      <c r="I6188" s="25" t="str">
        <f>IF(OR(E6188="",E6188="!!!",F6188="NEW"),"",INDEX(B6187:B$2,-1+SUMPRODUCT(MAX(ROW(E6187:E$2)*(E6188=E6187:E$2)))))</f>
        <v> </v>
      </c>
      <c r="J6188" s="25" t="str">
        <f>IF(OR(E6188="",E6188="!!!",F6188="NEW"),"",COUNTBLANK(OFFSET(A$1,,,SUMPRODUCT(MAX(ROW(E$2:E6188)*(E6188=E$2:E6188)))))-COUNTBLANK(OFFSET(A$1,,,SUMPRODUCT(MAX(ROW(E$1:E6187)*(E2=E$1:E6187))))))</f>
        <v> </v>
      </c>
      <c r="K6188" s="25" t="str">
        <f>IF(OR(E6188="",E6188="!!!",F6188="NEW"),"",INDEX(J$1:J6187,SUMPRODUCT(MAX(ROW(E$1:E6187)*(E6188=E$1:E6187)))))</f>
        <v> </v>
      </c>
      <c r="L6188" s="26"/>
    </row>
    <row r="6189" spans="1:12">
      <c r="A6189" s="20" t="s">
        <v>1329</v>
      </c>
      <c r="E6189" s="21">
        <f>IF(D6189="?OLD","!!!","")</f>
        <v/>
      </c>
      <c r="F6189" s="22" t="str">
        <f>IF(OR(E6189="",E6189="!!!"),"",IF(NOT(ISNA(VLOOKUP(E6189,E$1:E6188,1,FALSE()))),"OLD",IF(AND(E6189&lt;&gt;"",E6189&lt;&gt;"!!!"),"NEW","")))</f>
        <v> </v>
      </c>
      <c r="G6189" s="23" t="str">
        <f>IF(OR(E6189="",E6189="!!!"),"",IF(OR(J6189=0,AND(J6189=1,K6189=1),AND(J6189=1,I6189="SBJ"),AND(J6189=1,I6189=0)),"?IN_FOCUS",IF(J6189&lt;=2,"?ACTIVATED",IF(J6189&lt;&gt;"","?FAMILIAR",IF(F6189="NEW",IF(ISNA(VLOOKUP(E6189,#REF!,1,FALSE())),"?TYPE_IDENTIFIABLE","?REFERENTIAL"),"_")))))</f>
        <v> </v>
      </c>
      <c r="H6189" s="24" t="str">
        <f>IF(J6189&lt;&gt;1,"",IF(I6189="SBJ","CB","?"))</f>
        <v> </v>
      </c>
      <c r="I6189" s="25" t="str">
        <f>IF(OR(E6189="",E6189="!!!",F6189="NEW"),"",INDEX(B6188:B$2,-1+SUMPRODUCT(MAX(ROW(E6188:E$2)*(E6189=E6188:E$2)))))</f>
        <v> </v>
      </c>
      <c r="J6189" s="25" t="str">
        <f>IF(OR(E6189="",E6189="!!!",F6189="NEW"),"",COUNTBLANK(OFFSET(A$1,,,SUMPRODUCT(MAX(ROW(E$2:E6189)*(E6189=E$2:E6189)))))-COUNTBLANK(OFFSET(A$1,,,SUMPRODUCT(MAX(ROW(E$1:E6188)*(E2=E$1:E6188))))))</f>
        <v> </v>
      </c>
      <c r="K6189" s="25" t="str">
        <f>IF(OR(E6189="",E6189="!!!",F6189="NEW"),"",INDEX(J$1:J6188,SUMPRODUCT(MAX(ROW(E$1:E6188)*(E6189=E$1:E6188)))))</f>
        <v> </v>
      </c>
      <c r="L6189" s="26"/>
    </row>
    <row r="6190" spans="1:12">
      <c r="A6190" s="20" t="s">
        <v>2304</v>
      </c>
      <c r="E6190" s="21">
        <f>IF(D6190="?OLD","!!!","")</f>
        <v/>
      </c>
      <c r="F6190" s="22" t="str">
        <f>IF(OR(E6190="",E6190="!!!"),"",IF(NOT(ISNA(VLOOKUP(E6190,E$1:E6189,1,FALSE()))),"OLD",IF(AND(E6190&lt;&gt;"",E6190&lt;&gt;"!!!"),"NEW","")))</f>
        <v> </v>
      </c>
      <c r="G6190" s="23" t="str">
        <f>IF(OR(E6190="",E6190="!!!"),"",IF(OR(J6190=0,AND(J6190=1,K6190=1),AND(J6190=1,I6190="SBJ"),AND(J6190=1,I6190=0)),"?IN_FOCUS",IF(J6190&lt;=2,"?ACTIVATED",IF(J6190&lt;&gt;"","?FAMILIAR",IF(F6190="NEW",IF(ISNA(VLOOKUP(E6190,#REF!,1,FALSE())),"?TYPE_IDENTIFIABLE","?REFERENTIAL"),"_")))))</f>
        <v> </v>
      </c>
      <c r="H6190" s="24" t="str">
        <f>IF(J6190&lt;&gt;1,"",IF(I6190="SBJ","CB","?"))</f>
        <v> </v>
      </c>
      <c r="I6190" s="25" t="str">
        <f>IF(OR(E6190="",E6190="!!!",F6190="NEW"),"",INDEX(B6189:B$2,-1+SUMPRODUCT(MAX(ROW(E6189:E$2)*(E6190=E6189:E$2)))))</f>
        <v> </v>
      </c>
      <c r="J6190" s="25" t="str">
        <f>IF(OR(E6190="",E6190="!!!",F6190="NEW"),"",COUNTBLANK(OFFSET(A$1,,,SUMPRODUCT(MAX(ROW(E$2:E6190)*(E6190=E$2:E6190)))))-COUNTBLANK(OFFSET(A$1,,,SUMPRODUCT(MAX(ROW(E$1:E6189)*(E2=E$1:E6189))))))</f>
        <v> </v>
      </c>
      <c r="K6190" s="25" t="str">
        <f>IF(OR(E6190="",E6190="!!!",F6190="NEW"),"",INDEX(J$1:J6189,SUMPRODUCT(MAX(ROW(E$1:E6189)*(E6190=E$1:E6189)))))</f>
        <v> </v>
      </c>
      <c r="L6190" s="26"/>
    </row>
    <row r="6191" spans="1:12">
      <c r="A6191" s="20" t="s">
        <v>944</v>
      </c>
      <c r="E6191" s="21">
        <f>IF(D6191="?OLD","!!!","")</f>
        <v/>
      </c>
      <c r="F6191" s="22" t="str">
        <f>IF(OR(E6191="",E6191="!!!"),"",IF(NOT(ISNA(VLOOKUP(E6191,E$1:E6190,1,FALSE()))),"OLD",IF(AND(E6191&lt;&gt;"",E6191&lt;&gt;"!!!"),"NEW","")))</f>
        <v> </v>
      </c>
      <c r="G6191" s="23" t="str">
        <f>IF(OR(E6191="",E6191="!!!"),"",IF(OR(J6191=0,AND(J6191=1,K6191=1),AND(J6191=1,I6191="SBJ"),AND(J6191=1,I6191=0)),"?IN_FOCUS",IF(J6191&lt;=2,"?ACTIVATED",IF(J6191&lt;&gt;"","?FAMILIAR",IF(F6191="NEW",IF(ISNA(VLOOKUP(E6191,#REF!,1,FALSE())),"?TYPE_IDENTIFIABLE","?REFERENTIAL"),"_")))))</f>
        <v> </v>
      </c>
      <c r="H6191" s="24" t="str">
        <f>IF(J6191&lt;&gt;1,"",IF(I6191="SBJ","CB","?"))</f>
        <v> </v>
      </c>
      <c r="I6191" s="25" t="str">
        <f>IF(OR(E6191="",E6191="!!!",F6191="NEW"),"",INDEX(B6190:B$2,-1+SUMPRODUCT(MAX(ROW(E6190:E$2)*(E6191=E6190:E$2)))))</f>
        <v> </v>
      </c>
      <c r="J6191" s="25" t="str">
        <f>IF(OR(E6191="",E6191="!!!",F6191="NEW"),"",COUNTBLANK(OFFSET(A$1,,,SUMPRODUCT(MAX(ROW(E$2:E6191)*(E6191=E$2:E6191)))))-COUNTBLANK(OFFSET(A$1,,,SUMPRODUCT(MAX(ROW(E$1:E6190)*(E2=E$1:E6190))))))</f>
        <v> </v>
      </c>
      <c r="K6191" s="25" t="str">
        <f>IF(OR(E6191="",E6191="!!!",F6191="NEW"),"",INDEX(J$1:J6190,SUMPRODUCT(MAX(ROW(E$1:E6190)*(E6191=E$1:E6190)))))</f>
        <v> </v>
      </c>
      <c r="L6191" s="26"/>
    </row>
    <row r="6192" spans="1:12">
      <c r="A6192" s="20" t="s">
        <v>1329</v>
      </c>
      <c r="E6192" s="21">
        <f>IF(D6192="?OLD","!!!","")</f>
        <v/>
      </c>
      <c r="F6192" s="22" t="str">
        <f>IF(OR(E6192="",E6192="!!!"),"",IF(NOT(ISNA(VLOOKUP(E6192,E$1:E6191,1,FALSE()))),"OLD",IF(AND(E6192&lt;&gt;"",E6192&lt;&gt;"!!!"),"NEW","")))</f>
        <v> </v>
      </c>
      <c r="G6192" s="23" t="str">
        <f>IF(OR(E6192="",E6192="!!!"),"",IF(OR(J6192=0,AND(J6192=1,K6192=1),AND(J6192=1,I6192="SBJ"),AND(J6192=1,I6192=0)),"?IN_FOCUS",IF(J6192&lt;=2,"?ACTIVATED",IF(J6192&lt;&gt;"","?FAMILIAR",IF(F6192="NEW",IF(ISNA(VLOOKUP(E6192,#REF!,1,FALSE())),"?TYPE_IDENTIFIABLE","?REFERENTIAL"),"_")))))</f>
        <v> </v>
      </c>
      <c r="H6192" s="24" t="str">
        <f>IF(J6192&lt;&gt;1,"",IF(I6192="SBJ","CB","?"))</f>
        <v> </v>
      </c>
      <c r="I6192" s="25" t="str">
        <f>IF(OR(E6192="",E6192="!!!",F6192="NEW"),"",INDEX(B6191:B$2,-1+SUMPRODUCT(MAX(ROW(E6191:E$2)*(E6192=E6191:E$2)))))</f>
        <v> </v>
      </c>
      <c r="J6192" s="25" t="str">
        <f>IF(OR(E6192="",E6192="!!!",F6192="NEW"),"",COUNTBLANK(OFFSET(A$1,,,SUMPRODUCT(MAX(ROW(E$2:E6192)*(E6192=E$2:E6192)))))-COUNTBLANK(OFFSET(A$1,,,SUMPRODUCT(MAX(ROW(E$1:E6191)*(E2=E$1:E6191))))))</f>
        <v> </v>
      </c>
      <c r="K6192" s="25" t="str">
        <f>IF(OR(E6192="",E6192="!!!",F6192="NEW"),"",INDEX(J$1:J6191,SUMPRODUCT(MAX(ROW(E$1:E6191)*(E6192=E$1:E6191)))))</f>
        <v> </v>
      </c>
      <c r="L6192" s="26"/>
    </row>
    <row r="6193" spans="1:12">
      <c r="A6193" s="20" t="s">
        <v>2305</v>
      </c>
      <c r="E6193" s="21">
        <f>IF(D6193="?OLD","!!!","")</f>
        <v/>
      </c>
      <c r="F6193" s="22" t="str">
        <f>IF(OR(E6193="",E6193="!!!"),"",IF(NOT(ISNA(VLOOKUP(E6193,E$1:E6192,1,FALSE()))),"OLD",IF(AND(E6193&lt;&gt;"",E6193&lt;&gt;"!!!"),"NEW","")))</f>
        <v> </v>
      </c>
      <c r="G6193" s="23" t="str">
        <f>IF(OR(E6193="",E6193="!!!"),"",IF(OR(J6193=0,AND(J6193=1,K6193=1),AND(J6193=1,I6193="SBJ"),AND(J6193=1,I6193=0)),"?IN_FOCUS",IF(J6193&lt;=2,"?ACTIVATED",IF(J6193&lt;&gt;"","?FAMILIAR",IF(F6193="NEW",IF(ISNA(VLOOKUP(E6193,#REF!,1,FALSE())),"?TYPE_IDENTIFIABLE","?REFERENTIAL"),"_")))))</f>
        <v> </v>
      </c>
      <c r="H6193" s="24" t="str">
        <f>IF(J6193&lt;&gt;1,"",IF(I6193="SBJ","CB","?"))</f>
        <v> </v>
      </c>
      <c r="I6193" s="25" t="str">
        <f>IF(OR(E6193="",E6193="!!!",F6193="NEW"),"",INDEX(B6192:B$2,-1+SUMPRODUCT(MAX(ROW(E6192:E$2)*(E6193=E6192:E$2)))))</f>
        <v> </v>
      </c>
      <c r="J6193" s="25" t="str">
        <f>IF(OR(E6193="",E6193="!!!",F6193="NEW"),"",COUNTBLANK(OFFSET(A$1,,,SUMPRODUCT(MAX(ROW(E$2:E6193)*(E6193=E$2:E6193)))))-COUNTBLANK(OFFSET(A$1,,,SUMPRODUCT(MAX(ROW(E$1:E6192)*(E2=E$1:E6192))))))</f>
        <v> </v>
      </c>
      <c r="K6193" s="25" t="str">
        <f>IF(OR(E6193="",E6193="!!!",F6193="NEW"),"",INDEX(J$1:J6192,SUMPRODUCT(MAX(ROW(E$1:E6192)*(E6193=E$1:E6192)))))</f>
        <v> </v>
      </c>
      <c r="L6193" s="26"/>
    </row>
    <row r="6194" spans="1:12">
      <c r="A6194" s="20" t="s">
        <v>1206</v>
      </c>
      <c r="B6194" s="27" t="s">
        <v>1025</v>
      </c>
      <c r="C6194" s="27" t="s">
        <v>973</v>
      </c>
      <c r="E6194" s="21">
        <f>IF(D6194="?OLD","!!!","")</f>
        <v/>
      </c>
      <c r="F6194" s="22" t="str">
        <f>IF(OR(E6194="",E6194="!!!"),"",IF(NOT(ISNA(VLOOKUP(E6194,E$1:E6193,1,FALSE()))),"OLD",IF(AND(E6194&lt;&gt;"",E6194&lt;&gt;"!!!"),"NEW","")))</f>
        <v> </v>
      </c>
      <c r="G6194" s="23" t="str">
        <f>IF(OR(E6194="",E6194="!!!"),"",IF(OR(J6194=0,AND(J6194=1,K6194=1),AND(J6194=1,I6194="SBJ"),AND(J6194=1,I6194=0)),"?IN_FOCUS",IF(J6194&lt;=2,"?ACTIVATED",IF(J6194&lt;&gt;"","?FAMILIAR",IF(F6194="NEW",IF(ISNA(VLOOKUP(E6194,#REF!,1,FALSE())),"?TYPE_IDENTIFIABLE","?REFERENTIAL"),"_")))))</f>
        <v> </v>
      </c>
      <c r="H6194" s="24" t="str">
        <f>IF(J6194&lt;&gt;1,"",IF(I6194="SBJ","CB","?"))</f>
        <v> </v>
      </c>
      <c r="I6194" s="25" t="str">
        <f>IF(OR(E6194="",E6194="!!!",F6194="NEW"),"",INDEX(B6193:B$2,-1+SUMPRODUCT(MAX(ROW(E6193:E$2)*(E6194=E6193:E$2)))))</f>
        <v> </v>
      </c>
      <c r="J6194" s="25" t="str">
        <f>IF(OR(E6194="",E6194="!!!",F6194="NEW"),"",COUNTBLANK(OFFSET(A$1,,,SUMPRODUCT(MAX(ROW(E$2:E6194)*(E6194=E$2:E6194)))))-COUNTBLANK(OFFSET(A$1,,,SUMPRODUCT(MAX(ROW(E$1:E6193)*(E2=E$1:E6193))))))</f>
        <v> </v>
      </c>
      <c r="K6194" s="25" t="str">
        <f>IF(OR(E6194="",E6194="!!!",F6194="NEW"),"",INDEX(J$1:J6193,SUMPRODUCT(MAX(ROW(E$1:E6193)*(E6194=E$1:E6193)))))</f>
        <v> </v>
      </c>
      <c r="L6194" s="26"/>
    </row>
    <row r="6195" spans="1:12">
      <c r="A6195" s="20" t="s">
        <v>1042</v>
      </c>
      <c r="E6195" s="21">
        <f>IF(D6195="?OLD","!!!","")</f>
        <v/>
      </c>
      <c r="F6195" s="22" t="str">
        <f>IF(OR(E6195="",E6195="!!!"),"",IF(NOT(ISNA(VLOOKUP(E6195,E$1:E6194,1,FALSE()))),"OLD",IF(AND(E6195&lt;&gt;"",E6195&lt;&gt;"!!!"),"NEW","")))</f>
        <v> </v>
      </c>
      <c r="G6195" s="23" t="str">
        <f>IF(OR(E6195="",E6195="!!!"),"",IF(OR(J6195=0,AND(J6195=1,K6195=1),AND(J6195=1,I6195="SBJ"),AND(J6195=1,I6195=0)),"?IN_FOCUS",IF(J6195&lt;=2,"?ACTIVATED",IF(J6195&lt;&gt;"","?FAMILIAR",IF(F6195="NEW",IF(ISNA(VLOOKUP(E6195,#REF!,1,FALSE())),"?TYPE_IDENTIFIABLE","?REFERENTIAL"),"_")))))</f>
        <v> </v>
      </c>
      <c r="H6195" s="24" t="str">
        <f>IF(J6195&lt;&gt;1,"",IF(I6195="SBJ","CB","?"))</f>
        <v> </v>
      </c>
      <c r="I6195" s="25" t="str">
        <f>IF(OR(E6195="",E6195="!!!",F6195="NEW"),"",INDEX(B6194:B$2,-1+SUMPRODUCT(MAX(ROW(E6194:E$2)*(E6195=E6194:E$2)))))</f>
        <v> </v>
      </c>
      <c r="J6195" s="25" t="str">
        <f>IF(OR(E6195="",E6195="!!!",F6195="NEW"),"",COUNTBLANK(OFFSET(A$1,,,SUMPRODUCT(MAX(ROW(E$2:E6195)*(E6195=E$2:E6195)))))-COUNTBLANK(OFFSET(A$1,,,SUMPRODUCT(MAX(ROW(E$1:E6194)*(E2=E$1:E6194))))))</f>
        <v> </v>
      </c>
      <c r="K6195" s="25" t="str">
        <f>IF(OR(E6195="",E6195="!!!",F6195="NEW"),"",INDEX(J$1:J6194,SUMPRODUCT(MAX(ROW(E$1:E6194)*(E6195=E$1:E6194)))))</f>
        <v> </v>
      </c>
      <c r="L6195" s="26"/>
    </row>
    <row r="6196" spans="1:12">
      <c r="A6196" s="20"/>
    </row>
    <row r="6197" spans="1:12">
      <c r="A6197" s="20" t="s">
        <v>2306</v>
      </c>
    </row>
    <row r="6198" spans="1:12">
      <c r="A6198" s="20" t="s">
        <v>1056</v>
      </c>
      <c r="E6198" s="21">
        <f>IF(D6198="?OLD","!!!","")</f>
        <v/>
      </c>
      <c r="F6198" s="22" t="str">
        <f>IF(OR(E6198="",E6198="!!!"),"",IF(NOT(ISNA(VLOOKUP(E6198,E$1:E6197,1,FALSE()))),"OLD",IF(AND(E6198&lt;&gt;"",E6198&lt;&gt;"!!!"),"NEW","")))</f>
        <v> </v>
      </c>
      <c r="G6198" s="23" t="str">
        <f>IF(OR(E6198="",E6198="!!!"),"",IF(OR(J6198=0,AND(J6198=1,K6198=1),AND(J6198=1,I6198="SBJ"),AND(J6198=1,I6198=0)),"?IN_FOCUS",IF(J6198&lt;=2,"?ACTIVATED",IF(J6198&lt;&gt;"","?FAMILIAR",IF(F6198="NEW",IF(ISNA(VLOOKUP(E6198,#REF!,1,FALSE())),"?TYPE_IDENTIFIABLE","?REFERENTIAL"),"_")))))</f>
        <v> </v>
      </c>
      <c r="H6198" s="24" t="str">
        <f>IF(J6198&lt;&gt;1,"",IF(I6198="SBJ","CB","?"))</f>
        <v> </v>
      </c>
      <c r="I6198" s="25" t="str">
        <f>IF(OR(E6198="",E6198="!!!",F6198="NEW"),"",INDEX(B6197:B$2,-1+SUMPRODUCT(MAX(ROW(E6197:E$2)*(E6198=E6197:E$2)))))</f>
        <v> </v>
      </c>
      <c r="J6198" s="25" t="str">
        <f>IF(OR(E6198="",E6198="!!!",F6198="NEW"),"",COUNTBLANK(OFFSET(A$1,,,SUMPRODUCT(MAX(ROW(E$2:E6198)*(E6198=E$2:E6198)))))-COUNTBLANK(OFFSET(A$1,,,SUMPRODUCT(MAX(ROW(E$1:E6197)*(E2=E$1:E6197))))))</f>
        <v> </v>
      </c>
      <c r="K6198" s="25" t="str">
        <f>IF(OR(E6198="",E6198="!!!",F6198="NEW"),"",INDEX(J$1:J6197,SUMPRODUCT(MAX(ROW(E$1:E6197)*(E6198=E$1:E6197)))))</f>
        <v> </v>
      </c>
      <c r="L6198" s="26"/>
    </row>
    <row r="6199" spans="1:12">
      <c r="A6199" s="20" t="s">
        <v>1125</v>
      </c>
      <c r="E6199" s="21">
        <f>IF(D6199="?OLD","!!!","")</f>
        <v/>
      </c>
      <c r="F6199" s="22" t="str">
        <f>IF(OR(E6199="",E6199="!!!"),"",IF(NOT(ISNA(VLOOKUP(E6199,E$1:E6198,1,FALSE()))),"OLD",IF(AND(E6199&lt;&gt;"",E6199&lt;&gt;"!!!"),"NEW","")))</f>
        <v> </v>
      </c>
      <c r="G6199" s="23" t="str">
        <f>IF(OR(E6199="",E6199="!!!"),"",IF(OR(J6199=0,AND(J6199=1,K6199=1),AND(J6199=1,I6199="SBJ"),AND(J6199=1,I6199=0)),"?IN_FOCUS",IF(J6199&lt;=2,"?ACTIVATED",IF(J6199&lt;&gt;"","?FAMILIAR",IF(F6199="NEW",IF(ISNA(VLOOKUP(E6199,#REF!,1,FALSE())),"?TYPE_IDENTIFIABLE","?REFERENTIAL"),"_")))))</f>
        <v> </v>
      </c>
      <c r="H6199" s="24" t="str">
        <f>IF(J6199&lt;&gt;1,"",IF(I6199="SBJ","CB","?"))</f>
        <v> </v>
      </c>
      <c r="I6199" s="25" t="str">
        <f>IF(OR(E6199="",E6199="!!!",F6199="NEW"),"",INDEX(B6198:B$2,-1+SUMPRODUCT(MAX(ROW(E6198:E$2)*(E6199=E6198:E$2)))))</f>
        <v> </v>
      </c>
      <c r="J6199" s="25" t="str">
        <f>IF(OR(E6199="",E6199="!!!",F6199="NEW"),"",COUNTBLANK(OFFSET(A$1,,,SUMPRODUCT(MAX(ROW(E$2:E6199)*(E6199=E$2:E6199)))))-COUNTBLANK(OFFSET(A$1,,,SUMPRODUCT(MAX(ROW(E$1:E6198)*(E2=E$1:E6198))))))</f>
        <v> </v>
      </c>
      <c r="K6199" s="25" t="str">
        <f>IF(OR(E6199="",E6199="!!!",F6199="NEW"),"",INDEX(J$1:J6198,SUMPRODUCT(MAX(ROW(E$1:E6198)*(E6199=E$1:E6198)))))</f>
        <v> </v>
      </c>
      <c r="L6199" s="26"/>
    </row>
    <row r="6200" spans="1:12">
      <c r="A6200" s="20" t="s">
        <v>1126</v>
      </c>
      <c r="E6200" s="21">
        <f>IF(D6200="?OLD","!!!","")</f>
        <v/>
      </c>
      <c r="F6200" s="22" t="str">
        <f>IF(OR(E6200="",E6200="!!!"),"",IF(NOT(ISNA(VLOOKUP(E6200,E$1:E6199,1,FALSE()))),"OLD",IF(AND(E6200&lt;&gt;"",E6200&lt;&gt;"!!!"),"NEW","")))</f>
        <v> </v>
      </c>
      <c r="G6200" s="23" t="str">
        <f>IF(OR(E6200="",E6200="!!!"),"",IF(OR(J6200=0,AND(J6200=1,K6200=1),AND(J6200=1,I6200="SBJ"),AND(J6200=1,I6200=0)),"?IN_FOCUS",IF(J6200&lt;=2,"?ACTIVATED",IF(J6200&lt;&gt;"","?FAMILIAR",IF(F6200="NEW",IF(ISNA(VLOOKUP(E6200,#REF!,1,FALSE())),"?TYPE_IDENTIFIABLE","?REFERENTIAL"),"_")))))</f>
        <v> </v>
      </c>
      <c r="H6200" s="24" t="str">
        <f>IF(J6200&lt;&gt;1,"",IF(I6200="SBJ","CB","?"))</f>
        <v> </v>
      </c>
      <c r="I6200" s="25" t="str">
        <f>IF(OR(E6200="",E6200="!!!",F6200="NEW"),"",INDEX(B6199:B$2,-1+SUMPRODUCT(MAX(ROW(E6199:E$2)*(E6200=E6199:E$2)))))</f>
        <v> </v>
      </c>
      <c r="J6200" s="25" t="str">
        <f>IF(OR(E6200="",E6200="!!!",F6200="NEW"),"",COUNTBLANK(OFFSET(A$1,,,SUMPRODUCT(MAX(ROW(E$2:E6200)*(E6200=E$2:E6200)))))-COUNTBLANK(OFFSET(A$1,,,SUMPRODUCT(MAX(ROW(E$1:E6199)*(E2=E$1:E6199))))))</f>
        <v> </v>
      </c>
      <c r="K6200" s="25" t="str">
        <f>IF(OR(E6200="",E6200="!!!",F6200="NEW"),"",INDEX(J$1:J6199,SUMPRODUCT(MAX(ROW(E$1:E6199)*(E6200=E$1:E6199)))))</f>
        <v> </v>
      </c>
      <c r="L6200" s="26"/>
    </row>
    <row r="6201" spans="1:12">
      <c r="A6201" s="20" t="s">
        <v>936</v>
      </c>
      <c r="E6201" s="21">
        <f>IF(D6201="?OLD","!!!","")</f>
        <v/>
      </c>
      <c r="F6201" s="22" t="str">
        <f>IF(OR(E6201="",E6201="!!!"),"",IF(NOT(ISNA(VLOOKUP(E6201,E$1:E6200,1,FALSE()))),"OLD",IF(AND(E6201&lt;&gt;"",E6201&lt;&gt;"!!!"),"NEW","")))</f>
        <v> </v>
      </c>
      <c r="G6201" s="23" t="str">
        <f>IF(OR(E6201="",E6201="!!!"),"",IF(OR(J6201=0,AND(J6201=1,K6201=1),AND(J6201=1,I6201="SBJ"),AND(J6201=1,I6201=0)),"?IN_FOCUS",IF(J6201&lt;=2,"?ACTIVATED",IF(J6201&lt;&gt;"","?FAMILIAR",IF(F6201="NEW",IF(ISNA(VLOOKUP(E6201,#REF!,1,FALSE())),"?TYPE_IDENTIFIABLE","?REFERENTIAL"),"_")))))</f>
        <v> </v>
      </c>
      <c r="H6201" s="24" t="str">
        <f>IF(J6201&lt;&gt;1,"",IF(I6201="SBJ","CB","?"))</f>
        <v> </v>
      </c>
      <c r="I6201" s="25" t="str">
        <f>IF(OR(E6201="",E6201="!!!",F6201="NEW"),"",INDEX(B6200:B$2,-1+SUMPRODUCT(MAX(ROW(E6200:E$2)*(E6201=E6200:E$2)))))</f>
        <v> </v>
      </c>
      <c r="J6201" s="25" t="str">
        <f>IF(OR(E6201="",E6201="!!!",F6201="NEW"),"",COUNTBLANK(OFFSET(A$1,,,SUMPRODUCT(MAX(ROW(E$2:E6201)*(E6201=E$2:E6201)))))-COUNTBLANK(OFFSET(A$1,,,SUMPRODUCT(MAX(ROW(E$1:E6200)*(E2=E$1:E6200))))))</f>
        <v> </v>
      </c>
      <c r="K6201" s="25" t="str">
        <f>IF(OR(E6201="",E6201="!!!",F6201="NEW"),"",INDEX(J$1:J6200,SUMPRODUCT(MAX(ROW(E$1:E6200)*(E6201=E$1:E6200)))))</f>
        <v> </v>
      </c>
      <c r="L6201" s="26"/>
    </row>
    <row r="6202" spans="1:12">
      <c r="A6202" s="20" t="s">
        <v>1012</v>
      </c>
      <c r="E6202" s="21">
        <f>IF(D6202="?OLD","!!!","")</f>
        <v/>
      </c>
      <c r="F6202" s="22" t="str">
        <f>IF(OR(E6202="",E6202="!!!"),"",IF(NOT(ISNA(VLOOKUP(E6202,E$1:E6201,1,FALSE()))),"OLD",IF(AND(E6202&lt;&gt;"",E6202&lt;&gt;"!!!"),"NEW","")))</f>
        <v> </v>
      </c>
      <c r="G6202" s="23" t="str">
        <f>IF(OR(E6202="",E6202="!!!"),"",IF(OR(J6202=0,AND(J6202=1,K6202=1),AND(J6202=1,I6202="SBJ"),AND(J6202=1,I6202=0)),"?IN_FOCUS",IF(J6202&lt;=2,"?ACTIVATED",IF(J6202&lt;&gt;"","?FAMILIAR",IF(F6202="NEW",IF(ISNA(VLOOKUP(E6202,#REF!,1,FALSE())),"?TYPE_IDENTIFIABLE","?REFERENTIAL"),"_")))))</f>
        <v> </v>
      </c>
      <c r="H6202" s="24" t="str">
        <f>IF(J6202&lt;&gt;1,"",IF(I6202="SBJ","CB","?"))</f>
        <v> </v>
      </c>
      <c r="I6202" s="25" t="str">
        <f>IF(OR(E6202="",E6202="!!!",F6202="NEW"),"",INDEX(B6201:B$2,-1+SUMPRODUCT(MAX(ROW(E6201:E$2)*(E6202=E6201:E$2)))))</f>
        <v> </v>
      </c>
      <c r="J6202" s="25" t="str">
        <f>IF(OR(E6202="",E6202="!!!",F6202="NEW"),"",COUNTBLANK(OFFSET(A$1,,,SUMPRODUCT(MAX(ROW(E$2:E6202)*(E6202=E$2:E6202)))))-COUNTBLANK(OFFSET(A$1,,,SUMPRODUCT(MAX(ROW(E$1:E6201)*(E2=E$1:E6201))))))</f>
        <v> </v>
      </c>
      <c r="K6202" s="25" t="str">
        <f>IF(OR(E6202="",E6202="!!!",F6202="NEW"),"",INDEX(J$1:J6201,SUMPRODUCT(MAX(ROW(E$1:E6201)*(E6202=E$1:E6201)))))</f>
        <v> </v>
      </c>
      <c r="L6202" s="26"/>
    </row>
    <row r="6203" spans="1:12">
      <c r="A6203" s="20" t="s">
        <v>1127</v>
      </c>
      <c r="B6203" s="27" t="s">
        <v>942</v>
      </c>
      <c r="C6203" s="27" t="s">
        <v>946</v>
      </c>
      <c r="E6203" s="21">
        <f>IF(D6203="?OLD","!!!","")</f>
        <v/>
      </c>
      <c r="F6203" s="22" t="str">
        <f>IF(OR(E6203="",E6203="!!!"),"",IF(NOT(ISNA(VLOOKUP(E6203,E$1:E6202,1,FALSE()))),"OLD",IF(AND(E6203&lt;&gt;"",E6203&lt;&gt;"!!!"),"NEW","")))</f>
        <v> </v>
      </c>
      <c r="G6203" s="23" t="str">
        <f>IF(OR(E6203="",E6203="!!!"),"",IF(OR(J6203=0,AND(J6203=1,K6203=1),AND(J6203=1,I6203="SBJ"),AND(J6203=1,I6203=0)),"?IN_FOCUS",IF(J6203&lt;=2,"?ACTIVATED",IF(J6203&lt;&gt;"","?FAMILIAR",IF(F6203="NEW",IF(ISNA(VLOOKUP(E6203,#REF!,1,FALSE())),"?TYPE_IDENTIFIABLE","?REFERENTIAL"),"_")))))</f>
        <v> </v>
      </c>
      <c r="H6203" s="24" t="str">
        <f>IF(J6203&lt;&gt;1,"",IF(I6203="SBJ","CB","?"))</f>
        <v> </v>
      </c>
      <c r="I6203" s="25" t="str">
        <f>IF(OR(E6203="",E6203="!!!",F6203="NEW"),"",INDEX(B6202:B$2,-1+SUMPRODUCT(MAX(ROW(E6202:E$2)*(E6203=E6202:E$2)))))</f>
        <v> </v>
      </c>
      <c r="J6203" s="25" t="str">
        <f>IF(OR(E6203="",E6203="!!!",F6203="NEW"),"",COUNTBLANK(OFFSET(A$1,,,SUMPRODUCT(MAX(ROW(E$2:E6203)*(E6203=E$2:E6203)))))-COUNTBLANK(OFFSET(A$1,,,SUMPRODUCT(MAX(ROW(E$1:E6202)*(E2=E$1:E6202))))))</f>
        <v> </v>
      </c>
      <c r="K6203" s="25" t="str">
        <f>IF(OR(E6203="",E6203="!!!",F6203="NEW"),"",INDEX(J$1:J6202,SUMPRODUCT(MAX(ROW(E$1:E6202)*(E6203=E$1:E6202)))))</f>
        <v> </v>
      </c>
      <c r="L6203" s="26"/>
    </row>
    <row r="6204" spans="1:12">
      <c r="A6204" s="20" t="s">
        <v>936</v>
      </c>
      <c r="E6204" s="21">
        <f>IF(D6204="?OLD","!!!","")</f>
        <v/>
      </c>
      <c r="F6204" s="22" t="str">
        <f>IF(OR(E6204="",E6204="!!!"),"",IF(NOT(ISNA(VLOOKUP(E6204,E$1:E6203,1,FALSE()))),"OLD",IF(AND(E6204&lt;&gt;"",E6204&lt;&gt;"!!!"),"NEW","")))</f>
        <v> </v>
      </c>
      <c r="G6204" s="23" t="str">
        <f>IF(OR(E6204="",E6204="!!!"),"",IF(OR(J6204=0,AND(J6204=1,K6204=1),AND(J6204=1,I6204="SBJ"),AND(J6204=1,I6204=0)),"?IN_FOCUS",IF(J6204&lt;=2,"?ACTIVATED",IF(J6204&lt;&gt;"","?FAMILIAR",IF(F6204="NEW",IF(ISNA(VLOOKUP(E6204,#REF!,1,FALSE())),"?TYPE_IDENTIFIABLE","?REFERENTIAL"),"_")))))</f>
        <v> </v>
      </c>
      <c r="H6204" s="24" t="str">
        <f>IF(J6204&lt;&gt;1,"",IF(I6204="SBJ","CB","?"))</f>
        <v> </v>
      </c>
      <c r="I6204" s="25" t="str">
        <f>IF(OR(E6204="",E6204="!!!",F6204="NEW"),"",INDEX(B6203:B$2,-1+SUMPRODUCT(MAX(ROW(E6203:E$2)*(E6204=E6203:E$2)))))</f>
        <v> </v>
      </c>
      <c r="J6204" s="25" t="str">
        <f>IF(OR(E6204="",E6204="!!!",F6204="NEW"),"",COUNTBLANK(OFFSET(A$1,,,SUMPRODUCT(MAX(ROW(E$2:E6204)*(E6204=E$2:E6204)))))-COUNTBLANK(OFFSET(A$1,,,SUMPRODUCT(MAX(ROW(E$1:E6203)*(E2=E$1:E6203))))))</f>
        <v> </v>
      </c>
      <c r="K6204" s="25" t="str">
        <f>IF(OR(E6204="",E6204="!!!",F6204="NEW"),"",INDEX(J$1:J6203,SUMPRODUCT(MAX(ROW(E$1:E6203)*(E6204=E$1:E6203)))))</f>
        <v> </v>
      </c>
      <c r="L6204" s="26"/>
    </row>
    <row r="6205" spans="1:12">
      <c r="A6205" s="20" t="s">
        <v>944</v>
      </c>
      <c r="E6205" s="21">
        <f>IF(D6205="?OLD","!!!","")</f>
        <v/>
      </c>
      <c r="F6205" s="22" t="str">
        <f>IF(OR(E6205="",E6205="!!!"),"",IF(NOT(ISNA(VLOOKUP(E6205,E$1:E6204,1,FALSE()))),"OLD",IF(AND(E6205&lt;&gt;"",E6205&lt;&gt;"!!!"),"NEW","")))</f>
        <v> </v>
      </c>
      <c r="G6205" s="23" t="str">
        <f>IF(OR(E6205="",E6205="!!!"),"",IF(OR(J6205=0,AND(J6205=1,K6205=1),AND(J6205=1,I6205="SBJ"),AND(J6205=1,I6205=0)),"?IN_FOCUS",IF(J6205&lt;=2,"?ACTIVATED",IF(J6205&lt;&gt;"","?FAMILIAR",IF(F6205="NEW",IF(ISNA(VLOOKUP(E6205,#REF!,1,FALSE())),"?TYPE_IDENTIFIABLE","?REFERENTIAL"),"_")))))</f>
        <v> </v>
      </c>
      <c r="H6205" s="24" t="str">
        <f>IF(J6205&lt;&gt;1,"",IF(I6205="SBJ","CB","?"))</f>
        <v> </v>
      </c>
      <c r="I6205" s="25" t="str">
        <f>IF(OR(E6205="",E6205="!!!",F6205="NEW"),"",INDEX(B6204:B$2,-1+SUMPRODUCT(MAX(ROW(E6204:E$2)*(E6205=E6204:E$2)))))</f>
        <v> </v>
      </c>
      <c r="J6205" s="25" t="str">
        <f>IF(OR(E6205="",E6205="!!!",F6205="NEW"),"",COUNTBLANK(OFFSET(A$1,,,SUMPRODUCT(MAX(ROW(E$2:E6205)*(E6205=E$2:E6205)))))-COUNTBLANK(OFFSET(A$1,,,SUMPRODUCT(MAX(ROW(E$1:E6204)*(E2=E$1:E6204))))))</f>
        <v> </v>
      </c>
      <c r="K6205" s="25" t="str">
        <f>IF(OR(E6205="",E6205="!!!",F6205="NEW"),"",INDEX(J$1:J6204,SUMPRODUCT(MAX(ROW(E$1:E6204)*(E6205=E$1:E6204)))))</f>
        <v> </v>
      </c>
      <c r="L6205" s="26"/>
    </row>
    <row r="6206" spans="1:12">
      <c r="A6206" s="20" t="s">
        <v>2083</v>
      </c>
      <c r="E6206" s="21">
        <f>IF(D6206="?OLD","!!!","")</f>
        <v/>
      </c>
      <c r="F6206" s="22" t="str">
        <f>IF(OR(E6206="",E6206="!!!"),"",IF(NOT(ISNA(VLOOKUP(E6206,E$1:E6205,1,FALSE()))),"OLD",IF(AND(E6206&lt;&gt;"",E6206&lt;&gt;"!!!"),"NEW","")))</f>
        <v> </v>
      </c>
      <c r="G6206" s="23" t="str">
        <f>IF(OR(E6206="",E6206="!!!"),"",IF(OR(J6206=0,AND(J6206=1,K6206=1),AND(J6206=1,I6206="SBJ"),AND(J6206=1,I6206=0)),"?IN_FOCUS",IF(J6206&lt;=2,"?ACTIVATED",IF(J6206&lt;&gt;"","?FAMILIAR",IF(F6206="NEW",IF(ISNA(VLOOKUP(E6206,#REF!,1,FALSE())),"?TYPE_IDENTIFIABLE","?REFERENTIAL"),"_")))))</f>
        <v> </v>
      </c>
      <c r="H6206" s="24" t="str">
        <f>IF(J6206&lt;&gt;1,"",IF(I6206="SBJ","CB","?"))</f>
        <v> </v>
      </c>
      <c r="I6206" s="25" t="str">
        <f>IF(OR(E6206="",E6206="!!!",F6206="NEW"),"",INDEX(B6205:B$2,-1+SUMPRODUCT(MAX(ROW(E6205:E$2)*(E6206=E6205:E$2)))))</f>
        <v> </v>
      </c>
      <c r="J6206" s="25" t="str">
        <f>IF(OR(E6206="",E6206="!!!",F6206="NEW"),"",COUNTBLANK(OFFSET(A$1,,,SUMPRODUCT(MAX(ROW(E$2:E6206)*(E6206=E$2:E6206)))))-COUNTBLANK(OFFSET(A$1,,,SUMPRODUCT(MAX(ROW(E$1:E6205)*(E2=E$1:E6205))))))</f>
        <v> </v>
      </c>
      <c r="K6206" s="25" t="str">
        <f>IF(OR(E6206="",E6206="!!!",F6206="NEW"),"",INDEX(J$1:J6205,SUMPRODUCT(MAX(ROW(E$1:E6205)*(E6206=E$1:E6205)))))</f>
        <v> </v>
      </c>
      <c r="L6206" s="26"/>
    </row>
    <row r="6207" spans="1:12">
      <c r="A6207" s="20" t="s">
        <v>2307</v>
      </c>
      <c r="B6207" s="27" t="s">
        <v>942</v>
      </c>
      <c r="C6207" s="27" t="s">
        <v>999</v>
      </c>
      <c r="D6207" s="27" t="s">
        <v>932</v>
      </c>
      <c r="E6207" s="21">
        <f>IF(D6207="?OLD","!!!","")</f>
        <v/>
      </c>
      <c r="F6207" s="22" t="str">
        <f>IF(OR(E6207="",E6207="!!!"),"",IF(NOT(ISNA(VLOOKUP(E6207,E$1:E6206,1,FALSE()))),"OLD",IF(AND(E6207&lt;&gt;"",E6207&lt;&gt;"!!!"),"NEW","")))</f>
        <v> </v>
      </c>
      <c r="G6207" s="23" t="str">
        <f>IF(OR(E6207="",E6207="!!!"),"",IF(OR(J6207=0,AND(J6207=1,K6207=1),AND(J6207=1,I6207="SBJ"),AND(J6207=1,I6207=0)),"?IN_FOCUS",IF(J6207&lt;=2,"?ACTIVATED",IF(J6207&lt;&gt;"","?FAMILIAR",IF(F6207="NEW",IF(ISNA(VLOOKUP(E6207,#REF!,1,FALSE())),"?TYPE_IDENTIFIABLE","?REFERENTIAL"),"_")))))</f>
        <v> </v>
      </c>
      <c r="H6207" s="24" t="str">
        <f>IF(J6207&lt;&gt;1,"",IF(I6207="SBJ","CB","?"))</f>
        <v> </v>
      </c>
      <c r="I6207" s="25" t="str">
        <f>IF(OR(E6207="",E6207="!!!",F6207="NEW"),"",INDEX(B6206:B$2,-1+SUMPRODUCT(MAX(ROW(E6206:E$2)*(E6207=E6206:E$2)))))</f>
        <v> </v>
      </c>
      <c r="J6207" s="25" t="str">
        <f>IF(OR(E6207="",E6207="!!!",F6207="NEW"),"",COUNTBLANK(OFFSET(A$1,,,SUMPRODUCT(MAX(ROW(E$2:E6207)*(E6207=E$2:E6207)))))-COUNTBLANK(OFFSET(A$1,,,SUMPRODUCT(MAX(ROW(E$1:E6206)*(E2=E$1:E6206))))))</f>
        <v> </v>
      </c>
      <c r="K6207" s="25" t="str">
        <f>IF(OR(E6207="",E6207="!!!",F6207="NEW"),"",INDEX(J$1:J6206,SUMPRODUCT(MAX(ROW(E$1:E6206)*(E6207=E$1:E6206)))))</f>
        <v> </v>
      </c>
      <c r="L6207" s="26"/>
    </row>
    <row r="6208" spans="1:12">
      <c r="A6208" s="20" t="s">
        <v>936</v>
      </c>
      <c r="E6208" s="21">
        <f>IF(D6208="?OLD","!!!","")</f>
        <v/>
      </c>
      <c r="F6208" s="22" t="str">
        <f>IF(OR(E6208="",E6208="!!!"),"",IF(NOT(ISNA(VLOOKUP(E6208,E$1:E6207,1,FALSE()))),"OLD",IF(AND(E6208&lt;&gt;"",E6208&lt;&gt;"!!!"),"NEW","")))</f>
        <v> </v>
      </c>
      <c r="G6208" s="23" t="str">
        <f>IF(OR(E6208="",E6208="!!!"),"",IF(OR(J6208=0,AND(J6208=1,K6208=1),AND(J6208=1,I6208="SBJ"),AND(J6208=1,I6208=0)),"?IN_FOCUS",IF(J6208&lt;=2,"?ACTIVATED",IF(J6208&lt;&gt;"","?FAMILIAR",IF(F6208="NEW",IF(ISNA(VLOOKUP(E6208,#REF!,1,FALSE())),"?TYPE_IDENTIFIABLE","?REFERENTIAL"),"_")))))</f>
        <v> </v>
      </c>
      <c r="H6208" s="24" t="str">
        <f>IF(J6208&lt;&gt;1,"",IF(I6208="SBJ","CB","?"))</f>
        <v> </v>
      </c>
      <c r="I6208" s="25" t="str">
        <f>IF(OR(E6208="",E6208="!!!",F6208="NEW"),"",INDEX(B6207:B$2,-1+SUMPRODUCT(MAX(ROW(E6207:E$2)*(E6208=E6207:E$2)))))</f>
        <v> </v>
      </c>
      <c r="J6208" s="25" t="str">
        <f>IF(OR(E6208="",E6208="!!!",F6208="NEW"),"",COUNTBLANK(OFFSET(A$1,,,SUMPRODUCT(MAX(ROW(E$2:E6208)*(E6208=E$2:E6208)))))-COUNTBLANK(OFFSET(A$1,,,SUMPRODUCT(MAX(ROW(E$1:E6207)*(E2=E$1:E6207))))))</f>
        <v> </v>
      </c>
      <c r="K6208" s="25" t="str">
        <f>IF(OR(E6208="",E6208="!!!",F6208="NEW"),"",INDEX(J$1:J6207,SUMPRODUCT(MAX(ROW(E$1:E6207)*(E6208=E$1:E6207)))))</f>
        <v> </v>
      </c>
      <c r="L6208" s="26"/>
    </row>
    <row r="6209" spans="1:12">
      <c r="A6209" s="20" t="s">
        <v>938</v>
      </c>
      <c r="B6209" s="27" t="s">
        <v>949</v>
      </c>
      <c r="C6209" s="27" t="s">
        <v>940</v>
      </c>
      <c r="D6209" s="27" t="s">
        <v>932</v>
      </c>
      <c r="E6209" s="21">
        <f>IF(D6209="?OLD","!!!","")</f>
        <v/>
      </c>
      <c r="F6209" s="22" t="str">
        <f>IF(OR(E6209="",E6209="!!!"),"",IF(NOT(ISNA(VLOOKUP(E6209,E$1:E6208,1,FALSE()))),"OLD",IF(AND(E6209&lt;&gt;"",E6209&lt;&gt;"!!!"),"NEW","")))</f>
        <v> </v>
      </c>
      <c r="G6209" s="23" t="str">
        <f>IF(OR(E6209="",E6209="!!!"),"",IF(OR(J6209=0,AND(J6209=1,K6209=1),AND(J6209=1,I6209="SBJ"),AND(J6209=1,I6209=0)),"?IN_FOCUS",IF(J6209&lt;=2,"?ACTIVATED",IF(J6209&lt;&gt;"","?FAMILIAR",IF(F6209="NEW",IF(ISNA(VLOOKUP(E6209,#REF!,1,FALSE())),"?TYPE_IDENTIFIABLE","?REFERENTIAL"),"_")))))</f>
        <v> </v>
      </c>
      <c r="H6209" s="24" t="str">
        <f>IF(J6209&lt;&gt;1,"",IF(I6209="SBJ","CB","?"))</f>
        <v> </v>
      </c>
      <c r="I6209" s="25" t="str">
        <f>IF(OR(E6209="",E6209="!!!",F6209="NEW"),"",INDEX(B6208:B$2,-1+SUMPRODUCT(MAX(ROW(E6208:E$2)*(E6209=E6208:E$2)))))</f>
        <v> </v>
      </c>
      <c r="J6209" s="25" t="str">
        <f>IF(OR(E6209="",E6209="!!!",F6209="NEW"),"",COUNTBLANK(OFFSET(A$1,,,SUMPRODUCT(MAX(ROW(E$2:E6209)*(E6209=E$2:E6209)))))-COUNTBLANK(OFFSET(A$1,,,SUMPRODUCT(MAX(ROW(E$1:E6208)*(E2=E$1:E6208))))))</f>
        <v> </v>
      </c>
      <c r="K6209" s="25" t="str">
        <f>IF(OR(E6209="",E6209="!!!",F6209="NEW"),"",INDEX(J$1:J6208,SUMPRODUCT(MAX(ROW(E$1:E6208)*(E6209=E$1:E6208)))))</f>
        <v> </v>
      </c>
      <c r="L6209" s="26"/>
    </row>
    <row r="6210" spans="1:12">
      <c r="A6210" s="20" t="s">
        <v>1349</v>
      </c>
      <c r="B6210" s="27" t="s">
        <v>968</v>
      </c>
      <c r="C6210" s="27" t="s">
        <v>1087</v>
      </c>
      <c r="D6210" s="27" t="s">
        <v>932</v>
      </c>
      <c r="E6210" s="21">
        <f>IF(D6210="?OLD","!!!","")</f>
        <v/>
      </c>
      <c r="F6210" s="22" t="str">
        <f>IF(OR(E6210="",E6210="!!!"),"",IF(NOT(ISNA(VLOOKUP(E6210,E$1:E6209,1,FALSE()))),"OLD",IF(AND(E6210&lt;&gt;"",E6210&lt;&gt;"!!!"),"NEW","")))</f>
        <v> </v>
      </c>
      <c r="G6210" s="23" t="str">
        <f>IF(OR(E6210="",E6210="!!!"),"",IF(OR(J6210=0,AND(J6210=1,K6210=1),AND(J6210=1,I6210="SBJ"),AND(J6210=1,I6210=0)),"?IN_FOCUS",IF(J6210&lt;=2,"?ACTIVATED",IF(J6210&lt;&gt;"","?FAMILIAR",IF(F6210="NEW",IF(ISNA(VLOOKUP(E6210,#REF!,1,FALSE())),"?TYPE_IDENTIFIABLE","?REFERENTIAL"),"_")))))</f>
        <v> </v>
      </c>
      <c r="H6210" s="24" t="str">
        <f>IF(J6210&lt;&gt;1,"",IF(I6210="SBJ","CB","?"))</f>
        <v> </v>
      </c>
      <c r="I6210" s="25" t="str">
        <f>IF(OR(E6210="",E6210="!!!",F6210="NEW"),"",INDEX(B6209:B$2,-1+SUMPRODUCT(MAX(ROW(E6209:E$2)*(E6210=E6209:E$2)))))</f>
        <v> </v>
      </c>
      <c r="J6210" s="25" t="str">
        <f>IF(OR(E6210="",E6210="!!!",F6210="NEW"),"",COUNTBLANK(OFFSET(A$1,,,SUMPRODUCT(MAX(ROW(E$2:E6210)*(E6210=E$2:E6210)))))-COUNTBLANK(OFFSET(A$1,,,SUMPRODUCT(MAX(ROW(E$1:E6209)*(E2=E$1:E6209))))))</f>
        <v> </v>
      </c>
      <c r="K6210" s="25" t="str">
        <f>IF(OR(E6210="",E6210="!!!",F6210="NEW"),"",INDEX(J$1:J6209,SUMPRODUCT(MAX(ROW(E$1:E6209)*(E6210=E$1:E6209)))))</f>
        <v> </v>
      </c>
      <c r="L6210" s="26"/>
    </row>
    <row r="6211" spans="1:12">
      <c r="A6211" s="20" t="s">
        <v>1056</v>
      </c>
      <c r="E6211" s="21">
        <f>IF(D6211="?OLD","!!!","")</f>
        <v/>
      </c>
      <c r="F6211" s="22" t="str">
        <f>IF(OR(E6211="",E6211="!!!"),"",IF(NOT(ISNA(VLOOKUP(E6211,E$1:E6210,1,FALSE()))),"OLD",IF(AND(E6211&lt;&gt;"",E6211&lt;&gt;"!!!"),"NEW","")))</f>
        <v> </v>
      </c>
      <c r="G6211" s="23" t="str">
        <f>IF(OR(E6211="",E6211="!!!"),"",IF(OR(J6211=0,AND(J6211=1,K6211=1),AND(J6211=1,I6211="SBJ"),AND(J6211=1,I6211=0)),"?IN_FOCUS",IF(J6211&lt;=2,"?ACTIVATED",IF(J6211&lt;&gt;"","?FAMILIAR",IF(F6211="NEW",IF(ISNA(VLOOKUP(E6211,#REF!,1,FALSE())),"?TYPE_IDENTIFIABLE","?REFERENTIAL"),"_")))))</f>
        <v> </v>
      </c>
      <c r="H6211" s="24" t="str">
        <f>IF(J6211&lt;&gt;1,"",IF(I6211="SBJ","CB","?"))</f>
        <v> </v>
      </c>
      <c r="I6211" s="25" t="str">
        <f>IF(OR(E6211="",E6211="!!!",F6211="NEW"),"",INDEX(B6210:B$2,-1+SUMPRODUCT(MAX(ROW(E6210:E$2)*(E6211=E6210:E$2)))))</f>
        <v> </v>
      </c>
      <c r="J6211" s="25" t="str">
        <f>IF(OR(E6211="",E6211="!!!",F6211="NEW"),"",COUNTBLANK(OFFSET(A$1,,,SUMPRODUCT(MAX(ROW(E$2:E6211)*(E6211=E$2:E6211)))))-COUNTBLANK(OFFSET(A$1,,,SUMPRODUCT(MAX(ROW(E$1:E6210)*(E2=E$1:E6210))))))</f>
        <v> </v>
      </c>
      <c r="K6211" s="25" t="str">
        <f>IF(OR(E6211="",E6211="!!!",F6211="NEW"),"",INDEX(J$1:J6210,SUMPRODUCT(MAX(ROW(E$1:E6210)*(E6211=E$1:E6210)))))</f>
        <v> </v>
      </c>
      <c r="L6211" s="26"/>
    </row>
    <row r="6212" spans="1:12">
      <c r="A6212" s="20" t="s">
        <v>2308</v>
      </c>
      <c r="E6212" s="21">
        <f>IF(D6212="?OLD","!!!","")</f>
        <v/>
      </c>
      <c r="F6212" s="22" t="str">
        <f>IF(OR(E6212="",E6212="!!!"),"",IF(NOT(ISNA(VLOOKUP(E6212,E$1:E6211,1,FALSE()))),"OLD",IF(AND(E6212&lt;&gt;"",E6212&lt;&gt;"!!!"),"NEW","")))</f>
        <v> </v>
      </c>
      <c r="G6212" s="23" t="str">
        <f>IF(OR(E6212="",E6212="!!!"),"",IF(OR(J6212=0,AND(J6212=1,K6212=1),AND(J6212=1,I6212="SBJ"),AND(J6212=1,I6212=0)),"?IN_FOCUS",IF(J6212&lt;=2,"?ACTIVATED",IF(J6212&lt;&gt;"","?FAMILIAR",IF(F6212="NEW",IF(ISNA(VLOOKUP(E6212,#REF!,1,FALSE())),"?TYPE_IDENTIFIABLE","?REFERENTIAL"),"_")))))</f>
        <v> </v>
      </c>
      <c r="H6212" s="24" t="str">
        <f>IF(J6212&lt;&gt;1,"",IF(I6212="SBJ","CB","?"))</f>
        <v> </v>
      </c>
      <c r="I6212" s="25" t="str">
        <f>IF(OR(E6212="",E6212="!!!",F6212="NEW"),"",INDEX(B6211:B$2,-1+SUMPRODUCT(MAX(ROW(E6211:E$2)*(E6212=E6211:E$2)))))</f>
        <v> </v>
      </c>
      <c r="J6212" s="25" t="str">
        <f>IF(OR(E6212="",E6212="!!!",F6212="NEW"),"",COUNTBLANK(OFFSET(A$1,,,SUMPRODUCT(MAX(ROW(E$2:E6212)*(E6212=E$2:E6212)))))-COUNTBLANK(OFFSET(A$1,,,SUMPRODUCT(MAX(ROW(E$1:E6211)*(E2=E$1:E6211))))))</f>
        <v> </v>
      </c>
      <c r="K6212" s="25" t="str">
        <f>IF(OR(E6212="",E6212="!!!",F6212="NEW"),"",INDEX(J$1:J6211,SUMPRODUCT(MAX(ROW(E$1:E6211)*(E6212=E$1:E6211)))))</f>
        <v> </v>
      </c>
      <c r="L6212" s="26"/>
    </row>
    <row r="6213" spans="1:12">
      <c r="A6213" s="20" t="s">
        <v>936</v>
      </c>
      <c r="E6213" s="21">
        <f>IF(D6213="?OLD","!!!","")</f>
        <v/>
      </c>
      <c r="F6213" s="22" t="str">
        <f>IF(OR(E6213="",E6213="!!!"),"",IF(NOT(ISNA(VLOOKUP(E6213,E$1:E6212,1,FALSE()))),"OLD",IF(AND(E6213&lt;&gt;"",E6213&lt;&gt;"!!!"),"NEW","")))</f>
        <v> </v>
      </c>
      <c r="G6213" s="23" t="str">
        <f>IF(OR(E6213="",E6213="!!!"),"",IF(OR(J6213=0,AND(J6213=1,K6213=1),AND(J6213=1,I6213="SBJ"),AND(J6213=1,I6213=0)),"?IN_FOCUS",IF(J6213&lt;=2,"?ACTIVATED",IF(J6213&lt;&gt;"","?FAMILIAR",IF(F6213="NEW",IF(ISNA(VLOOKUP(E6213,#REF!,1,FALSE())),"?TYPE_IDENTIFIABLE","?REFERENTIAL"),"_")))))</f>
        <v> </v>
      </c>
      <c r="H6213" s="24" t="str">
        <f>IF(J6213&lt;&gt;1,"",IF(I6213="SBJ","CB","?"))</f>
        <v> </v>
      </c>
      <c r="I6213" s="25" t="str">
        <f>IF(OR(E6213="",E6213="!!!",F6213="NEW"),"",INDEX(B6212:B$2,-1+SUMPRODUCT(MAX(ROW(E6212:E$2)*(E6213=E6212:E$2)))))</f>
        <v> </v>
      </c>
      <c r="J6213" s="25" t="str">
        <f>IF(OR(E6213="",E6213="!!!",F6213="NEW"),"",COUNTBLANK(OFFSET(A$1,,,SUMPRODUCT(MAX(ROW(E$2:E6213)*(E6213=E$2:E6213)))))-COUNTBLANK(OFFSET(A$1,,,SUMPRODUCT(MAX(ROW(E$1:E6212)*(E2=E$1:E6212))))))</f>
        <v> </v>
      </c>
      <c r="K6213" s="25" t="str">
        <f>IF(OR(E6213="",E6213="!!!",F6213="NEW"),"",INDEX(J$1:J6212,SUMPRODUCT(MAX(ROW(E$1:E6212)*(E6213=E$1:E6212)))))</f>
        <v> </v>
      </c>
      <c r="L6213" s="26"/>
    </row>
    <row r="6214" spans="1:12">
      <c r="A6214" s="20" t="s">
        <v>1260</v>
      </c>
      <c r="E6214" s="21">
        <f>IF(D6214="?OLD","!!!","")</f>
        <v/>
      </c>
      <c r="F6214" s="22" t="str">
        <f>IF(OR(E6214="",E6214="!!!"),"",IF(NOT(ISNA(VLOOKUP(E6214,E$1:E6213,1,FALSE()))),"OLD",IF(AND(E6214&lt;&gt;"",E6214&lt;&gt;"!!!"),"NEW","")))</f>
        <v> </v>
      </c>
      <c r="G6214" s="23" t="str">
        <f>IF(OR(E6214="",E6214="!!!"),"",IF(OR(J6214=0,AND(J6214=1,K6214=1),AND(J6214=1,I6214="SBJ"),AND(J6214=1,I6214=0)),"?IN_FOCUS",IF(J6214&lt;=2,"?ACTIVATED",IF(J6214&lt;&gt;"","?FAMILIAR",IF(F6214="NEW",IF(ISNA(VLOOKUP(E6214,#REF!,1,FALSE())),"?TYPE_IDENTIFIABLE","?REFERENTIAL"),"_")))))</f>
        <v> </v>
      </c>
      <c r="H6214" s="24" t="str">
        <f>IF(J6214&lt;&gt;1,"",IF(I6214="SBJ","CB","?"))</f>
        <v> </v>
      </c>
      <c r="I6214" s="25" t="str">
        <f>IF(OR(E6214="",E6214="!!!",F6214="NEW"),"",INDEX(B6213:B$2,-1+SUMPRODUCT(MAX(ROW(E6213:E$2)*(E6214=E6213:E$2)))))</f>
        <v> </v>
      </c>
      <c r="J6214" s="25" t="str">
        <f>IF(OR(E6214="",E6214="!!!",F6214="NEW"),"",COUNTBLANK(OFFSET(A$1,,,SUMPRODUCT(MAX(ROW(E$2:E6214)*(E6214=E$2:E6214)))))-COUNTBLANK(OFFSET(A$1,,,SUMPRODUCT(MAX(ROW(E$1:E6213)*(E2=E$1:E6213))))))</f>
        <v> </v>
      </c>
      <c r="K6214" s="25" t="str">
        <f>IF(OR(E6214="",E6214="!!!",F6214="NEW"),"",INDEX(J$1:J6213,SUMPRODUCT(MAX(ROW(E$1:E6213)*(E6214=E$1:E6213)))))</f>
        <v> </v>
      </c>
      <c r="L6214" s="26"/>
    </row>
    <row r="6215" spans="1:12">
      <c r="A6215" s="20" t="s">
        <v>1144</v>
      </c>
      <c r="E6215" s="21">
        <f>IF(D6215="?OLD","!!!","")</f>
        <v/>
      </c>
      <c r="F6215" s="22" t="str">
        <f>IF(OR(E6215="",E6215="!!!"),"",IF(NOT(ISNA(VLOOKUP(E6215,E$1:E6214,1,FALSE()))),"OLD",IF(AND(E6215&lt;&gt;"",E6215&lt;&gt;"!!!"),"NEW","")))</f>
        <v> </v>
      </c>
      <c r="G6215" s="23" t="str">
        <f>IF(OR(E6215="",E6215="!!!"),"",IF(OR(J6215=0,AND(J6215=1,K6215=1),AND(J6215=1,I6215="SBJ"),AND(J6215=1,I6215=0)),"?IN_FOCUS",IF(J6215&lt;=2,"?ACTIVATED",IF(J6215&lt;&gt;"","?FAMILIAR",IF(F6215="NEW",IF(ISNA(VLOOKUP(E6215,#REF!,1,FALSE())),"?TYPE_IDENTIFIABLE","?REFERENTIAL"),"_")))))</f>
        <v> </v>
      </c>
      <c r="H6215" s="24" t="str">
        <f>IF(J6215&lt;&gt;1,"",IF(I6215="SBJ","CB","?"))</f>
        <v> </v>
      </c>
      <c r="I6215" s="25" t="str">
        <f>IF(OR(E6215="",E6215="!!!",F6215="NEW"),"",INDEX(B6214:B$2,-1+SUMPRODUCT(MAX(ROW(E6214:E$2)*(E6215=E6214:E$2)))))</f>
        <v> </v>
      </c>
      <c r="J6215" s="25" t="str">
        <f>IF(OR(E6215="",E6215="!!!",F6215="NEW"),"",COUNTBLANK(OFFSET(A$1,,,SUMPRODUCT(MAX(ROW(E$2:E6215)*(E6215=E$2:E6215)))))-COUNTBLANK(OFFSET(A$1,,,SUMPRODUCT(MAX(ROW(E$1:E6214)*(E2=E$1:E6214))))))</f>
        <v> </v>
      </c>
      <c r="K6215" s="25" t="str">
        <f>IF(OR(E6215="",E6215="!!!",F6215="NEW"),"",INDEX(J$1:J6214,SUMPRODUCT(MAX(ROW(E$1:E6214)*(E6215=E$1:E6214)))))</f>
        <v> </v>
      </c>
      <c r="L6215" s="26"/>
    </row>
    <row r="6216" spans="1:12">
      <c r="A6216" s="20" t="s">
        <v>1007</v>
      </c>
      <c r="E6216" s="21">
        <f>IF(D6216="?OLD","!!!","")</f>
        <v/>
      </c>
      <c r="F6216" s="22" t="str">
        <f>IF(OR(E6216="",E6216="!!!"),"",IF(NOT(ISNA(VLOOKUP(E6216,E$1:E6215,1,FALSE()))),"OLD",IF(AND(E6216&lt;&gt;"",E6216&lt;&gt;"!!!"),"NEW","")))</f>
        <v> </v>
      </c>
      <c r="G6216" s="23" t="str">
        <f>IF(OR(E6216="",E6216="!!!"),"",IF(OR(J6216=0,AND(J6216=1,K6216=1),AND(J6216=1,I6216="SBJ"),AND(J6216=1,I6216=0)),"?IN_FOCUS",IF(J6216&lt;=2,"?ACTIVATED",IF(J6216&lt;&gt;"","?FAMILIAR",IF(F6216="NEW",IF(ISNA(VLOOKUP(E6216,#REF!,1,FALSE())),"?TYPE_IDENTIFIABLE","?REFERENTIAL"),"_")))))</f>
        <v> </v>
      </c>
      <c r="H6216" s="24" t="str">
        <f>IF(J6216&lt;&gt;1,"",IF(I6216="SBJ","CB","?"))</f>
        <v> </v>
      </c>
      <c r="I6216" s="25" t="str">
        <f>IF(OR(E6216="",E6216="!!!",F6216="NEW"),"",INDEX(B6215:B$2,-1+SUMPRODUCT(MAX(ROW(E6215:E$2)*(E6216=E6215:E$2)))))</f>
        <v> </v>
      </c>
      <c r="J6216" s="25" t="str">
        <f>IF(OR(E6216="",E6216="!!!",F6216="NEW"),"",COUNTBLANK(OFFSET(A$1,,,SUMPRODUCT(MAX(ROW(E$2:E6216)*(E6216=E$2:E6216)))))-COUNTBLANK(OFFSET(A$1,,,SUMPRODUCT(MAX(ROW(E$1:E6215)*(E2=E$1:E6215))))))</f>
        <v> </v>
      </c>
      <c r="K6216" s="25" t="str">
        <f>IF(OR(E6216="",E6216="!!!",F6216="NEW"),"",INDEX(J$1:J6215,SUMPRODUCT(MAX(ROW(E$1:E6215)*(E6216=E$1:E6215)))))</f>
        <v> </v>
      </c>
      <c r="L6216" s="26"/>
    </row>
    <row r="6217" spans="1:12">
      <c r="A6217" s="20" t="s">
        <v>2307</v>
      </c>
      <c r="B6217" s="27" t="s">
        <v>939</v>
      </c>
      <c r="C6217" s="27" t="s">
        <v>1054</v>
      </c>
      <c r="D6217" s="27" t="s">
        <v>932</v>
      </c>
      <c r="E6217" s="21">
        <f>IF(D6217="?OLD","!!!","")</f>
        <v/>
      </c>
      <c r="F6217" s="22" t="str">
        <f>IF(OR(E6217="",E6217="!!!"),"",IF(NOT(ISNA(VLOOKUP(E6217,E$1:E6216,1,FALSE()))),"OLD",IF(AND(E6217&lt;&gt;"",E6217&lt;&gt;"!!!"),"NEW","")))</f>
        <v> </v>
      </c>
      <c r="G6217" s="23" t="str">
        <f>IF(OR(E6217="",E6217="!!!"),"",IF(OR(J6217=0,AND(J6217=1,K6217=1),AND(J6217=1,I6217="SBJ"),AND(J6217=1,I6217=0)),"?IN_FOCUS",IF(J6217&lt;=2,"?ACTIVATED",IF(J6217&lt;&gt;"","?FAMILIAR",IF(F6217="NEW",IF(ISNA(VLOOKUP(E6217,#REF!,1,FALSE())),"?TYPE_IDENTIFIABLE","?REFERENTIAL"),"_")))))</f>
        <v> </v>
      </c>
      <c r="H6217" s="24" t="str">
        <f>IF(J6217&lt;&gt;1,"",IF(I6217="SBJ","CB","?"))</f>
        <v> </v>
      </c>
      <c r="I6217" s="25" t="str">
        <f>IF(OR(E6217="",E6217="!!!",F6217="NEW"),"",INDEX(B6216:B$2,-1+SUMPRODUCT(MAX(ROW(E6216:E$2)*(E6217=E6216:E$2)))))</f>
        <v> </v>
      </c>
      <c r="J6217" s="25" t="str">
        <f>IF(OR(E6217="",E6217="!!!",F6217="NEW"),"",COUNTBLANK(OFFSET(A$1,,,SUMPRODUCT(MAX(ROW(E$2:E6217)*(E6217=E$2:E6217)))))-COUNTBLANK(OFFSET(A$1,,,SUMPRODUCT(MAX(ROW(E$1:E6216)*(E2=E$1:E6216))))))</f>
        <v> </v>
      </c>
      <c r="K6217" s="25" t="str">
        <f>IF(OR(E6217="",E6217="!!!",F6217="NEW"),"",INDEX(J$1:J6216,SUMPRODUCT(MAX(ROW(E$1:E6216)*(E6217=E$1:E6216)))))</f>
        <v> </v>
      </c>
      <c r="L6217" s="26"/>
    </row>
    <row r="6218" spans="1:12">
      <c r="A6218" s="20" t="s">
        <v>966</v>
      </c>
      <c r="E6218" s="21">
        <f>IF(D6218="?OLD","!!!","")</f>
        <v/>
      </c>
      <c r="F6218" s="22" t="str">
        <f>IF(OR(E6218="",E6218="!!!"),"",IF(NOT(ISNA(VLOOKUP(E6218,E$1:E6217,1,FALSE()))),"OLD",IF(AND(E6218&lt;&gt;"",E6218&lt;&gt;"!!!"),"NEW","")))</f>
        <v> </v>
      </c>
      <c r="G6218" s="23" t="str">
        <f>IF(OR(E6218="",E6218="!!!"),"",IF(OR(J6218=0,AND(J6218=1,K6218=1),AND(J6218=1,I6218="SBJ"),AND(J6218=1,I6218=0)),"?IN_FOCUS",IF(J6218&lt;=2,"?ACTIVATED",IF(J6218&lt;&gt;"","?FAMILIAR",IF(F6218="NEW",IF(ISNA(VLOOKUP(E6218,#REF!,1,FALSE())),"?TYPE_IDENTIFIABLE","?REFERENTIAL"),"_")))))</f>
        <v> </v>
      </c>
      <c r="H6218" s="24" t="str">
        <f>IF(J6218&lt;&gt;1,"",IF(I6218="SBJ","CB","?"))</f>
        <v> </v>
      </c>
      <c r="I6218" s="25" t="str">
        <f>IF(OR(E6218="",E6218="!!!",F6218="NEW"),"",INDEX(B6217:B$2,-1+SUMPRODUCT(MAX(ROW(E6217:E$2)*(E6218=E6217:E$2)))))</f>
        <v> </v>
      </c>
      <c r="J6218" s="25" t="str">
        <f>IF(OR(E6218="",E6218="!!!",F6218="NEW"),"",COUNTBLANK(OFFSET(A$1,,,SUMPRODUCT(MAX(ROW(E$2:E6218)*(E6218=E$2:E6218)))))-COUNTBLANK(OFFSET(A$1,,,SUMPRODUCT(MAX(ROW(E$1:E6217)*(E2=E$1:E6217))))))</f>
        <v> </v>
      </c>
      <c r="K6218" s="25" t="str">
        <f>IF(OR(E6218="",E6218="!!!",F6218="NEW"),"",INDEX(J$1:J6217,SUMPRODUCT(MAX(ROW(E$1:E6217)*(E6218=E$1:E6217)))))</f>
        <v> </v>
      </c>
      <c r="L6218" s="26"/>
    </row>
    <row r="6219" spans="1:12">
      <c r="A6219" s="20" t="s">
        <v>929</v>
      </c>
      <c r="B6219" s="27" t="s">
        <v>1009</v>
      </c>
      <c r="C6219" s="27" t="s">
        <v>931</v>
      </c>
      <c r="D6219" s="27" t="s">
        <v>932</v>
      </c>
      <c r="E6219" s="21">
        <f>IF(D6219="?OLD","!!!","")</f>
        <v/>
      </c>
      <c r="F6219" s="22" t="str">
        <f>IF(OR(E6219="",E6219="!!!"),"",IF(NOT(ISNA(VLOOKUP(E6219,E$1:E6218,1,FALSE()))),"OLD",IF(AND(E6219&lt;&gt;"",E6219&lt;&gt;"!!!"),"NEW","")))</f>
        <v> </v>
      </c>
      <c r="G6219" s="23" t="str">
        <f>IF(OR(E6219="",E6219="!!!"),"",IF(OR(J6219=0,AND(J6219=1,K6219=1),AND(J6219=1,I6219="SBJ"),AND(J6219=1,I6219=0)),"?IN_FOCUS",IF(J6219&lt;=2,"?ACTIVATED",IF(J6219&lt;&gt;"","?FAMILIAR",IF(F6219="NEW",IF(ISNA(VLOOKUP(E6219,#REF!,1,FALSE())),"?TYPE_IDENTIFIABLE","?REFERENTIAL"),"_")))))</f>
        <v> </v>
      </c>
      <c r="H6219" s="24" t="str">
        <f>IF(J6219&lt;&gt;1,"",IF(I6219="SBJ","CB","?"))</f>
        <v> </v>
      </c>
      <c r="I6219" s="25" t="str">
        <f>IF(OR(E6219="",E6219="!!!",F6219="NEW"),"",INDEX(B6218:B$2,-1+SUMPRODUCT(MAX(ROW(E6218:E$2)*(E6219=E6218:E$2)))))</f>
        <v> </v>
      </c>
      <c r="J6219" s="25" t="str">
        <f>IF(OR(E6219="",E6219="!!!",F6219="NEW"),"",COUNTBLANK(OFFSET(A$1,,,SUMPRODUCT(MAX(ROW(E$2:E6219)*(E6219=E$2:E6219)))))-COUNTBLANK(OFFSET(A$1,,,SUMPRODUCT(MAX(ROW(E$1:E6218)*(E2=E$1:E6218))))))</f>
        <v> </v>
      </c>
      <c r="K6219" s="25" t="str">
        <f>IF(OR(E6219="",E6219="!!!",F6219="NEW"),"",INDEX(J$1:J6218,SUMPRODUCT(MAX(ROW(E$1:E6218)*(E6219=E$1:E6218)))))</f>
        <v> </v>
      </c>
      <c r="L6219" s="26"/>
    </row>
    <row r="6220" spans="1:12">
      <c r="A6220" s="20" t="s">
        <v>1305</v>
      </c>
      <c r="E6220" s="21">
        <f>IF(D6220="?OLD","!!!","")</f>
        <v/>
      </c>
      <c r="F6220" s="22" t="str">
        <f>IF(OR(E6220="",E6220="!!!"),"",IF(NOT(ISNA(VLOOKUP(E6220,E$1:E6219,1,FALSE()))),"OLD",IF(AND(E6220&lt;&gt;"",E6220&lt;&gt;"!!!"),"NEW","")))</f>
        <v> </v>
      </c>
      <c r="G6220" s="23" t="str">
        <f>IF(OR(E6220="",E6220="!!!"),"",IF(OR(J6220=0,AND(J6220=1,K6220=1),AND(J6220=1,I6220="SBJ"),AND(J6220=1,I6220=0)),"?IN_FOCUS",IF(J6220&lt;=2,"?ACTIVATED",IF(J6220&lt;&gt;"","?FAMILIAR",IF(F6220="NEW",IF(ISNA(VLOOKUP(E6220,#REF!,1,FALSE())),"?TYPE_IDENTIFIABLE","?REFERENTIAL"),"_")))))</f>
        <v> </v>
      </c>
      <c r="H6220" s="24" t="str">
        <f>IF(J6220&lt;&gt;1,"",IF(I6220="SBJ","CB","?"))</f>
        <v> </v>
      </c>
      <c r="I6220" s="25" t="str">
        <f>IF(OR(E6220="",E6220="!!!",F6220="NEW"),"",INDEX(B6219:B$2,-1+SUMPRODUCT(MAX(ROW(E6219:E$2)*(E6220=E6219:E$2)))))</f>
        <v> </v>
      </c>
      <c r="J6220" s="25" t="str">
        <f>IF(OR(E6220="",E6220="!!!",F6220="NEW"),"",COUNTBLANK(OFFSET(A$1,,,SUMPRODUCT(MAX(ROW(E$2:E6220)*(E6220=E$2:E6220)))))-COUNTBLANK(OFFSET(A$1,,,SUMPRODUCT(MAX(ROW(E$1:E6219)*(E2=E$1:E6219))))))</f>
        <v> </v>
      </c>
      <c r="K6220" s="25" t="str">
        <f>IF(OR(E6220="",E6220="!!!",F6220="NEW"),"",INDEX(J$1:J6219,SUMPRODUCT(MAX(ROW(E$1:E6219)*(E6220=E$1:E6219)))))</f>
        <v> </v>
      </c>
      <c r="L6220" s="26"/>
    </row>
    <row r="6221" spans="1:12">
      <c r="A6221" s="20" t="s">
        <v>1457</v>
      </c>
      <c r="E6221" s="21">
        <f>IF(D6221="?OLD","!!!","")</f>
        <v/>
      </c>
      <c r="F6221" s="22" t="str">
        <f>IF(OR(E6221="",E6221="!!!"),"",IF(NOT(ISNA(VLOOKUP(E6221,E$1:E6220,1,FALSE()))),"OLD",IF(AND(E6221&lt;&gt;"",E6221&lt;&gt;"!!!"),"NEW","")))</f>
        <v> </v>
      </c>
      <c r="G6221" s="23" t="str">
        <f>IF(OR(E6221="",E6221="!!!"),"",IF(OR(J6221=0,AND(J6221=1,K6221=1),AND(J6221=1,I6221="SBJ"),AND(J6221=1,I6221=0)),"?IN_FOCUS",IF(J6221&lt;=2,"?ACTIVATED",IF(J6221&lt;&gt;"","?FAMILIAR",IF(F6221="NEW",IF(ISNA(VLOOKUP(E6221,#REF!,1,FALSE())),"?TYPE_IDENTIFIABLE","?REFERENTIAL"),"_")))))</f>
        <v> </v>
      </c>
      <c r="H6221" s="24" t="str">
        <f>IF(J6221&lt;&gt;1,"",IF(I6221="SBJ","CB","?"))</f>
        <v> </v>
      </c>
      <c r="I6221" s="25" t="str">
        <f>IF(OR(E6221="",E6221="!!!",F6221="NEW"),"",INDEX(B6220:B$2,-1+SUMPRODUCT(MAX(ROW(E6220:E$2)*(E6221=E6220:E$2)))))</f>
        <v> </v>
      </c>
      <c r="J6221" s="25" t="str">
        <f>IF(OR(E6221="",E6221="!!!",F6221="NEW"),"",COUNTBLANK(OFFSET(A$1,,,SUMPRODUCT(MAX(ROW(E$2:E6221)*(E6221=E$2:E6221)))))-COUNTBLANK(OFFSET(A$1,,,SUMPRODUCT(MAX(ROW(E$1:E6220)*(E2=E$1:E6220))))))</f>
        <v> </v>
      </c>
      <c r="K6221" s="25" t="str">
        <f>IF(OR(E6221="",E6221="!!!",F6221="NEW"),"",INDEX(J$1:J6220,SUMPRODUCT(MAX(ROW(E$1:E6220)*(E6221=E$1:E6220)))))</f>
        <v> </v>
      </c>
      <c r="L6221" s="26"/>
    </row>
    <row r="6222" spans="1:12">
      <c r="A6222" s="20" t="s">
        <v>1042</v>
      </c>
      <c r="E6222" s="21">
        <f>IF(D6222="?OLD","!!!","")</f>
        <v/>
      </c>
      <c r="F6222" s="22" t="str">
        <f>IF(OR(E6222="",E6222="!!!"),"",IF(NOT(ISNA(VLOOKUP(E6222,E$1:E6221,1,FALSE()))),"OLD",IF(AND(E6222&lt;&gt;"",E6222&lt;&gt;"!!!"),"NEW","")))</f>
        <v> </v>
      </c>
      <c r="G6222" s="23" t="str">
        <f>IF(OR(E6222="",E6222="!!!"),"",IF(OR(J6222=0,AND(J6222=1,K6222=1),AND(J6222=1,I6222="SBJ"),AND(J6222=1,I6222=0)),"?IN_FOCUS",IF(J6222&lt;=2,"?ACTIVATED",IF(J6222&lt;&gt;"","?FAMILIAR",IF(F6222="NEW",IF(ISNA(VLOOKUP(E6222,#REF!,1,FALSE())),"?TYPE_IDENTIFIABLE","?REFERENTIAL"),"_")))))</f>
        <v> </v>
      </c>
      <c r="H6222" s="24" t="str">
        <f>IF(J6222&lt;&gt;1,"",IF(I6222="SBJ","CB","?"))</f>
        <v> </v>
      </c>
      <c r="I6222" s="25" t="str">
        <f>IF(OR(E6222="",E6222="!!!",F6222="NEW"),"",INDEX(B6221:B$2,-1+SUMPRODUCT(MAX(ROW(E6221:E$2)*(E6222=E6221:E$2)))))</f>
        <v> </v>
      </c>
      <c r="J6222" s="25" t="str">
        <f>IF(OR(E6222="",E6222="!!!",F6222="NEW"),"",COUNTBLANK(OFFSET(A$1,,,SUMPRODUCT(MAX(ROW(E$2:E6222)*(E6222=E$2:E6222)))))-COUNTBLANK(OFFSET(A$1,,,SUMPRODUCT(MAX(ROW(E$1:E6221)*(E2=E$1:E6221))))))</f>
        <v> </v>
      </c>
      <c r="K6222" s="25" t="str">
        <f>IF(OR(E6222="",E6222="!!!",F6222="NEW"),"",INDEX(J$1:J6221,SUMPRODUCT(MAX(ROW(E$1:E6221)*(E6222=E$1:E6221)))))</f>
        <v> </v>
      </c>
      <c r="L6222" s="26"/>
    </row>
    <row r="6223" spans="1:12">
      <c r="A6223" s="20"/>
    </row>
    <row r="6224" spans="1:12">
      <c r="A6224" s="20" t="s">
        <v>2309</v>
      </c>
    </row>
    <row r="6225" spans="1:12">
      <c r="A6225" s="20" t="s">
        <v>929</v>
      </c>
      <c r="B6225" s="27" t="s">
        <v>930</v>
      </c>
      <c r="C6225" s="27" t="s">
        <v>931</v>
      </c>
      <c r="D6225" s="27" t="s">
        <v>932</v>
      </c>
      <c r="E6225" s="21">
        <f>IF(D6225="?OLD","!!!","")</f>
        <v/>
      </c>
      <c r="F6225" s="22" t="str">
        <f>IF(OR(E6225="",E6225="!!!"),"",IF(NOT(ISNA(VLOOKUP(E6225,E$1:E6224,1,FALSE()))),"OLD",IF(AND(E6225&lt;&gt;"",E6225&lt;&gt;"!!!"),"NEW","")))</f>
        <v> </v>
      </c>
      <c r="G6225" s="23" t="str">
        <f>IF(OR(E6225="",E6225="!!!"),"",IF(OR(J6225=0,AND(J6225=1,K6225=1),AND(J6225=1,I6225="SBJ"),AND(J6225=1,I6225=0)),"?IN_FOCUS",IF(J6225&lt;=2,"?ACTIVATED",IF(J6225&lt;&gt;"","?FAMILIAR",IF(F6225="NEW",IF(ISNA(VLOOKUP(E6225,#REF!,1,FALSE())),"?TYPE_IDENTIFIABLE","?REFERENTIAL"),"_")))))</f>
        <v> </v>
      </c>
      <c r="H6225" s="24" t="str">
        <f>IF(J6225&lt;&gt;1,"",IF(I6225="SBJ","CB","?"))</f>
        <v> </v>
      </c>
      <c r="I6225" s="25" t="str">
        <f>IF(OR(E6225="",E6225="!!!",F6225="NEW"),"",INDEX(B6224:B$2,-1+SUMPRODUCT(MAX(ROW(E6224:E$2)*(E6225=E6224:E$2)))))</f>
        <v> </v>
      </c>
      <c r="J6225" s="25" t="str">
        <f>IF(OR(E6225="",E6225="!!!",F6225="NEW"),"",COUNTBLANK(OFFSET(A$1,,,SUMPRODUCT(MAX(ROW(E$2:E6225)*(E6225=E$2:E6225)))))-COUNTBLANK(OFFSET(A$1,,,SUMPRODUCT(MAX(ROW(E$1:E6224)*(E2=E$1:E6224))))))</f>
        <v> </v>
      </c>
      <c r="K6225" s="25" t="str">
        <f>IF(OR(E6225="",E6225="!!!",F6225="NEW"),"",INDEX(J$1:J6224,SUMPRODUCT(MAX(ROW(E$1:E6224)*(E6225=E$1:E6224)))))</f>
        <v> </v>
      </c>
      <c r="L6225" s="26"/>
    </row>
    <row r="6226" spans="1:12">
      <c r="A6226" s="20" t="s">
        <v>933</v>
      </c>
      <c r="E6226" s="21">
        <f>IF(D6226="?OLD","!!!","")</f>
        <v/>
      </c>
      <c r="F6226" s="22" t="str">
        <f>IF(OR(E6226="",E6226="!!!"),"",IF(NOT(ISNA(VLOOKUP(E6226,E$1:E6225,1,FALSE()))),"OLD",IF(AND(E6226&lt;&gt;"",E6226&lt;&gt;"!!!"),"NEW","")))</f>
        <v> </v>
      </c>
      <c r="G6226" s="23" t="str">
        <f>IF(OR(E6226="",E6226="!!!"),"",IF(OR(J6226=0,AND(J6226=1,K6226=1),AND(J6226=1,I6226="SBJ"),AND(J6226=1,I6226=0)),"?IN_FOCUS",IF(J6226&lt;=2,"?ACTIVATED",IF(J6226&lt;&gt;"","?FAMILIAR",IF(F6226="NEW",IF(ISNA(VLOOKUP(E6226,#REF!,1,FALSE())),"?TYPE_IDENTIFIABLE","?REFERENTIAL"),"_")))))</f>
        <v> </v>
      </c>
      <c r="H6226" s="24" t="str">
        <f>IF(J6226&lt;&gt;1,"",IF(I6226="SBJ","CB","?"))</f>
        <v> </v>
      </c>
      <c r="I6226" s="25" t="str">
        <f>IF(OR(E6226="",E6226="!!!",F6226="NEW"),"",INDEX(B6225:B$2,-1+SUMPRODUCT(MAX(ROW(E6225:E$2)*(E6226=E6225:E$2)))))</f>
        <v> </v>
      </c>
      <c r="J6226" s="25" t="str">
        <f>IF(OR(E6226="",E6226="!!!",F6226="NEW"),"",COUNTBLANK(OFFSET(A$1,,,SUMPRODUCT(MAX(ROW(E$2:E6226)*(E6226=E$2:E6226)))))-COUNTBLANK(OFFSET(A$1,,,SUMPRODUCT(MAX(ROW(E$1:E6225)*(E2=E$1:E6225))))))</f>
        <v> </v>
      </c>
      <c r="K6226" s="25" t="str">
        <f>IF(OR(E6226="",E6226="!!!",F6226="NEW"),"",INDEX(J$1:J6225,SUMPRODUCT(MAX(ROW(E$1:E6225)*(E6226=E$1:E6225)))))</f>
        <v> </v>
      </c>
      <c r="L6226" s="26"/>
    </row>
    <row r="6227" spans="1:12">
      <c r="A6227" s="20" t="s">
        <v>958</v>
      </c>
      <c r="E6227" s="21">
        <f>IF(D6227="?OLD","!!!","")</f>
        <v/>
      </c>
      <c r="F6227" s="22" t="str">
        <f>IF(OR(E6227="",E6227="!!!"),"",IF(NOT(ISNA(VLOOKUP(E6227,E$1:E6226,1,FALSE()))),"OLD",IF(AND(E6227&lt;&gt;"",E6227&lt;&gt;"!!!"),"NEW","")))</f>
        <v> </v>
      </c>
      <c r="G6227" s="23" t="str">
        <f>IF(OR(E6227="",E6227="!!!"),"",IF(OR(J6227=0,AND(J6227=1,K6227=1),AND(J6227=1,I6227="SBJ"),AND(J6227=1,I6227=0)),"?IN_FOCUS",IF(J6227&lt;=2,"?ACTIVATED",IF(J6227&lt;&gt;"","?FAMILIAR",IF(F6227="NEW",IF(ISNA(VLOOKUP(E6227,#REF!,1,FALSE())),"?TYPE_IDENTIFIABLE","?REFERENTIAL"),"_")))))</f>
        <v> </v>
      </c>
      <c r="H6227" s="24" t="str">
        <f>IF(J6227&lt;&gt;1,"",IF(I6227="SBJ","CB","?"))</f>
        <v> </v>
      </c>
      <c r="I6227" s="25" t="str">
        <f>IF(OR(E6227="",E6227="!!!",F6227="NEW"),"",INDEX(B6226:B$2,-1+SUMPRODUCT(MAX(ROW(E6226:E$2)*(E6227=E6226:E$2)))))</f>
        <v> </v>
      </c>
      <c r="J6227" s="25" t="str">
        <f>IF(OR(E6227="",E6227="!!!",F6227="NEW"),"",COUNTBLANK(OFFSET(A$1,,,SUMPRODUCT(MAX(ROW(E$2:E6227)*(E6227=E$2:E6227)))))-COUNTBLANK(OFFSET(A$1,,,SUMPRODUCT(MAX(ROW(E$1:E6226)*(E2=E$1:E6226))))))</f>
        <v> </v>
      </c>
      <c r="K6227" s="25" t="str">
        <f>IF(OR(E6227="",E6227="!!!",F6227="NEW"),"",INDEX(J$1:J6226,SUMPRODUCT(MAX(ROW(E$1:E6226)*(E6227=E$1:E6226)))))</f>
        <v> </v>
      </c>
      <c r="L6227" s="26"/>
    </row>
    <row r="6228" spans="1:12">
      <c r="A6228" s="20" t="s">
        <v>2310</v>
      </c>
      <c r="B6228" s="27" t="s">
        <v>988</v>
      </c>
      <c r="C6228" s="27" t="s">
        <v>999</v>
      </c>
      <c r="D6228" s="27" t="s">
        <v>932</v>
      </c>
      <c r="E6228" s="21">
        <f>IF(D6228="?OLD","!!!","")</f>
        <v/>
      </c>
      <c r="F6228" s="22" t="str">
        <f>IF(OR(E6228="",E6228="!!!"),"",IF(NOT(ISNA(VLOOKUP(E6228,E$1:E6227,1,FALSE()))),"OLD",IF(AND(E6228&lt;&gt;"",E6228&lt;&gt;"!!!"),"NEW","")))</f>
        <v> </v>
      </c>
      <c r="G6228" s="23" t="str">
        <f>IF(OR(E6228="",E6228="!!!"),"",IF(OR(J6228=0,AND(J6228=1,K6228=1),AND(J6228=1,I6228="SBJ"),AND(J6228=1,I6228=0)),"?IN_FOCUS",IF(J6228&lt;=2,"?ACTIVATED",IF(J6228&lt;&gt;"","?FAMILIAR",IF(F6228="NEW",IF(ISNA(VLOOKUP(E6228,#REF!,1,FALSE())),"?TYPE_IDENTIFIABLE","?REFERENTIAL"),"_")))))</f>
        <v> </v>
      </c>
      <c r="H6228" s="24" t="str">
        <f>IF(J6228&lt;&gt;1,"",IF(I6228="SBJ","CB","?"))</f>
        <v> </v>
      </c>
      <c r="I6228" s="25" t="str">
        <f>IF(OR(E6228="",E6228="!!!",F6228="NEW"),"",INDEX(B6227:B$2,-1+SUMPRODUCT(MAX(ROW(E6227:E$2)*(E6228=E6227:E$2)))))</f>
        <v> </v>
      </c>
      <c r="J6228" s="25" t="str">
        <f>IF(OR(E6228="",E6228="!!!",F6228="NEW"),"",COUNTBLANK(OFFSET(A$1,,,SUMPRODUCT(MAX(ROW(E$2:E6228)*(E6228=E$2:E6228)))))-COUNTBLANK(OFFSET(A$1,,,SUMPRODUCT(MAX(ROW(E$1:E6227)*(E2=E$1:E6227))))))</f>
        <v> </v>
      </c>
      <c r="K6228" s="25" t="str">
        <f>IF(OR(E6228="",E6228="!!!",F6228="NEW"),"",INDEX(J$1:J6227,SUMPRODUCT(MAX(ROW(E$1:E6227)*(E6228=E$1:E6227)))))</f>
        <v> </v>
      </c>
      <c r="L6228" s="26"/>
    </row>
    <row r="6229" spans="1:12">
      <c r="A6229" s="20" t="s">
        <v>937</v>
      </c>
      <c r="E6229" s="21">
        <f>IF(D6229="?OLD","!!!","")</f>
        <v/>
      </c>
      <c r="F6229" s="22" t="str">
        <f>IF(OR(E6229="",E6229="!!!"),"",IF(NOT(ISNA(VLOOKUP(E6229,E$1:E6228,1,FALSE()))),"OLD",IF(AND(E6229&lt;&gt;"",E6229&lt;&gt;"!!!"),"NEW","")))</f>
        <v> </v>
      </c>
      <c r="G6229" s="23" t="str">
        <f>IF(OR(E6229="",E6229="!!!"),"",IF(OR(J6229=0,AND(J6229=1,K6229=1),AND(J6229=1,I6229="SBJ"),AND(J6229=1,I6229=0)),"?IN_FOCUS",IF(J6229&lt;=2,"?ACTIVATED",IF(J6229&lt;&gt;"","?FAMILIAR",IF(F6229="NEW",IF(ISNA(VLOOKUP(E6229,#REF!,1,FALSE())),"?TYPE_IDENTIFIABLE","?REFERENTIAL"),"_")))))</f>
        <v> </v>
      </c>
      <c r="H6229" s="24" t="str">
        <f>IF(J6229&lt;&gt;1,"",IF(I6229="SBJ","CB","?"))</f>
        <v> </v>
      </c>
      <c r="I6229" s="25" t="str">
        <f>IF(OR(E6229="",E6229="!!!",F6229="NEW"),"",INDEX(B6228:B$2,-1+SUMPRODUCT(MAX(ROW(E6228:E$2)*(E6229=E6228:E$2)))))</f>
        <v> </v>
      </c>
      <c r="J6229" s="25" t="str">
        <f>IF(OR(E6229="",E6229="!!!",F6229="NEW"),"",COUNTBLANK(OFFSET(A$1,,,SUMPRODUCT(MAX(ROW(E$2:E6229)*(E6229=E$2:E6229)))))-COUNTBLANK(OFFSET(A$1,,,SUMPRODUCT(MAX(ROW(E$1:E6228)*(E2=E$1:E6228))))))</f>
        <v> </v>
      </c>
      <c r="K6229" s="25" t="str">
        <f>IF(OR(E6229="",E6229="!!!",F6229="NEW"),"",INDEX(J$1:J6228,SUMPRODUCT(MAX(ROW(E$1:E6228)*(E6229=E$1:E6228)))))</f>
        <v> </v>
      </c>
      <c r="L6229" s="26"/>
    </row>
    <row r="6230" spans="1:12">
      <c r="A6230" s="20" t="s">
        <v>938</v>
      </c>
      <c r="B6230" s="27" t="s">
        <v>939</v>
      </c>
      <c r="C6230" s="27" t="s">
        <v>940</v>
      </c>
      <c r="D6230" s="27" t="s">
        <v>932</v>
      </c>
      <c r="E6230" s="21">
        <f>IF(D6230="?OLD","!!!","")</f>
        <v/>
      </c>
      <c r="F6230" s="22" t="str">
        <f>IF(OR(E6230="",E6230="!!!"),"",IF(NOT(ISNA(VLOOKUP(E6230,E$1:E6229,1,FALSE()))),"OLD",IF(AND(E6230&lt;&gt;"",E6230&lt;&gt;"!!!"),"NEW","")))</f>
        <v> </v>
      </c>
      <c r="G6230" s="23" t="str">
        <f>IF(OR(E6230="",E6230="!!!"),"",IF(OR(J6230=0,AND(J6230=1,K6230=1),AND(J6230=1,I6230="SBJ"),AND(J6230=1,I6230=0)),"?IN_FOCUS",IF(J6230&lt;=2,"?ACTIVATED",IF(J6230&lt;&gt;"","?FAMILIAR",IF(F6230="NEW",IF(ISNA(VLOOKUP(E6230,#REF!,1,FALSE())),"?TYPE_IDENTIFIABLE","?REFERENTIAL"),"_")))))</f>
        <v> </v>
      </c>
      <c r="H6230" s="24" t="str">
        <f>IF(J6230&lt;&gt;1,"",IF(I6230="SBJ","CB","?"))</f>
        <v> </v>
      </c>
      <c r="I6230" s="25" t="str">
        <f>IF(OR(E6230="",E6230="!!!",F6230="NEW"),"",INDEX(B6229:B$2,-1+SUMPRODUCT(MAX(ROW(E6229:E$2)*(E6230=E6229:E$2)))))</f>
        <v> </v>
      </c>
      <c r="J6230" s="25" t="str">
        <f>IF(OR(E6230="",E6230="!!!",F6230="NEW"),"",COUNTBLANK(OFFSET(A$1,,,SUMPRODUCT(MAX(ROW(E$2:E6230)*(E6230=E$2:E6230)))))-COUNTBLANK(OFFSET(A$1,,,SUMPRODUCT(MAX(ROW(E$1:E6229)*(E2=E$1:E6229))))))</f>
        <v> </v>
      </c>
      <c r="K6230" s="25" t="str">
        <f>IF(OR(E6230="",E6230="!!!",F6230="NEW"),"",INDEX(J$1:J6229,SUMPRODUCT(MAX(ROW(E$1:E6229)*(E6230=E$1:E6229)))))</f>
        <v> </v>
      </c>
      <c r="L6230" s="26"/>
    </row>
    <row r="6231" spans="1:12">
      <c r="A6231" s="20" t="s">
        <v>1771</v>
      </c>
      <c r="B6231" s="27" t="s">
        <v>942</v>
      </c>
      <c r="C6231" s="27" t="s">
        <v>1087</v>
      </c>
      <c r="D6231" s="27" t="s">
        <v>932</v>
      </c>
      <c r="E6231" s="21">
        <f>IF(D6231="?OLD","!!!","")</f>
        <v/>
      </c>
      <c r="F6231" s="22" t="str">
        <f>IF(OR(E6231="",E6231="!!!"),"",IF(NOT(ISNA(VLOOKUP(E6231,E$1:E6230,1,FALSE()))),"OLD",IF(AND(E6231&lt;&gt;"",E6231&lt;&gt;"!!!"),"NEW","")))</f>
        <v> </v>
      </c>
      <c r="G6231" s="23" t="str">
        <f>IF(OR(E6231="",E6231="!!!"),"",IF(OR(J6231=0,AND(J6231=1,K6231=1),AND(J6231=1,I6231="SBJ"),AND(J6231=1,I6231=0)),"?IN_FOCUS",IF(J6231&lt;=2,"?ACTIVATED",IF(J6231&lt;&gt;"","?FAMILIAR",IF(F6231="NEW",IF(ISNA(VLOOKUP(E6231,#REF!,1,FALSE())),"?TYPE_IDENTIFIABLE","?REFERENTIAL"),"_")))))</f>
        <v> </v>
      </c>
      <c r="H6231" s="24" t="str">
        <f>IF(J6231&lt;&gt;1,"",IF(I6231="SBJ","CB","?"))</f>
        <v> </v>
      </c>
      <c r="I6231" s="25" t="str">
        <f>IF(OR(E6231="",E6231="!!!",F6231="NEW"),"",INDEX(B6230:B$2,-1+SUMPRODUCT(MAX(ROW(E6230:E$2)*(E6231=E6230:E$2)))))</f>
        <v> </v>
      </c>
      <c r="J6231" s="25" t="str">
        <f>IF(OR(E6231="",E6231="!!!",F6231="NEW"),"",COUNTBLANK(OFFSET(A$1,,,SUMPRODUCT(MAX(ROW(E$2:E6231)*(E6231=E$2:E6231)))))-COUNTBLANK(OFFSET(A$1,,,SUMPRODUCT(MAX(ROW(E$1:E6230)*(E2=E$1:E6230))))))</f>
        <v> </v>
      </c>
      <c r="K6231" s="25" t="str">
        <f>IF(OR(E6231="",E6231="!!!",F6231="NEW"),"",INDEX(J$1:J6230,SUMPRODUCT(MAX(ROW(E$1:E6230)*(E6231=E$1:E6230)))))</f>
        <v> </v>
      </c>
      <c r="L6231" s="26"/>
    </row>
    <row r="6232" spans="1:12">
      <c r="A6232" s="20" t="s">
        <v>936</v>
      </c>
      <c r="E6232" s="21">
        <f>IF(D6232="?OLD","!!!","")</f>
        <v/>
      </c>
      <c r="F6232" s="22" t="str">
        <f>IF(OR(E6232="",E6232="!!!"),"",IF(NOT(ISNA(VLOOKUP(E6232,E$1:E6231,1,FALSE()))),"OLD",IF(AND(E6232&lt;&gt;"",E6232&lt;&gt;"!!!"),"NEW","")))</f>
        <v> </v>
      </c>
      <c r="G6232" s="23" t="str">
        <f>IF(OR(E6232="",E6232="!!!"),"",IF(OR(J6232=0,AND(J6232=1,K6232=1),AND(J6232=1,I6232="SBJ"),AND(J6232=1,I6232=0)),"?IN_FOCUS",IF(J6232&lt;=2,"?ACTIVATED",IF(J6232&lt;&gt;"","?FAMILIAR",IF(F6232="NEW",IF(ISNA(VLOOKUP(E6232,#REF!,1,FALSE())),"?TYPE_IDENTIFIABLE","?REFERENTIAL"),"_")))))</f>
        <v> </v>
      </c>
      <c r="H6232" s="24" t="str">
        <f>IF(J6232&lt;&gt;1,"",IF(I6232="SBJ","CB","?"))</f>
        <v> </v>
      </c>
      <c r="I6232" s="25" t="str">
        <f>IF(OR(E6232="",E6232="!!!",F6232="NEW"),"",INDEX(B6231:B$2,-1+SUMPRODUCT(MAX(ROW(E6231:E$2)*(E6232=E6231:E$2)))))</f>
        <v> </v>
      </c>
      <c r="J6232" s="25" t="str">
        <f>IF(OR(E6232="",E6232="!!!",F6232="NEW"),"",COUNTBLANK(OFFSET(A$1,,,SUMPRODUCT(MAX(ROW(E$2:E6232)*(E6232=E$2:E6232)))))-COUNTBLANK(OFFSET(A$1,,,SUMPRODUCT(MAX(ROW(E$1:E6231)*(E2=E$1:E6231))))))</f>
        <v> </v>
      </c>
      <c r="K6232" s="25" t="str">
        <f>IF(OR(E6232="",E6232="!!!",F6232="NEW"),"",INDEX(J$1:J6231,SUMPRODUCT(MAX(ROW(E$1:E6231)*(E6232=E$1:E6231)))))</f>
        <v> </v>
      </c>
      <c r="L6232" s="26"/>
    </row>
    <row r="6233" spans="1:12">
      <c r="A6233" s="20" t="s">
        <v>944</v>
      </c>
      <c r="E6233" s="21">
        <f>IF(D6233="?OLD","!!!","")</f>
        <v/>
      </c>
      <c r="F6233" s="22" t="str">
        <f>IF(OR(E6233="",E6233="!!!"),"",IF(NOT(ISNA(VLOOKUP(E6233,E$1:E6232,1,FALSE()))),"OLD",IF(AND(E6233&lt;&gt;"",E6233&lt;&gt;"!!!"),"NEW","")))</f>
        <v> </v>
      </c>
      <c r="G6233" s="23" t="str">
        <f>IF(OR(E6233="",E6233="!!!"),"",IF(OR(J6233=0,AND(J6233=1,K6233=1),AND(J6233=1,I6233="SBJ"),AND(J6233=1,I6233=0)),"?IN_FOCUS",IF(J6233&lt;=2,"?ACTIVATED",IF(J6233&lt;&gt;"","?FAMILIAR",IF(F6233="NEW",IF(ISNA(VLOOKUP(E6233,#REF!,1,FALSE())),"?TYPE_IDENTIFIABLE","?REFERENTIAL"),"_")))))</f>
        <v> </v>
      </c>
      <c r="H6233" s="24" t="str">
        <f>IF(J6233&lt;&gt;1,"",IF(I6233="SBJ","CB","?"))</f>
        <v> </v>
      </c>
      <c r="I6233" s="25" t="str">
        <f>IF(OR(E6233="",E6233="!!!",F6233="NEW"),"",INDEX(B6232:B$2,-1+SUMPRODUCT(MAX(ROW(E6232:E$2)*(E6233=E6232:E$2)))))</f>
        <v> </v>
      </c>
      <c r="J6233" s="25" t="str">
        <f>IF(OR(E6233="",E6233="!!!",F6233="NEW"),"",COUNTBLANK(OFFSET(A$1,,,SUMPRODUCT(MAX(ROW(E$2:E6233)*(E6233=E$2:E6233)))))-COUNTBLANK(OFFSET(A$1,,,SUMPRODUCT(MAX(ROW(E$1:E6232)*(E2=E$1:E6232))))))</f>
        <v> </v>
      </c>
      <c r="K6233" s="25" t="str">
        <f>IF(OR(E6233="",E6233="!!!",F6233="NEW"),"",INDEX(J$1:J6232,SUMPRODUCT(MAX(ROW(E$1:E6232)*(E6233=E$1:E6232)))))</f>
        <v> </v>
      </c>
      <c r="L6233" s="26"/>
    </row>
    <row r="6234" spans="1:12">
      <c r="A6234" s="20" t="s">
        <v>929</v>
      </c>
      <c r="B6234" s="27" t="s">
        <v>968</v>
      </c>
      <c r="C6234" s="27" t="s">
        <v>931</v>
      </c>
      <c r="D6234" s="27" t="s">
        <v>932</v>
      </c>
      <c r="E6234" s="21">
        <f>IF(D6234="?OLD","!!!","")</f>
        <v/>
      </c>
      <c r="F6234" s="22" t="str">
        <f>IF(OR(E6234="",E6234="!!!"),"",IF(NOT(ISNA(VLOOKUP(E6234,E$1:E6233,1,FALSE()))),"OLD",IF(AND(E6234&lt;&gt;"",E6234&lt;&gt;"!!!"),"NEW","")))</f>
        <v> </v>
      </c>
      <c r="G6234" s="23" t="str">
        <f>IF(OR(E6234="",E6234="!!!"),"",IF(OR(J6234=0,AND(J6234=1,K6234=1),AND(J6234=1,I6234="SBJ"),AND(J6234=1,I6234=0)),"?IN_FOCUS",IF(J6234&lt;=2,"?ACTIVATED",IF(J6234&lt;&gt;"","?FAMILIAR",IF(F6234="NEW",IF(ISNA(VLOOKUP(E6234,#REF!,1,FALSE())),"?TYPE_IDENTIFIABLE","?REFERENTIAL"),"_")))))</f>
        <v> </v>
      </c>
      <c r="H6234" s="24" t="str">
        <f>IF(J6234&lt;&gt;1,"",IF(I6234="SBJ","CB","?"))</f>
        <v> </v>
      </c>
      <c r="I6234" s="25" t="str">
        <f>IF(OR(E6234="",E6234="!!!",F6234="NEW"),"",INDEX(B6233:B$2,-1+SUMPRODUCT(MAX(ROW(E6233:E$2)*(E6234=E6233:E$2)))))</f>
        <v> </v>
      </c>
      <c r="J6234" s="25" t="str">
        <f>IF(OR(E6234="",E6234="!!!",F6234="NEW"),"",COUNTBLANK(OFFSET(A$1,,,SUMPRODUCT(MAX(ROW(E$2:E6234)*(E6234=E$2:E6234)))))-COUNTBLANK(OFFSET(A$1,,,SUMPRODUCT(MAX(ROW(E$1:E6233)*(E2=E$1:E6233))))))</f>
        <v> </v>
      </c>
      <c r="K6234" s="25" t="str">
        <f>IF(OR(E6234="",E6234="!!!",F6234="NEW"),"",INDEX(J$1:J6233,SUMPRODUCT(MAX(ROW(E$1:E6233)*(E6234=E$1:E6233)))))</f>
        <v> </v>
      </c>
      <c r="L6234" s="26"/>
    </row>
    <row r="6235" spans="1:12">
      <c r="A6235" s="20" t="s">
        <v>1559</v>
      </c>
      <c r="E6235" s="21">
        <f>IF(D6235="?OLD","!!!","")</f>
        <v/>
      </c>
      <c r="F6235" s="22" t="str">
        <f>IF(OR(E6235="",E6235="!!!"),"",IF(NOT(ISNA(VLOOKUP(E6235,E$1:E6234,1,FALSE()))),"OLD",IF(AND(E6235&lt;&gt;"",E6235&lt;&gt;"!!!"),"NEW","")))</f>
        <v> </v>
      </c>
      <c r="G6235" s="23" t="str">
        <f>IF(OR(E6235="",E6235="!!!"),"",IF(OR(J6235=0,AND(J6235=1,K6235=1),AND(J6235=1,I6235="SBJ"),AND(J6235=1,I6235=0)),"?IN_FOCUS",IF(J6235&lt;=2,"?ACTIVATED",IF(J6235&lt;&gt;"","?FAMILIAR",IF(F6235="NEW",IF(ISNA(VLOOKUP(E6235,#REF!,1,FALSE())),"?TYPE_IDENTIFIABLE","?REFERENTIAL"),"_")))))</f>
        <v> </v>
      </c>
      <c r="H6235" s="24" t="str">
        <f>IF(J6235&lt;&gt;1,"",IF(I6235="SBJ","CB","?"))</f>
        <v> </v>
      </c>
      <c r="I6235" s="25" t="str">
        <f>IF(OR(E6235="",E6235="!!!",F6235="NEW"),"",INDEX(B6234:B$2,-1+SUMPRODUCT(MAX(ROW(E6234:E$2)*(E6235=E6234:E$2)))))</f>
        <v> </v>
      </c>
      <c r="J6235" s="25" t="str">
        <f>IF(OR(E6235="",E6235="!!!",F6235="NEW"),"",COUNTBLANK(OFFSET(A$1,,,SUMPRODUCT(MAX(ROW(E$2:E6235)*(E6235=E$2:E6235)))))-COUNTBLANK(OFFSET(A$1,,,SUMPRODUCT(MAX(ROW(E$1:E6234)*(E2=E$1:E6234))))))</f>
        <v> </v>
      </c>
      <c r="K6235" s="25" t="str">
        <f>IF(OR(E6235="",E6235="!!!",F6235="NEW"),"",INDEX(J$1:J6234,SUMPRODUCT(MAX(ROW(E$1:E6234)*(E6235=E$1:E6234)))))</f>
        <v> </v>
      </c>
      <c r="L6235" s="26"/>
    </row>
    <row r="6236" spans="1:12">
      <c r="A6236" s="20" t="s">
        <v>1224</v>
      </c>
      <c r="E6236" s="21">
        <f>IF(D6236="?OLD","!!!","")</f>
        <v/>
      </c>
      <c r="F6236" s="22" t="str">
        <f>IF(OR(E6236="",E6236="!!!"),"",IF(NOT(ISNA(VLOOKUP(E6236,E$1:E6235,1,FALSE()))),"OLD",IF(AND(E6236&lt;&gt;"",E6236&lt;&gt;"!!!"),"NEW","")))</f>
        <v> </v>
      </c>
      <c r="G6236" s="23" t="str">
        <f>IF(OR(E6236="",E6236="!!!"),"",IF(OR(J6236=0,AND(J6236=1,K6236=1),AND(J6236=1,I6236="SBJ"),AND(J6236=1,I6236=0)),"?IN_FOCUS",IF(J6236&lt;=2,"?ACTIVATED",IF(J6236&lt;&gt;"","?FAMILIAR",IF(F6236="NEW",IF(ISNA(VLOOKUP(E6236,#REF!,1,FALSE())),"?TYPE_IDENTIFIABLE","?REFERENTIAL"),"_")))))</f>
        <v> </v>
      </c>
      <c r="H6236" s="24" t="str">
        <f>IF(J6236&lt;&gt;1,"",IF(I6236="SBJ","CB","?"))</f>
        <v> </v>
      </c>
      <c r="I6236" s="25" t="str">
        <f>IF(OR(E6236="",E6236="!!!",F6236="NEW"),"",INDEX(B6235:B$2,-1+SUMPRODUCT(MAX(ROW(E6235:E$2)*(E6236=E6235:E$2)))))</f>
        <v> </v>
      </c>
      <c r="J6236" s="25" t="str">
        <f>IF(OR(E6236="",E6236="!!!",F6236="NEW"),"",COUNTBLANK(OFFSET(A$1,,,SUMPRODUCT(MAX(ROW(E$2:E6236)*(E6236=E$2:E6236)))))-COUNTBLANK(OFFSET(A$1,,,SUMPRODUCT(MAX(ROW(E$1:E6235)*(E2=E$1:E6235))))))</f>
        <v> </v>
      </c>
      <c r="K6236" s="25" t="str">
        <f>IF(OR(E6236="",E6236="!!!",F6236="NEW"),"",INDEX(J$1:J6235,SUMPRODUCT(MAX(ROW(E$1:E6235)*(E6236=E$1:E6235)))))</f>
        <v> </v>
      </c>
      <c r="L6236" s="26"/>
    </row>
    <row r="6237" spans="1:12">
      <c r="A6237" s="20" t="s">
        <v>947</v>
      </c>
      <c r="E6237" s="21">
        <f>IF(D6237="?OLD","!!!","")</f>
        <v/>
      </c>
      <c r="F6237" s="22" t="str">
        <f>IF(OR(E6237="",E6237="!!!"),"",IF(NOT(ISNA(VLOOKUP(E6237,E$1:E6236,1,FALSE()))),"OLD",IF(AND(E6237&lt;&gt;"",E6237&lt;&gt;"!!!"),"NEW","")))</f>
        <v> </v>
      </c>
      <c r="G6237" s="23" t="str">
        <f>IF(OR(E6237="",E6237="!!!"),"",IF(OR(J6237=0,AND(J6237=1,K6237=1),AND(J6237=1,I6237="SBJ"),AND(J6237=1,I6237=0)),"?IN_FOCUS",IF(J6237&lt;=2,"?ACTIVATED",IF(J6237&lt;&gt;"","?FAMILIAR",IF(F6237="NEW",IF(ISNA(VLOOKUP(E6237,#REF!,1,FALSE())),"?TYPE_IDENTIFIABLE","?REFERENTIAL"),"_")))))</f>
        <v> </v>
      </c>
      <c r="H6237" s="24" t="str">
        <f>IF(J6237&lt;&gt;1,"",IF(I6237="SBJ","CB","?"))</f>
        <v> </v>
      </c>
      <c r="I6237" s="25" t="str">
        <f>IF(OR(E6237="",E6237="!!!",F6237="NEW"),"",INDEX(B6236:B$2,-1+SUMPRODUCT(MAX(ROW(E6236:E$2)*(E6237=E6236:E$2)))))</f>
        <v> </v>
      </c>
      <c r="J6237" s="25" t="str">
        <f>IF(OR(E6237="",E6237="!!!",F6237="NEW"),"",COUNTBLANK(OFFSET(A$1,,,SUMPRODUCT(MAX(ROW(E$2:E6237)*(E6237=E$2:E6237)))))-COUNTBLANK(OFFSET(A$1,,,SUMPRODUCT(MAX(ROW(E$1:E6236)*(E2=E$1:E6236))))))</f>
        <v> </v>
      </c>
      <c r="K6237" s="25" t="str">
        <f>IF(OR(E6237="",E6237="!!!",F6237="NEW"),"",INDEX(J$1:J6236,SUMPRODUCT(MAX(ROW(E$1:E6236)*(E6237=E$1:E6236)))))</f>
        <v> </v>
      </c>
      <c r="L6237" s="26"/>
    </row>
    <row r="6238" spans="1:12">
      <c r="A6238" s="20" t="s">
        <v>1007</v>
      </c>
      <c r="E6238" s="21">
        <f>IF(D6238="?OLD","!!!","")</f>
        <v/>
      </c>
      <c r="F6238" s="22" t="str">
        <f>IF(OR(E6238="",E6238="!!!"),"",IF(NOT(ISNA(VLOOKUP(E6238,E$1:E6237,1,FALSE()))),"OLD",IF(AND(E6238&lt;&gt;"",E6238&lt;&gt;"!!!"),"NEW","")))</f>
        <v> </v>
      </c>
      <c r="G6238" s="23" t="str">
        <f>IF(OR(E6238="",E6238="!!!"),"",IF(OR(J6238=0,AND(J6238=1,K6238=1),AND(J6238=1,I6238="SBJ"),AND(J6238=1,I6238=0)),"?IN_FOCUS",IF(J6238&lt;=2,"?ACTIVATED",IF(J6238&lt;&gt;"","?FAMILIAR",IF(F6238="NEW",IF(ISNA(VLOOKUP(E6238,#REF!,1,FALSE())),"?TYPE_IDENTIFIABLE","?REFERENTIAL"),"_")))))</f>
        <v> </v>
      </c>
      <c r="H6238" s="24" t="str">
        <f>IF(J6238&lt;&gt;1,"",IF(I6238="SBJ","CB","?"))</f>
        <v> </v>
      </c>
      <c r="I6238" s="25" t="str">
        <f>IF(OR(E6238="",E6238="!!!",F6238="NEW"),"",INDEX(B6237:B$2,-1+SUMPRODUCT(MAX(ROW(E6237:E$2)*(E6238=E6237:E$2)))))</f>
        <v> </v>
      </c>
      <c r="J6238" s="25" t="str">
        <f>IF(OR(E6238="",E6238="!!!",F6238="NEW"),"",COUNTBLANK(OFFSET(A$1,,,SUMPRODUCT(MAX(ROW(E$2:E6238)*(E6238=E$2:E6238)))))-COUNTBLANK(OFFSET(A$1,,,SUMPRODUCT(MAX(ROW(E$1:E6237)*(E2=E$1:E6237))))))</f>
        <v> </v>
      </c>
      <c r="K6238" s="25" t="str">
        <f>IF(OR(E6238="",E6238="!!!",F6238="NEW"),"",INDEX(J$1:J6237,SUMPRODUCT(MAX(ROW(E$1:E6237)*(E6238=E$1:E6237)))))</f>
        <v> </v>
      </c>
      <c r="L6238" s="26"/>
    </row>
    <row r="6239" spans="1:12">
      <c r="A6239" s="20" t="s">
        <v>2311</v>
      </c>
      <c r="B6239" s="27" t="s">
        <v>939</v>
      </c>
      <c r="C6239" s="27" t="s">
        <v>1054</v>
      </c>
      <c r="D6239" s="27" t="s">
        <v>932</v>
      </c>
      <c r="E6239" s="21">
        <f>IF(D6239="?OLD","!!!","")</f>
        <v/>
      </c>
      <c r="F6239" s="22" t="str">
        <f>IF(OR(E6239="",E6239="!!!"),"",IF(NOT(ISNA(VLOOKUP(E6239,E$1:E6238,1,FALSE()))),"OLD",IF(AND(E6239&lt;&gt;"",E6239&lt;&gt;"!!!"),"NEW","")))</f>
        <v> </v>
      </c>
      <c r="G6239" s="23" t="str">
        <f>IF(OR(E6239="",E6239="!!!"),"",IF(OR(J6239=0,AND(J6239=1,K6239=1),AND(J6239=1,I6239="SBJ"),AND(J6239=1,I6239=0)),"?IN_FOCUS",IF(J6239&lt;=2,"?ACTIVATED",IF(J6239&lt;&gt;"","?FAMILIAR",IF(F6239="NEW",IF(ISNA(VLOOKUP(E6239,#REF!,1,FALSE())),"?TYPE_IDENTIFIABLE","?REFERENTIAL"),"_")))))</f>
        <v> </v>
      </c>
      <c r="H6239" s="24" t="str">
        <f>IF(J6239&lt;&gt;1,"",IF(I6239="SBJ","CB","?"))</f>
        <v> </v>
      </c>
      <c r="I6239" s="25" t="str">
        <f>IF(OR(E6239="",E6239="!!!",F6239="NEW"),"",INDEX(B6238:B$2,-1+SUMPRODUCT(MAX(ROW(E6238:E$2)*(E6239=E6238:E$2)))))</f>
        <v> </v>
      </c>
      <c r="J6239" s="25" t="str">
        <f>IF(OR(E6239="",E6239="!!!",F6239="NEW"),"",COUNTBLANK(OFFSET(A$1,,,SUMPRODUCT(MAX(ROW(E$2:E6239)*(E6239=E$2:E6239)))))-COUNTBLANK(OFFSET(A$1,,,SUMPRODUCT(MAX(ROW(E$1:E6238)*(E2=E$1:E6238))))))</f>
        <v> </v>
      </c>
      <c r="K6239" s="25" t="str">
        <f>IF(OR(E6239="",E6239="!!!",F6239="NEW"),"",INDEX(J$1:J6238,SUMPRODUCT(MAX(ROW(E$1:E6238)*(E6239=E$1:E6238)))))</f>
        <v> </v>
      </c>
      <c r="L6239" s="26"/>
    </row>
    <row r="6240" spans="1:12">
      <c r="A6240" s="20" t="s">
        <v>1032</v>
      </c>
      <c r="E6240" s="21">
        <f>IF(D6240="?OLD","!!!","")</f>
        <v/>
      </c>
      <c r="F6240" s="22" t="str">
        <f>IF(OR(E6240="",E6240="!!!"),"",IF(NOT(ISNA(VLOOKUP(E6240,E$1:E6239,1,FALSE()))),"OLD",IF(AND(E6240&lt;&gt;"",E6240&lt;&gt;"!!!"),"NEW","")))</f>
        <v> </v>
      </c>
      <c r="G6240" s="23" t="str">
        <f>IF(OR(E6240="",E6240="!!!"),"",IF(OR(J6240=0,AND(J6240=1,K6240=1),AND(J6240=1,I6240="SBJ"),AND(J6240=1,I6240=0)),"?IN_FOCUS",IF(J6240&lt;=2,"?ACTIVATED",IF(J6240&lt;&gt;"","?FAMILIAR",IF(F6240="NEW",IF(ISNA(VLOOKUP(E6240,#REF!,1,FALSE())),"?TYPE_IDENTIFIABLE","?REFERENTIAL"),"_")))))</f>
        <v> </v>
      </c>
      <c r="H6240" s="24" t="str">
        <f>IF(J6240&lt;&gt;1,"",IF(I6240="SBJ","CB","?"))</f>
        <v> </v>
      </c>
      <c r="I6240" s="25" t="str">
        <f>IF(OR(E6240="",E6240="!!!",F6240="NEW"),"",INDEX(B6239:B$2,-1+SUMPRODUCT(MAX(ROW(E6239:E$2)*(E6240=E6239:E$2)))))</f>
        <v> </v>
      </c>
      <c r="J6240" s="25" t="str">
        <f>IF(OR(E6240="",E6240="!!!",F6240="NEW"),"",COUNTBLANK(OFFSET(A$1,,,SUMPRODUCT(MAX(ROW(E$2:E6240)*(E6240=E$2:E6240)))))-COUNTBLANK(OFFSET(A$1,,,SUMPRODUCT(MAX(ROW(E$1:E6239)*(E2=E$1:E6239))))))</f>
        <v> </v>
      </c>
      <c r="K6240" s="25" t="str">
        <f>IF(OR(E6240="",E6240="!!!",F6240="NEW"),"",INDEX(J$1:J6239,SUMPRODUCT(MAX(ROW(E$1:E6239)*(E6240=E$1:E6239)))))</f>
        <v> </v>
      </c>
      <c r="L6240" s="26"/>
    </row>
    <row r="6241" spans="1:12">
      <c r="A6241" s="20" t="s">
        <v>1007</v>
      </c>
      <c r="E6241" s="21">
        <f>IF(D6241="?OLD","!!!","")</f>
        <v/>
      </c>
      <c r="F6241" s="22" t="str">
        <f>IF(OR(E6241="",E6241="!!!"),"",IF(NOT(ISNA(VLOOKUP(E6241,E$1:E6240,1,FALSE()))),"OLD",IF(AND(E6241&lt;&gt;"",E6241&lt;&gt;"!!!"),"NEW","")))</f>
        <v> </v>
      </c>
      <c r="G6241" s="23" t="str">
        <f>IF(OR(E6241="",E6241="!!!"),"",IF(OR(J6241=0,AND(J6241=1,K6241=1),AND(J6241=1,I6241="SBJ"),AND(J6241=1,I6241=0)),"?IN_FOCUS",IF(J6241&lt;=2,"?ACTIVATED",IF(J6241&lt;&gt;"","?FAMILIAR",IF(F6241="NEW",IF(ISNA(VLOOKUP(E6241,#REF!,1,FALSE())),"?TYPE_IDENTIFIABLE","?REFERENTIAL"),"_")))))</f>
        <v> </v>
      </c>
      <c r="H6241" s="24" t="str">
        <f>IF(J6241&lt;&gt;1,"",IF(I6241="SBJ","CB","?"))</f>
        <v> </v>
      </c>
      <c r="I6241" s="25" t="str">
        <f>IF(OR(E6241="",E6241="!!!",F6241="NEW"),"",INDEX(B6240:B$2,-1+SUMPRODUCT(MAX(ROW(E6240:E$2)*(E6241=E6240:E$2)))))</f>
        <v> </v>
      </c>
      <c r="J6241" s="25" t="str">
        <f>IF(OR(E6241="",E6241="!!!",F6241="NEW"),"",COUNTBLANK(OFFSET(A$1,,,SUMPRODUCT(MAX(ROW(E$2:E6241)*(E6241=E$2:E6241)))))-COUNTBLANK(OFFSET(A$1,,,SUMPRODUCT(MAX(ROW(E$1:E6240)*(E2=E$1:E6240))))))</f>
        <v> </v>
      </c>
      <c r="K6241" s="25" t="str">
        <f>IF(OR(E6241="",E6241="!!!",F6241="NEW"),"",INDEX(J$1:J6240,SUMPRODUCT(MAX(ROW(E$1:E6240)*(E6241=E$1:E6240)))))</f>
        <v> </v>
      </c>
      <c r="L6241" s="26"/>
    </row>
    <row r="6242" spans="1:12">
      <c r="A6242" s="20" t="s">
        <v>2312</v>
      </c>
      <c r="B6242" s="27" t="s">
        <v>949</v>
      </c>
      <c r="C6242" s="27" t="s">
        <v>1054</v>
      </c>
      <c r="D6242" s="27" t="s">
        <v>932</v>
      </c>
      <c r="E6242" s="21">
        <f>IF(D6242="?OLD","!!!","")</f>
        <v/>
      </c>
      <c r="F6242" s="22" t="str">
        <f>IF(OR(E6242="",E6242="!!!"),"",IF(NOT(ISNA(VLOOKUP(E6242,E$1:E6241,1,FALSE()))),"OLD",IF(AND(E6242&lt;&gt;"",E6242&lt;&gt;"!!!"),"NEW","")))</f>
        <v> </v>
      </c>
      <c r="G6242" s="23" t="str">
        <f>IF(OR(E6242="",E6242="!!!"),"",IF(OR(J6242=0,AND(J6242=1,K6242=1),AND(J6242=1,I6242="SBJ"),AND(J6242=1,I6242=0)),"?IN_FOCUS",IF(J6242&lt;=2,"?ACTIVATED",IF(J6242&lt;&gt;"","?FAMILIAR",IF(F6242="NEW",IF(ISNA(VLOOKUP(E6242,#REF!,1,FALSE())),"?TYPE_IDENTIFIABLE","?REFERENTIAL"),"_")))))</f>
        <v> </v>
      </c>
      <c r="H6242" s="24" t="str">
        <f>IF(J6242&lt;&gt;1,"",IF(I6242="SBJ","CB","?"))</f>
        <v> </v>
      </c>
      <c r="I6242" s="25" t="str">
        <f>IF(OR(E6242="",E6242="!!!",F6242="NEW"),"",INDEX(B6241:B$2,-1+SUMPRODUCT(MAX(ROW(E6241:E$2)*(E6242=E6241:E$2)))))</f>
        <v> </v>
      </c>
      <c r="J6242" s="25" t="str">
        <f>IF(OR(E6242="",E6242="!!!",F6242="NEW"),"",COUNTBLANK(OFFSET(A$1,,,SUMPRODUCT(MAX(ROW(E$2:E6242)*(E6242=E$2:E6242)))))-COUNTBLANK(OFFSET(A$1,,,SUMPRODUCT(MAX(ROW(E$1:E6241)*(E2=E$1:E6241))))))</f>
        <v> </v>
      </c>
      <c r="K6242" s="25" t="str">
        <f>IF(OR(E6242="",E6242="!!!",F6242="NEW"),"",INDEX(J$1:J6241,SUMPRODUCT(MAX(ROW(E$1:E6241)*(E6242=E$1:E6241)))))</f>
        <v> </v>
      </c>
      <c r="L6242" s="26"/>
    </row>
    <row r="6243" spans="1:12">
      <c r="A6243" s="20" t="s">
        <v>1000</v>
      </c>
      <c r="E6243" s="21">
        <f>IF(D6243="?OLD","!!!","")</f>
        <v/>
      </c>
      <c r="F6243" s="22" t="str">
        <f>IF(OR(E6243="",E6243="!!!"),"",IF(NOT(ISNA(VLOOKUP(E6243,E$1:E6242,1,FALSE()))),"OLD",IF(AND(E6243&lt;&gt;"",E6243&lt;&gt;"!!!"),"NEW","")))</f>
        <v> </v>
      </c>
      <c r="G6243" s="23" t="str">
        <f>IF(OR(E6243="",E6243="!!!"),"",IF(OR(J6243=0,AND(J6243=1,K6243=1),AND(J6243=1,I6243="SBJ"),AND(J6243=1,I6243=0)),"?IN_FOCUS",IF(J6243&lt;=2,"?ACTIVATED",IF(J6243&lt;&gt;"","?FAMILIAR",IF(F6243="NEW",IF(ISNA(VLOOKUP(E6243,#REF!,1,FALSE())),"?TYPE_IDENTIFIABLE","?REFERENTIAL"),"_")))))</f>
        <v> </v>
      </c>
      <c r="H6243" s="24" t="str">
        <f>IF(J6243&lt;&gt;1,"",IF(I6243="SBJ","CB","?"))</f>
        <v> </v>
      </c>
      <c r="I6243" s="25" t="str">
        <f>IF(OR(E6243="",E6243="!!!",F6243="NEW"),"",INDEX(B6242:B$2,-1+SUMPRODUCT(MAX(ROW(E6242:E$2)*(E6243=E6242:E$2)))))</f>
        <v> </v>
      </c>
      <c r="J6243" s="25" t="str">
        <f>IF(OR(E6243="",E6243="!!!",F6243="NEW"),"",COUNTBLANK(OFFSET(A$1,,,SUMPRODUCT(MAX(ROW(E$2:E6243)*(E6243=E$2:E6243)))))-COUNTBLANK(OFFSET(A$1,,,SUMPRODUCT(MAX(ROW(E$1:E6242)*(E2=E$1:E6242))))))</f>
        <v> </v>
      </c>
      <c r="K6243" s="25" t="str">
        <f>IF(OR(E6243="",E6243="!!!",F6243="NEW"),"",INDEX(J$1:J6242,SUMPRODUCT(MAX(ROW(E$1:E6242)*(E6243=E$1:E6242)))))</f>
        <v> </v>
      </c>
      <c r="L6243" s="26"/>
    </row>
    <row r="6244" spans="1:12">
      <c r="A6244" s="20" t="s">
        <v>1007</v>
      </c>
      <c r="E6244" s="21">
        <f>IF(D6244="?OLD","!!!","")</f>
        <v/>
      </c>
      <c r="F6244" s="22" t="str">
        <f>IF(OR(E6244="",E6244="!!!"),"",IF(NOT(ISNA(VLOOKUP(E6244,E$1:E6243,1,FALSE()))),"OLD",IF(AND(E6244&lt;&gt;"",E6244&lt;&gt;"!!!"),"NEW","")))</f>
        <v> </v>
      </c>
      <c r="G6244" s="23" t="str">
        <f>IF(OR(E6244="",E6244="!!!"),"",IF(OR(J6244=0,AND(J6244=1,K6244=1),AND(J6244=1,I6244="SBJ"),AND(J6244=1,I6244=0)),"?IN_FOCUS",IF(J6244&lt;=2,"?ACTIVATED",IF(J6244&lt;&gt;"","?FAMILIAR",IF(F6244="NEW",IF(ISNA(VLOOKUP(E6244,#REF!,1,FALSE())),"?TYPE_IDENTIFIABLE","?REFERENTIAL"),"_")))))</f>
        <v> </v>
      </c>
      <c r="H6244" s="24" t="str">
        <f>IF(J6244&lt;&gt;1,"",IF(I6244="SBJ","CB","?"))</f>
        <v> </v>
      </c>
      <c r="I6244" s="25" t="str">
        <f>IF(OR(E6244="",E6244="!!!",F6244="NEW"),"",INDEX(B6243:B$2,-1+SUMPRODUCT(MAX(ROW(E6243:E$2)*(E6244=E6243:E$2)))))</f>
        <v> </v>
      </c>
      <c r="J6244" s="25" t="str">
        <f>IF(OR(E6244="",E6244="!!!",F6244="NEW"),"",COUNTBLANK(OFFSET(A$1,,,SUMPRODUCT(MAX(ROW(E$2:E6244)*(E6244=E$2:E6244)))))-COUNTBLANK(OFFSET(A$1,,,SUMPRODUCT(MAX(ROW(E$1:E6243)*(E2=E$1:E6243))))))</f>
        <v> </v>
      </c>
      <c r="K6244" s="25" t="str">
        <f>IF(OR(E6244="",E6244="!!!",F6244="NEW"),"",INDEX(J$1:J6243,SUMPRODUCT(MAX(ROW(E$1:E6243)*(E6244=E$1:E6243)))))</f>
        <v> </v>
      </c>
      <c r="L6244" s="26"/>
    </row>
    <row r="6245" spans="1:12">
      <c r="A6245" s="20" t="s">
        <v>1594</v>
      </c>
      <c r="B6245" s="27" t="s">
        <v>1025</v>
      </c>
      <c r="C6245" s="27" t="s">
        <v>1054</v>
      </c>
      <c r="D6245" s="27" t="s">
        <v>932</v>
      </c>
      <c r="E6245" s="21">
        <f>IF(D6245="?OLD","!!!","")</f>
        <v/>
      </c>
      <c r="F6245" s="22" t="str">
        <f>IF(OR(E6245="",E6245="!!!"),"",IF(NOT(ISNA(VLOOKUP(E6245,E$1:E6244,1,FALSE()))),"OLD",IF(AND(E6245&lt;&gt;"",E6245&lt;&gt;"!!!"),"NEW","")))</f>
        <v> </v>
      </c>
      <c r="G6245" s="23" t="str">
        <f>IF(OR(E6245="",E6245="!!!"),"",IF(OR(J6245=0,AND(J6245=1,K6245=1),AND(J6245=1,I6245="SBJ"),AND(J6245=1,I6245=0)),"?IN_FOCUS",IF(J6245&lt;=2,"?ACTIVATED",IF(J6245&lt;&gt;"","?FAMILIAR",IF(F6245="NEW",IF(ISNA(VLOOKUP(E6245,#REF!,1,FALSE())),"?TYPE_IDENTIFIABLE","?REFERENTIAL"),"_")))))</f>
        <v> </v>
      </c>
      <c r="H6245" s="24" t="str">
        <f>IF(J6245&lt;&gt;1,"",IF(I6245="SBJ","CB","?"))</f>
        <v> </v>
      </c>
      <c r="I6245" s="25" t="str">
        <f>IF(OR(E6245="",E6245="!!!",F6245="NEW"),"",INDEX(B6244:B$2,-1+SUMPRODUCT(MAX(ROW(E6244:E$2)*(E6245=E6244:E$2)))))</f>
        <v> </v>
      </c>
      <c r="J6245" s="25" t="str">
        <f>IF(OR(E6245="",E6245="!!!",F6245="NEW"),"",COUNTBLANK(OFFSET(A$1,,,SUMPRODUCT(MAX(ROW(E$2:E6245)*(E6245=E$2:E6245)))))-COUNTBLANK(OFFSET(A$1,,,SUMPRODUCT(MAX(ROW(E$1:E6244)*(E2=E$1:E6244))))))</f>
        <v> </v>
      </c>
      <c r="K6245" s="25" t="str">
        <f>IF(OR(E6245="",E6245="!!!",F6245="NEW"),"",INDEX(J$1:J6244,SUMPRODUCT(MAX(ROW(E$1:E6244)*(E6245=E$1:E6244)))))</f>
        <v> </v>
      </c>
      <c r="L6245" s="26"/>
    </row>
    <row r="6246" spans="1:12">
      <c r="A6246" s="20" t="s">
        <v>936</v>
      </c>
      <c r="E6246" s="21">
        <f>IF(D6246="?OLD","!!!","")</f>
        <v/>
      </c>
      <c r="F6246" s="22" t="str">
        <f>IF(OR(E6246="",E6246="!!!"),"",IF(NOT(ISNA(VLOOKUP(E6246,E$1:E6245,1,FALSE()))),"OLD",IF(AND(E6246&lt;&gt;"",E6246&lt;&gt;"!!!"),"NEW","")))</f>
        <v> </v>
      </c>
      <c r="G6246" s="23" t="str">
        <f>IF(OR(E6246="",E6246="!!!"),"",IF(OR(J6246=0,AND(J6246=1,K6246=1),AND(J6246=1,I6246="SBJ"),AND(J6246=1,I6246=0)),"?IN_FOCUS",IF(J6246&lt;=2,"?ACTIVATED",IF(J6246&lt;&gt;"","?FAMILIAR",IF(F6246="NEW",IF(ISNA(VLOOKUP(E6246,#REF!,1,FALSE())),"?TYPE_IDENTIFIABLE","?REFERENTIAL"),"_")))))</f>
        <v> </v>
      </c>
      <c r="H6246" s="24" t="str">
        <f>IF(J6246&lt;&gt;1,"",IF(I6246="SBJ","CB","?"))</f>
        <v> </v>
      </c>
      <c r="I6246" s="25" t="str">
        <f>IF(OR(E6246="",E6246="!!!",F6246="NEW"),"",INDEX(B6245:B$2,-1+SUMPRODUCT(MAX(ROW(E6245:E$2)*(E6246=E6245:E$2)))))</f>
        <v> </v>
      </c>
      <c r="J6246" s="25" t="str">
        <f>IF(OR(E6246="",E6246="!!!",F6246="NEW"),"",COUNTBLANK(OFFSET(A$1,,,SUMPRODUCT(MAX(ROW(E$2:E6246)*(E6246=E$2:E6246)))))-COUNTBLANK(OFFSET(A$1,,,SUMPRODUCT(MAX(ROW(E$1:E6245)*(E2=E$1:E6245))))))</f>
        <v> </v>
      </c>
      <c r="K6246" s="25" t="str">
        <f>IF(OR(E6246="",E6246="!!!",F6246="NEW"),"",INDEX(J$1:J6245,SUMPRODUCT(MAX(ROW(E$1:E6245)*(E6246=E$1:E6245)))))</f>
        <v> </v>
      </c>
      <c r="L6246" s="26"/>
    </row>
    <row r="6247" spans="1:12">
      <c r="A6247" s="20" t="s">
        <v>944</v>
      </c>
      <c r="E6247" s="21">
        <f>IF(D6247="?OLD","!!!","")</f>
        <v/>
      </c>
      <c r="F6247" s="22" t="str">
        <f>IF(OR(E6247="",E6247="!!!"),"",IF(NOT(ISNA(VLOOKUP(E6247,E$1:E6246,1,FALSE()))),"OLD",IF(AND(E6247&lt;&gt;"",E6247&lt;&gt;"!!!"),"NEW","")))</f>
        <v> </v>
      </c>
      <c r="G6247" s="23" t="str">
        <f>IF(OR(E6247="",E6247="!!!"),"",IF(OR(J6247=0,AND(J6247=1,K6247=1),AND(J6247=1,I6247="SBJ"),AND(J6247=1,I6247=0)),"?IN_FOCUS",IF(J6247&lt;=2,"?ACTIVATED",IF(J6247&lt;&gt;"","?FAMILIAR",IF(F6247="NEW",IF(ISNA(VLOOKUP(E6247,#REF!,1,FALSE())),"?TYPE_IDENTIFIABLE","?REFERENTIAL"),"_")))))</f>
        <v> </v>
      </c>
      <c r="H6247" s="24" t="str">
        <f>IF(J6247&lt;&gt;1,"",IF(I6247="SBJ","CB","?"))</f>
        <v> </v>
      </c>
      <c r="I6247" s="25" t="str">
        <f>IF(OR(E6247="",E6247="!!!",F6247="NEW"),"",INDEX(B6246:B$2,-1+SUMPRODUCT(MAX(ROW(E6246:E$2)*(E6247=E6246:E$2)))))</f>
        <v> </v>
      </c>
      <c r="J6247" s="25" t="str">
        <f>IF(OR(E6247="",E6247="!!!",F6247="NEW"),"",COUNTBLANK(OFFSET(A$1,,,SUMPRODUCT(MAX(ROW(E$2:E6247)*(E6247=E$2:E6247)))))-COUNTBLANK(OFFSET(A$1,,,SUMPRODUCT(MAX(ROW(E$1:E6246)*(E2=E$1:E6246))))))</f>
        <v> </v>
      </c>
      <c r="K6247" s="25" t="str">
        <f>IF(OR(E6247="",E6247="!!!",F6247="NEW"),"",INDEX(J$1:J6246,SUMPRODUCT(MAX(ROW(E$1:E6246)*(E6247=E$1:E6246)))))</f>
        <v> </v>
      </c>
      <c r="L6247" s="26"/>
    </row>
    <row r="6248" spans="1:12">
      <c r="A6248" s="20" t="s">
        <v>929</v>
      </c>
      <c r="B6248" s="27" t="s">
        <v>968</v>
      </c>
      <c r="C6248" s="27" t="s">
        <v>931</v>
      </c>
      <c r="D6248" s="27" t="s">
        <v>932</v>
      </c>
      <c r="E6248" s="21">
        <f>IF(D6248="?OLD","!!!","")</f>
        <v/>
      </c>
      <c r="F6248" s="22" t="str">
        <f>IF(OR(E6248="",E6248="!!!"),"",IF(NOT(ISNA(VLOOKUP(E6248,E$1:E6247,1,FALSE()))),"OLD",IF(AND(E6248&lt;&gt;"",E6248&lt;&gt;"!!!"),"NEW","")))</f>
        <v> </v>
      </c>
      <c r="G6248" s="23" t="str">
        <f>IF(OR(E6248="",E6248="!!!"),"",IF(OR(J6248=0,AND(J6248=1,K6248=1),AND(J6248=1,I6248="SBJ"),AND(J6248=1,I6248=0)),"?IN_FOCUS",IF(J6248&lt;=2,"?ACTIVATED",IF(J6248&lt;&gt;"","?FAMILIAR",IF(F6248="NEW",IF(ISNA(VLOOKUP(E6248,#REF!,1,FALSE())),"?TYPE_IDENTIFIABLE","?REFERENTIAL"),"_")))))</f>
        <v> </v>
      </c>
      <c r="H6248" s="24" t="str">
        <f>IF(J6248&lt;&gt;1,"",IF(I6248="SBJ","CB","?"))</f>
        <v> </v>
      </c>
      <c r="I6248" s="25" t="str">
        <f>IF(OR(E6248="",E6248="!!!",F6248="NEW"),"",INDEX(B6247:B$2,-1+SUMPRODUCT(MAX(ROW(E6247:E$2)*(E6248=E6247:E$2)))))</f>
        <v> </v>
      </c>
      <c r="J6248" s="25" t="str">
        <f>IF(OR(E6248="",E6248="!!!",F6248="NEW"),"",COUNTBLANK(OFFSET(A$1,,,SUMPRODUCT(MAX(ROW(E$2:E6248)*(E6248=E$2:E6248)))))-COUNTBLANK(OFFSET(A$1,,,SUMPRODUCT(MAX(ROW(E$1:E6247)*(E2=E$1:E6247))))))</f>
        <v> </v>
      </c>
      <c r="K6248" s="25" t="str">
        <f>IF(OR(E6248="",E6248="!!!",F6248="NEW"),"",INDEX(J$1:J6247,SUMPRODUCT(MAX(ROW(E$1:E6247)*(E6248=E$1:E6247)))))</f>
        <v> </v>
      </c>
      <c r="L6248" s="26"/>
    </row>
    <row r="6249" spans="1:12">
      <c r="A6249" s="20" t="s">
        <v>45</v>
      </c>
      <c r="E6249" s="21">
        <f>IF(D6249="?OLD","!!!","")</f>
        <v/>
      </c>
      <c r="F6249" s="22" t="str">
        <f>IF(OR(E6249="",E6249="!!!"),"",IF(NOT(ISNA(VLOOKUP(E6249,E$1:E6248,1,FALSE()))),"OLD",IF(AND(E6249&lt;&gt;"",E6249&lt;&gt;"!!!"),"NEW","")))</f>
        <v> </v>
      </c>
      <c r="G6249" s="23" t="str">
        <f>IF(OR(E6249="",E6249="!!!"),"",IF(OR(J6249=0,AND(J6249=1,K6249=1),AND(J6249=1,I6249="SBJ"),AND(J6249=1,I6249=0)),"?IN_FOCUS",IF(J6249&lt;=2,"?ACTIVATED",IF(J6249&lt;&gt;"","?FAMILIAR",IF(F6249="NEW",IF(ISNA(VLOOKUP(E6249,#REF!,1,FALSE())),"?TYPE_IDENTIFIABLE","?REFERENTIAL"),"_")))))</f>
        <v> </v>
      </c>
      <c r="H6249" s="24" t="str">
        <f>IF(J6249&lt;&gt;1,"",IF(I6249="SBJ","CB","?"))</f>
        <v> </v>
      </c>
      <c r="I6249" s="25" t="str">
        <f>IF(OR(E6249="",E6249="!!!",F6249="NEW"),"",INDEX(B6248:B$2,-1+SUMPRODUCT(MAX(ROW(E6248:E$2)*(E6249=E6248:E$2)))))</f>
        <v> </v>
      </c>
      <c r="J6249" s="25" t="str">
        <f>IF(OR(E6249="",E6249="!!!",F6249="NEW"),"",COUNTBLANK(OFFSET(A$1,,,SUMPRODUCT(MAX(ROW(E$2:E6249)*(E6249=E$2:E6249)))))-COUNTBLANK(OFFSET(A$1,,,SUMPRODUCT(MAX(ROW(E$1:E6248)*(E2=E$1:E6248))))))</f>
        <v> </v>
      </c>
      <c r="K6249" s="25" t="str">
        <f>IF(OR(E6249="",E6249="!!!",F6249="NEW"),"",INDEX(J$1:J6248,SUMPRODUCT(MAX(ROW(E$1:E6248)*(E6249=E$1:E6248)))))</f>
        <v> </v>
      </c>
      <c r="L6249" s="26"/>
    </row>
    <row r="6250" spans="1:12">
      <c r="A6250" s="20" t="s">
        <v>1620</v>
      </c>
      <c r="E6250" s="21">
        <f>IF(D6250="?OLD","!!!","")</f>
        <v/>
      </c>
      <c r="F6250" s="22" t="str">
        <f>IF(OR(E6250="",E6250="!!!"),"",IF(NOT(ISNA(VLOOKUP(E6250,E$1:E6249,1,FALSE()))),"OLD",IF(AND(E6250&lt;&gt;"",E6250&lt;&gt;"!!!"),"NEW","")))</f>
        <v> </v>
      </c>
      <c r="G6250" s="23" t="str">
        <f>IF(OR(E6250="",E6250="!!!"),"",IF(OR(J6250=0,AND(J6250=1,K6250=1),AND(J6250=1,I6250="SBJ"),AND(J6250=1,I6250=0)),"?IN_FOCUS",IF(J6250&lt;=2,"?ACTIVATED",IF(J6250&lt;&gt;"","?FAMILIAR",IF(F6250="NEW",IF(ISNA(VLOOKUP(E6250,#REF!,1,FALSE())),"?TYPE_IDENTIFIABLE","?REFERENTIAL"),"_")))))</f>
        <v> </v>
      </c>
      <c r="H6250" s="24" t="str">
        <f>IF(J6250&lt;&gt;1,"",IF(I6250="SBJ","CB","?"))</f>
        <v> </v>
      </c>
      <c r="I6250" s="25" t="str">
        <f>IF(OR(E6250="",E6250="!!!",F6250="NEW"),"",INDEX(B6249:B$2,-1+SUMPRODUCT(MAX(ROW(E6249:E$2)*(E6250=E6249:E$2)))))</f>
        <v> </v>
      </c>
      <c r="J6250" s="25" t="str">
        <f>IF(OR(E6250="",E6250="!!!",F6250="NEW"),"",COUNTBLANK(OFFSET(A$1,,,SUMPRODUCT(MAX(ROW(E$2:E6250)*(E6250=E$2:E6250)))))-COUNTBLANK(OFFSET(A$1,,,SUMPRODUCT(MAX(ROW(E$1:E6249)*(E2=E$1:E6249))))))</f>
        <v> </v>
      </c>
      <c r="K6250" s="25" t="str">
        <f>IF(OR(E6250="",E6250="!!!",F6250="NEW"),"",INDEX(J$1:J6249,SUMPRODUCT(MAX(ROW(E$1:E6249)*(E6250=E$1:E6249)))))</f>
        <v> </v>
      </c>
      <c r="L6250" s="26"/>
    </row>
    <row r="6251" spans="1:12">
      <c r="A6251" s="20" t="s">
        <v>1309</v>
      </c>
      <c r="B6251" s="27" t="s">
        <v>991</v>
      </c>
      <c r="C6251" s="27" t="s">
        <v>1111</v>
      </c>
      <c r="D6251" s="27" t="s">
        <v>932</v>
      </c>
      <c r="E6251" s="21">
        <f>IF(D6251="?OLD","!!!","")</f>
        <v/>
      </c>
      <c r="F6251" s="22" t="str">
        <f>IF(OR(E6251="",E6251="!!!"),"",IF(NOT(ISNA(VLOOKUP(E6251,E$1:E6250,1,FALSE()))),"OLD",IF(AND(E6251&lt;&gt;"",E6251&lt;&gt;"!!!"),"NEW","")))</f>
        <v> </v>
      </c>
      <c r="G6251" s="23" t="str">
        <f>IF(OR(E6251="",E6251="!!!"),"",IF(OR(J6251=0,AND(J6251=1,K6251=1),AND(J6251=1,I6251="SBJ"),AND(J6251=1,I6251=0)),"?IN_FOCUS",IF(J6251&lt;=2,"?ACTIVATED",IF(J6251&lt;&gt;"","?FAMILIAR",IF(F6251="NEW",IF(ISNA(VLOOKUP(E6251,#REF!,1,FALSE())),"?TYPE_IDENTIFIABLE","?REFERENTIAL"),"_")))))</f>
        <v> </v>
      </c>
      <c r="H6251" s="24" t="str">
        <f>IF(J6251&lt;&gt;1,"",IF(I6251="SBJ","CB","?"))</f>
        <v> </v>
      </c>
      <c r="I6251" s="25" t="str">
        <f>IF(OR(E6251="",E6251="!!!",F6251="NEW"),"",INDEX(B6250:B$2,-1+SUMPRODUCT(MAX(ROW(E6250:E$2)*(E6251=E6250:E$2)))))</f>
        <v> </v>
      </c>
      <c r="J6251" s="25" t="str">
        <f>IF(OR(E6251="",E6251="!!!",F6251="NEW"),"",COUNTBLANK(OFFSET(A$1,,,SUMPRODUCT(MAX(ROW(E$2:E6251)*(E6251=E$2:E6251)))))-COUNTBLANK(OFFSET(A$1,,,SUMPRODUCT(MAX(ROW(E$1:E6250)*(E2=E$1:E6250))))))</f>
        <v> </v>
      </c>
      <c r="K6251" s="25" t="str">
        <f>IF(OR(E6251="",E6251="!!!",F6251="NEW"),"",INDEX(J$1:J6250,SUMPRODUCT(MAX(ROW(E$1:E6250)*(E6251=E$1:E6250)))))</f>
        <v> </v>
      </c>
      <c r="L6251" s="26"/>
    </row>
    <row r="6252" spans="1:12">
      <c r="A6252" s="20" t="s">
        <v>1606</v>
      </c>
      <c r="E6252" s="21">
        <f>IF(D6252="?OLD","!!!","")</f>
        <v/>
      </c>
      <c r="F6252" s="22" t="str">
        <f>IF(OR(E6252="",E6252="!!!"),"",IF(NOT(ISNA(VLOOKUP(E6252,E$1:E6251,1,FALSE()))),"OLD",IF(AND(E6252&lt;&gt;"",E6252&lt;&gt;"!!!"),"NEW","")))</f>
        <v> </v>
      </c>
      <c r="G6252" s="23" t="str">
        <f>IF(OR(E6252="",E6252="!!!"),"",IF(OR(J6252=0,AND(J6252=1,K6252=1),AND(J6252=1,I6252="SBJ"),AND(J6252=1,I6252=0)),"?IN_FOCUS",IF(J6252&lt;=2,"?ACTIVATED",IF(J6252&lt;&gt;"","?FAMILIAR",IF(F6252="NEW",IF(ISNA(VLOOKUP(E6252,#REF!,1,FALSE())),"?TYPE_IDENTIFIABLE","?REFERENTIAL"),"_")))))</f>
        <v> </v>
      </c>
      <c r="H6252" s="24" t="str">
        <f>IF(J6252&lt;&gt;1,"",IF(I6252="SBJ","CB","?"))</f>
        <v> </v>
      </c>
      <c r="I6252" s="25" t="str">
        <f>IF(OR(E6252="",E6252="!!!",F6252="NEW"),"",INDEX(B6251:B$2,-1+SUMPRODUCT(MAX(ROW(E6251:E$2)*(E6252=E6251:E$2)))))</f>
        <v> </v>
      </c>
      <c r="J6252" s="25" t="str">
        <f>IF(OR(E6252="",E6252="!!!",F6252="NEW"),"",COUNTBLANK(OFFSET(A$1,,,SUMPRODUCT(MAX(ROW(E$2:E6252)*(E6252=E$2:E6252)))))-COUNTBLANK(OFFSET(A$1,,,SUMPRODUCT(MAX(ROW(E$1:E6251)*(E2=E$1:E6251))))))</f>
        <v> </v>
      </c>
      <c r="K6252" s="25" t="str">
        <f>IF(OR(E6252="",E6252="!!!",F6252="NEW"),"",INDEX(J$1:J6251,SUMPRODUCT(MAX(ROW(E$1:E6251)*(E6252=E$1:E6251)))))</f>
        <v> </v>
      </c>
      <c r="L6252" s="26"/>
    </row>
    <row r="6253" spans="1:12">
      <c r="A6253" s="20" t="s">
        <v>1000</v>
      </c>
      <c r="E6253" s="21">
        <f>IF(D6253="?OLD","!!!","")</f>
        <v/>
      </c>
      <c r="F6253" s="22" t="str">
        <f>IF(OR(E6253="",E6253="!!!"),"",IF(NOT(ISNA(VLOOKUP(E6253,E$1:E6252,1,FALSE()))),"OLD",IF(AND(E6253&lt;&gt;"",E6253&lt;&gt;"!!!"),"NEW","")))</f>
        <v> </v>
      </c>
      <c r="G6253" s="23" t="str">
        <f>IF(OR(E6253="",E6253="!!!"),"",IF(OR(J6253=0,AND(J6253=1,K6253=1),AND(J6253=1,I6253="SBJ"),AND(J6253=1,I6253=0)),"?IN_FOCUS",IF(J6253&lt;=2,"?ACTIVATED",IF(J6253&lt;&gt;"","?FAMILIAR",IF(F6253="NEW",IF(ISNA(VLOOKUP(E6253,#REF!,1,FALSE())),"?TYPE_IDENTIFIABLE","?REFERENTIAL"),"_")))))</f>
        <v> </v>
      </c>
      <c r="H6253" s="24" t="str">
        <f>IF(J6253&lt;&gt;1,"",IF(I6253="SBJ","CB","?"))</f>
        <v> </v>
      </c>
      <c r="I6253" s="25" t="str">
        <f>IF(OR(E6253="",E6253="!!!",F6253="NEW"),"",INDEX(B6252:B$2,-1+SUMPRODUCT(MAX(ROW(E6252:E$2)*(E6253=E6252:E$2)))))</f>
        <v> </v>
      </c>
      <c r="J6253" s="25" t="str">
        <f>IF(OR(E6253="",E6253="!!!",F6253="NEW"),"",COUNTBLANK(OFFSET(A$1,,,SUMPRODUCT(MAX(ROW(E$2:E6253)*(E6253=E$2:E6253)))))-COUNTBLANK(OFFSET(A$1,,,SUMPRODUCT(MAX(ROW(E$1:E6252)*(E2=E$1:E6252))))))</f>
        <v> </v>
      </c>
      <c r="K6253" s="25" t="str">
        <f>IF(OR(E6253="",E6253="!!!",F6253="NEW"),"",INDEX(J$1:J6252,SUMPRODUCT(MAX(ROW(E$1:E6252)*(E6253=E$1:E6252)))))</f>
        <v> </v>
      </c>
      <c r="L6253" s="26"/>
    </row>
    <row r="6254" spans="1:12">
      <c r="A6254" s="20" t="s">
        <v>1067</v>
      </c>
      <c r="E6254" s="21">
        <f>IF(D6254="?OLD","!!!","")</f>
        <v/>
      </c>
      <c r="F6254" s="22" t="str">
        <f>IF(OR(E6254="",E6254="!!!"),"",IF(NOT(ISNA(VLOOKUP(E6254,E$1:E6253,1,FALSE()))),"OLD",IF(AND(E6254&lt;&gt;"",E6254&lt;&gt;"!!!"),"NEW","")))</f>
        <v> </v>
      </c>
      <c r="G6254" s="23" t="str">
        <f>IF(OR(E6254="",E6254="!!!"),"",IF(OR(J6254=0,AND(J6254=1,K6254=1),AND(J6254=1,I6254="SBJ"),AND(J6254=1,I6254=0)),"?IN_FOCUS",IF(J6254&lt;=2,"?ACTIVATED",IF(J6254&lt;&gt;"","?FAMILIAR",IF(F6254="NEW",IF(ISNA(VLOOKUP(E6254,#REF!,1,FALSE())),"?TYPE_IDENTIFIABLE","?REFERENTIAL"),"_")))))</f>
        <v> </v>
      </c>
      <c r="H6254" s="24" t="str">
        <f>IF(J6254&lt;&gt;1,"",IF(I6254="SBJ","CB","?"))</f>
        <v> </v>
      </c>
      <c r="I6254" s="25" t="str">
        <f>IF(OR(E6254="",E6254="!!!",F6254="NEW"),"",INDEX(B6253:B$2,-1+SUMPRODUCT(MAX(ROW(E6253:E$2)*(E6254=E6253:E$2)))))</f>
        <v> </v>
      </c>
      <c r="J6254" s="25" t="str">
        <f>IF(OR(E6254="",E6254="!!!",F6254="NEW"),"",COUNTBLANK(OFFSET(A$1,,,SUMPRODUCT(MAX(ROW(E$2:E6254)*(E6254=E$2:E6254)))))-COUNTBLANK(OFFSET(A$1,,,SUMPRODUCT(MAX(ROW(E$1:E6253)*(E2=E$1:E6253))))))</f>
        <v> </v>
      </c>
      <c r="K6254" s="25" t="str">
        <f>IF(OR(E6254="",E6254="!!!",F6254="NEW"),"",INDEX(J$1:J6253,SUMPRODUCT(MAX(ROW(E$1:E6253)*(E6254=E$1:E6253)))))</f>
        <v> </v>
      </c>
      <c r="L6254" s="26"/>
    </row>
    <row r="6255" spans="1:12">
      <c r="A6255" s="20" t="s">
        <v>958</v>
      </c>
      <c r="B6255" s="27" t="s">
        <v>1031</v>
      </c>
      <c r="E6255" s="21">
        <f>IF(D6255="?OLD","!!!","")</f>
        <v/>
      </c>
      <c r="F6255" s="22" t="str">
        <f>IF(OR(E6255="",E6255="!!!"),"",IF(NOT(ISNA(VLOOKUP(E6255,E$1:E6254,1,FALSE()))),"OLD",IF(AND(E6255&lt;&gt;"",E6255&lt;&gt;"!!!"),"NEW","")))</f>
        <v> </v>
      </c>
      <c r="G6255" s="23" t="str">
        <f>IF(OR(E6255="",E6255="!!!"),"",IF(OR(J6255=0,AND(J6255=1,K6255=1),AND(J6255=1,I6255="SBJ"),AND(J6255=1,I6255=0)),"?IN_FOCUS",IF(J6255&lt;=2,"?ACTIVATED",IF(J6255&lt;&gt;"","?FAMILIAR",IF(F6255="NEW",IF(ISNA(VLOOKUP(E6255,#REF!,1,FALSE())),"?TYPE_IDENTIFIABLE","?REFERENTIAL"),"_")))))</f>
        <v> </v>
      </c>
      <c r="H6255" s="24" t="str">
        <f>IF(J6255&lt;&gt;1,"",IF(I6255="SBJ","CB","?"))</f>
        <v> </v>
      </c>
      <c r="I6255" s="25" t="str">
        <f>IF(OR(E6255="",E6255="!!!",F6255="NEW"),"",INDEX(B6254:B$2,-1+SUMPRODUCT(MAX(ROW(E6254:E$2)*(E6255=E6254:E$2)))))</f>
        <v> </v>
      </c>
      <c r="J6255" s="25" t="str">
        <f>IF(OR(E6255="",E6255="!!!",F6255="NEW"),"",COUNTBLANK(OFFSET(A$1,,,SUMPRODUCT(MAX(ROW(E$2:E6255)*(E6255=E$2:E6255)))))-COUNTBLANK(OFFSET(A$1,,,SUMPRODUCT(MAX(ROW(E$1:E6254)*(E2=E$1:E6254))))))</f>
        <v> </v>
      </c>
      <c r="K6255" s="25" t="str">
        <f>IF(OR(E6255="",E6255="!!!",F6255="NEW"),"",INDEX(J$1:J6254,SUMPRODUCT(MAX(ROW(E$1:E6254)*(E6255=E$1:E6254)))))</f>
        <v> </v>
      </c>
      <c r="L6255" s="26"/>
    </row>
    <row r="6256" spans="1:12">
      <c r="A6256" s="20" t="s">
        <v>929</v>
      </c>
      <c r="B6256" s="27" t="s">
        <v>955</v>
      </c>
      <c r="C6256" s="27" t="s">
        <v>931</v>
      </c>
      <c r="D6256" s="27" t="s">
        <v>932</v>
      </c>
      <c r="E6256" s="21">
        <f>IF(D6256="?OLD","!!!","")</f>
        <v/>
      </c>
      <c r="F6256" s="22" t="str">
        <f>IF(OR(E6256="",E6256="!!!"),"",IF(NOT(ISNA(VLOOKUP(E6256,E$1:E6255,1,FALSE()))),"OLD",IF(AND(E6256&lt;&gt;"",E6256&lt;&gt;"!!!"),"NEW","")))</f>
        <v> </v>
      </c>
      <c r="G6256" s="23" t="str">
        <f>IF(OR(E6256="",E6256="!!!"),"",IF(OR(J6256=0,AND(J6256=1,K6256=1),AND(J6256=1,I6256="SBJ"),AND(J6256=1,I6256=0)),"?IN_FOCUS",IF(J6256&lt;=2,"?ACTIVATED",IF(J6256&lt;&gt;"","?FAMILIAR",IF(F6256="NEW",IF(ISNA(VLOOKUP(E6256,#REF!,1,FALSE())),"?TYPE_IDENTIFIABLE","?REFERENTIAL"),"_")))))</f>
        <v> </v>
      </c>
      <c r="H6256" s="24" t="str">
        <f>IF(J6256&lt;&gt;1,"",IF(I6256="SBJ","CB","?"))</f>
        <v> </v>
      </c>
      <c r="I6256" s="25" t="str">
        <f>IF(OR(E6256="",E6256="!!!",F6256="NEW"),"",INDEX(B6255:B$2,-1+SUMPRODUCT(MAX(ROW(E6255:E$2)*(E6256=E6255:E$2)))))</f>
        <v> </v>
      </c>
      <c r="J6256" s="25" t="str">
        <f>IF(OR(E6256="",E6256="!!!",F6256="NEW"),"",COUNTBLANK(OFFSET(A$1,,,SUMPRODUCT(MAX(ROW(E$2:E6256)*(E6256=E$2:E6256)))))-COUNTBLANK(OFFSET(A$1,,,SUMPRODUCT(MAX(ROW(E$1:E6255)*(E2=E$1:E6255))))))</f>
        <v> </v>
      </c>
      <c r="K6256" s="25" t="str">
        <f>IF(OR(E6256="",E6256="!!!",F6256="NEW"),"",INDEX(J$1:J6255,SUMPRODUCT(MAX(ROW(E$1:E6255)*(E6256=E$1:E6255)))))</f>
        <v> </v>
      </c>
      <c r="L6256" s="26"/>
    </row>
    <row r="6257" spans="1:12">
      <c r="A6257" s="20" t="s">
        <v>1138</v>
      </c>
      <c r="E6257" s="21">
        <f>IF(D6257="?OLD","!!!","")</f>
        <v/>
      </c>
      <c r="F6257" s="22" t="str">
        <f>IF(OR(E6257="",E6257="!!!"),"",IF(NOT(ISNA(VLOOKUP(E6257,E$1:E6256,1,FALSE()))),"OLD",IF(AND(E6257&lt;&gt;"",E6257&lt;&gt;"!!!"),"NEW","")))</f>
        <v> </v>
      </c>
      <c r="G6257" s="23" t="str">
        <f>IF(OR(E6257="",E6257="!!!"),"",IF(OR(J6257=0,AND(J6257=1,K6257=1),AND(J6257=1,I6257="SBJ"),AND(J6257=1,I6257=0)),"?IN_FOCUS",IF(J6257&lt;=2,"?ACTIVATED",IF(J6257&lt;&gt;"","?FAMILIAR",IF(F6257="NEW",IF(ISNA(VLOOKUP(E6257,#REF!,1,FALSE())),"?TYPE_IDENTIFIABLE","?REFERENTIAL"),"_")))))</f>
        <v> </v>
      </c>
      <c r="H6257" s="24" t="str">
        <f>IF(J6257&lt;&gt;1,"",IF(I6257="SBJ","CB","?"))</f>
        <v> </v>
      </c>
      <c r="I6257" s="25" t="str">
        <f>IF(OR(E6257="",E6257="!!!",F6257="NEW"),"",INDEX(B6256:B$2,-1+SUMPRODUCT(MAX(ROW(E6256:E$2)*(E6257=E6256:E$2)))))</f>
        <v> </v>
      </c>
      <c r="J6257" s="25" t="str">
        <f>IF(OR(E6257="",E6257="!!!",F6257="NEW"),"",COUNTBLANK(OFFSET(A$1,,,SUMPRODUCT(MAX(ROW(E$2:E6257)*(E6257=E$2:E6257)))))-COUNTBLANK(OFFSET(A$1,,,SUMPRODUCT(MAX(ROW(E$1:E6256)*(E2=E$1:E6256))))))</f>
        <v> </v>
      </c>
      <c r="K6257" s="25" t="str">
        <f>IF(OR(E6257="",E6257="!!!",F6257="NEW"),"",INDEX(J$1:J6256,SUMPRODUCT(MAX(ROW(E$1:E6256)*(E6257=E$1:E6256)))))</f>
        <v> </v>
      </c>
      <c r="L6257" s="26"/>
    </row>
    <row r="6258" spans="1:12">
      <c r="A6258" s="20" t="s">
        <v>45</v>
      </c>
      <c r="E6258" s="21">
        <f>IF(D6258="?OLD","!!!","")</f>
        <v/>
      </c>
      <c r="F6258" s="22" t="str">
        <f>IF(OR(E6258="",E6258="!!!"),"",IF(NOT(ISNA(VLOOKUP(E6258,E$1:E6257,1,FALSE()))),"OLD",IF(AND(E6258&lt;&gt;"",E6258&lt;&gt;"!!!"),"NEW","")))</f>
        <v> </v>
      </c>
      <c r="G6258" s="23" t="str">
        <f>IF(OR(E6258="",E6258="!!!"),"",IF(OR(J6258=0,AND(J6258=1,K6258=1),AND(J6258=1,I6258="SBJ"),AND(J6258=1,I6258=0)),"?IN_FOCUS",IF(J6258&lt;=2,"?ACTIVATED",IF(J6258&lt;&gt;"","?FAMILIAR",IF(F6258="NEW",IF(ISNA(VLOOKUP(E6258,#REF!,1,FALSE())),"?TYPE_IDENTIFIABLE","?REFERENTIAL"),"_")))))</f>
        <v> </v>
      </c>
      <c r="H6258" s="24" t="str">
        <f>IF(J6258&lt;&gt;1,"",IF(I6258="SBJ","CB","?"))</f>
        <v> </v>
      </c>
      <c r="I6258" s="25" t="str">
        <f>IF(OR(E6258="",E6258="!!!",F6258="NEW"),"",INDEX(B6257:B$2,-1+SUMPRODUCT(MAX(ROW(E6257:E$2)*(E6258=E6257:E$2)))))</f>
        <v> </v>
      </c>
      <c r="J6258" s="25" t="str">
        <f>IF(OR(E6258="",E6258="!!!",F6258="NEW"),"",COUNTBLANK(OFFSET(A$1,,,SUMPRODUCT(MAX(ROW(E$2:E6258)*(E6258=E$2:E6258)))))-COUNTBLANK(OFFSET(A$1,,,SUMPRODUCT(MAX(ROW(E$1:E6257)*(E2=E$1:E6257))))))</f>
        <v> </v>
      </c>
      <c r="K6258" s="25" t="str">
        <f>IF(OR(E6258="",E6258="!!!",F6258="NEW"),"",INDEX(J$1:J6257,SUMPRODUCT(MAX(ROW(E$1:E6257)*(E6258=E$1:E6257)))))</f>
        <v> </v>
      </c>
      <c r="L6258" s="26"/>
    </row>
    <row r="6259" spans="1:12">
      <c r="A6259" s="20" t="s">
        <v>947</v>
      </c>
      <c r="E6259" s="21">
        <f>IF(D6259="?OLD","!!!","")</f>
        <v/>
      </c>
      <c r="F6259" s="22" t="str">
        <f>IF(OR(E6259="",E6259="!!!"),"",IF(NOT(ISNA(VLOOKUP(E6259,E$1:E6258,1,FALSE()))),"OLD",IF(AND(E6259&lt;&gt;"",E6259&lt;&gt;"!!!"),"NEW","")))</f>
        <v> </v>
      </c>
      <c r="G6259" s="23" t="str">
        <f>IF(OR(E6259="",E6259="!!!"),"",IF(OR(J6259=0,AND(J6259=1,K6259=1),AND(J6259=1,I6259="SBJ"),AND(J6259=1,I6259=0)),"?IN_FOCUS",IF(J6259&lt;=2,"?ACTIVATED",IF(J6259&lt;&gt;"","?FAMILIAR",IF(F6259="NEW",IF(ISNA(VLOOKUP(E6259,#REF!,1,FALSE())),"?TYPE_IDENTIFIABLE","?REFERENTIAL"),"_")))))</f>
        <v> </v>
      </c>
      <c r="H6259" s="24" t="str">
        <f>IF(J6259&lt;&gt;1,"",IF(I6259="SBJ","CB","?"))</f>
        <v> </v>
      </c>
      <c r="I6259" s="25" t="str">
        <f>IF(OR(E6259="",E6259="!!!",F6259="NEW"),"",INDEX(B6258:B$2,-1+SUMPRODUCT(MAX(ROW(E6258:E$2)*(E6259=E6258:E$2)))))</f>
        <v> </v>
      </c>
      <c r="J6259" s="25" t="str">
        <f>IF(OR(E6259="",E6259="!!!",F6259="NEW"),"",COUNTBLANK(OFFSET(A$1,,,SUMPRODUCT(MAX(ROW(E$2:E6259)*(E6259=E$2:E6259)))))-COUNTBLANK(OFFSET(A$1,,,SUMPRODUCT(MAX(ROW(E$1:E6258)*(E2=E$1:E6258))))))</f>
        <v> </v>
      </c>
      <c r="K6259" s="25" t="str">
        <f>IF(OR(E6259="",E6259="!!!",F6259="NEW"),"",INDEX(J$1:J6258,SUMPRODUCT(MAX(ROW(E$1:E6258)*(E6259=E$1:E6258)))))</f>
        <v> </v>
      </c>
      <c r="L6259" s="26"/>
    </row>
    <row r="6260" spans="1:12">
      <c r="A6260" s="20" t="s">
        <v>1153</v>
      </c>
      <c r="E6260" s="21">
        <f>IF(D6260="?OLD","!!!","")</f>
        <v/>
      </c>
      <c r="F6260" s="22" t="str">
        <f>IF(OR(E6260="",E6260="!!!"),"",IF(NOT(ISNA(VLOOKUP(E6260,E$1:E6259,1,FALSE()))),"OLD",IF(AND(E6260&lt;&gt;"",E6260&lt;&gt;"!!!"),"NEW","")))</f>
        <v> </v>
      </c>
      <c r="G6260" s="23" t="str">
        <f>IF(OR(E6260="",E6260="!!!"),"",IF(OR(J6260=0,AND(J6260=1,K6260=1),AND(J6260=1,I6260="SBJ"),AND(J6260=1,I6260=0)),"?IN_FOCUS",IF(J6260&lt;=2,"?ACTIVATED",IF(J6260&lt;&gt;"","?FAMILIAR",IF(F6260="NEW",IF(ISNA(VLOOKUP(E6260,#REF!,1,FALSE())),"?TYPE_IDENTIFIABLE","?REFERENTIAL"),"_")))))</f>
        <v> </v>
      </c>
      <c r="H6260" s="24" t="str">
        <f>IF(J6260&lt;&gt;1,"",IF(I6260="SBJ","CB","?"))</f>
        <v> </v>
      </c>
      <c r="I6260" s="25" t="str">
        <f>IF(OR(E6260="",E6260="!!!",F6260="NEW"),"",INDEX(B6259:B$2,-1+SUMPRODUCT(MAX(ROW(E6259:E$2)*(E6260=E6259:E$2)))))</f>
        <v> </v>
      </c>
      <c r="J6260" s="25" t="str">
        <f>IF(OR(E6260="",E6260="!!!",F6260="NEW"),"",COUNTBLANK(OFFSET(A$1,,,SUMPRODUCT(MAX(ROW(E$2:E6260)*(E6260=E$2:E6260)))))-COUNTBLANK(OFFSET(A$1,,,SUMPRODUCT(MAX(ROW(E$1:E6259)*(E2=E$1:E6259))))))</f>
        <v> </v>
      </c>
      <c r="K6260" s="25" t="str">
        <f>IF(OR(E6260="",E6260="!!!",F6260="NEW"),"",INDEX(J$1:J6259,SUMPRODUCT(MAX(ROW(E$1:E6259)*(E6260=E$1:E6259)))))</f>
        <v> </v>
      </c>
      <c r="L6260" s="26"/>
    </row>
    <row r="6261" spans="1:12">
      <c r="A6261" s="20" t="s">
        <v>934</v>
      </c>
      <c r="E6261" s="21">
        <f>IF(D6261="?OLD","!!!","")</f>
        <v/>
      </c>
      <c r="F6261" s="22" t="str">
        <f>IF(OR(E6261="",E6261="!!!"),"",IF(NOT(ISNA(VLOOKUP(E6261,E$1:E6260,1,FALSE()))),"OLD",IF(AND(E6261&lt;&gt;"",E6261&lt;&gt;"!!!"),"NEW","")))</f>
        <v> </v>
      </c>
      <c r="G6261" s="23" t="str">
        <f>IF(OR(E6261="",E6261="!!!"),"",IF(OR(J6261=0,AND(J6261=1,K6261=1),AND(J6261=1,I6261="SBJ"),AND(J6261=1,I6261=0)),"?IN_FOCUS",IF(J6261&lt;=2,"?ACTIVATED",IF(J6261&lt;&gt;"","?FAMILIAR",IF(F6261="NEW",IF(ISNA(VLOOKUP(E6261,#REF!,1,FALSE())),"?TYPE_IDENTIFIABLE","?REFERENTIAL"),"_")))))</f>
        <v> </v>
      </c>
      <c r="H6261" s="24" t="str">
        <f>IF(J6261&lt;&gt;1,"",IF(I6261="SBJ","CB","?"))</f>
        <v> </v>
      </c>
      <c r="I6261" s="25" t="str">
        <f>IF(OR(E6261="",E6261="!!!",F6261="NEW"),"",INDEX(B6260:B$2,-1+SUMPRODUCT(MAX(ROW(E6260:E$2)*(E6261=E6260:E$2)))))</f>
        <v> </v>
      </c>
      <c r="J6261" s="25" t="str">
        <f>IF(OR(E6261="",E6261="!!!",F6261="NEW"),"",COUNTBLANK(OFFSET(A$1,,,SUMPRODUCT(MAX(ROW(E$2:E6261)*(E6261=E$2:E6261)))))-COUNTBLANK(OFFSET(A$1,,,SUMPRODUCT(MAX(ROW(E$1:E6260)*(E2=E$1:E6260))))))</f>
        <v> </v>
      </c>
      <c r="K6261" s="25" t="str">
        <f>IF(OR(E6261="",E6261="!!!",F6261="NEW"),"",INDEX(J$1:J6260,SUMPRODUCT(MAX(ROW(E$1:E6260)*(E6261=E$1:E6260)))))</f>
        <v> </v>
      </c>
      <c r="L6261" s="26"/>
    </row>
    <row r="6262" spans="1:12">
      <c r="A6262" s="20" t="s">
        <v>2313</v>
      </c>
      <c r="B6262" s="27" t="s">
        <v>982</v>
      </c>
      <c r="C6262" s="27" t="s">
        <v>973</v>
      </c>
      <c r="E6262" s="21">
        <f>IF(D6262="?OLD","!!!","")</f>
        <v/>
      </c>
      <c r="F6262" s="22" t="str">
        <f>IF(OR(E6262="",E6262="!!!"),"",IF(NOT(ISNA(VLOOKUP(E6262,E$1:E6261,1,FALSE()))),"OLD",IF(AND(E6262&lt;&gt;"",E6262&lt;&gt;"!!!"),"NEW","")))</f>
        <v> </v>
      </c>
      <c r="G6262" s="23" t="str">
        <f>IF(OR(E6262="",E6262="!!!"),"",IF(OR(J6262=0,AND(J6262=1,K6262=1),AND(J6262=1,I6262="SBJ"),AND(J6262=1,I6262=0)),"?IN_FOCUS",IF(J6262&lt;=2,"?ACTIVATED",IF(J6262&lt;&gt;"","?FAMILIAR",IF(F6262="NEW",IF(ISNA(VLOOKUP(E6262,#REF!,1,FALSE())),"?TYPE_IDENTIFIABLE","?REFERENTIAL"),"_")))))</f>
        <v> </v>
      </c>
      <c r="H6262" s="24" t="str">
        <f>IF(J6262&lt;&gt;1,"",IF(I6262="SBJ","CB","?"))</f>
        <v> </v>
      </c>
      <c r="I6262" s="25" t="str">
        <f>IF(OR(E6262="",E6262="!!!",F6262="NEW"),"",INDEX(B6261:B$2,-1+SUMPRODUCT(MAX(ROW(E6261:E$2)*(E6262=E6261:E$2)))))</f>
        <v> </v>
      </c>
      <c r="J6262" s="25" t="str">
        <f>IF(OR(E6262="",E6262="!!!",F6262="NEW"),"",COUNTBLANK(OFFSET(A$1,,,SUMPRODUCT(MAX(ROW(E$2:E6262)*(E6262=E$2:E6262)))))-COUNTBLANK(OFFSET(A$1,,,SUMPRODUCT(MAX(ROW(E$1:E6261)*(E2=E$1:E6261))))))</f>
        <v> </v>
      </c>
      <c r="K6262" s="25" t="str">
        <f>IF(OR(E6262="",E6262="!!!",F6262="NEW"),"",INDEX(J$1:J6261,SUMPRODUCT(MAX(ROW(E$1:E6261)*(E6262=E$1:E6261)))))</f>
        <v> </v>
      </c>
      <c r="L6262" s="26"/>
    </row>
    <row r="6263" spans="1:12">
      <c r="A6263" s="20" t="s">
        <v>958</v>
      </c>
      <c r="B6263" s="27" t="s">
        <v>1390</v>
      </c>
      <c r="E6263" s="21">
        <f>IF(D6263="?OLD","!!!","")</f>
        <v/>
      </c>
      <c r="F6263" s="22" t="str">
        <f>IF(OR(E6263="",E6263="!!!"),"",IF(NOT(ISNA(VLOOKUP(E6263,E$1:E6262,1,FALSE()))),"OLD",IF(AND(E6263&lt;&gt;"",E6263&lt;&gt;"!!!"),"NEW","")))</f>
        <v> </v>
      </c>
      <c r="G6263" s="23" t="str">
        <f>IF(OR(E6263="",E6263="!!!"),"",IF(OR(J6263=0,AND(J6263=1,K6263=1),AND(J6263=1,I6263="SBJ"),AND(J6263=1,I6263=0)),"?IN_FOCUS",IF(J6263&lt;=2,"?ACTIVATED",IF(J6263&lt;&gt;"","?FAMILIAR",IF(F6263="NEW",IF(ISNA(VLOOKUP(E6263,#REF!,1,FALSE())),"?TYPE_IDENTIFIABLE","?REFERENTIAL"),"_")))))</f>
        <v> </v>
      </c>
      <c r="H6263" s="24" t="str">
        <f>IF(J6263&lt;&gt;1,"",IF(I6263="SBJ","CB","?"))</f>
        <v> </v>
      </c>
      <c r="I6263" s="25" t="str">
        <f>IF(OR(E6263="",E6263="!!!",F6263="NEW"),"",INDEX(B6262:B$2,-1+SUMPRODUCT(MAX(ROW(E6262:E$2)*(E6263=E6262:E$2)))))</f>
        <v> </v>
      </c>
      <c r="J6263" s="25" t="str">
        <f>IF(OR(E6263="",E6263="!!!",F6263="NEW"),"",COUNTBLANK(OFFSET(A$1,,,SUMPRODUCT(MAX(ROW(E$2:E6263)*(E6263=E$2:E6263)))))-COUNTBLANK(OFFSET(A$1,,,SUMPRODUCT(MAX(ROW(E$1:E6262)*(E2=E$1:E6262))))))</f>
        <v> </v>
      </c>
      <c r="K6263" s="25" t="str">
        <f>IF(OR(E6263="",E6263="!!!",F6263="NEW"),"",INDEX(J$1:J6262,SUMPRODUCT(MAX(ROW(E$1:E6262)*(E6263=E$1:E6262)))))</f>
        <v> </v>
      </c>
      <c r="L6263" s="26"/>
    </row>
    <row r="6264" spans="1:12">
      <c r="A6264" s="20" t="s">
        <v>929</v>
      </c>
      <c r="B6264" s="27" t="s">
        <v>1196</v>
      </c>
      <c r="C6264" s="27" t="s">
        <v>931</v>
      </c>
      <c r="D6264" s="27" t="s">
        <v>932</v>
      </c>
      <c r="E6264" s="21">
        <f>IF(D6264="?OLD","!!!","")</f>
        <v/>
      </c>
      <c r="F6264" s="22" t="str">
        <f>IF(OR(E6264="",E6264="!!!"),"",IF(NOT(ISNA(VLOOKUP(E6264,E$1:E6263,1,FALSE()))),"OLD",IF(AND(E6264&lt;&gt;"",E6264&lt;&gt;"!!!"),"NEW","")))</f>
        <v> </v>
      </c>
      <c r="G6264" s="23" t="str">
        <f>IF(OR(E6264="",E6264="!!!"),"",IF(OR(J6264=0,AND(J6264=1,K6264=1),AND(J6264=1,I6264="SBJ"),AND(J6264=1,I6264=0)),"?IN_FOCUS",IF(J6264&lt;=2,"?ACTIVATED",IF(J6264&lt;&gt;"","?FAMILIAR",IF(F6264="NEW",IF(ISNA(VLOOKUP(E6264,#REF!,1,FALSE())),"?TYPE_IDENTIFIABLE","?REFERENTIAL"),"_")))))</f>
        <v> </v>
      </c>
      <c r="H6264" s="24" t="str">
        <f>IF(J6264&lt;&gt;1,"",IF(I6264="SBJ","CB","?"))</f>
        <v> </v>
      </c>
      <c r="I6264" s="25" t="str">
        <f>IF(OR(E6264="",E6264="!!!",F6264="NEW"),"",INDEX(B6263:B$2,-1+SUMPRODUCT(MAX(ROW(E6263:E$2)*(E6264=E6263:E$2)))))</f>
        <v> </v>
      </c>
      <c r="J6264" s="25" t="str">
        <f>IF(OR(E6264="",E6264="!!!",F6264="NEW"),"",COUNTBLANK(OFFSET(A$1,,,SUMPRODUCT(MAX(ROW(E$2:E6264)*(E6264=E$2:E6264)))))-COUNTBLANK(OFFSET(A$1,,,SUMPRODUCT(MAX(ROW(E$1:E6263)*(E2=E$1:E6263))))))</f>
        <v> </v>
      </c>
      <c r="K6264" s="25" t="str">
        <f>IF(OR(E6264="",E6264="!!!",F6264="NEW"),"",INDEX(J$1:J6263,SUMPRODUCT(MAX(ROW(E$1:E6263)*(E6264=E$1:E6263)))))</f>
        <v> </v>
      </c>
      <c r="L6264" s="26"/>
    </row>
    <row r="6265" spans="1:12">
      <c r="A6265" s="20" t="s">
        <v>1065</v>
      </c>
      <c r="E6265" s="21">
        <f>IF(D6265="?OLD","!!!","")</f>
        <v/>
      </c>
      <c r="F6265" s="22" t="str">
        <f>IF(OR(E6265="",E6265="!!!"),"",IF(NOT(ISNA(VLOOKUP(E6265,E$1:E6264,1,FALSE()))),"OLD",IF(AND(E6265&lt;&gt;"",E6265&lt;&gt;"!!!"),"NEW","")))</f>
        <v> </v>
      </c>
      <c r="G6265" s="23" t="str">
        <f>IF(OR(E6265="",E6265="!!!"),"",IF(OR(J6265=0,AND(J6265=1,K6265=1),AND(J6265=1,I6265="SBJ"),AND(J6265=1,I6265=0)),"?IN_FOCUS",IF(J6265&lt;=2,"?ACTIVATED",IF(J6265&lt;&gt;"","?FAMILIAR",IF(F6265="NEW",IF(ISNA(VLOOKUP(E6265,#REF!,1,FALSE())),"?TYPE_IDENTIFIABLE","?REFERENTIAL"),"_")))))</f>
        <v> </v>
      </c>
      <c r="H6265" s="24" t="str">
        <f>IF(J6265&lt;&gt;1,"",IF(I6265="SBJ","CB","?"))</f>
        <v> </v>
      </c>
      <c r="I6265" s="25" t="str">
        <f>IF(OR(E6265="",E6265="!!!",F6265="NEW"),"",INDEX(B6264:B$2,-1+SUMPRODUCT(MAX(ROW(E6264:E$2)*(E6265=E6264:E$2)))))</f>
        <v> </v>
      </c>
      <c r="J6265" s="25" t="str">
        <f>IF(OR(E6265="",E6265="!!!",F6265="NEW"),"",COUNTBLANK(OFFSET(A$1,,,SUMPRODUCT(MAX(ROW(E$2:E6265)*(E6265=E$2:E6265)))))-COUNTBLANK(OFFSET(A$1,,,SUMPRODUCT(MAX(ROW(E$1:E6264)*(E2=E$1:E6264))))))</f>
        <v> </v>
      </c>
      <c r="K6265" s="25" t="str">
        <f>IF(OR(E6265="",E6265="!!!",F6265="NEW"),"",INDEX(J$1:J6264,SUMPRODUCT(MAX(ROW(E$1:E6264)*(E6265=E$1:E6264)))))</f>
        <v> </v>
      </c>
      <c r="L6265" s="26"/>
    </row>
    <row r="6266" spans="1:12">
      <c r="A6266" s="20" t="s">
        <v>1717</v>
      </c>
      <c r="E6266" s="21">
        <f>IF(D6266="?OLD","!!!","")</f>
        <v/>
      </c>
      <c r="F6266" s="22" t="str">
        <f>IF(OR(E6266="",E6266="!!!"),"",IF(NOT(ISNA(VLOOKUP(E6266,E$1:E6265,1,FALSE()))),"OLD",IF(AND(E6266&lt;&gt;"",E6266&lt;&gt;"!!!"),"NEW","")))</f>
        <v> </v>
      </c>
      <c r="G6266" s="23" t="str">
        <f>IF(OR(E6266="",E6266="!!!"),"",IF(OR(J6266=0,AND(J6266=1,K6266=1),AND(J6266=1,I6266="SBJ"),AND(J6266=1,I6266=0)),"?IN_FOCUS",IF(J6266&lt;=2,"?ACTIVATED",IF(J6266&lt;&gt;"","?FAMILIAR",IF(F6266="NEW",IF(ISNA(VLOOKUP(E6266,#REF!,1,FALSE())),"?TYPE_IDENTIFIABLE","?REFERENTIAL"),"_")))))</f>
        <v> </v>
      </c>
      <c r="H6266" s="24" t="str">
        <f>IF(J6266&lt;&gt;1,"",IF(I6266="SBJ","CB","?"))</f>
        <v> </v>
      </c>
      <c r="I6266" s="25" t="str">
        <f>IF(OR(E6266="",E6266="!!!",F6266="NEW"),"",INDEX(B6265:B$2,-1+SUMPRODUCT(MAX(ROW(E6265:E$2)*(E6266=E6265:E$2)))))</f>
        <v> </v>
      </c>
      <c r="J6266" s="25" t="str">
        <f>IF(OR(E6266="",E6266="!!!",F6266="NEW"),"",COUNTBLANK(OFFSET(A$1,,,SUMPRODUCT(MAX(ROW(E$2:E6266)*(E6266=E$2:E6266)))))-COUNTBLANK(OFFSET(A$1,,,SUMPRODUCT(MAX(ROW(E$1:E6265)*(E2=E$1:E6265))))))</f>
        <v> </v>
      </c>
      <c r="K6266" s="25" t="str">
        <f>IF(OR(E6266="",E6266="!!!",F6266="NEW"),"",INDEX(J$1:J6265,SUMPRODUCT(MAX(ROW(E$1:E6265)*(E6266=E$1:E6265)))))</f>
        <v> </v>
      </c>
      <c r="L6266" s="26"/>
    </row>
    <row r="6267" spans="1:12">
      <c r="A6267" s="20" t="s">
        <v>2314</v>
      </c>
      <c r="E6267" s="21">
        <f>IF(D6267="?OLD","!!!","")</f>
        <v/>
      </c>
      <c r="F6267" s="22" t="str">
        <f>IF(OR(E6267="",E6267="!!!"),"",IF(NOT(ISNA(VLOOKUP(E6267,E$1:E6266,1,FALSE()))),"OLD",IF(AND(E6267&lt;&gt;"",E6267&lt;&gt;"!!!"),"NEW","")))</f>
        <v> </v>
      </c>
      <c r="G6267" s="23" t="str">
        <f>IF(OR(E6267="",E6267="!!!"),"",IF(OR(J6267=0,AND(J6267=1,K6267=1),AND(J6267=1,I6267="SBJ"),AND(J6267=1,I6267=0)),"?IN_FOCUS",IF(J6267&lt;=2,"?ACTIVATED",IF(J6267&lt;&gt;"","?FAMILIAR",IF(F6267="NEW",IF(ISNA(VLOOKUP(E6267,#REF!,1,FALSE())),"?TYPE_IDENTIFIABLE","?REFERENTIAL"),"_")))))</f>
        <v> </v>
      </c>
      <c r="H6267" s="24" t="str">
        <f>IF(J6267&lt;&gt;1,"",IF(I6267="SBJ","CB","?"))</f>
        <v> </v>
      </c>
      <c r="I6267" s="25" t="str">
        <f>IF(OR(E6267="",E6267="!!!",F6267="NEW"),"",INDEX(B6266:B$2,-1+SUMPRODUCT(MAX(ROW(E6266:E$2)*(E6267=E6266:E$2)))))</f>
        <v> </v>
      </c>
      <c r="J6267" s="25" t="str">
        <f>IF(OR(E6267="",E6267="!!!",F6267="NEW"),"",COUNTBLANK(OFFSET(A$1,,,SUMPRODUCT(MAX(ROW(E$2:E6267)*(E6267=E$2:E6267)))))-COUNTBLANK(OFFSET(A$1,,,SUMPRODUCT(MAX(ROW(E$1:E6266)*(E2=E$1:E6266))))))</f>
        <v> </v>
      </c>
      <c r="K6267" s="25" t="str">
        <f>IF(OR(E6267="",E6267="!!!",F6267="NEW"),"",INDEX(J$1:J6266,SUMPRODUCT(MAX(ROW(E$1:E6266)*(E6267=E$1:E6266)))))</f>
        <v> </v>
      </c>
      <c r="L6267" s="26"/>
    </row>
    <row r="6268" spans="1:12">
      <c r="A6268" s="20" t="s">
        <v>2210</v>
      </c>
      <c r="E6268" s="21">
        <f>IF(D6268="?OLD","!!!","")</f>
        <v/>
      </c>
      <c r="F6268" s="22" t="str">
        <f>IF(OR(E6268="",E6268="!!!"),"",IF(NOT(ISNA(VLOOKUP(E6268,E$1:E6267,1,FALSE()))),"OLD",IF(AND(E6268&lt;&gt;"",E6268&lt;&gt;"!!!"),"NEW","")))</f>
        <v> </v>
      </c>
      <c r="G6268" s="23" t="str">
        <f>IF(OR(E6268="",E6268="!!!"),"",IF(OR(J6268=0,AND(J6268=1,K6268=1),AND(J6268=1,I6268="SBJ"),AND(J6268=1,I6268=0)),"?IN_FOCUS",IF(J6268&lt;=2,"?ACTIVATED",IF(J6268&lt;&gt;"","?FAMILIAR",IF(F6268="NEW",IF(ISNA(VLOOKUP(E6268,#REF!,1,FALSE())),"?TYPE_IDENTIFIABLE","?REFERENTIAL"),"_")))))</f>
        <v> </v>
      </c>
      <c r="H6268" s="24" t="str">
        <f>IF(J6268&lt;&gt;1,"",IF(I6268="SBJ","CB","?"))</f>
        <v> </v>
      </c>
      <c r="I6268" s="25" t="str">
        <f>IF(OR(E6268="",E6268="!!!",F6268="NEW"),"",INDEX(B6267:B$2,-1+SUMPRODUCT(MAX(ROW(E6267:E$2)*(E6268=E6267:E$2)))))</f>
        <v> </v>
      </c>
      <c r="J6268" s="25" t="str">
        <f>IF(OR(E6268="",E6268="!!!",F6268="NEW"),"",COUNTBLANK(OFFSET(A$1,,,SUMPRODUCT(MAX(ROW(E$2:E6268)*(E6268=E$2:E6268)))))-COUNTBLANK(OFFSET(A$1,,,SUMPRODUCT(MAX(ROW(E$1:E6267)*(E2=E$1:E6267))))))</f>
        <v> </v>
      </c>
      <c r="K6268" s="25" t="str">
        <f>IF(OR(E6268="",E6268="!!!",F6268="NEW"),"",INDEX(J$1:J6267,SUMPRODUCT(MAX(ROW(E$1:E6267)*(E6268=E$1:E6267)))))</f>
        <v> </v>
      </c>
      <c r="L6268" s="26"/>
    </row>
    <row r="6269" spans="1:12">
      <c r="A6269" s="20" t="s">
        <v>958</v>
      </c>
      <c r="E6269" s="21">
        <f>IF(D6269="?OLD","!!!","")</f>
        <v/>
      </c>
      <c r="F6269" s="22" t="str">
        <f>IF(OR(E6269="",E6269="!!!"),"",IF(NOT(ISNA(VLOOKUP(E6269,E$1:E6268,1,FALSE()))),"OLD",IF(AND(E6269&lt;&gt;"",E6269&lt;&gt;"!!!"),"NEW","")))</f>
        <v> </v>
      </c>
      <c r="G6269" s="23" t="str">
        <f>IF(OR(E6269="",E6269="!!!"),"",IF(OR(J6269=0,AND(J6269=1,K6269=1),AND(J6269=1,I6269="SBJ"),AND(J6269=1,I6269=0)),"?IN_FOCUS",IF(J6269&lt;=2,"?ACTIVATED",IF(J6269&lt;&gt;"","?FAMILIAR",IF(F6269="NEW",IF(ISNA(VLOOKUP(E6269,#REF!,1,FALSE())),"?TYPE_IDENTIFIABLE","?REFERENTIAL"),"_")))))</f>
        <v> </v>
      </c>
      <c r="H6269" s="24" t="str">
        <f>IF(J6269&lt;&gt;1,"",IF(I6269="SBJ","CB","?"))</f>
        <v> </v>
      </c>
      <c r="I6269" s="25" t="str">
        <f>IF(OR(E6269="",E6269="!!!",F6269="NEW"),"",INDEX(B6268:B$2,-1+SUMPRODUCT(MAX(ROW(E6268:E$2)*(E6269=E6268:E$2)))))</f>
        <v> </v>
      </c>
      <c r="J6269" s="25" t="str">
        <f>IF(OR(E6269="",E6269="!!!",F6269="NEW"),"",COUNTBLANK(OFFSET(A$1,,,SUMPRODUCT(MAX(ROW(E$2:E6269)*(E6269=E$2:E6269)))))-COUNTBLANK(OFFSET(A$1,,,SUMPRODUCT(MAX(ROW(E$1:E6268)*(E2=E$1:E6268))))))</f>
        <v> </v>
      </c>
      <c r="K6269" s="25" t="str">
        <f>IF(OR(E6269="",E6269="!!!",F6269="NEW"),"",INDEX(J$1:J6268,SUMPRODUCT(MAX(ROW(E$1:E6268)*(E6269=E$1:E6268)))))</f>
        <v> </v>
      </c>
      <c r="L6269" s="26"/>
    </row>
    <row r="6270" spans="1:12">
      <c r="A6270" s="20" t="s">
        <v>1275</v>
      </c>
      <c r="E6270" s="21">
        <f>IF(D6270="?OLD","!!!","")</f>
        <v/>
      </c>
      <c r="F6270" s="22" t="str">
        <f>IF(OR(E6270="",E6270="!!!"),"",IF(NOT(ISNA(VLOOKUP(E6270,E$1:E6269,1,FALSE()))),"OLD",IF(AND(E6270&lt;&gt;"",E6270&lt;&gt;"!!!"),"NEW","")))</f>
        <v> </v>
      </c>
      <c r="G6270" s="23" t="str">
        <f>IF(OR(E6270="",E6270="!!!"),"",IF(OR(J6270=0,AND(J6270=1,K6270=1),AND(J6270=1,I6270="SBJ"),AND(J6270=1,I6270=0)),"?IN_FOCUS",IF(J6270&lt;=2,"?ACTIVATED",IF(J6270&lt;&gt;"","?FAMILIAR",IF(F6270="NEW",IF(ISNA(VLOOKUP(E6270,#REF!,1,FALSE())),"?TYPE_IDENTIFIABLE","?REFERENTIAL"),"_")))))</f>
        <v> </v>
      </c>
      <c r="H6270" s="24" t="str">
        <f>IF(J6270&lt;&gt;1,"",IF(I6270="SBJ","CB","?"))</f>
        <v> </v>
      </c>
      <c r="I6270" s="25" t="str">
        <f>IF(OR(E6270="",E6270="!!!",F6270="NEW"),"",INDEX(B6269:B$2,-1+SUMPRODUCT(MAX(ROW(E6269:E$2)*(E6270=E6269:E$2)))))</f>
        <v> </v>
      </c>
      <c r="J6270" s="25" t="str">
        <f>IF(OR(E6270="",E6270="!!!",F6270="NEW"),"",COUNTBLANK(OFFSET(A$1,,,SUMPRODUCT(MAX(ROW(E$2:E6270)*(E6270=E$2:E6270)))))-COUNTBLANK(OFFSET(A$1,,,SUMPRODUCT(MAX(ROW(E$1:E6269)*(E2=E$1:E6269))))))</f>
        <v> </v>
      </c>
      <c r="K6270" s="25" t="str">
        <f>IF(OR(E6270="",E6270="!!!",F6270="NEW"),"",INDEX(J$1:J6269,SUMPRODUCT(MAX(ROW(E$1:E6269)*(E6270=E$1:E6269)))))</f>
        <v> </v>
      </c>
      <c r="L6270" s="26"/>
    </row>
    <row r="6271" spans="1:12">
      <c r="A6271" s="20" t="s">
        <v>92</v>
      </c>
      <c r="E6271" s="21">
        <f>IF(D6271="?OLD","!!!","")</f>
        <v/>
      </c>
      <c r="F6271" s="22" t="str">
        <f>IF(OR(E6271="",E6271="!!!"),"",IF(NOT(ISNA(VLOOKUP(E6271,E$1:E6270,1,FALSE()))),"OLD",IF(AND(E6271&lt;&gt;"",E6271&lt;&gt;"!!!"),"NEW","")))</f>
        <v> </v>
      </c>
      <c r="G6271" s="23" t="str">
        <f>IF(OR(E6271="",E6271="!!!"),"",IF(OR(J6271=0,AND(J6271=1,K6271=1),AND(J6271=1,I6271="SBJ"),AND(J6271=1,I6271=0)),"?IN_FOCUS",IF(J6271&lt;=2,"?ACTIVATED",IF(J6271&lt;&gt;"","?FAMILIAR",IF(F6271="NEW",IF(ISNA(VLOOKUP(E6271,#REF!,1,FALSE())),"?TYPE_IDENTIFIABLE","?REFERENTIAL"),"_")))))</f>
        <v> </v>
      </c>
      <c r="H6271" s="24" t="str">
        <f>IF(J6271&lt;&gt;1,"",IF(I6271="SBJ","CB","?"))</f>
        <v> </v>
      </c>
      <c r="I6271" s="25" t="str">
        <f>IF(OR(E6271="",E6271="!!!",F6271="NEW"),"",INDEX(B6270:B$2,-1+SUMPRODUCT(MAX(ROW(E6270:E$2)*(E6271=E6270:E$2)))))</f>
        <v> </v>
      </c>
      <c r="J6271" s="25" t="str">
        <f>IF(OR(E6271="",E6271="!!!",F6271="NEW"),"",COUNTBLANK(OFFSET(A$1,,,SUMPRODUCT(MAX(ROW(E$2:E6271)*(E6271=E$2:E6271)))))-COUNTBLANK(OFFSET(A$1,,,SUMPRODUCT(MAX(ROW(E$1:E6270)*(E2=E$1:E6270))))))</f>
        <v> </v>
      </c>
      <c r="K6271" s="25" t="str">
        <f>IF(OR(E6271="",E6271="!!!",F6271="NEW"),"",INDEX(J$1:J6270,SUMPRODUCT(MAX(ROW(E$1:E6270)*(E6271=E$1:E6270)))))</f>
        <v> </v>
      </c>
      <c r="L6271" s="26"/>
    </row>
    <row r="6272" spans="1:12">
      <c r="A6272" s="20" t="s">
        <v>1096</v>
      </c>
      <c r="B6272" s="27" t="s">
        <v>1494</v>
      </c>
      <c r="C6272" s="27" t="s">
        <v>999</v>
      </c>
      <c r="D6272" s="27" t="s">
        <v>932</v>
      </c>
      <c r="E6272" s="21">
        <f>IF(D6272="?OLD","!!!","")</f>
        <v/>
      </c>
      <c r="F6272" s="22" t="str">
        <f>IF(OR(E6272="",E6272="!!!"),"",IF(NOT(ISNA(VLOOKUP(E6272,E$1:E6271,1,FALSE()))),"OLD",IF(AND(E6272&lt;&gt;"",E6272&lt;&gt;"!!!"),"NEW","")))</f>
        <v> </v>
      </c>
      <c r="G6272" s="23" t="str">
        <f>IF(OR(E6272="",E6272="!!!"),"",IF(OR(J6272=0,AND(J6272=1,K6272=1),AND(J6272=1,I6272="SBJ"),AND(J6272=1,I6272=0)),"?IN_FOCUS",IF(J6272&lt;=2,"?ACTIVATED",IF(J6272&lt;&gt;"","?FAMILIAR",IF(F6272="NEW",IF(ISNA(VLOOKUP(E6272,#REF!,1,FALSE())),"?TYPE_IDENTIFIABLE","?REFERENTIAL"),"_")))))</f>
        <v> </v>
      </c>
      <c r="H6272" s="24" t="str">
        <f>IF(J6272&lt;&gt;1,"",IF(I6272="SBJ","CB","?"))</f>
        <v> </v>
      </c>
      <c r="I6272" s="25" t="str">
        <f>IF(OR(E6272="",E6272="!!!",F6272="NEW"),"",INDEX(B6271:B$2,-1+SUMPRODUCT(MAX(ROW(E6271:E$2)*(E6272=E6271:E$2)))))</f>
        <v> </v>
      </c>
      <c r="J6272" s="25" t="str">
        <f>IF(OR(E6272="",E6272="!!!",F6272="NEW"),"",COUNTBLANK(OFFSET(A$1,,,SUMPRODUCT(MAX(ROW(E$2:E6272)*(E6272=E$2:E6272)))))-COUNTBLANK(OFFSET(A$1,,,SUMPRODUCT(MAX(ROW(E$1:E6271)*(E2=E$1:E6271))))))</f>
        <v> </v>
      </c>
      <c r="K6272" s="25" t="str">
        <f>IF(OR(E6272="",E6272="!!!",F6272="NEW"),"",INDEX(J$1:J6271,SUMPRODUCT(MAX(ROW(E$1:E6271)*(E6272=E$1:E6271)))))</f>
        <v> </v>
      </c>
      <c r="L6272" s="26"/>
    </row>
    <row r="6273" spans="1:12">
      <c r="A6273" s="20" t="s">
        <v>1413</v>
      </c>
      <c r="E6273" s="21">
        <f>IF(D6273="?OLD","!!!","")</f>
        <v/>
      </c>
      <c r="F6273" s="22" t="str">
        <f>IF(OR(E6273="",E6273="!!!"),"",IF(NOT(ISNA(VLOOKUP(E6273,E$1:E6272,1,FALSE()))),"OLD",IF(AND(E6273&lt;&gt;"",E6273&lt;&gt;"!!!"),"NEW","")))</f>
        <v> </v>
      </c>
      <c r="G6273" s="23" t="str">
        <f>IF(OR(E6273="",E6273="!!!"),"",IF(OR(J6273=0,AND(J6273=1,K6273=1),AND(J6273=1,I6273="SBJ"),AND(J6273=1,I6273=0)),"?IN_FOCUS",IF(J6273&lt;=2,"?ACTIVATED",IF(J6273&lt;&gt;"","?FAMILIAR",IF(F6273="NEW",IF(ISNA(VLOOKUP(E6273,#REF!,1,FALSE())),"?TYPE_IDENTIFIABLE","?REFERENTIAL"),"_")))))</f>
        <v> </v>
      </c>
      <c r="H6273" s="24" t="str">
        <f>IF(J6273&lt;&gt;1,"",IF(I6273="SBJ","CB","?"))</f>
        <v> </v>
      </c>
      <c r="I6273" s="25" t="str">
        <f>IF(OR(E6273="",E6273="!!!",F6273="NEW"),"",INDEX(B6272:B$2,-1+SUMPRODUCT(MAX(ROW(E6272:E$2)*(E6273=E6272:E$2)))))</f>
        <v> </v>
      </c>
      <c r="J6273" s="25" t="str">
        <f>IF(OR(E6273="",E6273="!!!",F6273="NEW"),"",COUNTBLANK(OFFSET(A$1,,,SUMPRODUCT(MAX(ROW(E$2:E6273)*(E6273=E$2:E6273)))))-COUNTBLANK(OFFSET(A$1,,,SUMPRODUCT(MAX(ROW(E$1:E6272)*(E2=E$1:E6272))))))</f>
        <v> </v>
      </c>
      <c r="K6273" s="25" t="str">
        <f>IF(OR(E6273="",E6273="!!!",F6273="NEW"),"",INDEX(J$1:J6272,SUMPRODUCT(MAX(ROW(E$1:E6272)*(E6273=E$1:E6272)))))</f>
        <v> </v>
      </c>
      <c r="L6273" s="26"/>
    </row>
    <row r="6274" spans="1:12">
      <c r="A6274" s="20" t="s">
        <v>966</v>
      </c>
      <c r="E6274" s="21">
        <f>IF(D6274="?OLD","!!!","")</f>
        <v/>
      </c>
      <c r="F6274" s="22" t="str">
        <f>IF(OR(E6274="",E6274="!!!"),"",IF(NOT(ISNA(VLOOKUP(E6274,E$1:E6273,1,FALSE()))),"OLD",IF(AND(E6274&lt;&gt;"",E6274&lt;&gt;"!!!"),"NEW","")))</f>
        <v> </v>
      </c>
      <c r="G6274" s="23" t="str">
        <f>IF(OR(E6274="",E6274="!!!"),"",IF(OR(J6274=0,AND(J6274=1,K6274=1),AND(J6274=1,I6274="SBJ"),AND(J6274=1,I6274=0)),"?IN_FOCUS",IF(J6274&lt;=2,"?ACTIVATED",IF(J6274&lt;&gt;"","?FAMILIAR",IF(F6274="NEW",IF(ISNA(VLOOKUP(E6274,#REF!,1,FALSE())),"?TYPE_IDENTIFIABLE","?REFERENTIAL"),"_")))))</f>
        <v> </v>
      </c>
      <c r="H6274" s="24" t="str">
        <f>IF(J6274&lt;&gt;1,"",IF(I6274="SBJ","CB","?"))</f>
        <v> </v>
      </c>
      <c r="I6274" s="25" t="str">
        <f>IF(OR(E6274="",E6274="!!!",F6274="NEW"),"",INDEX(B6273:B$2,-1+SUMPRODUCT(MAX(ROW(E6273:E$2)*(E6274=E6273:E$2)))))</f>
        <v> </v>
      </c>
      <c r="J6274" s="25" t="str">
        <f>IF(OR(E6274="",E6274="!!!",F6274="NEW"),"",COUNTBLANK(OFFSET(A$1,,,SUMPRODUCT(MAX(ROW(E$2:E6274)*(E6274=E$2:E6274)))))-COUNTBLANK(OFFSET(A$1,,,SUMPRODUCT(MAX(ROW(E$1:E6273)*(E2=E$1:E6273))))))</f>
        <v> </v>
      </c>
      <c r="K6274" s="25" t="str">
        <f>IF(OR(E6274="",E6274="!!!",F6274="NEW"),"",INDEX(J$1:J6273,SUMPRODUCT(MAX(ROW(E$1:E6273)*(E6274=E$1:E6273)))))</f>
        <v> </v>
      </c>
      <c r="L6274" s="26"/>
    </row>
    <row r="6275" spans="1:12">
      <c r="A6275" s="20" t="s">
        <v>2315</v>
      </c>
      <c r="B6275" s="27" t="s">
        <v>1251</v>
      </c>
      <c r="C6275" s="27" t="s">
        <v>946</v>
      </c>
      <c r="E6275" s="21">
        <f>IF(D6275="?OLD","!!!","")</f>
        <v/>
      </c>
      <c r="F6275" s="22" t="str">
        <f>IF(OR(E6275="",E6275="!!!"),"",IF(NOT(ISNA(VLOOKUP(E6275,E$1:E6274,1,FALSE()))),"OLD",IF(AND(E6275&lt;&gt;"",E6275&lt;&gt;"!!!"),"NEW","")))</f>
        <v> </v>
      </c>
      <c r="G6275" s="23" t="str">
        <f>IF(OR(E6275="",E6275="!!!"),"",IF(OR(J6275=0,AND(J6275=1,K6275=1),AND(J6275=1,I6275="SBJ"),AND(J6275=1,I6275=0)),"?IN_FOCUS",IF(J6275&lt;=2,"?ACTIVATED",IF(J6275&lt;&gt;"","?FAMILIAR",IF(F6275="NEW",IF(ISNA(VLOOKUP(E6275,#REF!,1,FALSE())),"?TYPE_IDENTIFIABLE","?REFERENTIAL"),"_")))))</f>
        <v> </v>
      </c>
      <c r="H6275" s="24" t="str">
        <f>IF(J6275&lt;&gt;1,"",IF(I6275="SBJ","CB","?"))</f>
        <v> </v>
      </c>
      <c r="I6275" s="25" t="str">
        <f>IF(OR(E6275="",E6275="!!!",F6275="NEW"),"",INDEX(B6274:B$2,-1+SUMPRODUCT(MAX(ROW(E6274:E$2)*(E6275=E6274:E$2)))))</f>
        <v> </v>
      </c>
      <c r="J6275" s="25" t="str">
        <f>IF(OR(E6275="",E6275="!!!",F6275="NEW"),"",COUNTBLANK(OFFSET(A$1,,,SUMPRODUCT(MAX(ROW(E$2:E6275)*(E6275=E$2:E6275)))))-COUNTBLANK(OFFSET(A$1,,,SUMPRODUCT(MAX(ROW(E$1:E6274)*(E2=E$1:E6274))))))</f>
        <v> </v>
      </c>
      <c r="K6275" s="25" t="str">
        <f>IF(OR(E6275="",E6275="!!!",F6275="NEW"),"",INDEX(J$1:J6274,SUMPRODUCT(MAX(ROW(E$1:E6274)*(E6275=E$1:E6274)))))</f>
        <v> </v>
      </c>
      <c r="L6275" s="26"/>
    </row>
    <row r="6276" spans="1:12">
      <c r="A6276" s="20" t="s">
        <v>1799</v>
      </c>
      <c r="E6276" s="21">
        <f>IF(D6276="?OLD","!!!","")</f>
        <v/>
      </c>
      <c r="F6276" s="22" t="str">
        <f>IF(OR(E6276="",E6276="!!!"),"",IF(NOT(ISNA(VLOOKUP(E6276,E$1:E6275,1,FALSE()))),"OLD",IF(AND(E6276&lt;&gt;"",E6276&lt;&gt;"!!!"),"NEW","")))</f>
        <v> </v>
      </c>
      <c r="G6276" s="23" t="str">
        <f>IF(OR(E6276="",E6276="!!!"),"",IF(OR(J6276=0,AND(J6276=1,K6276=1),AND(J6276=1,I6276="SBJ"),AND(J6276=1,I6276=0)),"?IN_FOCUS",IF(J6276&lt;=2,"?ACTIVATED",IF(J6276&lt;&gt;"","?FAMILIAR",IF(F6276="NEW",IF(ISNA(VLOOKUP(E6276,#REF!,1,FALSE())),"?TYPE_IDENTIFIABLE","?REFERENTIAL"),"_")))))</f>
        <v> </v>
      </c>
      <c r="H6276" s="24" t="str">
        <f>IF(J6276&lt;&gt;1,"",IF(I6276="SBJ","CB","?"))</f>
        <v> </v>
      </c>
      <c r="I6276" s="25" t="str">
        <f>IF(OR(E6276="",E6276="!!!",F6276="NEW"),"",INDEX(B6275:B$2,-1+SUMPRODUCT(MAX(ROW(E6275:E$2)*(E6276=E6275:E$2)))))</f>
        <v> </v>
      </c>
      <c r="J6276" s="25" t="str">
        <f>IF(OR(E6276="",E6276="!!!",F6276="NEW"),"",COUNTBLANK(OFFSET(A$1,,,SUMPRODUCT(MAX(ROW(E$2:E6276)*(E6276=E$2:E6276)))))-COUNTBLANK(OFFSET(A$1,,,SUMPRODUCT(MAX(ROW(E$1:E6275)*(E2=E$1:E6275))))))</f>
        <v> </v>
      </c>
      <c r="K6276" s="25" t="str">
        <f>IF(OR(E6276="",E6276="!!!",F6276="NEW"),"",INDEX(J$1:J6275,SUMPRODUCT(MAX(ROW(E$1:E6275)*(E6276=E$1:E6275)))))</f>
        <v> </v>
      </c>
      <c r="L6276" s="26"/>
    </row>
    <row r="6277" spans="1:12">
      <c r="A6277" s="20" t="s">
        <v>947</v>
      </c>
      <c r="E6277" s="21">
        <f>IF(D6277="?OLD","!!!","")</f>
        <v/>
      </c>
      <c r="F6277" s="22" t="str">
        <f>IF(OR(E6277="",E6277="!!!"),"",IF(NOT(ISNA(VLOOKUP(E6277,E$1:E6276,1,FALSE()))),"OLD",IF(AND(E6277&lt;&gt;"",E6277&lt;&gt;"!!!"),"NEW","")))</f>
        <v> </v>
      </c>
      <c r="G6277" s="23" t="str">
        <f>IF(OR(E6277="",E6277="!!!"),"",IF(OR(J6277=0,AND(J6277=1,K6277=1),AND(J6277=1,I6277="SBJ"),AND(J6277=1,I6277=0)),"?IN_FOCUS",IF(J6277&lt;=2,"?ACTIVATED",IF(J6277&lt;&gt;"","?FAMILIAR",IF(F6277="NEW",IF(ISNA(VLOOKUP(E6277,#REF!,1,FALSE())),"?TYPE_IDENTIFIABLE","?REFERENTIAL"),"_")))))</f>
        <v> </v>
      </c>
      <c r="H6277" s="24" t="str">
        <f>IF(J6277&lt;&gt;1,"",IF(I6277="SBJ","CB","?"))</f>
        <v> </v>
      </c>
      <c r="I6277" s="25" t="str">
        <f>IF(OR(E6277="",E6277="!!!",F6277="NEW"),"",INDEX(B6276:B$2,-1+SUMPRODUCT(MAX(ROW(E6276:E$2)*(E6277=E6276:E$2)))))</f>
        <v> </v>
      </c>
      <c r="J6277" s="25" t="str">
        <f>IF(OR(E6277="",E6277="!!!",F6277="NEW"),"",COUNTBLANK(OFFSET(A$1,,,SUMPRODUCT(MAX(ROW(E$2:E6277)*(E6277=E$2:E6277)))))-COUNTBLANK(OFFSET(A$1,,,SUMPRODUCT(MAX(ROW(E$1:E6276)*(E2=E$1:E6276))))))</f>
        <v> </v>
      </c>
      <c r="K6277" s="25" t="str">
        <f>IF(OR(E6277="",E6277="!!!",F6277="NEW"),"",INDEX(J$1:J6276,SUMPRODUCT(MAX(ROW(E$1:E6276)*(E6277=E$1:E6276)))))</f>
        <v> </v>
      </c>
      <c r="L6277" s="26"/>
    </row>
    <row r="6278" spans="1:12">
      <c r="A6278" s="20" t="s">
        <v>2316</v>
      </c>
      <c r="E6278" s="21">
        <f>IF(D6278="?OLD","!!!","")</f>
        <v/>
      </c>
      <c r="F6278" s="22" t="str">
        <f>IF(OR(E6278="",E6278="!!!"),"",IF(NOT(ISNA(VLOOKUP(E6278,E$1:E6277,1,FALSE()))),"OLD",IF(AND(E6278&lt;&gt;"",E6278&lt;&gt;"!!!"),"NEW","")))</f>
        <v> </v>
      </c>
      <c r="G6278" s="23" t="str">
        <f>IF(OR(E6278="",E6278="!!!"),"",IF(OR(J6278=0,AND(J6278=1,K6278=1),AND(J6278=1,I6278="SBJ"),AND(J6278=1,I6278=0)),"?IN_FOCUS",IF(J6278&lt;=2,"?ACTIVATED",IF(J6278&lt;&gt;"","?FAMILIAR",IF(F6278="NEW",IF(ISNA(VLOOKUP(E6278,#REF!,1,FALSE())),"?TYPE_IDENTIFIABLE","?REFERENTIAL"),"_")))))</f>
        <v> </v>
      </c>
      <c r="H6278" s="24" t="str">
        <f>IF(J6278&lt;&gt;1,"",IF(I6278="SBJ","CB","?"))</f>
        <v> </v>
      </c>
      <c r="I6278" s="25" t="str">
        <f>IF(OR(E6278="",E6278="!!!",F6278="NEW"),"",INDEX(B6277:B$2,-1+SUMPRODUCT(MAX(ROW(E6277:E$2)*(E6278=E6277:E$2)))))</f>
        <v> </v>
      </c>
      <c r="J6278" s="25" t="str">
        <f>IF(OR(E6278="",E6278="!!!",F6278="NEW"),"",COUNTBLANK(OFFSET(A$1,,,SUMPRODUCT(MAX(ROW(E$2:E6278)*(E6278=E$2:E6278)))))-COUNTBLANK(OFFSET(A$1,,,SUMPRODUCT(MAX(ROW(E$1:E6277)*(E2=E$1:E6277))))))</f>
        <v> </v>
      </c>
      <c r="K6278" s="25" t="str">
        <f>IF(OR(E6278="",E6278="!!!",F6278="NEW"),"",INDEX(J$1:J6277,SUMPRODUCT(MAX(ROW(E$1:E6277)*(E6278=E$1:E6277)))))</f>
        <v> </v>
      </c>
      <c r="L6278" s="26"/>
    </row>
    <row r="6279" spans="1:12">
      <c r="A6279" s="20" t="s">
        <v>1064</v>
      </c>
      <c r="B6279" s="27" t="s">
        <v>2205</v>
      </c>
      <c r="C6279" s="27" t="s">
        <v>931</v>
      </c>
      <c r="D6279" s="27" t="s">
        <v>932</v>
      </c>
      <c r="E6279" s="21">
        <f>IF(D6279="?OLD","!!!","")</f>
        <v/>
      </c>
      <c r="F6279" s="22" t="str">
        <f>IF(OR(E6279="",E6279="!!!"),"",IF(NOT(ISNA(VLOOKUP(E6279,E$1:E6278,1,FALSE()))),"OLD",IF(AND(E6279&lt;&gt;"",E6279&lt;&gt;"!!!"),"NEW","")))</f>
        <v> </v>
      </c>
      <c r="G6279" s="23" t="str">
        <f>IF(OR(E6279="",E6279="!!!"),"",IF(OR(J6279=0,AND(J6279=1,K6279=1),AND(J6279=1,I6279="SBJ"),AND(J6279=1,I6279=0)),"?IN_FOCUS",IF(J6279&lt;=2,"?ACTIVATED",IF(J6279&lt;&gt;"","?FAMILIAR",IF(F6279="NEW",IF(ISNA(VLOOKUP(E6279,#REF!,1,FALSE())),"?TYPE_IDENTIFIABLE","?REFERENTIAL"),"_")))))</f>
        <v> </v>
      </c>
      <c r="H6279" s="24" t="str">
        <f>IF(J6279&lt;&gt;1,"",IF(I6279="SBJ","CB","?"))</f>
        <v> </v>
      </c>
      <c r="I6279" s="25" t="str">
        <f>IF(OR(E6279="",E6279="!!!",F6279="NEW"),"",INDEX(B6278:B$2,-1+SUMPRODUCT(MAX(ROW(E6278:E$2)*(E6279=E6278:E$2)))))</f>
        <v> </v>
      </c>
      <c r="J6279" s="25" t="str">
        <f>IF(OR(E6279="",E6279="!!!",F6279="NEW"),"",COUNTBLANK(OFFSET(A$1,,,SUMPRODUCT(MAX(ROW(E$2:E6279)*(E6279=E$2:E6279)))))-COUNTBLANK(OFFSET(A$1,,,SUMPRODUCT(MAX(ROW(E$1:E6278)*(E2=E$1:E6278))))))</f>
        <v> </v>
      </c>
      <c r="K6279" s="25" t="str">
        <f>IF(OR(E6279="",E6279="!!!",F6279="NEW"),"",INDEX(J$1:J6278,SUMPRODUCT(MAX(ROW(E$1:E6278)*(E6279=E$1:E6278)))))</f>
        <v> </v>
      </c>
      <c r="L6279" s="26"/>
    </row>
    <row r="6280" spans="1:12">
      <c r="A6280" s="20" t="s">
        <v>934</v>
      </c>
      <c r="E6280" s="21">
        <f>IF(D6280="?OLD","!!!","")</f>
        <v/>
      </c>
      <c r="F6280" s="22" t="str">
        <f>IF(OR(E6280="",E6280="!!!"),"",IF(NOT(ISNA(VLOOKUP(E6280,E$1:E6279,1,FALSE()))),"OLD",IF(AND(E6280&lt;&gt;"",E6280&lt;&gt;"!!!"),"NEW","")))</f>
        <v> </v>
      </c>
      <c r="G6280" s="23" t="str">
        <f>IF(OR(E6280="",E6280="!!!"),"",IF(OR(J6280=0,AND(J6280=1,K6280=1),AND(J6280=1,I6280="SBJ"),AND(J6280=1,I6280=0)),"?IN_FOCUS",IF(J6280&lt;=2,"?ACTIVATED",IF(J6280&lt;&gt;"","?FAMILIAR",IF(F6280="NEW",IF(ISNA(VLOOKUP(E6280,#REF!,1,FALSE())),"?TYPE_IDENTIFIABLE","?REFERENTIAL"),"_")))))</f>
        <v> </v>
      </c>
      <c r="H6280" s="24" t="str">
        <f>IF(J6280&lt;&gt;1,"",IF(I6280="SBJ","CB","?"))</f>
        <v> </v>
      </c>
      <c r="I6280" s="25" t="str">
        <f>IF(OR(E6280="",E6280="!!!",F6280="NEW"),"",INDEX(B6279:B$2,-1+SUMPRODUCT(MAX(ROW(E6279:E$2)*(E6280=E6279:E$2)))))</f>
        <v> </v>
      </c>
      <c r="J6280" s="25" t="str">
        <f>IF(OR(E6280="",E6280="!!!",F6280="NEW"),"",COUNTBLANK(OFFSET(A$1,,,SUMPRODUCT(MAX(ROW(E$2:E6280)*(E6280=E$2:E6280)))))-COUNTBLANK(OFFSET(A$1,,,SUMPRODUCT(MAX(ROW(E$1:E6279)*(E2=E$1:E6279))))))</f>
        <v> </v>
      </c>
      <c r="K6280" s="25" t="str">
        <f>IF(OR(E6280="",E6280="!!!",F6280="NEW"),"",INDEX(J$1:J6279,SUMPRODUCT(MAX(ROW(E$1:E6279)*(E6280=E$1:E6279)))))</f>
        <v> </v>
      </c>
      <c r="L6280" s="26"/>
    </row>
    <row r="6281" spans="1:12">
      <c r="A6281" s="20" t="s">
        <v>2317</v>
      </c>
      <c r="E6281" s="21">
        <f>IF(D6281="?OLD","!!!","")</f>
        <v/>
      </c>
      <c r="F6281" s="22" t="str">
        <f>IF(OR(E6281="",E6281="!!!"),"",IF(NOT(ISNA(VLOOKUP(E6281,E$1:E6280,1,FALSE()))),"OLD",IF(AND(E6281&lt;&gt;"",E6281&lt;&gt;"!!!"),"NEW","")))</f>
        <v> </v>
      </c>
      <c r="G6281" s="23" t="str">
        <f>IF(OR(E6281="",E6281="!!!"),"",IF(OR(J6281=0,AND(J6281=1,K6281=1),AND(J6281=1,I6281="SBJ"),AND(J6281=1,I6281=0)),"?IN_FOCUS",IF(J6281&lt;=2,"?ACTIVATED",IF(J6281&lt;&gt;"","?FAMILIAR",IF(F6281="NEW",IF(ISNA(VLOOKUP(E6281,#REF!,1,FALSE())),"?TYPE_IDENTIFIABLE","?REFERENTIAL"),"_")))))</f>
        <v> </v>
      </c>
      <c r="H6281" s="24" t="str">
        <f>IF(J6281&lt;&gt;1,"",IF(I6281="SBJ","CB","?"))</f>
        <v> </v>
      </c>
      <c r="I6281" s="25" t="str">
        <f>IF(OR(E6281="",E6281="!!!",F6281="NEW"),"",INDEX(B6280:B$2,-1+SUMPRODUCT(MAX(ROW(E6280:E$2)*(E6281=E6280:E$2)))))</f>
        <v> </v>
      </c>
      <c r="J6281" s="25" t="str">
        <f>IF(OR(E6281="",E6281="!!!",F6281="NEW"),"",COUNTBLANK(OFFSET(A$1,,,SUMPRODUCT(MAX(ROW(E$2:E6281)*(E6281=E$2:E6281)))))-COUNTBLANK(OFFSET(A$1,,,SUMPRODUCT(MAX(ROW(E$1:E6280)*(E2=E$1:E6280))))))</f>
        <v> </v>
      </c>
      <c r="K6281" s="25" t="str">
        <f>IF(OR(E6281="",E6281="!!!",F6281="NEW"),"",INDEX(J$1:J6280,SUMPRODUCT(MAX(ROW(E$1:E6280)*(E6281=E$1:E6280)))))</f>
        <v> </v>
      </c>
      <c r="L6281" s="26"/>
    </row>
    <row r="6282" spans="1:12">
      <c r="A6282" s="20" t="s">
        <v>2318</v>
      </c>
      <c r="B6282" s="27" t="s">
        <v>2205</v>
      </c>
      <c r="C6282" s="27" t="s">
        <v>973</v>
      </c>
      <c r="E6282" s="21">
        <f>IF(D6282="?OLD","!!!","")</f>
        <v/>
      </c>
      <c r="F6282" s="22" t="str">
        <f>IF(OR(E6282="",E6282="!!!"),"",IF(NOT(ISNA(VLOOKUP(E6282,E$1:E6281,1,FALSE()))),"OLD",IF(AND(E6282&lt;&gt;"",E6282&lt;&gt;"!!!"),"NEW","")))</f>
        <v> </v>
      </c>
      <c r="G6282" s="23" t="str">
        <f>IF(OR(E6282="",E6282="!!!"),"",IF(OR(J6282=0,AND(J6282=1,K6282=1),AND(J6282=1,I6282="SBJ"),AND(J6282=1,I6282=0)),"?IN_FOCUS",IF(J6282&lt;=2,"?ACTIVATED",IF(J6282&lt;&gt;"","?FAMILIAR",IF(F6282="NEW",IF(ISNA(VLOOKUP(E6282,#REF!,1,FALSE())),"?TYPE_IDENTIFIABLE","?REFERENTIAL"),"_")))))</f>
        <v> </v>
      </c>
      <c r="H6282" s="24" t="str">
        <f>IF(J6282&lt;&gt;1,"",IF(I6282="SBJ","CB","?"))</f>
        <v> </v>
      </c>
      <c r="I6282" s="25" t="str">
        <f>IF(OR(E6282="",E6282="!!!",F6282="NEW"),"",INDEX(B6281:B$2,-1+SUMPRODUCT(MAX(ROW(E6281:E$2)*(E6282=E6281:E$2)))))</f>
        <v> </v>
      </c>
      <c r="J6282" s="25" t="str">
        <f>IF(OR(E6282="",E6282="!!!",F6282="NEW"),"",COUNTBLANK(OFFSET(A$1,,,SUMPRODUCT(MAX(ROW(E$2:E6282)*(E6282=E$2:E6282)))))-COUNTBLANK(OFFSET(A$1,,,SUMPRODUCT(MAX(ROW(E$1:E6281)*(E2=E$1:E6281))))))</f>
        <v> </v>
      </c>
      <c r="K6282" s="25" t="str">
        <f>IF(OR(E6282="",E6282="!!!",F6282="NEW"),"",INDEX(J$1:J6281,SUMPRODUCT(MAX(ROW(E$1:E6281)*(E6282=E$1:E6281)))))</f>
        <v> </v>
      </c>
      <c r="L6282" s="26"/>
    </row>
    <row r="6283" spans="1:12">
      <c r="A6283" s="20" t="s">
        <v>1042</v>
      </c>
      <c r="E6283" s="21">
        <f>IF(D6283="?OLD","!!!","")</f>
        <v/>
      </c>
      <c r="F6283" s="22" t="str">
        <f>IF(OR(E6283="",E6283="!!!"),"",IF(NOT(ISNA(VLOOKUP(E6283,E$1:E6282,1,FALSE()))),"OLD",IF(AND(E6283&lt;&gt;"",E6283&lt;&gt;"!!!"),"NEW","")))</f>
        <v> </v>
      </c>
      <c r="G6283" s="23" t="str">
        <f>IF(OR(E6283="",E6283="!!!"),"",IF(OR(J6283=0,AND(J6283=1,K6283=1),AND(J6283=1,I6283="SBJ"),AND(J6283=1,I6283=0)),"?IN_FOCUS",IF(J6283&lt;=2,"?ACTIVATED",IF(J6283&lt;&gt;"","?FAMILIAR",IF(F6283="NEW",IF(ISNA(VLOOKUP(E6283,#REF!,1,FALSE())),"?TYPE_IDENTIFIABLE","?REFERENTIAL"),"_")))))</f>
        <v> </v>
      </c>
      <c r="H6283" s="24" t="str">
        <f>IF(J6283&lt;&gt;1,"",IF(I6283="SBJ","CB","?"))</f>
        <v> </v>
      </c>
      <c r="I6283" s="25" t="str">
        <f>IF(OR(E6283="",E6283="!!!",F6283="NEW"),"",INDEX(B6282:B$2,-1+SUMPRODUCT(MAX(ROW(E6282:E$2)*(E6283=E6282:E$2)))))</f>
        <v> </v>
      </c>
      <c r="J6283" s="25" t="str">
        <f>IF(OR(E6283="",E6283="!!!",F6283="NEW"),"",COUNTBLANK(OFFSET(A$1,,,SUMPRODUCT(MAX(ROW(E$2:E6283)*(E6283=E$2:E6283)))))-COUNTBLANK(OFFSET(A$1,,,SUMPRODUCT(MAX(ROW(E$1:E6282)*(E2=E$1:E6282))))))</f>
        <v> </v>
      </c>
      <c r="K6283" s="25" t="str">
        <f>IF(OR(E6283="",E6283="!!!",F6283="NEW"),"",INDEX(J$1:J6282,SUMPRODUCT(MAX(ROW(E$1:E6282)*(E6283=E$1:E6282)))))</f>
        <v> </v>
      </c>
      <c r="L6283" s="26"/>
    </row>
    <row r="6284" spans="1:12">
      <c r="A6284" s="20"/>
    </row>
    <row r="6285" spans="1:12">
      <c r="A6285" s="20" t="s">
        <v>2319</v>
      </c>
    </row>
    <row r="6286" spans="1:12">
      <c r="A6286" s="20" t="s">
        <v>929</v>
      </c>
      <c r="B6286" s="27" t="s">
        <v>930</v>
      </c>
      <c r="C6286" s="27" t="s">
        <v>931</v>
      </c>
      <c r="D6286" s="27" t="s">
        <v>932</v>
      </c>
      <c r="E6286" s="21">
        <f>IF(D6286="?OLD","!!!","")</f>
        <v/>
      </c>
      <c r="F6286" s="22" t="str">
        <f>IF(OR(E6286="",E6286="!!!"),"",IF(NOT(ISNA(VLOOKUP(E6286,E$1:E6285,1,FALSE()))),"OLD",IF(AND(E6286&lt;&gt;"",E6286&lt;&gt;"!!!"),"NEW","")))</f>
        <v> </v>
      </c>
      <c r="G6286" s="23" t="str">
        <f>IF(OR(E6286="",E6286="!!!"),"",IF(OR(J6286=0,AND(J6286=1,K6286=1),AND(J6286=1,I6286="SBJ"),AND(J6286=1,I6286=0)),"?IN_FOCUS",IF(J6286&lt;=2,"?ACTIVATED",IF(J6286&lt;&gt;"","?FAMILIAR",IF(F6286="NEW",IF(ISNA(VLOOKUP(E6286,#REF!,1,FALSE())),"?TYPE_IDENTIFIABLE","?REFERENTIAL"),"_")))))</f>
        <v> </v>
      </c>
      <c r="H6286" s="24" t="str">
        <f>IF(J6286&lt;&gt;1,"",IF(I6286="SBJ","CB","?"))</f>
        <v> </v>
      </c>
      <c r="I6286" s="25" t="str">
        <f>IF(OR(E6286="",E6286="!!!",F6286="NEW"),"",INDEX(B6285:B$2,-1+SUMPRODUCT(MAX(ROW(E6285:E$2)*(E6286=E6285:E$2)))))</f>
        <v> </v>
      </c>
      <c r="J6286" s="25" t="str">
        <f>IF(OR(E6286="",E6286="!!!",F6286="NEW"),"",COUNTBLANK(OFFSET(A$1,,,SUMPRODUCT(MAX(ROW(E$2:E6286)*(E6286=E$2:E6286)))))-COUNTBLANK(OFFSET(A$1,,,SUMPRODUCT(MAX(ROW(E$1:E6285)*(E2=E$1:E6285))))))</f>
        <v> </v>
      </c>
      <c r="K6286" s="25" t="str">
        <f>IF(OR(E6286="",E6286="!!!",F6286="NEW"),"",INDEX(J$1:J6285,SUMPRODUCT(MAX(ROW(E$1:E6285)*(E6286=E$1:E6285)))))</f>
        <v> </v>
      </c>
      <c r="L6286" s="26"/>
    </row>
    <row r="6287" spans="1:12">
      <c r="A6287" s="20" t="s">
        <v>42</v>
      </c>
      <c r="E6287" s="21">
        <f>IF(D6287="?OLD","!!!","")</f>
        <v/>
      </c>
      <c r="F6287" s="22" t="str">
        <f>IF(OR(E6287="",E6287="!!!"),"",IF(NOT(ISNA(VLOOKUP(E6287,E$1:E6286,1,FALSE()))),"OLD",IF(AND(E6287&lt;&gt;"",E6287&lt;&gt;"!!!"),"NEW","")))</f>
        <v> </v>
      </c>
      <c r="G6287" s="23" t="str">
        <f>IF(OR(E6287="",E6287="!!!"),"",IF(OR(J6287=0,AND(J6287=1,K6287=1),AND(J6287=1,I6287="SBJ"),AND(J6287=1,I6287=0)),"?IN_FOCUS",IF(J6287&lt;=2,"?ACTIVATED",IF(J6287&lt;&gt;"","?FAMILIAR",IF(F6287="NEW",IF(ISNA(VLOOKUP(E6287,#REF!,1,FALSE())),"?TYPE_IDENTIFIABLE","?REFERENTIAL"),"_")))))</f>
        <v> </v>
      </c>
      <c r="H6287" s="24" t="str">
        <f>IF(J6287&lt;&gt;1,"",IF(I6287="SBJ","CB","?"))</f>
        <v> </v>
      </c>
      <c r="I6287" s="25" t="str">
        <f>IF(OR(E6287="",E6287="!!!",F6287="NEW"),"",INDEX(B6286:B$2,-1+SUMPRODUCT(MAX(ROW(E6286:E$2)*(E6287=E6286:E$2)))))</f>
        <v> </v>
      </c>
      <c r="J6287" s="25" t="str">
        <f>IF(OR(E6287="",E6287="!!!",F6287="NEW"),"",COUNTBLANK(OFFSET(A$1,,,SUMPRODUCT(MAX(ROW(E$2:E6287)*(E6287=E$2:E6287)))))-COUNTBLANK(OFFSET(A$1,,,SUMPRODUCT(MAX(ROW(E$1:E6286)*(E2=E$1:E6286))))))</f>
        <v> </v>
      </c>
      <c r="K6287" s="25" t="str">
        <f>IF(OR(E6287="",E6287="!!!",F6287="NEW"),"",INDEX(J$1:J6286,SUMPRODUCT(MAX(ROW(E$1:E6286)*(E6287=E$1:E6286)))))</f>
        <v> </v>
      </c>
      <c r="L6287" s="26"/>
    </row>
    <row r="6288" spans="1:12">
      <c r="A6288" s="20" t="s">
        <v>958</v>
      </c>
      <c r="E6288" s="21">
        <f>IF(D6288="?OLD","!!!","")</f>
        <v/>
      </c>
      <c r="F6288" s="22" t="str">
        <f>IF(OR(E6288="",E6288="!!!"),"",IF(NOT(ISNA(VLOOKUP(E6288,E$1:E6287,1,FALSE()))),"OLD",IF(AND(E6288&lt;&gt;"",E6288&lt;&gt;"!!!"),"NEW","")))</f>
        <v> </v>
      </c>
      <c r="G6288" s="23" t="str">
        <f>IF(OR(E6288="",E6288="!!!"),"",IF(OR(J6288=0,AND(J6288=1,K6288=1),AND(J6288=1,I6288="SBJ"),AND(J6288=1,I6288=0)),"?IN_FOCUS",IF(J6288&lt;=2,"?ACTIVATED",IF(J6288&lt;&gt;"","?FAMILIAR",IF(F6288="NEW",IF(ISNA(VLOOKUP(E6288,#REF!,1,FALSE())),"?TYPE_IDENTIFIABLE","?REFERENTIAL"),"_")))))</f>
        <v> </v>
      </c>
      <c r="H6288" s="24" t="str">
        <f>IF(J6288&lt;&gt;1,"",IF(I6288="SBJ","CB","?"))</f>
        <v> </v>
      </c>
      <c r="I6288" s="25" t="str">
        <f>IF(OR(E6288="",E6288="!!!",F6288="NEW"),"",INDEX(B6287:B$2,-1+SUMPRODUCT(MAX(ROW(E6287:E$2)*(E6288=E6287:E$2)))))</f>
        <v> </v>
      </c>
      <c r="J6288" s="25" t="str">
        <f>IF(OR(E6288="",E6288="!!!",F6288="NEW"),"",COUNTBLANK(OFFSET(A$1,,,SUMPRODUCT(MAX(ROW(E$2:E6288)*(E6288=E$2:E6288)))))-COUNTBLANK(OFFSET(A$1,,,SUMPRODUCT(MAX(ROW(E$1:E6287)*(E2=E$1:E6287))))))</f>
        <v> </v>
      </c>
      <c r="K6288" s="25" t="str">
        <f>IF(OR(E6288="",E6288="!!!",F6288="NEW"),"",INDEX(J$1:J6287,SUMPRODUCT(MAX(ROW(E$1:E6287)*(E6288=E$1:E6287)))))</f>
        <v> </v>
      </c>
      <c r="L6288" s="26"/>
    </row>
    <row r="6289" spans="1:12">
      <c r="A6289" s="20" t="s">
        <v>1180</v>
      </c>
      <c r="E6289" s="21">
        <f>IF(D6289="?OLD","!!!","")</f>
        <v/>
      </c>
      <c r="F6289" s="22" t="str">
        <f>IF(OR(E6289="",E6289="!!!"),"",IF(NOT(ISNA(VLOOKUP(E6289,E$1:E6288,1,FALSE()))),"OLD",IF(AND(E6289&lt;&gt;"",E6289&lt;&gt;"!!!"),"NEW","")))</f>
        <v> </v>
      </c>
      <c r="G6289" s="23" t="str">
        <f>IF(OR(E6289="",E6289="!!!"),"",IF(OR(J6289=0,AND(J6289=1,K6289=1),AND(J6289=1,I6289="SBJ"),AND(J6289=1,I6289=0)),"?IN_FOCUS",IF(J6289&lt;=2,"?ACTIVATED",IF(J6289&lt;&gt;"","?FAMILIAR",IF(F6289="NEW",IF(ISNA(VLOOKUP(E6289,#REF!,1,FALSE())),"?TYPE_IDENTIFIABLE","?REFERENTIAL"),"_")))))</f>
        <v> </v>
      </c>
      <c r="H6289" s="24" t="str">
        <f>IF(J6289&lt;&gt;1,"",IF(I6289="SBJ","CB","?"))</f>
        <v> </v>
      </c>
      <c r="I6289" s="25" t="str">
        <f>IF(OR(E6289="",E6289="!!!",F6289="NEW"),"",INDEX(B6288:B$2,-1+SUMPRODUCT(MAX(ROW(E6288:E$2)*(E6289=E6288:E$2)))))</f>
        <v> </v>
      </c>
      <c r="J6289" s="25" t="str">
        <f>IF(OR(E6289="",E6289="!!!",F6289="NEW"),"",COUNTBLANK(OFFSET(A$1,,,SUMPRODUCT(MAX(ROW(E$2:E6289)*(E6289=E$2:E6289)))))-COUNTBLANK(OFFSET(A$1,,,SUMPRODUCT(MAX(ROW(E$1:E6288)*(E2=E$1:E6288))))))</f>
        <v> </v>
      </c>
      <c r="K6289" s="25" t="str">
        <f>IF(OR(E6289="",E6289="!!!",F6289="NEW"),"",INDEX(J$1:J6288,SUMPRODUCT(MAX(ROW(E$1:E6288)*(E6289=E$1:E6288)))))</f>
        <v> </v>
      </c>
      <c r="L6289" s="26"/>
    </row>
    <row r="6290" spans="1:12">
      <c r="A6290" s="20" t="s">
        <v>929</v>
      </c>
      <c r="B6290" s="27" t="s">
        <v>1009</v>
      </c>
      <c r="C6290" s="27" t="s">
        <v>931</v>
      </c>
      <c r="D6290" s="27" t="s">
        <v>932</v>
      </c>
      <c r="E6290" s="21">
        <f>IF(D6290="?OLD","!!!","")</f>
        <v/>
      </c>
      <c r="F6290" s="22" t="str">
        <f>IF(OR(E6290="",E6290="!!!"),"",IF(NOT(ISNA(VLOOKUP(E6290,E$1:E6289,1,FALSE()))),"OLD",IF(AND(E6290&lt;&gt;"",E6290&lt;&gt;"!!!"),"NEW","")))</f>
        <v> </v>
      </c>
      <c r="G6290" s="23" t="str">
        <f>IF(OR(E6290="",E6290="!!!"),"",IF(OR(J6290=0,AND(J6290=1,K6290=1),AND(J6290=1,I6290="SBJ"),AND(J6290=1,I6290=0)),"?IN_FOCUS",IF(J6290&lt;=2,"?ACTIVATED",IF(J6290&lt;&gt;"","?FAMILIAR",IF(F6290="NEW",IF(ISNA(VLOOKUP(E6290,#REF!,1,FALSE())),"?TYPE_IDENTIFIABLE","?REFERENTIAL"),"_")))))</f>
        <v> </v>
      </c>
      <c r="H6290" s="24" t="str">
        <f>IF(J6290&lt;&gt;1,"",IF(I6290="SBJ","CB","?"))</f>
        <v> </v>
      </c>
      <c r="I6290" s="25" t="str">
        <f>IF(OR(E6290="",E6290="!!!",F6290="NEW"),"",INDEX(B6289:B$2,-1+SUMPRODUCT(MAX(ROW(E6289:E$2)*(E6290=E6289:E$2)))))</f>
        <v> </v>
      </c>
      <c r="J6290" s="25" t="str">
        <f>IF(OR(E6290="",E6290="!!!",F6290="NEW"),"",COUNTBLANK(OFFSET(A$1,,,SUMPRODUCT(MAX(ROW(E$2:E6290)*(E6290=E$2:E6290)))))-COUNTBLANK(OFFSET(A$1,,,SUMPRODUCT(MAX(ROW(E$1:E6289)*(E2=E$1:E6289))))))</f>
        <v> </v>
      </c>
      <c r="K6290" s="25" t="str">
        <f>IF(OR(E6290="",E6290="!!!",F6290="NEW"),"",INDEX(J$1:J6289,SUMPRODUCT(MAX(ROW(E$1:E6289)*(E6290=E$1:E6289)))))</f>
        <v> </v>
      </c>
      <c r="L6290" s="26"/>
    </row>
    <row r="6291" spans="1:12">
      <c r="A6291" s="20" t="s">
        <v>2320</v>
      </c>
      <c r="E6291" s="21">
        <f>IF(D6291="?OLD","!!!","")</f>
        <v/>
      </c>
      <c r="F6291" s="22" t="str">
        <f>IF(OR(E6291="",E6291="!!!"),"",IF(NOT(ISNA(VLOOKUP(E6291,E$1:E6290,1,FALSE()))),"OLD",IF(AND(E6291&lt;&gt;"",E6291&lt;&gt;"!!!"),"NEW","")))</f>
        <v> </v>
      </c>
      <c r="G6291" s="23" t="str">
        <f>IF(OR(E6291="",E6291="!!!"),"",IF(OR(J6291=0,AND(J6291=1,K6291=1),AND(J6291=1,I6291="SBJ"),AND(J6291=1,I6291=0)),"?IN_FOCUS",IF(J6291&lt;=2,"?ACTIVATED",IF(J6291&lt;&gt;"","?FAMILIAR",IF(F6291="NEW",IF(ISNA(VLOOKUP(E6291,#REF!,1,FALSE())),"?TYPE_IDENTIFIABLE","?REFERENTIAL"),"_")))))</f>
        <v> </v>
      </c>
      <c r="H6291" s="24" t="str">
        <f>IF(J6291&lt;&gt;1,"",IF(I6291="SBJ","CB","?"))</f>
        <v> </v>
      </c>
      <c r="I6291" s="25" t="str">
        <f>IF(OR(E6291="",E6291="!!!",F6291="NEW"),"",INDEX(B6290:B$2,-1+SUMPRODUCT(MAX(ROW(E6290:E$2)*(E6291=E6290:E$2)))))</f>
        <v> </v>
      </c>
      <c r="J6291" s="25" t="str">
        <f>IF(OR(E6291="",E6291="!!!",F6291="NEW"),"",COUNTBLANK(OFFSET(A$1,,,SUMPRODUCT(MAX(ROW(E$2:E6291)*(E6291=E$2:E6291)))))-COUNTBLANK(OFFSET(A$1,,,SUMPRODUCT(MAX(ROW(E$1:E6290)*(E2=E$1:E6290))))))</f>
        <v> </v>
      </c>
      <c r="K6291" s="25" t="str">
        <f>IF(OR(E6291="",E6291="!!!",F6291="NEW"),"",INDEX(J$1:J6290,SUMPRODUCT(MAX(ROW(E$1:E6290)*(E6291=E$1:E6290)))))</f>
        <v> </v>
      </c>
      <c r="L6291" s="26"/>
    </row>
    <row r="6292" spans="1:12">
      <c r="A6292" s="20" t="s">
        <v>1148</v>
      </c>
      <c r="E6292" s="21">
        <f>IF(D6292="?OLD","!!!","")</f>
        <v/>
      </c>
      <c r="F6292" s="22" t="str">
        <f>IF(OR(E6292="",E6292="!!!"),"",IF(NOT(ISNA(VLOOKUP(E6292,E$1:E6291,1,FALSE()))),"OLD",IF(AND(E6292&lt;&gt;"",E6292&lt;&gt;"!!!"),"NEW","")))</f>
        <v> </v>
      </c>
      <c r="G6292" s="23" t="str">
        <f>IF(OR(E6292="",E6292="!!!"),"",IF(OR(J6292=0,AND(J6292=1,K6292=1),AND(J6292=1,I6292="SBJ"),AND(J6292=1,I6292=0)),"?IN_FOCUS",IF(J6292&lt;=2,"?ACTIVATED",IF(J6292&lt;&gt;"","?FAMILIAR",IF(F6292="NEW",IF(ISNA(VLOOKUP(E6292,#REF!,1,FALSE())),"?TYPE_IDENTIFIABLE","?REFERENTIAL"),"_")))))</f>
        <v> </v>
      </c>
      <c r="H6292" s="24" t="str">
        <f>IF(J6292&lt;&gt;1,"",IF(I6292="SBJ","CB","?"))</f>
        <v> </v>
      </c>
      <c r="I6292" s="25" t="str">
        <f>IF(OR(E6292="",E6292="!!!",F6292="NEW"),"",INDEX(B6291:B$2,-1+SUMPRODUCT(MAX(ROW(E6291:E$2)*(E6292=E6291:E$2)))))</f>
        <v> </v>
      </c>
      <c r="J6292" s="25" t="str">
        <f>IF(OR(E6292="",E6292="!!!",F6292="NEW"),"",COUNTBLANK(OFFSET(A$1,,,SUMPRODUCT(MAX(ROW(E$2:E6292)*(E6292=E$2:E6292)))))-COUNTBLANK(OFFSET(A$1,,,SUMPRODUCT(MAX(ROW(E$1:E6291)*(E2=E$1:E6291))))))</f>
        <v> </v>
      </c>
      <c r="K6292" s="25" t="str">
        <f>IF(OR(E6292="",E6292="!!!",F6292="NEW"),"",INDEX(J$1:J6291,SUMPRODUCT(MAX(ROW(E$1:E6291)*(E6292=E$1:E6291)))))</f>
        <v> </v>
      </c>
      <c r="L6292" s="26"/>
    </row>
    <row r="6293" spans="1:12">
      <c r="A6293" s="20" t="s">
        <v>1223</v>
      </c>
      <c r="E6293" s="21">
        <f>IF(D6293="?OLD","!!!","")</f>
        <v/>
      </c>
      <c r="F6293" s="22" t="str">
        <f>IF(OR(E6293="",E6293="!!!"),"",IF(NOT(ISNA(VLOOKUP(E6293,E$1:E6292,1,FALSE()))),"OLD",IF(AND(E6293&lt;&gt;"",E6293&lt;&gt;"!!!"),"NEW","")))</f>
        <v> </v>
      </c>
      <c r="G6293" s="23" t="str">
        <f>IF(OR(E6293="",E6293="!!!"),"",IF(OR(J6293=0,AND(J6293=1,K6293=1),AND(J6293=1,I6293="SBJ"),AND(J6293=1,I6293=0)),"?IN_FOCUS",IF(J6293&lt;=2,"?ACTIVATED",IF(J6293&lt;&gt;"","?FAMILIAR",IF(F6293="NEW",IF(ISNA(VLOOKUP(E6293,#REF!,1,FALSE())),"?TYPE_IDENTIFIABLE","?REFERENTIAL"),"_")))))</f>
        <v> </v>
      </c>
      <c r="H6293" s="24" t="str">
        <f>IF(J6293&lt;&gt;1,"",IF(I6293="SBJ","CB","?"))</f>
        <v> </v>
      </c>
      <c r="I6293" s="25" t="str">
        <f>IF(OR(E6293="",E6293="!!!",F6293="NEW"),"",INDEX(B6292:B$2,-1+SUMPRODUCT(MAX(ROW(E6292:E$2)*(E6293=E6292:E$2)))))</f>
        <v> </v>
      </c>
      <c r="J6293" s="25" t="str">
        <f>IF(OR(E6293="",E6293="!!!",F6293="NEW"),"",COUNTBLANK(OFFSET(A$1,,,SUMPRODUCT(MAX(ROW(E$2:E6293)*(E6293=E$2:E6293)))))-COUNTBLANK(OFFSET(A$1,,,SUMPRODUCT(MAX(ROW(E$1:E6292)*(E2=E$1:E6292))))))</f>
        <v> </v>
      </c>
      <c r="K6293" s="25" t="str">
        <f>IF(OR(E6293="",E6293="!!!",F6293="NEW"),"",INDEX(J$1:J6292,SUMPRODUCT(MAX(ROW(E$1:E6292)*(E6293=E$1:E6292)))))</f>
        <v> </v>
      </c>
      <c r="L6293" s="26"/>
    </row>
    <row r="6294" spans="1:12">
      <c r="A6294" s="20" t="s">
        <v>944</v>
      </c>
      <c r="E6294" s="21">
        <f>IF(D6294="?OLD","!!!","")</f>
        <v/>
      </c>
      <c r="F6294" s="22" t="str">
        <f>IF(OR(E6294="",E6294="!!!"),"",IF(NOT(ISNA(VLOOKUP(E6294,E$1:E6293,1,FALSE()))),"OLD",IF(AND(E6294&lt;&gt;"",E6294&lt;&gt;"!!!"),"NEW","")))</f>
        <v> </v>
      </c>
      <c r="G6294" s="23" t="str">
        <f>IF(OR(E6294="",E6294="!!!"),"",IF(OR(J6294=0,AND(J6294=1,K6294=1),AND(J6294=1,I6294="SBJ"),AND(J6294=1,I6294=0)),"?IN_FOCUS",IF(J6294&lt;=2,"?ACTIVATED",IF(J6294&lt;&gt;"","?FAMILIAR",IF(F6294="NEW",IF(ISNA(VLOOKUP(E6294,#REF!,1,FALSE())),"?TYPE_IDENTIFIABLE","?REFERENTIAL"),"_")))))</f>
        <v> </v>
      </c>
      <c r="H6294" s="24" t="str">
        <f>IF(J6294&lt;&gt;1,"",IF(I6294="SBJ","CB","?"))</f>
        <v> </v>
      </c>
      <c r="I6294" s="25" t="str">
        <f>IF(OR(E6294="",E6294="!!!",F6294="NEW"),"",INDEX(B6293:B$2,-1+SUMPRODUCT(MAX(ROW(E6293:E$2)*(E6294=E6293:E$2)))))</f>
        <v> </v>
      </c>
      <c r="J6294" s="25" t="str">
        <f>IF(OR(E6294="",E6294="!!!",F6294="NEW"),"",COUNTBLANK(OFFSET(A$1,,,SUMPRODUCT(MAX(ROW(E$2:E6294)*(E6294=E$2:E6294)))))-COUNTBLANK(OFFSET(A$1,,,SUMPRODUCT(MAX(ROW(E$1:E6293)*(E2=E$1:E6293))))))</f>
        <v> </v>
      </c>
      <c r="K6294" s="25" t="str">
        <f>IF(OR(E6294="",E6294="!!!",F6294="NEW"),"",INDEX(J$1:J6293,SUMPRODUCT(MAX(ROW(E$1:E6293)*(E6294=E$1:E6293)))))</f>
        <v> </v>
      </c>
      <c r="L6294" s="26"/>
    </row>
    <row r="6295" spans="1:12">
      <c r="A6295" s="20" t="s">
        <v>1138</v>
      </c>
      <c r="E6295" s="21">
        <f>IF(D6295="?OLD","!!!","")</f>
        <v/>
      </c>
      <c r="F6295" s="22" t="str">
        <f>IF(OR(E6295="",E6295="!!!"),"",IF(NOT(ISNA(VLOOKUP(E6295,E$1:E6294,1,FALSE()))),"OLD",IF(AND(E6295&lt;&gt;"",E6295&lt;&gt;"!!!"),"NEW","")))</f>
        <v> </v>
      </c>
      <c r="G6295" s="23" t="str">
        <f>IF(OR(E6295="",E6295="!!!"),"",IF(OR(J6295=0,AND(J6295=1,K6295=1),AND(J6295=1,I6295="SBJ"),AND(J6295=1,I6295=0)),"?IN_FOCUS",IF(J6295&lt;=2,"?ACTIVATED",IF(J6295&lt;&gt;"","?FAMILIAR",IF(F6295="NEW",IF(ISNA(VLOOKUP(E6295,#REF!,1,FALSE())),"?TYPE_IDENTIFIABLE","?REFERENTIAL"),"_")))))</f>
        <v> </v>
      </c>
      <c r="H6295" s="24" t="str">
        <f>IF(J6295&lt;&gt;1,"",IF(I6295="SBJ","CB","?"))</f>
        <v> </v>
      </c>
      <c r="I6295" s="25" t="str">
        <f>IF(OR(E6295="",E6295="!!!",F6295="NEW"),"",INDEX(B6294:B$2,-1+SUMPRODUCT(MAX(ROW(E6294:E$2)*(E6295=E6294:E$2)))))</f>
        <v> </v>
      </c>
      <c r="J6295" s="25" t="str">
        <f>IF(OR(E6295="",E6295="!!!",F6295="NEW"),"",COUNTBLANK(OFFSET(A$1,,,SUMPRODUCT(MAX(ROW(E$2:E6295)*(E6295=E$2:E6295)))))-COUNTBLANK(OFFSET(A$1,,,SUMPRODUCT(MAX(ROW(E$1:E6294)*(E2=E$1:E6294))))))</f>
        <v> </v>
      </c>
      <c r="K6295" s="25" t="str">
        <f>IF(OR(E6295="",E6295="!!!",F6295="NEW"),"",INDEX(J$1:J6294,SUMPRODUCT(MAX(ROW(E$1:E6294)*(E6295=E$1:E6294)))))</f>
        <v> </v>
      </c>
      <c r="L6295" s="26"/>
    </row>
    <row r="6296" spans="1:12">
      <c r="A6296" s="20" t="s">
        <v>2321</v>
      </c>
      <c r="E6296" s="21">
        <f>IF(D6296="?OLD","!!!","")</f>
        <v/>
      </c>
      <c r="F6296" s="22" t="str">
        <f>IF(OR(E6296="",E6296="!!!"),"",IF(NOT(ISNA(VLOOKUP(E6296,E$1:E6295,1,FALSE()))),"OLD",IF(AND(E6296&lt;&gt;"",E6296&lt;&gt;"!!!"),"NEW","")))</f>
        <v> </v>
      </c>
      <c r="G6296" s="23" t="str">
        <f>IF(OR(E6296="",E6296="!!!"),"",IF(OR(J6296=0,AND(J6296=1,K6296=1),AND(J6296=1,I6296="SBJ"),AND(J6296=1,I6296=0)),"?IN_FOCUS",IF(J6296&lt;=2,"?ACTIVATED",IF(J6296&lt;&gt;"","?FAMILIAR",IF(F6296="NEW",IF(ISNA(VLOOKUP(E6296,#REF!,1,FALSE())),"?TYPE_IDENTIFIABLE","?REFERENTIAL"),"_")))))</f>
        <v> </v>
      </c>
      <c r="H6296" s="24" t="str">
        <f>IF(J6296&lt;&gt;1,"",IF(I6296="SBJ","CB","?"))</f>
        <v> </v>
      </c>
      <c r="I6296" s="25" t="str">
        <f>IF(OR(E6296="",E6296="!!!",F6296="NEW"),"",INDEX(B6295:B$2,-1+SUMPRODUCT(MAX(ROW(E6295:E$2)*(E6296=E6295:E$2)))))</f>
        <v> </v>
      </c>
      <c r="J6296" s="25" t="str">
        <f>IF(OR(E6296="",E6296="!!!",F6296="NEW"),"",COUNTBLANK(OFFSET(A$1,,,SUMPRODUCT(MAX(ROW(E$2:E6296)*(E6296=E$2:E6296)))))-COUNTBLANK(OFFSET(A$1,,,SUMPRODUCT(MAX(ROW(E$1:E6295)*(E2=E$1:E6295))))))</f>
        <v> </v>
      </c>
      <c r="K6296" s="25" t="str">
        <f>IF(OR(E6296="",E6296="!!!",F6296="NEW"),"",INDEX(J$1:J6295,SUMPRODUCT(MAX(ROW(E$1:E6295)*(E6296=E$1:E6295)))))</f>
        <v> </v>
      </c>
      <c r="L6296" s="26"/>
    </row>
    <row r="6297" spans="1:12">
      <c r="A6297" s="20" t="s">
        <v>947</v>
      </c>
      <c r="E6297" s="21">
        <f>IF(D6297="?OLD","!!!","")</f>
        <v/>
      </c>
      <c r="F6297" s="22" t="str">
        <f>IF(OR(E6297="",E6297="!!!"),"",IF(NOT(ISNA(VLOOKUP(E6297,E$1:E6296,1,FALSE()))),"OLD",IF(AND(E6297&lt;&gt;"",E6297&lt;&gt;"!!!"),"NEW","")))</f>
        <v> </v>
      </c>
      <c r="G6297" s="23" t="str">
        <f>IF(OR(E6297="",E6297="!!!"),"",IF(OR(J6297=0,AND(J6297=1,K6297=1),AND(J6297=1,I6297="SBJ"),AND(J6297=1,I6297=0)),"?IN_FOCUS",IF(J6297&lt;=2,"?ACTIVATED",IF(J6297&lt;&gt;"","?FAMILIAR",IF(F6297="NEW",IF(ISNA(VLOOKUP(E6297,#REF!,1,FALSE())),"?TYPE_IDENTIFIABLE","?REFERENTIAL"),"_")))))</f>
        <v> </v>
      </c>
      <c r="H6297" s="24" t="str">
        <f>IF(J6297&lt;&gt;1,"",IF(I6297="SBJ","CB","?"))</f>
        <v> </v>
      </c>
      <c r="I6297" s="25" t="str">
        <f>IF(OR(E6297="",E6297="!!!",F6297="NEW"),"",INDEX(B6296:B$2,-1+SUMPRODUCT(MAX(ROW(E6296:E$2)*(E6297=E6296:E$2)))))</f>
        <v> </v>
      </c>
      <c r="J6297" s="25" t="str">
        <f>IF(OR(E6297="",E6297="!!!",F6297="NEW"),"",COUNTBLANK(OFFSET(A$1,,,SUMPRODUCT(MAX(ROW(E$2:E6297)*(E6297=E$2:E6297)))))-COUNTBLANK(OFFSET(A$1,,,SUMPRODUCT(MAX(ROW(E$1:E6296)*(E2=E$1:E6296))))))</f>
        <v> </v>
      </c>
      <c r="K6297" s="25" t="str">
        <f>IF(OR(E6297="",E6297="!!!",F6297="NEW"),"",INDEX(J$1:J6296,SUMPRODUCT(MAX(ROW(E$1:E6296)*(E6297=E$1:E6296)))))</f>
        <v> </v>
      </c>
      <c r="L6297" s="26"/>
    </row>
    <row r="6298" spans="1:12">
      <c r="A6298" s="20" t="s">
        <v>36</v>
      </c>
      <c r="E6298" s="21">
        <f>IF(D6298="?OLD","!!!","")</f>
        <v/>
      </c>
      <c r="F6298" s="22" t="str">
        <f>IF(OR(E6298="",E6298="!!!"),"",IF(NOT(ISNA(VLOOKUP(E6298,E$1:E6297,1,FALSE()))),"OLD",IF(AND(E6298&lt;&gt;"",E6298&lt;&gt;"!!!"),"NEW","")))</f>
        <v> </v>
      </c>
      <c r="G6298" s="23" t="str">
        <f>IF(OR(E6298="",E6298="!!!"),"",IF(OR(J6298=0,AND(J6298=1,K6298=1),AND(J6298=1,I6298="SBJ"),AND(J6298=1,I6298=0)),"?IN_FOCUS",IF(J6298&lt;=2,"?ACTIVATED",IF(J6298&lt;&gt;"","?FAMILIAR",IF(F6298="NEW",IF(ISNA(VLOOKUP(E6298,#REF!,1,FALSE())),"?TYPE_IDENTIFIABLE","?REFERENTIAL"),"_")))))</f>
        <v> </v>
      </c>
      <c r="H6298" s="24" t="str">
        <f>IF(J6298&lt;&gt;1,"",IF(I6298="SBJ","CB","?"))</f>
        <v> </v>
      </c>
      <c r="I6298" s="25" t="str">
        <f>IF(OR(E6298="",E6298="!!!",F6298="NEW"),"",INDEX(B6297:B$2,-1+SUMPRODUCT(MAX(ROW(E6297:E$2)*(E6298=E6297:E$2)))))</f>
        <v> </v>
      </c>
      <c r="J6298" s="25" t="str">
        <f>IF(OR(E6298="",E6298="!!!",F6298="NEW"),"",COUNTBLANK(OFFSET(A$1,,,SUMPRODUCT(MAX(ROW(E$2:E6298)*(E6298=E$2:E6298)))))-COUNTBLANK(OFFSET(A$1,,,SUMPRODUCT(MAX(ROW(E$1:E6297)*(E2=E$1:E6297))))))</f>
        <v> </v>
      </c>
      <c r="K6298" s="25" t="str">
        <f>IF(OR(E6298="",E6298="!!!",F6298="NEW"),"",INDEX(J$1:J6297,SUMPRODUCT(MAX(ROW(E$1:E6297)*(E6298=E$1:E6297)))))</f>
        <v> </v>
      </c>
      <c r="L6298" s="26"/>
    </row>
    <row r="6299" spans="1:12">
      <c r="A6299" s="20" t="s">
        <v>1223</v>
      </c>
      <c r="E6299" s="21">
        <f>IF(D6299="?OLD","!!!","")</f>
        <v/>
      </c>
      <c r="F6299" s="22" t="str">
        <f>IF(OR(E6299="",E6299="!!!"),"",IF(NOT(ISNA(VLOOKUP(E6299,E$1:E6298,1,FALSE()))),"OLD",IF(AND(E6299&lt;&gt;"",E6299&lt;&gt;"!!!"),"NEW","")))</f>
        <v> </v>
      </c>
      <c r="G6299" s="23" t="str">
        <f>IF(OR(E6299="",E6299="!!!"),"",IF(OR(J6299=0,AND(J6299=1,K6299=1),AND(J6299=1,I6299="SBJ"),AND(J6299=1,I6299=0)),"?IN_FOCUS",IF(J6299&lt;=2,"?ACTIVATED",IF(J6299&lt;&gt;"","?FAMILIAR",IF(F6299="NEW",IF(ISNA(VLOOKUP(E6299,#REF!,1,FALSE())),"?TYPE_IDENTIFIABLE","?REFERENTIAL"),"_")))))</f>
        <v> </v>
      </c>
      <c r="H6299" s="24" t="str">
        <f>IF(J6299&lt;&gt;1,"",IF(I6299="SBJ","CB","?"))</f>
        <v> </v>
      </c>
      <c r="I6299" s="25" t="str">
        <f>IF(OR(E6299="",E6299="!!!",F6299="NEW"),"",INDEX(B6298:B$2,-1+SUMPRODUCT(MAX(ROW(E6298:E$2)*(E6299=E6298:E$2)))))</f>
        <v> </v>
      </c>
      <c r="J6299" s="25" t="str">
        <f>IF(OR(E6299="",E6299="!!!",F6299="NEW"),"",COUNTBLANK(OFFSET(A$1,,,SUMPRODUCT(MAX(ROW(E$2:E6299)*(E6299=E$2:E6299)))))-COUNTBLANK(OFFSET(A$1,,,SUMPRODUCT(MAX(ROW(E$1:E6298)*(E2=E$1:E6298))))))</f>
        <v> </v>
      </c>
      <c r="K6299" s="25" t="str">
        <f>IF(OR(E6299="",E6299="!!!",F6299="NEW"),"",INDEX(J$1:J6298,SUMPRODUCT(MAX(ROW(E$1:E6298)*(E6299=E$1:E6298)))))</f>
        <v> </v>
      </c>
      <c r="L6299" s="26"/>
    </row>
    <row r="6300" spans="1:12">
      <c r="A6300" s="20" t="s">
        <v>1002</v>
      </c>
      <c r="E6300" s="21">
        <f>IF(D6300="?OLD","!!!","")</f>
        <v/>
      </c>
      <c r="F6300" s="22" t="str">
        <f>IF(OR(E6300="",E6300="!!!"),"",IF(NOT(ISNA(VLOOKUP(E6300,E$1:E6299,1,FALSE()))),"OLD",IF(AND(E6300&lt;&gt;"",E6300&lt;&gt;"!!!"),"NEW","")))</f>
        <v> </v>
      </c>
      <c r="G6300" s="23" t="str">
        <f>IF(OR(E6300="",E6300="!!!"),"",IF(OR(J6300=0,AND(J6300=1,K6300=1),AND(J6300=1,I6300="SBJ"),AND(J6300=1,I6300=0)),"?IN_FOCUS",IF(J6300&lt;=2,"?ACTIVATED",IF(J6300&lt;&gt;"","?FAMILIAR",IF(F6300="NEW",IF(ISNA(VLOOKUP(E6300,#REF!,1,FALSE())),"?TYPE_IDENTIFIABLE","?REFERENTIAL"),"_")))))</f>
        <v> </v>
      </c>
      <c r="H6300" s="24" t="str">
        <f>IF(J6300&lt;&gt;1,"",IF(I6300="SBJ","CB","?"))</f>
        <v> </v>
      </c>
      <c r="I6300" s="25" t="str">
        <f>IF(OR(E6300="",E6300="!!!",F6300="NEW"),"",INDEX(B6299:B$2,-1+SUMPRODUCT(MAX(ROW(E6299:E$2)*(E6300=E6299:E$2)))))</f>
        <v> </v>
      </c>
      <c r="J6300" s="25" t="str">
        <f>IF(OR(E6300="",E6300="!!!",F6300="NEW"),"",COUNTBLANK(OFFSET(A$1,,,SUMPRODUCT(MAX(ROW(E$2:E6300)*(E6300=E$2:E6300)))))-COUNTBLANK(OFFSET(A$1,,,SUMPRODUCT(MAX(ROW(E$1:E6299)*(E2=E$1:E6299))))))</f>
        <v> </v>
      </c>
      <c r="K6300" s="25" t="str">
        <f>IF(OR(E6300="",E6300="!!!",F6300="NEW"),"",INDEX(J$1:J6299,SUMPRODUCT(MAX(ROW(E$1:E6299)*(E6300=E$1:E6299)))))</f>
        <v> </v>
      </c>
      <c r="L6300" s="26"/>
    </row>
    <row r="6301" spans="1:12">
      <c r="A6301" s="20" t="s">
        <v>936</v>
      </c>
      <c r="E6301" s="21">
        <f>IF(D6301="?OLD","!!!","")</f>
        <v/>
      </c>
      <c r="F6301" s="22" t="str">
        <f>IF(OR(E6301="",E6301="!!!"),"",IF(NOT(ISNA(VLOOKUP(E6301,E$1:E6300,1,FALSE()))),"OLD",IF(AND(E6301&lt;&gt;"",E6301&lt;&gt;"!!!"),"NEW","")))</f>
        <v> </v>
      </c>
      <c r="G6301" s="23" t="str">
        <f>IF(OR(E6301="",E6301="!!!"),"",IF(OR(J6301=0,AND(J6301=1,K6301=1),AND(J6301=1,I6301="SBJ"),AND(J6301=1,I6301=0)),"?IN_FOCUS",IF(J6301&lt;=2,"?ACTIVATED",IF(J6301&lt;&gt;"","?FAMILIAR",IF(F6301="NEW",IF(ISNA(VLOOKUP(E6301,#REF!,1,FALSE())),"?TYPE_IDENTIFIABLE","?REFERENTIAL"),"_")))))</f>
        <v> </v>
      </c>
      <c r="H6301" s="24" t="str">
        <f>IF(J6301&lt;&gt;1,"",IF(I6301="SBJ","CB","?"))</f>
        <v> </v>
      </c>
      <c r="I6301" s="25" t="str">
        <f>IF(OR(E6301="",E6301="!!!",F6301="NEW"),"",INDEX(B6300:B$2,-1+SUMPRODUCT(MAX(ROW(E6300:E$2)*(E6301=E6300:E$2)))))</f>
        <v> </v>
      </c>
      <c r="J6301" s="25" t="str">
        <f>IF(OR(E6301="",E6301="!!!",F6301="NEW"),"",COUNTBLANK(OFFSET(A$1,,,SUMPRODUCT(MAX(ROW(E$2:E6301)*(E6301=E$2:E6301)))))-COUNTBLANK(OFFSET(A$1,,,SUMPRODUCT(MAX(ROW(E$1:E6300)*(E2=E$1:E6300))))))</f>
        <v> </v>
      </c>
      <c r="K6301" s="25" t="str">
        <f>IF(OR(E6301="",E6301="!!!",F6301="NEW"),"",INDEX(J$1:J6300,SUMPRODUCT(MAX(ROW(E$1:E6300)*(E6301=E$1:E6300)))))</f>
        <v> </v>
      </c>
      <c r="L6301" s="26"/>
    </row>
    <row r="6302" spans="1:12">
      <c r="A6302" s="20" t="s">
        <v>929</v>
      </c>
      <c r="B6302" s="27" t="s">
        <v>968</v>
      </c>
      <c r="C6302" s="27" t="s">
        <v>931</v>
      </c>
      <c r="D6302" s="27" t="s">
        <v>932</v>
      </c>
      <c r="E6302" s="21">
        <f>IF(D6302="?OLD","!!!","")</f>
        <v/>
      </c>
      <c r="F6302" s="22" t="str">
        <f>IF(OR(E6302="",E6302="!!!"),"",IF(NOT(ISNA(VLOOKUP(E6302,E$1:E6301,1,FALSE()))),"OLD",IF(AND(E6302&lt;&gt;"",E6302&lt;&gt;"!!!"),"NEW","")))</f>
        <v> </v>
      </c>
      <c r="G6302" s="23" t="str">
        <f>IF(OR(E6302="",E6302="!!!"),"",IF(OR(J6302=0,AND(J6302=1,K6302=1),AND(J6302=1,I6302="SBJ"),AND(J6302=1,I6302=0)),"?IN_FOCUS",IF(J6302&lt;=2,"?ACTIVATED",IF(J6302&lt;&gt;"","?FAMILIAR",IF(F6302="NEW",IF(ISNA(VLOOKUP(E6302,#REF!,1,FALSE())),"?TYPE_IDENTIFIABLE","?REFERENTIAL"),"_")))))</f>
        <v> </v>
      </c>
      <c r="H6302" s="24" t="str">
        <f>IF(J6302&lt;&gt;1,"",IF(I6302="SBJ","CB","?"))</f>
        <v> </v>
      </c>
      <c r="I6302" s="25" t="str">
        <f>IF(OR(E6302="",E6302="!!!",F6302="NEW"),"",INDEX(B6301:B$2,-1+SUMPRODUCT(MAX(ROW(E6301:E$2)*(E6302=E6301:E$2)))))</f>
        <v> </v>
      </c>
      <c r="J6302" s="25" t="str">
        <f>IF(OR(E6302="",E6302="!!!",F6302="NEW"),"",COUNTBLANK(OFFSET(A$1,,,SUMPRODUCT(MAX(ROW(E$2:E6302)*(E6302=E$2:E6302)))))-COUNTBLANK(OFFSET(A$1,,,SUMPRODUCT(MAX(ROW(E$1:E6301)*(E2=E$1:E6301))))))</f>
        <v> </v>
      </c>
      <c r="K6302" s="25" t="str">
        <f>IF(OR(E6302="",E6302="!!!",F6302="NEW"),"",INDEX(J$1:J6301,SUMPRODUCT(MAX(ROW(E$1:E6301)*(E6302=E$1:E6301)))))</f>
        <v> </v>
      </c>
      <c r="L6302" s="26"/>
    </row>
    <row r="6303" spans="1:12">
      <c r="A6303" s="20" t="s">
        <v>1590</v>
      </c>
      <c r="E6303" s="21">
        <f>IF(D6303="?OLD","!!!","")</f>
        <v/>
      </c>
      <c r="F6303" s="22" t="str">
        <f>IF(OR(E6303="",E6303="!!!"),"",IF(NOT(ISNA(VLOOKUP(E6303,E$1:E6302,1,FALSE()))),"OLD",IF(AND(E6303&lt;&gt;"",E6303&lt;&gt;"!!!"),"NEW","")))</f>
        <v> </v>
      </c>
      <c r="G6303" s="23" t="str">
        <f>IF(OR(E6303="",E6303="!!!"),"",IF(OR(J6303=0,AND(J6303=1,K6303=1),AND(J6303=1,I6303="SBJ"),AND(J6303=1,I6303=0)),"?IN_FOCUS",IF(J6303&lt;=2,"?ACTIVATED",IF(J6303&lt;&gt;"","?FAMILIAR",IF(F6303="NEW",IF(ISNA(VLOOKUP(E6303,#REF!,1,FALSE())),"?TYPE_IDENTIFIABLE","?REFERENTIAL"),"_")))))</f>
        <v> </v>
      </c>
      <c r="H6303" s="24" t="str">
        <f>IF(J6303&lt;&gt;1,"",IF(I6303="SBJ","CB","?"))</f>
        <v> </v>
      </c>
      <c r="I6303" s="25" t="str">
        <f>IF(OR(E6303="",E6303="!!!",F6303="NEW"),"",INDEX(B6302:B$2,-1+SUMPRODUCT(MAX(ROW(E6302:E$2)*(E6303=E6302:E$2)))))</f>
        <v> </v>
      </c>
      <c r="J6303" s="25" t="str">
        <f>IF(OR(E6303="",E6303="!!!",F6303="NEW"),"",COUNTBLANK(OFFSET(A$1,,,SUMPRODUCT(MAX(ROW(E$2:E6303)*(E6303=E$2:E6303)))))-COUNTBLANK(OFFSET(A$1,,,SUMPRODUCT(MAX(ROW(E$1:E6302)*(E2=E$1:E6302))))))</f>
        <v> </v>
      </c>
      <c r="K6303" s="25" t="str">
        <f>IF(OR(E6303="",E6303="!!!",F6303="NEW"),"",INDEX(J$1:J6302,SUMPRODUCT(MAX(ROW(E$1:E6302)*(E6303=E$1:E6302)))))</f>
        <v> </v>
      </c>
      <c r="L6303" s="26"/>
    </row>
    <row r="6304" spans="1:12">
      <c r="A6304" s="20" t="s">
        <v>1107</v>
      </c>
      <c r="E6304" s="21">
        <f>IF(D6304="?OLD","!!!","")</f>
        <v/>
      </c>
      <c r="F6304" s="22" t="str">
        <f>IF(OR(E6304="",E6304="!!!"),"",IF(NOT(ISNA(VLOOKUP(E6304,E$1:E6303,1,FALSE()))),"OLD",IF(AND(E6304&lt;&gt;"",E6304&lt;&gt;"!!!"),"NEW","")))</f>
        <v> </v>
      </c>
      <c r="G6304" s="23" t="str">
        <f>IF(OR(E6304="",E6304="!!!"),"",IF(OR(J6304=0,AND(J6304=1,K6304=1),AND(J6304=1,I6304="SBJ"),AND(J6304=1,I6304=0)),"?IN_FOCUS",IF(J6304&lt;=2,"?ACTIVATED",IF(J6304&lt;&gt;"","?FAMILIAR",IF(F6304="NEW",IF(ISNA(VLOOKUP(E6304,#REF!,1,FALSE())),"?TYPE_IDENTIFIABLE","?REFERENTIAL"),"_")))))</f>
        <v> </v>
      </c>
      <c r="H6304" s="24" t="str">
        <f>IF(J6304&lt;&gt;1,"",IF(I6304="SBJ","CB","?"))</f>
        <v> </v>
      </c>
      <c r="I6304" s="25" t="str">
        <f>IF(OR(E6304="",E6304="!!!",F6304="NEW"),"",INDEX(B6303:B$2,-1+SUMPRODUCT(MAX(ROW(E6303:E$2)*(E6304=E6303:E$2)))))</f>
        <v> </v>
      </c>
      <c r="J6304" s="25" t="str">
        <f>IF(OR(E6304="",E6304="!!!",F6304="NEW"),"",COUNTBLANK(OFFSET(A$1,,,SUMPRODUCT(MAX(ROW(E$2:E6304)*(E6304=E$2:E6304)))))-COUNTBLANK(OFFSET(A$1,,,SUMPRODUCT(MAX(ROW(E$1:E6303)*(E2=E$1:E6303))))))</f>
        <v> </v>
      </c>
      <c r="K6304" s="25" t="str">
        <f>IF(OR(E6304="",E6304="!!!",F6304="NEW"),"",INDEX(J$1:J6303,SUMPRODUCT(MAX(ROW(E$1:E6303)*(E6304=E$1:E6303)))))</f>
        <v> </v>
      </c>
      <c r="L6304" s="26"/>
    </row>
    <row r="6305" spans="1:12">
      <c r="A6305" s="20" t="s">
        <v>934</v>
      </c>
      <c r="E6305" s="21">
        <f>IF(D6305="?OLD","!!!","")</f>
        <v/>
      </c>
      <c r="F6305" s="22" t="str">
        <f>IF(OR(E6305="",E6305="!!!"),"",IF(NOT(ISNA(VLOOKUP(E6305,E$1:E6304,1,FALSE()))),"OLD",IF(AND(E6305&lt;&gt;"",E6305&lt;&gt;"!!!"),"NEW","")))</f>
        <v> </v>
      </c>
      <c r="G6305" s="23" t="str">
        <f>IF(OR(E6305="",E6305="!!!"),"",IF(OR(J6305=0,AND(J6305=1,K6305=1),AND(J6305=1,I6305="SBJ"),AND(J6305=1,I6305=0)),"?IN_FOCUS",IF(J6305&lt;=2,"?ACTIVATED",IF(J6305&lt;&gt;"","?FAMILIAR",IF(F6305="NEW",IF(ISNA(VLOOKUP(E6305,#REF!,1,FALSE())),"?TYPE_IDENTIFIABLE","?REFERENTIAL"),"_")))))</f>
        <v> </v>
      </c>
      <c r="H6305" s="24" t="str">
        <f>IF(J6305&lt;&gt;1,"",IF(I6305="SBJ","CB","?"))</f>
        <v> </v>
      </c>
      <c r="I6305" s="25" t="str">
        <f>IF(OR(E6305="",E6305="!!!",F6305="NEW"),"",INDEX(B6304:B$2,-1+SUMPRODUCT(MAX(ROW(E6304:E$2)*(E6305=E6304:E$2)))))</f>
        <v> </v>
      </c>
      <c r="J6305" s="25" t="str">
        <f>IF(OR(E6305="",E6305="!!!",F6305="NEW"),"",COUNTBLANK(OFFSET(A$1,,,SUMPRODUCT(MAX(ROW(E$2:E6305)*(E6305=E$2:E6305)))))-COUNTBLANK(OFFSET(A$1,,,SUMPRODUCT(MAX(ROW(E$1:E6304)*(E2=E$1:E6304))))))</f>
        <v> </v>
      </c>
      <c r="K6305" s="25" t="str">
        <f>IF(OR(E6305="",E6305="!!!",F6305="NEW"),"",INDEX(J$1:J6304,SUMPRODUCT(MAX(ROW(E$1:E6304)*(E6305=E$1:E6304)))))</f>
        <v> </v>
      </c>
      <c r="L6305" s="26"/>
    </row>
    <row r="6306" spans="1:12">
      <c r="A6306" s="20" t="s">
        <v>1206</v>
      </c>
      <c r="B6306" s="27" t="s">
        <v>991</v>
      </c>
      <c r="C6306" s="27" t="s">
        <v>973</v>
      </c>
      <c r="E6306" s="21">
        <f>IF(D6306="?OLD","!!!","")</f>
        <v/>
      </c>
      <c r="F6306" s="22" t="str">
        <f>IF(OR(E6306="",E6306="!!!"),"",IF(NOT(ISNA(VLOOKUP(E6306,E$1:E6305,1,FALSE()))),"OLD",IF(AND(E6306&lt;&gt;"",E6306&lt;&gt;"!!!"),"NEW","")))</f>
        <v> </v>
      </c>
      <c r="G6306" s="23" t="str">
        <f>IF(OR(E6306="",E6306="!!!"),"",IF(OR(J6306=0,AND(J6306=1,K6306=1),AND(J6306=1,I6306="SBJ"),AND(J6306=1,I6306=0)),"?IN_FOCUS",IF(J6306&lt;=2,"?ACTIVATED",IF(J6306&lt;&gt;"","?FAMILIAR",IF(F6306="NEW",IF(ISNA(VLOOKUP(E6306,#REF!,1,FALSE())),"?TYPE_IDENTIFIABLE","?REFERENTIAL"),"_")))))</f>
        <v> </v>
      </c>
      <c r="H6306" s="24" t="str">
        <f>IF(J6306&lt;&gt;1,"",IF(I6306="SBJ","CB","?"))</f>
        <v> </v>
      </c>
      <c r="I6306" s="25" t="str">
        <f>IF(OR(E6306="",E6306="!!!",F6306="NEW"),"",INDEX(B6305:B$2,-1+SUMPRODUCT(MAX(ROW(E6305:E$2)*(E6306=E6305:E$2)))))</f>
        <v> </v>
      </c>
      <c r="J6306" s="25" t="str">
        <f>IF(OR(E6306="",E6306="!!!",F6306="NEW"),"",COUNTBLANK(OFFSET(A$1,,,SUMPRODUCT(MAX(ROW(E$2:E6306)*(E6306=E$2:E6306)))))-COUNTBLANK(OFFSET(A$1,,,SUMPRODUCT(MAX(ROW(E$1:E6305)*(E2=E$1:E6305))))))</f>
        <v> </v>
      </c>
      <c r="K6306" s="25" t="str">
        <f>IF(OR(E6306="",E6306="!!!",F6306="NEW"),"",INDEX(J$1:J6305,SUMPRODUCT(MAX(ROW(E$1:E6305)*(E6306=E$1:E6305)))))</f>
        <v> </v>
      </c>
      <c r="L6306" s="26"/>
    </row>
    <row r="6307" spans="1:12">
      <c r="A6307" s="20" t="s">
        <v>947</v>
      </c>
      <c r="E6307" s="21">
        <f>IF(D6307="?OLD","!!!","")</f>
        <v/>
      </c>
      <c r="F6307" s="22" t="str">
        <f>IF(OR(E6307="",E6307="!!!"),"",IF(NOT(ISNA(VLOOKUP(E6307,E$1:E6306,1,FALSE()))),"OLD",IF(AND(E6307&lt;&gt;"",E6307&lt;&gt;"!!!"),"NEW","")))</f>
        <v> </v>
      </c>
      <c r="G6307" s="23" t="str">
        <f>IF(OR(E6307="",E6307="!!!"),"",IF(OR(J6307=0,AND(J6307=1,K6307=1),AND(J6307=1,I6307="SBJ"),AND(J6307=1,I6307=0)),"?IN_FOCUS",IF(J6307&lt;=2,"?ACTIVATED",IF(J6307&lt;&gt;"","?FAMILIAR",IF(F6307="NEW",IF(ISNA(VLOOKUP(E6307,#REF!,1,FALSE())),"?TYPE_IDENTIFIABLE","?REFERENTIAL"),"_")))))</f>
        <v> </v>
      </c>
      <c r="H6307" s="24" t="str">
        <f>IF(J6307&lt;&gt;1,"",IF(I6307="SBJ","CB","?"))</f>
        <v> </v>
      </c>
      <c r="I6307" s="25" t="str">
        <f>IF(OR(E6307="",E6307="!!!",F6307="NEW"),"",INDEX(B6306:B$2,-1+SUMPRODUCT(MAX(ROW(E6306:E$2)*(E6307=E6306:E$2)))))</f>
        <v> </v>
      </c>
      <c r="J6307" s="25" t="str">
        <f>IF(OR(E6307="",E6307="!!!",F6307="NEW"),"",COUNTBLANK(OFFSET(A$1,,,SUMPRODUCT(MAX(ROW(E$2:E6307)*(E6307=E$2:E6307)))))-COUNTBLANK(OFFSET(A$1,,,SUMPRODUCT(MAX(ROW(E$1:E6306)*(E2=E$1:E6306))))))</f>
        <v> </v>
      </c>
      <c r="K6307" s="25" t="str">
        <f>IF(OR(E6307="",E6307="!!!",F6307="NEW"),"",INDEX(J$1:J6306,SUMPRODUCT(MAX(ROW(E$1:E6306)*(E6307=E$1:E6306)))))</f>
        <v> </v>
      </c>
      <c r="L6307" s="26"/>
    </row>
    <row r="6308" spans="1:12">
      <c r="A6308" s="20" t="s">
        <v>903</v>
      </c>
      <c r="E6308" s="21">
        <f>IF(D6308="?OLD","!!!","")</f>
        <v/>
      </c>
      <c r="F6308" s="22" t="str">
        <f>IF(OR(E6308="",E6308="!!!"),"",IF(NOT(ISNA(VLOOKUP(E6308,E$1:E6307,1,FALSE()))),"OLD",IF(AND(E6308&lt;&gt;"",E6308&lt;&gt;"!!!"),"NEW","")))</f>
        <v> </v>
      </c>
      <c r="G6308" s="23" t="str">
        <f>IF(OR(E6308="",E6308="!!!"),"",IF(OR(J6308=0,AND(J6308=1,K6308=1),AND(J6308=1,I6308="SBJ"),AND(J6308=1,I6308=0)),"?IN_FOCUS",IF(J6308&lt;=2,"?ACTIVATED",IF(J6308&lt;&gt;"","?FAMILIAR",IF(F6308="NEW",IF(ISNA(VLOOKUP(E6308,#REF!,1,FALSE())),"?TYPE_IDENTIFIABLE","?REFERENTIAL"),"_")))))</f>
        <v> </v>
      </c>
      <c r="H6308" s="24" t="str">
        <f>IF(J6308&lt;&gt;1,"",IF(I6308="SBJ","CB","?"))</f>
        <v> </v>
      </c>
      <c r="I6308" s="25" t="str">
        <f>IF(OR(E6308="",E6308="!!!",F6308="NEW"),"",INDEX(B6307:B$2,-1+SUMPRODUCT(MAX(ROW(E6307:E$2)*(E6308=E6307:E$2)))))</f>
        <v> </v>
      </c>
      <c r="J6308" s="25" t="str">
        <f>IF(OR(E6308="",E6308="!!!",F6308="NEW"),"",COUNTBLANK(OFFSET(A$1,,,SUMPRODUCT(MAX(ROW(E$2:E6308)*(E6308=E$2:E6308)))))-COUNTBLANK(OFFSET(A$1,,,SUMPRODUCT(MAX(ROW(E$1:E6307)*(E2=E$1:E6307))))))</f>
        <v> </v>
      </c>
      <c r="K6308" s="25" t="str">
        <f>IF(OR(E6308="",E6308="!!!",F6308="NEW"),"",INDEX(J$1:J6307,SUMPRODUCT(MAX(ROW(E$1:E6307)*(E6308=E$1:E6307)))))</f>
        <v> </v>
      </c>
      <c r="L6308" s="26"/>
    </row>
    <row r="6309" spans="1:12">
      <c r="A6309" s="20" t="s">
        <v>938</v>
      </c>
      <c r="B6309" s="27" t="s">
        <v>1078</v>
      </c>
      <c r="C6309" s="27" t="s">
        <v>940</v>
      </c>
      <c r="D6309" s="27" t="s">
        <v>932</v>
      </c>
      <c r="E6309" s="21">
        <f>IF(D6309="?OLD","!!!","")</f>
        <v/>
      </c>
      <c r="F6309" s="22" t="str">
        <f>IF(OR(E6309="",E6309="!!!"),"",IF(NOT(ISNA(VLOOKUP(E6309,E$1:E6308,1,FALSE()))),"OLD",IF(AND(E6309&lt;&gt;"",E6309&lt;&gt;"!!!"),"NEW","")))</f>
        <v> </v>
      </c>
      <c r="G6309" s="23" t="str">
        <f>IF(OR(E6309="",E6309="!!!"),"",IF(OR(J6309=0,AND(J6309=1,K6309=1),AND(J6309=1,I6309="SBJ"),AND(J6309=1,I6309=0)),"?IN_FOCUS",IF(J6309&lt;=2,"?ACTIVATED",IF(J6309&lt;&gt;"","?FAMILIAR",IF(F6309="NEW",IF(ISNA(VLOOKUP(E6309,#REF!,1,FALSE())),"?TYPE_IDENTIFIABLE","?REFERENTIAL"),"_")))))</f>
        <v> </v>
      </c>
      <c r="H6309" s="24" t="str">
        <f>IF(J6309&lt;&gt;1,"",IF(I6309="SBJ","CB","?"))</f>
        <v> </v>
      </c>
      <c r="I6309" s="25" t="str">
        <f>IF(OR(E6309="",E6309="!!!",F6309="NEW"),"",INDEX(B6308:B$2,-1+SUMPRODUCT(MAX(ROW(E6308:E$2)*(E6309=E6308:E$2)))))</f>
        <v> </v>
      </c>
      <c r="J6309" s="25" t="str">
        <f>IF(OR(E6309="",E6309="!!!",F6309="NEW"),"",COUNTBLANK(OFFSET(A$1,,,SUMPRODUCT(MAX(ROW(E$2:E6309)*(E6309=E$2:E6309)))))-COUNTBLANK(OFFSET(A$1,,,SUMPRODUCT(MAX(ROW(E$1:E6308)*(E2=E$1:E6308))))))</f>
        <v> </v>
      </c>
      <c r="K6309" s="25" t="str">
        <f>IF(OR(E6309="",E6309="!!!",F6309="NEW"),"",INDEX(J$1:J6308,SUMPRODUCT(MAX(ROW(E$1:E6308)*(E6309=E$1:E6308)))))</f>
        <v> </v>
      </c>
      <c r="L6309" s="26"/>
    </row>
    <row r="6310" spans="1:12">
      <c r="A6310" s="20" t="s">
        <v>1040</v>
      </c>
      <c r="B6310" s="27" t="s">
        <v>1031</v>
      </c>
      <c r="C6310" s="27" t="s">
        <v>1087</v>
      </c>
      <c r="D6310" s="27" t="s">
        <v>932</v>
      </c>
      <c r="E6310" s="21">
        <f>IF(D6310="?OLD","!!!","")</f>
        <v/>
      </c>
      <c r="F6310" s="22" t="str">
        <f>IF(OR(E6310="",E6310="!!!"),"",IF(NOT(ISNA(VLOOKUP(E6310,E$1:E6309,1,FALSE()))),"OLD",IF(AND(E6310&lt;&gt;"",E6310&lt;&gt;"!!!"),"NEW","")))</f>
        <v> </v>
      </c>
      <c r="G6310" s="23" t="str">
        <f>IF(OR(E6310="",E6310="!!!"),"",IF(OR(J6310=0,AND(J6310=1,K6310=1),AND(J6310=1,I6310="SBJ"),AND(J6310=1,I6310=0)),"?IN_FOCUS",IF(J6310&lt;=2,"?ACTIVATED",IF(J6310&lt;&gt;"","?FAMILIAR",IF(F6310="NEW",IF(ISNA(VLOOKUP(E6310,#REF!,1,FALSE())),"?TYPE_IDENTIFIABLE","?REFERENTIAL"),"_")))))</f>
        <v> </v>
      </c>
      <c r="H6310" s="24" t="str">
        <f>IF(J6310&lt;&gt;1,"",IF(I6310="SBJ","CB","?"))</f>
        <v> </v>
      </c>
      <c r="I6310" s="25" t="str">
        <f>IF(OR(E6310="",E6310="!!!",F6310="NEW"),"",INDEX(B6309:B$2,-1+SUMPRODUCT(MAX(ROW(E6309:E$2)*(E6310=E6309:E$2)))))</f>
        <v> </v>
      </c>
      <c r="J6310" s="25" t="str">
        <f>IF(OR(E6310="",E6310="!!!",F6310="NEW"),"",COUNTBLANK(OFFSET(A$1,,,SUMPRODUCT(MAX(ROW(E$2:E6310)*(E6310=E$2:E6310)))))-COUNTBLANK(OFFSET(A$1,,,SUMPRODUCT(MAX(ROW(E$1:E6309)*(E2=E$1:E6309))))))</f>
        <v> </v>
      </c>
      <c r="K6310" s="25" t="str">
        <f>IF(OR(E6310="",E6310="!!!",F6310="NEW"),"",INDEX(J$1:J6309,SUMPRODUCT(MAX(ROW(E$1:E6309)*(E6310=E$1:E6309)))))</f>
        <v> </v>
      </c>
      <c r="L6310" s="26"/>
    </row>
    <row r="6311" spans="1:12">
      <c r="A6311" s="20" t="s">
        <v>1042</v>
      </c>
      <c r="E6311" s="21">
        <f>IF(D6311="?OLD","!!!","")</f>
        <v/>
      </c>
      <c r="F6311" s="22" t="str">
        <f>IF(OR(E6311="",E6311="!!!"),"",IF(NOT(ISNA(VLOOKUP(E6311,E$1:E6310,1,FALSE()))),"OLD",IF(AND(E6311&lt;&gt;"",E6311&lt;&gt;"!!!"),"NEW","")))</f>
        <v> </v>
      </c>
      <c r="G6311" s="23" t="str">
        <f>IF(OR(E6311="",E6311="!!!"),"",IF(OR(J6311=0,AND(J6311=1,K6311=1),AND(J6311=1,I6311="SBJ"),AND(J6311=1,I6311=0)),"?IN_FOCUS",IF(J6311&lt;=2,"?ACTIVATED",IF(J6311&lt;&gt;"","?FAMILIAR",IF(F6311="NEW",IF(ISNA(VLOOKUP(E6311,#REF!,1,FALSE())),"?TYPE_IDENTIFIABLE","?REFERENTIAL"),"_")))))</f>
        <v> </v>
      </c>
      <c r="H6311" s="24" t="str">
        <f>IF(J6311&lt;&gt;1,"",IF(I6311="SBJ","CB","?"))</f>
        <v> </v>
      </c>
      <c r="I6311" s="25" t="str">
        <f>IF(OR(E6311="",E6311="!!!",F6311="NEW"),"",INDEX(B6310:B$2,-1+SUMPRODUCT(MAX(ROW(E6310:E$2)*(E6311=E6310:E$2)))))</f>
        <v> </v>
      </c>
      <c r="J6311" s="25" t="str">
        <f>IF(OR(E6311="",E6311="!!!",F6311="NEW"),"",COUNTBLANK(OFFSET(A$1,,,SUMPRODUCT(MAX(ROW(E$2:E6311)*(E6311=E$2:E6311)))))-COUNTBLANK(OFFSET(A$1,,,SUMPRODUCT(MAX(ROW(E$1:E6310)*(E2=E$1:E6310))))))</f>
        <v> </v>
      </c>
      <c r="K6311" s="25" t="str">
        <f>IF(OR(E6311="",E6311="!!!",F6311="NEW"),"",INDEX(J$1:J6310,SUMPRODUCT(MAX(ROW(E$1:E6310)*(E6311=E$1:E6310)))))</f>
        <v> </v>
      </c>
      <c r="L6311" s="26"/>
    </row>
    <row r="6312" spans="1:12">
      <c r="A6312" s="20"/>
    </row>
    <row r="6313" spans="1:12">
      <c r="A6313" s="20" t="s">
        <v>2322</v>
      </c>
    </row>
    <row r="6314" spans="1:12">
      <c r="A6314" s="20" t="s">
        <v>929</v>
      </c>
      <c r="B6314" s="27" t="s">
        <v>930</v>
      </c>
      <c r="C6314" s="27" t="s">
        <v>931</v>
      </c>
      <c r="D6314" s="27" t="s">
        <v>932</v>
      </c>
      <c r="E6314" s="21">
        <f>IF(D6314="?OLD","!!!","")</f>
        <v/>
      </c>
      <c r="F6314" s="22" t="str">
        <f>IF(OR(E6314="",E6314="!!!"),"",IF(NOT(ISNA(VLOOKUP(E6314,E$1:E6313,1,FALSE()))),"OLD",IF(AND(E6314&lt;&gt;"",E6314&lt;&gt;"!!!"),"NEW","")))</f>
        <v> </v>
      </c>
      <c r="G6314" s="23" t="str">
        <f>IF(OR(E6314="",E6314="!!!"),"",IF(OR(J6314=0,AND(J6314=1,K6314=1),AND(J6314=1,I6314="SBJ"),AND(J6314=1,I6314=0)),"?IN_FOCUS",IF(J6314&lt;=2,"?ACTIVATED",IF(J6314&lt;&gt;"","?FAMILIAR",IF(F6314="NEW",IF(ISNA(VLOOKUP(E6314,#REF!,1,FALSE())),"?TYPE_IDENTIFIABLE","?REFERENTIAL"),"_")))))</f>
        <v> </v>
      </c>
      <c r="H6314" s="24" t="str">
        <f>IF(J6314&lt;&gt;1,"",IF(I6314="SBJ","CB","?"))</f>
        <v> </v>
      </c>
      <c r="I6314" s="25" t="str">
        <f>IF(OR(E6314="",E6314="!!!",F6314="NEW"),"",INDEX(B6313:B$2,-1+SUMPRODUCT(MAX(ROW(E6313:E$2)*(E6314=E6313:E$2)))))</f>
        <v> </v>
      </c>
      <c r="J6314" s="25" t="str">
        <f>IF(OR(E6314="",E6314="!!!",F6314="NEW"),"",COUNTBLANK(OFFSET(A$1,,,SUMPRODUCT(MAX(ROW(E$2:E6314)*(E6314=E$2:E6314)))))-COUNTBLANK(OFFSET(A$1,,,SUMPRODUCT(MAX(ROW(E$1:E6313)*(E2=E$1:E6313))))))</f>
        <v> </v>
      </c>
      <c r="K6314" s="25" t="str">
        <f>IF(OR(E6314="",E6314="!!!",F6314="NEW"),"",INDEX(J$1:J6313,SUMPRODUCT(MAX(ROW(E$1:E6313)*(E6314=E$1:E6313)))))</f>
        <v> </v>
      </c>
      <c r="L6314" s="26"/>
    </row>
    <row r="6315" spans="1:12">
      <c r="A6315" s="20" t="s">
        <v>903</v>
      </c>
      <c r="E6315" s="21">
        <f>IF(D6315="?OLD","!!!","")</f>
        <v/>
      </c>
      <c r="F6315" s="22" t="str">
        <f>IF(OR(E6315="",E6315="!!!"),"",IF(NOT(ISNA(VLOOKUP(E6315,E$1:E6314,1,FALSE()))),"OLD",IF(AND(E6315&lt;&gt;"",E6315&lt;&gt;"!!!"),"NEW","")))</f>
        <v> </v>
      </c>
      <c r="G6315" s="23" t="str">
        <f>IF(OR(E6315="",E6315="!!!"),"",IF(OR(J6315=0,AND(J6315=1,K6315=1),AND(J6315=1,I6315="SBJ"),AND(J6315=1,I6315=0)),"?IN_FOCUS",IF(J6315&lt;=2,"?ACTIVATED",IF(J6315&lt;&gt;"","?FAMILIAR",IF(F6315="NEW",IF(ISNA(VLOOKUP(E6315,#REF!,1,FALSE())),"?TYPE_IDENTIFIABLE","?REFERENTIAL"),"_")))))</f>
        <v> </v>
      </c>
      <c r="H6315" s="24" t="str">
        <f>IF(J6315&lt;&gt;1,"",IF(I6315="SBJ","CB","?"))</f>
        <v> </v>
      </c>
      <c r="I6315" s="25" t="str">
        <f>IF(OR(E6315="",E6315="!!!",F6315="NEW"),"",INDEX(B6314:B$2,-1+SUMPRODUCT(MAX(ROW(E6314:E$2)*(E6315=E6314:E$2)))))</f>
        <v> </v>
      </c>
      <c r="J6315" s="25" t="str">
        <f>IF(OR(E6315="",E6315="!!!",F6315="NEW"),"",COUNTBLANK(OFFSET(A$1,,,SUMPRODUCT(MAX(ROW(E$2:E6315)*(E6315=E$2:E6315)))))-COUNTBLANK(OFFSET(A$1,,,SUMPRODUCT(MAX(ROW(E$1:E6314)*(E2=E$1:E6314))))))</f>
        <v> </v>
      </c>
      <c r="K6315" s="25" t="str">
        <f>IF(OR(E6315="",E6315="!!!",F6315="NEW"),"",INDEX(J$1:J6314,SUMPRODUCT(MAX(ROW(E$1:E6314)*(E6315=E$1:E6314)))))</f>
        <v> </v>
      </c>
      <c r="L6315" s="26"/>
    </row>
    <row r="6316" spans="1:12">
      <c r="A6316" s="20" t="s">
        <v>954</v>
      </c>
      <c r="B6316" s="27" t="s">
        <v>988</v>
      </c>
      <c r="C6316" s="27" t="s">
        <v>931</v>
      </c>
      <c r="D6316" s="27" t="s">
        <v>932</v>
      </c>
      <c r="E6316" s="21">
        <f>IF(D6316="?OLD","!!!","")</f>
        <v/>
      </c>
      <c r="F6316" s="22" t="str">
        <f>IF(OR(E6316="",E6316="!!!"),"",IF(NOT(ISNA(VLOOKUP(E6316,E$1:E6315,1,FALSE()))),"OLD",IF(AND(E6316&lt;&gt;"",E6316&lt;&gt;"!!!"),"NEW","")))</f>
        <v> </v>
      </c>
      <c r="G6316" s="23" t="str">
        <f>IF(OR(E6316="",E6316="!!!"),"",IF(OR(J6316=0,AND(J6316=1,K6316=1),AND(J6316=1,I6316="SBJ"),AND(J6316=1,I6316=0)),"?IN_FOCUS",IF(J6316&lt;=2,"?ACTIVATED",IF(J6316&lt;&gt;"","?FAMILIAR",IF(F6316="NEW",IF(ISNA(VLOOKUP(E6316,#REF!,1,FALSE())),"?TYPE_IDENTIFIABLE","?REFERENTIAL"),"_")))))</f>
        <v> </v>
      </c>
      <c r="H6316" s="24" t="str">
        <f>IF(J6316&lt;&gt;1,"",IF(I6316="SBJ","CB","?"))</f>
        <v> </v>
      </c>
      <c r="I6316" s="25" t="str">
        <f>IF(OR(E6316="",E6316="!!!",F6316="NEW"),"",INDEX(B6315:B$2,-1+SUMPRODUCT(MAX(ROW(E6315:E$2)*(E6316=E6315:E$2)))))</f>
        <v> </v>
      </c>
      <c r="J6316" s="25" t="str">
        <f>IF(OR(E6316="",E6316="!!!",F6316="NEW"),"",COUNTBLANK(OFFSET(A$1,,,SUMPRODUCT(MAX(ROW(E$2:E6316)*(E6316=E$2:E6316)))))-COUNTBLANK(OFFSET(A$1,,,SUMPRODUCT(MAX(ROW(E$1:E6315)*(E2=E$1:E6315))))))</f>
        <v> </v>
      </c>
      <c r="K6316" s="25" t="str">
        <f>IF(OR(E6316="",E6316="!!!",F6316="NEW"),"",INDEX(J$1:J6315,SUMPRODUCT(MAX(ROW(E$1:E6315)*(E6316=E$1:E6315)))))</f>
        <v> </v>
      </c>
      <c r="L6316" s="26"/>
    </row>
    <row r="6317" spans="1:12">
      <c r="A6317" s="20" t="s">
        <v>1279</v>
      </c>
      <c r="E6317" s="21">
        <f>IF(D6317="?OLD","!!!","")</f>
        <v/>
      </c>
      <c r="F6317" s="22" t="str">
        <f>IF(OR(E6317="",E6317="!!!"),"",IF(NOT(ISNA(VLOOKUP(E6317,E$1:E6316,1,FALSE()))),"OLD",IF(AND(E6317&lt;&gt;"",E6317&lt;&gt;"!!!"),"NEW","")))</f>
        <v> </v>
      </c>
      <c r="G6317" s="23" t="str">
        <f>IF(OR(E6317="",E6317="!!!"),"",IF(OR(J6317=0,AND(J6317=1,K6317=1),AND(J6317=1,I6317="SBJ"),AND(J6317=1,I6317=0)),"?IN_FOCUS",IF(J6317&lt;=2,"?ACTIVATED",IF(J6317&lt;&gt;"","?FAMILIAR",IF(F6317="NEW",IF(ISNA(VLOOKUP(E6317,#REF!,1,FALSE())),"?TYPE_IDENTIFIABLE","?REFERENTIAL"),"_")))))</f>
        <v> </v>
      </c>
      <c r="H6317" s="24" t="str">
        <f>IF(J6317&lt;&gt;1,"",IF(I6317="SBJ","CB","?"))</f>
        <v> </v>
      </c>
      <c r="I6317" s="25" t="str">
        <f>IF(OR(E6317="",E6317="!!!",F6317="NEW"),"",INDEX(B6316:B$2,-1+SUMPRODUCT(MAX(ROW(E6316:E$2)*(E6317=E6316:E$2)))))</f>
        <v> </v>
      </c>
      <c r="J6317" s="25" t="str">
        <f>IF(OR(E6317="",E6317="!!!",F6317="NEW"),"",COUNTBLANK(OFFSET(A$1,,,SUMPRODUCT(MAX(ROW(E$2:E6317)*(E6317=E$2:E6317)))))-COUNTBLANK(OFFSET(A$1,,,SUMPRODUCT(MAX(ROW(E$1:E6316)*(E2=E$1:E6316))))))</f>
        <v> </v>
      </c>
      <c r="K6317" s="25" t="str">
        <f>IF(OR(E6317="",E6317="!!!",F6317="NEW"),"",INDEX(J$1:J6316,SUMPRODUCT(MAX(ROW(E$1:E6316)*(E6317=E$1:E6316)))))</f>
        <v> </v>
      </c>
      <c r="L6317" s="26"/>
    </row>
    <row r="6318" spans="1:12">
      <c r="A6318" s="20" t="s">
        <v>954</v>
      </c>
      <c r="B6318" s="27" t="s">
        <v>968</v>
      </c>
      <c r="C6318" s="27" t="s">
        <v>931</v>
      </c>
      <c r="D6318" s="27" t="s">
        <v>932</v>
      </c>
      <c r="E6318" s="21">
        <f>IF(D6318="?OLD","!!!","")</f>
        <v/>
      </c>
      <c r="F6318" s="22" t="str">
        <f>IF(OR(E6318="",E6318="!!!"),"",IF(NOT(ISNA(VLOOKUP(E6318,E$1:E6317,1,FALSE()))),"OLD",IF(AND(E6318&lt;&gt;"",E6318&lt;&gt;"!!!"),"NEW","")))</f>
        <v> </v>
      </c>
      <c r="G6318" s="23" t="str">
        <f>IF(OR(E6318="",E6318="!!!"),"",IF(OR(J6318=0,AND(J6318=1,K6318=1),AND(J6318=1,I6318="SBJ"),AND(J6318=1,I6318=0)),"?IN_FOCUS",IF(J6318&lt;=2,"?ACTIVATED",IF(J6318&lt;&gt;"","?FAMILIAR",IF(F6318="NEW",IF(ISNA(VLOOKUP(E6318,#REF!,1,FALSE())),"?TYPE_IDENTIFIABLE","?REFERENTIAL"),"_")))))</f>
        <v> </v>
      </c>
      <c r="H6318" s="24" t="str">
        <f>IF(J6318&lt;&gt;1,"",IF(I6318="SBJ","CB","?"))</f>
        <v> </v>
      </c>
      <c r="I6318" s="25" t="str">
        <f>IF(OR(E6318="",E6318="!!!",F6318="NEW"),"",INDEX(B6317:B$2,-1+SUMPRODUCT(MAX(ROW(E6317:E$2)*(E6318=E6317:E$2)))))</f>
        <v> </v>
      </c>
      <c r="J6318" s="25" t="str">
        <f>IF(OR(E6318="",E6318="!!!",F6318="NEW"),"",COUNTBLANK(OFFSET(A$1,,,SUMPRODUCT(MAX(ROW(E$2:E6318)*(E6318=E$2:E6318)))))-COUNTBLANK(OFFSET(A$1,,,SUMPRODUCT(MAX(ROW(E$1:E6317)*(E2=E$1:E6317))))))</f>
        <v> </v>
      </c>
      <c r="K6318" s="25" t="str">
        <f>IF(OR(E6318="",E6318="!!!",F6318="NEW"),"",INDEX(J$1:J6317,SUMPRODUCT(MAX(ROW(E$1:E6317)*(E6318=E$1:E6317)))))</f>
        <v> </v>
      </c>
      <c r="L6318" s="26"/>
    </row>
    <row r="6319" spans="1:12">
      <c r="A6319" s="20" t="s">
        <v>1599</v>
      </c>
      <c r="E6319" s="21">
        <f>IF(D6319="?OLD","!!!","")</f>
        <v/>
      </c>
      <c r="F6319" s="22" t="str">
        <f>IF(OR(E6319="",E6319="!!!"),"",IF(NOT(ISNA(VLOOKUP(E6319,E$1:E6318,1,FALSE()))),"OLD",IF(AND(E6319&lt;&gt;"",E6319&lt;&gt;"!!!"),"NEW","")))</f>
        <v> </v>
      </c>
      <c r="G6319" s="23" t="str">
        <f>IF(OR(E6319="",E6319="!!!"),"",IF(OR(J6319=0,AND(J6319=1,K6319=1),AND(J6319=1,I6319="SBJ"),AND(J6319=1,I6319=0)),"?IN_FOCUS",IF(J6319&lt;=2,"?ACTIVATED",IF(J6319&lt;&gt;"","?FAMILIAR",IF(F6319="NEW",IF(ISNA(VLOOKUP(E6319,#REF!,1,FALSE())),"?TYPE_IDENTIFIABLE","?REFERENTIAL"),"_")))))</f>
        <v> </v>
      </c>
      <c r="H6319" s="24" t="str">
        <f>IF(J6319&lt;&gt;1,"",IF(I6319="SBJ","CB","?"))</f>
        <v> </v>
      </c>
      <c r="I6319" s="25" t="str">
        <f>IF(OR(E6319="",E6319="!!!",F6319="NEW"),"",INDEX(B6318:B$2,-1+SUMPRODUCT(MAX(ROW(E6318:E$2)*(E6319=E6318:E$2)))))</f>
        <v> </v>
      </c>
      <c r="J6319" s="25" t="str">
        <f>IF(OR(E6319="",E6319="!!!",F6319="NEW"),"",COUNTBLANK(OFFSET(A$1,,,SUMPRODUCT(MAX(ROW(E$2:E6319)*(E6319=E$2:E6319)))))-COUNTBLANK(OFFSET(A$1,,,SUMPRODUCT(MAX(ROW(E$1:E6318)*(E2=E$1:E6318))))))</f>
        <v> </v>
      </c>
      <c r="K6319" s="25" t="str">
        <f>IF(OR(E6319="",E6319="!!!",F6319="NEW"),"",INDEX(J$1:J6318,SUMPRODUCT(MAX(ROW(E$1:E6318)*(E6319=E$1:E6318)))))</f>
        <v> </v>
      </c>
      <c r="L6319" s="26"/>
    </row>
    <row r="6320" spans="1:12">
      <c r="A6320" s="20" t="s">
        <v>2323</v>
      </c>
      <c r="E6320" s="21">
        <f>IF(D6320="?OLD","!!!","")</f>
        <v/>
      </c>
      <c r="F6320" s="22" t="str">
        <f>IF(OR(E6320="",E6320="!!!"),"",IF(NOT(ISNA(VLOOKUP(E6320,E$1:E6319,1,FALSE()))),"OLD",IF(AND(E6320&lt;&gt;"",E6320&lt;&gt;"!!!"),"NEW","")))</f>
        <v> </v>
      </c>
      <c r="G6320" s="23" t="str">
        <f>IF(OR(E6320="",E6320="!!!"),"",IF(OR(J6320=0,AND(J6320=1,K6320=1),AND(J6320=1,I6320="SBJ"),AND(J6320=1,I6320=0)),"?IN_FOCUS",IF(J6320&lt;=2,"?ACTIVATED",IF(J6320&lt;&gt;"","?FAMILIAR",IF(F6320="NEW",IF(ISNA(VLOOKUP(E6320,#REF!,1,FALSE())),"?TYPE_IDENTIFIABLE","?REFERENTIAL"),"_")))))</f>
        <v> </v>
      </c>
      <c r="H6320" s="24" t="str">
        <f>IF(J6320&lt;&gt;1,"",IF(I6320="SBJ","CB","?"))</f>
        <v> </v>
      </c>
      <c r="I6320" s="25" t="str">
        <f>IF(OR(E6320="",E6320="!!!",F6320="NEW"),"",INDEX(B6319:B$2,-1+SUMPRODUCT(MAX(ROW(E6319:E$2)*(E6320=E6319:E$2)))))</f>
        <v> </v>
      </c>
      <c r="J6320" s="25" t="str">
        <f>IF(OR(E6320="",E6320="!!!",F6320="NEW"),"",COUNTBLANK(OFFSET(A$1,,,SUMPRODUCT(MAX(ROW(E$2:E6320)*(E6320=E$2:E6320)))))-COUNTBLANK(OFFSET(A$1,,,SUMPRODUCT(MAX(ROW(E$1:E6319)*(E2=E$1:E6319))))))</f>
        <v> </v>
      </c>
      <c r="K6320" s="25" t="str">
        <f>IF(OR(E6320="",E6320="!!!",F6320="NEW"),"",INDEX(J$1:J6319,SUMPRODUCT(MAX(ROW(E$1:E6319)*(E6320=E$1:E6319)))))</f>
        <v> </v>
      </c>
      <c r="L6320" s="26"/>
    </row>
    <row r="6321" spans="1:12">
      <c r="A6321" s="20" t="s">
        <v>1064</v>
      </c>
      <c r="B6321" s="27" t="s">
        <v>991</v>
      </c>
      <c r="C6321" s="27" t="s">
        <v>931</v>
      </c>
      <c r="D6321" s="27" t="s">
        <v>932</v>
      </c>
      <c r="E6321" s="21">
        <f>IF(D6321="?OLD","!!!","")</f>
        <v/>
      </c>
      <c r="F6321" s="22" t="str">
        <f>IF(OR(E6321="",E6321="!!!"),"",IF(NOT(ISNA(VLOOKUP(E6321,E$1:E6320,1,FALSE()))),"OLD",IF(AND(E6321&lt;&gt;"",E6321&lt;&gt;"!!!"),"NEW","")))</f>
        <v> </v>
      </c>
      <c r="G6321" s="23" t="str">
        <f>IF(OR(E6321="",E6321="!!!"),"",IF(OR(J6321=0,AND(J6321=1,K6321=1),AND(J6321=1,I6321="SBJ"),AND(J6321=1,I6321=0)),"?IN_FOCUS",IF(J6321&lt;=2,"?ACTIVATED",IF(J6321&lt;&gt;"","?FAMILIAR",IF(F6321="NEW",IF(ISNA(VLOOKUP(E6321,#REF!,1,FALSE())),"?TYPE_IDENTIFIABLE","?REFERENTIAL"),"_")))))</f>
        <v> </v>
      </c>
      <c r="H6321" s="24" t="str">
        <f>IF(J6321&lt;&gt;1,"",IF(I6321="SBJ","CB","?"))</f>
        <v> </v>
      </c>
      <c r="I6321" s="25" t="str">
        <f>IF(OR(E6321="",E6321="!!!",F6321="NEW"),"",INDEX(B6320:B$2,-1+SUMPRODUCT(MAX(ROW(E6320:E$2)*(E6321=E6320:E$2)))))</f>
        <v> </v>
      </c>
      <c r="J6321" s="25" t="str">
        <f>IF(OR(E6321="",E6321="!!!",F6321="NEW"),"",COUNTBLANK(OFFSET(A$1,,,SUMPRODUCT(MAX(ROW(E$2:E6321)*(E6321=E$2:E6321)))))-COUNTBLANK(OFFSET(A$1,,,SUMPRODUCT(MAX(ROW(E$1:E6320)*(E2=E$1:E6320))))))</f>
        <v> </v>
      </c>
      <c r="K6321" s="25" t="str">
        <f>IF(OR(E6321="",E6321="!!!",F6321="NEW"),"",INDEX(J$1:J6320,SUMPRODUCT(MAX(ROW(E$1:E6320)*(E6321=E$1:E6320)))))</f>
        <v> </v>
      </c>
      <c r="L6321" s="26"/>
    </row>
    <row r="6322" spans="1:12">
      <c r="A6322" s="20" t="s">
        <v>947</v>
      </c>
      <c r="E6322" s="21">
        <f>IF(D6322="?OLD","!!!","")</f>
        <v/>
      </c>
      <c r="F6322" s="22" t="str">
        <f>IF(OR(E6322="",E6322="!!!"),"",IF(NOT(ISNA(VLOOKUP(E6322,E$1:E6321,1,FALSE()))),"OLD",IF(AND(E6322&lt;&gt;"",E6322&lt;&gt;"!!!"),"NEW","")))</f>
        <v> </v>
      </c>
      <c r="G6322" s="23" t="str">
        <f>IF(OR(E6322="",E6322="!!!"),"",IF(OR(J6322=0,AND(J6322=1,K6322=1),AND(J6322=1,I6322="SBJ"),AND(J6322=1,I6322=0)),"?IN_FOCUS",IF(J6322&lt;=2,"?ACTIVATED",IF(J6322&lt;&gt;"","?FAMILIAR",IF(F6322="NEW",IF(ISNA(VLOOKUP(E6322,#REF!,1,FALSE())),"?TYPE_IDENTIFIABLE","?REFERENTIAL"),"_")))))</f>
        <v> </v>
      </c>
      <c r="H6322" s="24" t="str">
        <f>IF(J6322&lt;&gt;1,"",IF(I6322="SBJ","CB","?"))</f>
        <v> </v>
      </c>
      <c r="I6322" s="25" t="str">
        <f>IF(OR(E6322="",E6322="!!!",F6322="NEW"),"",INDEX(B6321:B$2,-1+SUMPRODUCT(MAX(ROW(E6321:E$2)*(E6322=E6321:E$2)))))</f>
        <v> </v>
      </c>
      <c r="J6322" s="25" t="str">
        <f>IF(OR(E6322="",E6322="!!!",F6322="NEW"),"",COUNTBLANK(OFFSET(A$1,,,SUMPRODUCT(MAX(ROW(E$2:E6322)*(E6322=E$2:E6322)))))-COUNTBLANK(OFFSET(A$1,,,SUMPRODUCT(MAX(ROW(E$1:E6321)*(E2=E$1:E6321))))))</f>
        <v> </v>
      </c>
      <c r="K6322" s="25" t="str">
        <f>IF(OR(E6322="",E6322="!!!",F6322="NEW"),"",INDEX(J$1:J6321,SUMPRODUCT(MAX(ROW(E$1:E6321)*(E6322=E$1:E6321)))))</f>
        <v> </v>
      </c>
      <c r="L6322" s="26"/>
    </row>
    <row r="6323" spans="1:12">
      <c r="A6323" s="20" t="s">
        <v>54</v>
      </c>
      <c r="E6323" s="21">
        <f>IF(D6323="?OLD","!!!","")</f>
        <v/>
      </c>
      <c r="F6323" s="22" t="str">
        <f>IF(OR(E6323="",E6323="!!!"),"",IF(NOT(ISNA(VLOOKUP(E6323,E$1:E6322,1,FALSE()))),"OLD",IF(AND(E6323&lt;&gt;"",E6323&lt;&gt;"!!!"),"NEW","")))</f>
        <v> </v>
      </c>
      <c r="G6323" s="23" t="str">
        <f>IF(OR(E6323="",E6323="!!!"),"",IF(OR(J6323=0,AND(J6323=1,K6323=1),AND(J6323=1,I6323="SBJ"),AND(J6323=1,I6323=0)),"?IN_FOCUS",IF(J6323&lt;=2,"?ACTIVATED",IF(J6323&lt;&gt;"","?FAMILIAR",IF(F6323="NEW",IF(ISNA(VLOOKUP(E6323,#REF!,1,FALSE())),"?TYPE_IDENTIFIABLE","?REFERENTIAL"),"_")))))</f>
        <v> </v>
      </c>
      <c r="H6323" s="24" t="str">
        <f>IF(J6323&lt;&gt;1,"",IF(I6323="SBJ","CB","?"))</f>
        <v> </v>
      </c>
      <c r="I6323" s="25" t="str">
        <f>IF(OR(E6323="",E6323="!!!",F6323="NEW"),"",INDEX(B6322:B$2,-1+SUMPRODUCT(MAX(ROW(E6322:E$2)*(E6323=E6322:E$2)))))</f>
        <v> </v>
      </c>
      <c r="J6323" s="25" t="str">
        <f>IF(OR(E6323="",E6323="!!!",F6323="NEW"),"",COUNTBLANK(OFFSET(A$1,,,SUMPRODUCT(MAX(ROW(E$2:E6323)*(E6323=E$2:E6323)))))-COUNTBLANK(OFFSET(A$1,,,SUMPRODUCT(MAX(ROW(E$1:E6322)*(E2=E$1:E6322))))))</f>
        <v> </v>
      </c>
      <c r="K6323" s="25" t="str">
        <f>IF(OR(E6323="",E6323="!!!",F6323="NEW"),"",INDEX(J$1:J6322,SUMPRODUCT(MAX(ROW(E$1:E6322)*(E6323=E$1:E6322)))))</f>
        <v> </v>
      </c>
      <c r="L6323" s="26"/>
    </row>
    <row r="6324" spans="1:12">
      <c r="A6324" s="20" t="s">
        <v>944</v>
      </c>
      <c r="E6324" s="21">
        <f>IF(D6324="?OLD","!!!","")</f>
        <v/>
      </c>
      <c r="F6324" s="22" t="str">
        <f>IF(OR(E6324="",E6324="!!!"),"",IF(NOT(ISNA(VLOOKUP(E6324,E$1:E6323,1,FALSE()))),"OLD",IF(AND(E6324&lt;&gt;"",E6324&lt;&gt;"!!!"),"NEW","")))</f>
        <v> </v>
      </c>
      <c r="G6324" s="23" t="str">
        <f>IF(OR(E6324="",E6324="!!!"),"",IF(OR(J6324=0,AND(J6324=1,K6324=1),AND(J6324=1,I6324="SBJ"),AND(J6324=1,I6324=0)),"?IN_FOCUS",IF(J6324&lt;=2,"?ACTIVATED",IF(J6324&lt;&gt;"","?FAMILIAR",IF(F6324="NEW",IF(ISNA(VLOOKUP(E6324,#REF!,1,FALSE())),"?TYPE_IDENTIFIABLE","?REFERENTIAL"),"_")))))</f>
        <v> </v>
      </c>
      <c r="H6324" s="24" t="str">
        <f>IF(J6324&lt;&gt;1,"",IF(I6324="SBJ","CB","?"))</f>
        <v> </v>
      </c>
      <c r="I6324" s="25" t="str">
        <f>IF(OR(E6324="",E6324="!!!",F6324="NEW"),"",INDEX(B6323:B$2,-1+SUMPRODUCT(MAX(ROW(E6323:E$2)*(E6324=E6323:E$2)))))</f>
        <v> </v>
      </c>
      <c r="J6324" s="25" t="str">
        <f>IF(OR(E6324="",E6324="!!!",F6324="NEW"),"",COUNTBLANK(OFFSET(A$1,,,SUMPRODUCT(MAX(ROW(E$2:E6324)*(E6324=E$2:E6324)))))-COUNTBLANK(OFFSET(A$1,,,SUMPRODUCT(MAX(ROW(E$1:E6323)*(E2=E$1:E6323))))))</f>
        <v> </v>
      </c>
      <c r="K6324" s="25" t="str">
        <f>IF(OR(E6324="",E6324="!!!",F6324="NEW"),"",INDEX(J$1:J6323,SUMPRODUCT(MAX(ROW(E$1:E6323)*(E6324=E$1:E6323)))))</f>
        <v> </v>
      </c>
      <c r="L6324" s="26"/>
    </row>
    <row r="6325" spans="1:12">
      <c r="A6325" s="20" t="s">
        <v>2324</v>
      </c>
      <c r="E6325" s="21">
        <f>IF(D6325="?OLD","!!!","")</f>
        <v/>
      </c>
      <c r="F6325" s="22" t="str">
        <f>IF(OR(E6325="",E6325="!!!"),"",IF(NOT(ISNA(VLOOKUP(E6325,E$1:E6324,1,FALSE()))),"OLD",IF(AND(E6325&lt;&gt;"",E6325&lt;&gt;"!!!"),"NEW","")))</f>
        <v> </v>
      </c>
      <c r="G6325" s="23" t="str">
        <f>IF(OR(E6325="",E6325="!!!"),"",IF(OR(J6325=0,AND(J6325=1,K6325=1),AND(J6325=1,I6325="SBJ"),AND(J6325=1,I6325=0)),"?IN_FOCUS",IF(J6325&lt;=2,"?ACTIVATED",IF(J6325&lt;&gt;"","?FAMILIAR",IF(F6325="NEW",IF(ISNA(VLOOKUP(E6325,#REF!,1,FALSE())),"?TYPE_IDENTIFIABLE","?REFERENTIAL"),"_")))))</f>
        <v> </v>
      </c>
      <c r="H6325" s="24" t="str">
        <f>IF(J6325&lt;&gt;1,"",IF(I6325="SBJ","CB","?"))</f>
        <v> </v>
      </c>
      <c r="I6325" s="25" t="str">
        <f>IF(OR(E6325="",E6325="!!!",F6325="NEW"),"",INDEX(B6324:B$2,-1+SUMPRODUCT(MAX(ROW(E6324:E$2)*(E6325=E6324:E$2)))))</f>
        <v> </v>
      </c>
      <c r="J6325" s="25" t="str">
        <f>IF(OR(E6325="",E6325="!!!",F6325="NEW"),"",COUNTBLANK(OFFSET(A$1,,,SUMPRODUCT(MAX(ROW(E$2:E6325)*(E6325=E$2:E6325)))))-COUNTBLANK(OFFSET(A$1,,,SUMPRODUCT(MAX(ROW(E$1:E6324)*(E2=E$1:E6324))))))</f>
        <v> </v>
      </c>
      <c r="K6325" s="25" t="str">
        <f>IF(OR(E6325="",E6325="!!!",F6325="NEW"),"",INDEX(J$1:J6324,SUMPRODUCT(MAX(ROW(E$1:E6324)*(E6325=E$1:E6324)))))</f>
        <v> </v>
      </c>
      <c r="L6325" s="26"/>
    </row>
    <row r="6326" spans="1:12">
      <c r="A6326" s="20" t="s">
        <v>947</v>
      </c>
      <c r="E6326" s="21">
        <f>IF(D6326="?OLD","!!!","")</f>
        <v/>
      </c>
      <c r="F6326" s="22" t="str">
        <f>IF(OR(E6326="",E6326="!!!"),"",IF(NOT(ISNA(VLOOKUP(E6326,E$1:E6325,1,FALSE()))),"OLD",IF(AND(E6326&lt;&gt;"",E6326&lt;&gt;"!!!"),"NEW","")))</f>
        <v> </v>
      </c>
      <c r="G6326" s="23" t="str">
        <f>IF(OR(E6326="",E6326="!!!"),"",IF(OR(J6326=0,AND(J6326=1,K6326=1),AND(J6326=1,I6326="SBJ"),AND(J6326=1,I6326=0)),"?IN_FOCUS",IF(J6326&lt;=2,"?ACTIVATED",IF(J6326&lt;&gt;"","?FAMILIAR",IF(F6326="NEW",IF(ISNA(VLOOKUP(E6326,#REF!,1,FALSE())),"?TYPE_IDENTIFIABLE","?REFERENTIAL"),"_")))))</f>
        <v> </v>
      </c>
      <c r="H6326" s="24" t="str">
        <f>IF(J6326&lt;&gt;1,"",IF(I6326="SBJ","CB","?"))</f>
        <v> </v>
      </c>
      <c r="I6326" s="25" t="str">
        <f>IF(OR(E6326="",E6326="!!!",F6326="NEW"),"",INDEX(B6325:B$2,-1+SUMPRODUCT(MAX(ROW(E6325:E$2)*(E6326=E6325:E$2)))))</f>
        <v> </v>
      </c>
      <c r="J6326" s="25" t="str">
        <f>IF(OR(E6326="",E6326="!!!",F6326="NEW"),"",COUNTBLANK(OFFSET(A$1,,,SUMPRODUCT(MAX(ROW(E$2:E6326)*(E6326=E$2:E6326)))))-COUNTBLANK(OFFSET(A$1,,,SUMPRODUCT(MAX(ROW(E$1:E6325)*(E2=E$1:E6325))))))</f>
        <v> </v>
      </c>
      <c r="K6326" s="25" t="str">
        <f>IF(OR(E6326="",E6326="!!!",F6326="NEW"),"",INDEX(J$1:J6325,SUMPRODUCT(MAX(ROW(E$1:E6325)*(E6326=E$1:E6325)))))</f>
        <v> </v>
      </c>
      <c r="L6326" s="26"/>
    </row>
    <row r="6327" spans="1:12">
      <c r="A6327" s="20" t="s">
        <v>2158</v>
      </c>
      <c r="E6327" s="21">
        <f>IF(D6327="?OLD","!!!","")</f>
        <v/>
      </c>
      <c r="F6327" s="22" t="str">
        <f>IF(OR(E6327="",E6327="!!!"),"",IF(NOT(ISNA(VLOOKUP(E6327,E$1:E6326,1,FALSE()))),"OLD",IF(AND(E6327&lt;&gt;"",E6327&lt;&gt;"!!!"),"NEW","")))</f>
        <v> </v>
      </c>
      <c r="G6327" s="23" t="str">
        <f>IF(OR(E6327="",E6327="!!!"),"",IF(OR(J6327=0,AND(J6327=1,K6327=1),AND(J6327=1,I6327="SBJ"),AND(J6327=1,I6327=0)),"?IN_FOCUS",IF(J6327&lt;=2,"?ACTIVATED",IF(J6327&lt;&gt;"","?FAMILIAR",IF(F6327="NEW",IF(ISNA(VLOOKUP(E6327,#REF!,1,FALSE())),"?TYPE_IDENTIFIABLE","?REFERENTIAL"),"_")))))</f>
        <v> </v>
      </c>
      <c r="H6327" s="24" t="str">
        <f>IF(J6327&lt;&gt;1,"",IF(I6327="SBJ","CB","?"))</f>
        <v> </v>
      </c>
      <c r="I6327" s="25" t="str">
        <f>IF(OR(E6327="",E6327="!!!",F6327="NEW"),"",INDEX(B6326:B$2,-1+SUMPRODUCT(MAX(ROW(E6326:E$2)*(E6327=E6326:E$2)))))</f>
        <v> </v>
      </c>
      <c r="J6327" s="25" t="str">
        <f>IF(OR(E6327="",E6327="!!!",F6327="NEW"),"",COUNTBLANK(OFFSET(A$1,,,SUMPRODUCT(MAX(ROW(E$2:E6327)*(E6327=E$2:E6327)))))-COUNTBLANK(OFFSET(A$1,,,SUMPRODUCT(MAX(ROW(E$1:E6326)*(E2=E$1:E6326))))))</f>
        <v> </v>
      </c>
      <c r="K6327" s="25" t="str">
        <f>IF(OR(E6327="",E6327="!!!",F6327="NEW"),"",INDEX(J$1:J6326,SUMPRODUCT(MAX(ROW(E$1:E6326)*(E6327=E$1:E6326)))))</f>
        <v> </v>
      </c>
      <c r="L6327" s="26"/>
    </row>
    <row r="6328" spans="1:12">
      <c r="A6328" s="20" t="s">
        <v>1042</v>
      </c>
      <c r="E6328" s="21">
        <f>IF(D6328="?OLD","!!!","")</f>
        <v/>
      </c>
      <c r="F6328" s="22" t="str">
        <f>IF(OR(E6328="",E6328="!!!"),"",IF(NOT(ISNA(VLOOKUP(E6328,E$1:E6327,1,FALSE()))),"OLD",IF(AND(E6328&lt;&gt;"",E6328&lt;&gt;"!!!"),"NEW","")))</f>
        <v> </v>
      </c>
      <c r="G6328" s="23" t="str">
        <f>IF(OR(E6328="",E6328="!!!"),"",IF(OR(J6328=0,AND(J6328=1,K6328=1),AND(J6328=1,I6328="SBJ"),AND(J6328=1,I6328=0)),"?IN_FOCUS",IF(J6328&lt;=2,"?ACTIVATED",IF(J6328&lt;&gt;"","?FAMILIAR",IF(F6328="NEW",IF(ISNA(VLOOKUP(E6328,#REF!,1,FALSE())),"?TYPE_IDENTIFIABLE","?REFERENTIAL"),"_")))))</f>
        <v> </v>
      </c>
      <c r="H6328" s="24" t="str">
        <f>IF(J6328&lt;&gt;1,"",IF(I6328="SBJ","CB","?"))</f>
        <v> </v>
      </c>
      <c r="I6328" s="25" t="str">
        <f>IF(OR(E6328="",E6328="!!!",F6328="NEW"),"",INDEX(B6327:B$2,-1+SUMPRODUCT(MAX(ROW(E6327:E$2)*(E6328=E6327:E$2)))))</f>
        <v> </v>
      </c>
      <c r="J6328" s="25" t="str">
        <f>IF(OR(E6328="",E6328="!!!",F6328="NEW"),"",COUNTBLANK(OFFSET(A$1,,,SUMPRODUCT(MAX(ROW(E$2:E6328)*(E6328=E$2:E6328)))))-COUNTBLANK(OFFSET(A$1,,,SUMPRODUCT(MAX(ROW(E$1:E6327)*(E2=E$1:E6327))))))</f>
        <v> </v>
      </c>
      <c r="K6328" s="25" t="str">
        <f>IF(OR(E6328="",E6328="!!!",F6328="NEW"),"",INDEX(J$1:J6327,SUMPRODUCT(MAX(ROW(E$1:E6327)*(E6328=E$1:E6327)))))</f>
        <v> </v>
      </c>
      <c r="L6328" s="26"/>
    </row>
    <row r="6329" spans="1:12">
      <c r="A6329" s="20"/>
    </row>
    <row r="6330" spans="1:12">
      <c r="A6330" s="20" t="s">
        <v>2325</v>
      </c>
    </row>
    <row r="6331" spans="1:12">
      <c r="A6331" s="20" t="s">
        <v>929</v>
      </c>
      <c r="B6331" s="27" t="s">
        <v>930</v>
      </c>
      <c r="C6331" s="27" t="s">
        <v>931</v>
      </c>
      <c r="D6331" s="27" t="s">
        <v>932</v>
      </c>
      <c r="E6331" s="21">
        <f>IF(D6331="?OLD","!!!","")</f>
        <v/>
      </c>
      <c r="F6331" s="22" t="str">
        <f>IF(OR(E6331="",E6331="!!!"),"",IF(NOT(ISNA(VLOOKUP(E6331,E$1:E6330,1,FALSE()))),"OLD",IF(AND(E6331&lt;&gt;"",E6331&lt;&gt;"!!!"),"NEW","")))</f>
        <v> </v>
      </c>
      <c r="G6331" s="23" t="str">
        <f>IF(OR(E6331="",E6331="!!!"),"",IF(OR(J6331=0,AND(J6331=1,K6331=1),AND(J6331=1,I6331="SBJ"),AND(J6331=1,I6331=0)),"?IN_FOCUS",IF(J6331&lt;=2,"?ACTIVATED",IF(J6331&lt;&gt;"","?FAMILIAR",IF(F6331="NEW",IF(ISNA(VLOOKUP(E6331,#REF!,1,FALSE())),"?TYPE_IDENTIFIABLE","?REFERENTIAL"),"_")))))</f>
        <v> </v>
      </c>
      <c r="H6331" s="24" t="str">
        <f>IF(J6331&lt;&gt;1,"",IF(I6331="SBJ","CB","?"))</f>
        <v> </v>
      </c>
      <c r="I6331" s="25" t="str">
        <f>IF(OR(E6331="",E6331="!!!",F6331="NEW"),"",INDEX(B6330:B$2,-1+SUMPRODUCT(MAX(ROW(E6330:E$2)*(E6331=E6330:E$2)))))</f>
        <v> </v>
      </c>
      <c r="J6331" s="25" t="str">
        <f>IF(OR(E6331="",E6331="!!!",F6331="NEW"),"",COUNTBLANK(OFFSET(A$1,,,SUMPRODUCT(MAX(ROW(E$2:E6331)*(E6331=E$2:E6331)))))-COUNTBLANK(OFFSET(A$1,,,SUMPRODUCT(MAX(ROW(E$1:E6330)*(E2=E$1:E6330))))))</f>
        <v> </v>
      </c>
      <c r="K6331" s="25" t="str">
        <f>IF(OR(E6331="",E6331="!!!",F6331="NEW"),"",INDEX(J$1:J6330,SUMPRODUCT(MAX(ROW(E$1:E6330)*(E6331=E$1:E6330)))))</f>
        <v> </v>
      </c>
      <c r="L6331" s="26"/>
    </row>
    <row r="6332" spans="1:12">
      <c r="A6332" s="20" t="s">
        <v>903</v>
      </c>
      <c r="E6332" s="21">
        <f>IF(D6332="?OLD","!!!","")</f>
        <v/>
      </c>
      <c r="F6332" s="22" t="str">
        <f>IF(OR(E6332="",E6332="!!!"),"",IF(NOT(ISNA(VLOOKUP(E6332,E$1:E6331,1,FALSE()))),"OLD",IF(AND(E6332&lt;&gt;"",E6332&lt;&gt;"!!!"),"NEW","")))</f>
        <v> </v>
      </c>
      <c r="G6332" s="23" t="str">
        <f>IF(OR(E6332="",E6332="!!!"),"",IF(OR(J6332=0,AND(J6332=1,K6332=1),AND(J6332=1,I6332="SBJ"),AND(J6332=1,I6332=0)),"?IN_FOCUS",IF(J6332&lt;=2,"?ACTIVATED",IF(J6332&lt;&gt;"","?FAMILIAR",IF(F6332="NEW",IF(ISNA(VLOOKUP(E6332,#REF!,1,FALSE())),"?TYPE_IDENTIFIABLE","?REFERENTIAL"),"_")))))</f>
        <v> </v>
      </c>
      <c r="H6332" s="24" t="str">
        <f>IF(J6332&lt;&gt;1,"",IF(I6332="SBJ","CB","?"))</f>
        <v> </v>
      </c>
      <c r="I6332" s="25" t="str">
        <f>IF(OR(E6332="",E6332="!!!",F6332="NEW"),"",INDEX(B6331:B$2,-1+SUMPRODUCT(MAX(ROW(E6331:E$2)*(E6332=E6331:E$2)))))</f>
        <v> </v>
      </c>
      <c r="J6332" s="25" t="str">
        <f>IF(OR(E6332="",E6332="!!!",F6332="NEW"),"",COUNTBLANK(OFFSET(A$1,,,SUMPRODUCT(MAX(ROW(E$2:E6332)*(E6332=E$2:E6332)))))-COUNTBLANK(OFFSET(A$1,,,SUMPRODUCT(MAX(ROW(E$1:E6331)*(E2=E$1:E6331))))))</f>
        <v> </v>
      </c>
      <c r="K6332" s="25" t="str">
        <f>IF(OR(E6332="",E6332="!!!",F6332="NEW"),"",INDEX(J$1:J6331,SUMPRODUCT(MAX(ROW(E$1:E6331)*(E6332=E$1:E6331)))))</f>
        <v> </v>
      </c>
      <c r="L6332" s="26"/>
    </row>
    <row r="6333" spans="1:12">
      <c r="A6333" s="20" t="s">
        <v>954</v>
      </c>
      <c r="B6333" s="27" t="s">
        <v>988</v>
      </c>
      <c r="C6333" s="27" t="s">
        <v>931</v>
      </c>
      <c r="D6333" s="27" t="s">
        <v>932</v>
      </c>
      <c r="E6333" s="21">
        <f>IF(D6333="?OLD","!!!","")</f>
        <v/>
      </c>
      <c r="F6333" s="22" t="str">
        <f>IF(OR(E6333="",E6333="!!!"),"",IF(NOT(ISNA(VLOOKUP(E6333,E$1:E6332,1,FALSE()))),"OLD",IF(AND(E6333&lt;&gt;"",E6333&lt;&gt;"!!!"),"NEW","")))</f>
        <v> </v>
      </c>
      <c r="G6333" s="23" t="str">
        <f>IF(OR(E6333="",E6333="!!!"),"",IF(OR(J6333=0,AND(J6333=1,K6333=1),AND(J6333=1,I6333="SBJ"),AND(J6333=1,I6333=0)),"?IN_FOCUS",IF(J6333&lt;=2,"?ACTIVATED",IF(J6333&lt;&gt;"","?FAMILIAR",IF(F6333="NEW",IF(ISNA(VLOOKUP(E6333,#REF!,1,FALSE())),"?TYPE_IDENTIFIABLE","?REFERENTIAL"),"_")))))</f>
        <v> </v>
      </c>
      <c r="H6333" s="24" t="str">
        <f>IF(J6333&lt;&gt;1,"",IF(I6333="SBJ","CB","?"))</f>
        <v> </v>
      </c>
      <c r="I6333" s="25" t="str">
        <f>IF(OR(E6333="",E6333="!!!",F6333="NEW"),"",INDEX(B6332:B$2,-1+SUMPRODUCT(MAX(ROW(E6332:E$2)*(E6333=E6332:E$2)))))</f>
        <v> </v>
      </c>
      <c r="J6333" s="25" t="str">
        <f>IF(OR(E6333="",E6333="!!!",F6333="NEW"),"",COUNTBLANK(OFFSET(A$1,,,SUMPRODUCT(MAX(ROW(E$2:E6333)*(E6333=E$2:E6333)))))-COUNTBLANK(OFFSET(A$1,,,SUMPRODUCT(MAX(ROW(E$1:E6332)*(E2=E$1:E6332))))))</f>
        <v> </v>
      </c>
      <c r="K6333" s="25" t="str">
        <f>IF(OR(E6333="",E6333="!!!",F6333="NEW"),"",INDEX(J$1:J6332,SUMPRODUCT(MAX(ROW(E$1:E6332)*(E6333=E$1:E6332)))))</f>
        <v> </v>
      </c>
      <c r="L6333" s="26"/>
    </row>
    <row r="6334" spans="1:12">
      <c r="A6334" s="20" t="s">
        <v>1279</v>
      </c>
      <c r="E6334" s="21">
        <f>IF(D6334="?OLD","!!!","")</f>
        <v/>
      </c>
      <c r="F6334" s="22" t="str">
        <f>IF(OR(E6334="",E6334="!!!"),"",IF(NOT(ISNA(VLOOKUP(E6334,E$1:E6333,1,FALSE()))),"OLD",IF(AND(E6334&lt;&gt;"",E6334&lt;&gt;"!!!"),"NEW","")))</f>
        <v> </v>
      </c>
      <c r="G6334" s="23" t="str">
        <f>IF(OR(E6334="",E6334="!!!"),"",IF(OR(J6334=0,AND(J6334=1,K6334=1),AND(J6334=1,I6334="SBJ"),AND(J6334=1,I6334=0)),"?IN_FOCUS",IF(J6334&lt;=2,"?ACTIVATED",IF(J6334&lt;&gt;"","?FAMILIAR",IF(F6334="NEW",IF(ISNA(VLOOKUP(E6334,#REF!,1,FALSE())),"?TYPE_IDENTIFIABLE","?REFERENTIAL"),"_")))))</f>
        <v> </v>
      </c>
      <c r="H6334" s="24" t="str">
        <f>IF(J6334&lt;&gt;1,"",IF(I6334="SBJ","CB","?"))</f>
        <v> </v>
      </c>
      <c r="I6334" s="25" t="str">
        <f>IF(OR(E6334="",E6334="!!!",F6334="NEW"),"",INDEX(B6333:B$2,-1+SUMPRODUCT(MAX(ROW(E6333:E$2)*(E6334=E6333:E$2)))))</f>
        <v> </v>
      </c>
      <c r="J6334" s="25" t="str">
        <f>IF(OR(E6334="",E6334="!!!",F6334="NEW"),"",COUNTBLANK(OFFSET(A$1,,,SUMPRODUCT(MAX(ROW(E$2:E6334)*(E6334=E$2:E6334)))))-COUNTBLANK(OFFSET(A$1,,,SUMPRODUCT(MAX(ROW(E$1:E6333)*(E2=E$1:E6333))))))</f>
        <v> </v>
      </c>
      <c r="K6334" s="25" t="str">
        <f>IF(OR(E6334="",E6334="!!!",F6334="NEW"),"",INDEX(J$1:J6333,SUMPRODUCT(MAX(ROW(E$1:E6333)*(E6334=E$1:E6333)))))</f>
        <v> </v>
      </c>
      <c r="L6334" s="26"/>
    </row>
    <row r="6335" spans="1:12">
      <c r="A6335" s="20" t="s">
        <v>2326</v>
      </c>
      <c r="E6335" s="21">
        <f>IF(D6335="?OLD","!!!","")</f>
        <v/>
      </c>
      <c r="F6335" s="22" t="str">
        <f>IF(OR(E6335="",E6335="!!!"),"",IF(NOT(ISNA(VLOOKUP(E6335,E$1:E6334,1,FALSE()))),"OLD",IF(AND(E6335&lt;&gt;"",E6335&lt;&gt;"!!!"),"NEW","")))</f>
        <v> </v>
      </c>
      <c r="G6335" s="23" t="str">
        <f>IF(OR(E6335="",E6335="!!!"),"",IF(OR(J6335=0,AND(J6335=1,K6335=1),AND(J6335=1,I6335="SBJ"),AND(J6335=1,I6335=0)),"?IN_FOCUS",IF(J6335&lt;=2,"?ACTIVATED",IF(J6335&lt;&gt;"","?FAMILIAR",IF(F6335="NEW",IF(ISNA(VLOOKUP(E6335,#REF!,1,FALSE())),"?TYPE_IDENTIFIABLE","?REFERENTIAL"),"_")))))</f>
        <v> </v>
      </c>
      <c r="H6335" s="24" t="str">
        <f>IF(J6335&lt;&gt;1,"",IF(I6335="SBJ","CB","?"))</f>
        <v> </v>
      </c>
      <c r="I6335" s="25" t="str">
        <f>IF(OR(E6335="",E6335="!!!",F6335="NEW"),"",INDEX(B6334:B$2,-1+SUMPRODUCT(MAX(ROW(E6334:E$2)*(E6335=E6334:E$2)))))</f>
        <v> </v>
      </c>
      <c r="J6335" s="25" t="str">
        <f>IF(OR(E6335="",E6335="!!!",F6335="NEW"),"",COUNTBLANK(OFFSET(A$1,,,SUMPRODUCT(MAX(ROW(E$2:E6335)*(E6335=E$2:E6335)))))-COUNTBLANK(OFFSET(A$1,,,SUMPRODUCT(MAX(ROW(E$1:E6334)*(E2=E$1:E6334))))))</f>
        <v> </v>
      </c>
      <c r="K6335" s="25" t="str">
        <f>IF(OR(E6335="",E6335="!!!",F6335="NEW"),"",INDEX(J$1:J6334,SUMPRODUCT(MAX(ROW(E$1:E6334)*(E6335=E$1:E6334)))))</f>
        <v> </v>
      </c>
      <c r="L6335" s="26"/>
    </row>
    <row r="6336" spans="1:12">
      <c r="A6336" s="20" t="s">
        <v>1275</v>
      </c>
      <c r="B6336" s="27" t="s">
        <v>939</v>
      </c>
      <c r="C6336" s="27" t="s">
        <v>1035</v>
      </c>
      <c r="E6336" s="21">
        <f>IF(D6336="?OLD","!!!","")</f>
        <v/>
      </c>
      <c r="F6336" s="22" t="str">
        <f>IF(OR(E6336="",E6336="!!!"),"",IF(NOT(ISNA(VLOOKUP(E6336,E$1:E6335,1,FALSE()))),"OLD",IF(AND(E6336&lt;&gt;"",E6336&lt;&gt;"!!!"),"NEW","")))</f>
        <v> </v>
      </c>
      <c r="G6336" s="23" t="str">
        <f>IF(OR(E6336="",E6336="!!!"),"",IF(OR(J6336=0,AND(J6336=1,K6336=1),AND(J6336=1,I6336="SBJ"),AND(J6336=1,I6336=0)),"?IN_FOCUS",IF(J6336&lt;=2,"?ACTIVATED",IF(J6336&lt;&gt;"","?FAMILIAR",IF(F6336="NEW",IF(ISNA(VLOOKUP(E6336,#REF!,1,FALSE())),"?TYPE_IDENTIFIABLE","?REFERENTIAL"),"_")))))</f>
        <v> </v>
      </c>
      <c r="H6336" s="24" t="str">
        <f>IF(J6336&lt;&gt;1,"",IF(I6336="SBJ","CB","?"))</f>
        <v> </v>
      </c>
      <c r="I6336" s="25" t="str">
        <f>IF(OR(E6336="",E6336="!!!",F6336="NEW"),"",INDEX(B6335:B$2,-1+SUMPRODUCT(MAX(ROW(E6335:E$2)*(E6336=E6335:E$2)))))</f>
        <v> </v>
      </c>
      <c r="J6336" s="25" t="str">
        <f>IF(OR(E6336="",E6336="!!!",F6336="NEW"),"",COUNTBLANK(OFFSET(A$1,,,SUMPRODUCT(MAX(ROW(E$2:E6336)*(E6336=E$2:E6336)))))-COUNTBLANK(OFFSET(A$1,,,SUMPRODUCT(MAX(ROW(E$1:E6335)*(E2=E$1:E6335))))))</f>
        <v> </v>
      </c>
      <c r="K6336" s="25" t="str">
        <f>IF(OR(E6336="",E6336="!!!",F6336="NEW"),"",INDEX(J$1:J6335,SUMPRODUCT(MAX(ROW(E$1:E6335)*(E6336=E$1:E6335)))))</f>
        <v> </v>
      </c>
      <c r="L6336" s="26"/>
    </row>
    <row r="6337" spans="1:12">
      <c r="A6337" s="20" t="s">
        <v>929</v>
      </c>
      <c r="B6337" s="27" t="s">
        <v>968</v>
      </c>
      <c r="C6337" s="27" t="s">
        <v>931</v>
      </c>
      <c r="D6337" s="27" t="s">
        <v>932</v>
      </c>
      <c r="E6337" s="21">
        <f>IF(D6337="?OLD","!!!","")</f>
        <v/>
      </c>
      <c r="F6337" s="22" t="str">
        <f>IF(OR(E6337="",E6337="!!!"),"",IF(NOT(ISNA(VLOOKUP(E6337,E$1:E6336,1,FALSE()))),"OLD",IF(AND(E6337&lt;&gt;"",E6337&lt;&gt;"!!!"),"NEW","")))</f>
        <v> </v>
      </c>
      <c r="G6337" s="23" t="str">
        <f>IF(OR(E6337="",E6337="!!!"),"",IF(OR(J6337=0,AND(J6337=1,K6337=1),AND(J6337=1,I6337="SBJ"),AND(J6337=1,I6337=0)),"?IN_FOCUS",IF(J6337&lt;=2,"?ACTIVATED",IF(J6337&lt;&gt;"","?FAMILIAR",IF(F6337="NEW",IF(ISNA(VLOOKUP(E6337,#REF!,1,FALSE())),"?TYPE_IDENTIFIABLE","?REFERENTIAL"),"_")))))</f>
        <v> </v>
      </c>
      <c r="H6337" s="24" t="str">
        <f>IF(J6337&lt;&gt;1,"",IF(I6337="SBJ","CB","?"))</f>
        <v> </v>
      </c>
      <c r="I6337" s="25" t="str">
        <f>IF(OR(E6337="",E6337="!!!",F6337="NEW"),"",INDEX(B6336:B$2,-1+SUMPRODUCT(MAX(ROW(E6336:E$2)*(E6337=E6336:E$2)))))</f>
        <v> </v>
      </c>
      <c r="J6337" s="25" t="str">
        <f>IF(OR(E6337="",E6337="!!!",F6337="NEW"),"",COUNTBLANK(OFFSET(A$1,,,SUMPRODUCT(MAX(ROW(E$2:E6337)*(E6337=E$2:E6337)))))-COUNTBLANK(OFFSET(A$1,,,SUMPRODUCT(MAX(ROW(E$1:E6336)*(E2=E$1:E6336))))))</f>
        <v> </v>
      </c>
      <c r="K6337" s="25" t="str">
        <f>IF(OR(E6337="",E6337="!!!",F6337="NEW"),"",INDEX(J$1:J6336,SUMPRODUCT(MAX(ROW(E$1:E6336)*(E6337=E$1:E6336)))))</f>
        <v> </v>
      </c>
      <c r="L6337" s="26"/>
    </row>
    <row r="6338" spans="1:12">
      <c r="A6338" s="20" t="s">
        <v>1156</v>
      </c>
      <c r="E6338" s="21">
        <f>IF(D6338="?OLD","!!!","")</f>
        <v/>
      </c>
      <c r="F6338" s="22" t="str">
        <f>IF(OR(E6338="",E6338="!!!"),"",IF(NOT(ISNA(VLOOKUP(E6338,E$1:E6337,1,FALSE()))),"OLD",IF(AND(E6338&lt;&gt;"",E6338&lt;&gt;"!!!"),"NEW","")))</f>
        <v> </v>
      </c>
      <c r="G6338" s="23" t="str">
        <f>IF(OR(E6338="",E6338="!!!"),"",IF(OR(J6338=0,AND(J6338=1,K6338=1),AND(J6338=1,I6338="SBJ"),AND(J6338=1,I6338=0)),"?IN_FOCUS",IF(J6338&lt;=2,"?ACTIVATED",IF(J6338&lt;&gt;"","?FAMILIAR",IF(F6338="NEW",IF(ISNA(VLOOKUP(E6338,#REF!,1,FALSE())),"?TYPE_IDENTIFIABLE","?REFERENTIAL"),"_")))))</f>
        <v> </v>
      </c>
      <c r="H6338" s="24" t="str">
        <f>IF(J6338&lt;&gt;1,"",IF(I6338="SBJ","CB","?"))</f>
        <v> </v>
      </c>
      <c r="I6338" s="25" t="str">
        <f>IF(OR(E6338="",E6338="!!!",F6338="NEW"),"",INDEX(B6337:B$2,-1+SUMPRODUCT(MAX(ROW(E6337:E$2)*(E6338=E6337:E$2)))))</f>
        <v> </v>
      </c>
      <c r="J6338" s="25" t="str">
        <f>IF(OR(E6338="",E6338="!!!",F6338="NEW"),"",COUNTBLANK(OFFSET(A$1,,,SUMPRODUCT(MAX(ROW(E$2:E6338)*(E6338=E$2:E6338)))))-COUNTBLANK(OFFSET(A$1,,,SUMPRODUCT(MAX(ROW(E$1:E6337)*(E2=E$1:E6337))))))</f>
        <v> </v>
      </c>
      <c r="K6338" s="25" t="str">
        <f>IF(OR(E6338="",E6338="!!!",F6338="NEW"),"",INDEX(J$1:J6337,SUMPRODUCT(MAX(ROW(E$1:E6337)*(E6338=E$1:E6337)))))</f>
        <v> </v>
      </c>
      <c r="L6338" s="26"/>
    </row>
    <row r="6339" spans="1:12">
      <c r="A6339" s="20" t="s">
        <v>936</v>
      </c>
      <c r="E6339" s="21">
        <f>IF(D6339="?OLD","!!!","")</f>
        <v/>
      </c>
      <c r="F6339" s="22" t="str">
        <f>IF(OR(E6339="",E6339="!!!"),"",IF(NOT(ISNA(VLOOKUP(E6339,E$1:E6338,1,FALSE()))),"OLD",IF(AND(E6339&lt;&gt;"",E6339&lt;&gt;"!!!"),"NEW","")))</f>
        <v> </v>
      </c>
      <c r="G6339" s="23" t="str">
        <f>IF(OR(E6339="",E6339="!!!"),"",IF(OR(J6339=0,AND(J6339=1,K6339=1),AND(J6339=1,I6339="SBJ"),AND(J6339=1,I6339=0)),"?IN_FOCUS",IF(J6339&lt;=2,"?ACTIVATED",IF(J6339&lt;&gt;"","?FAMILIAR",IF(F6339="NEW",IF(ISNA(VLOOKUP(E6339,#REF!,1,FALSE())),"?TYPE_IDENTIFIABLE","?REFERENTIAL"),"_")))))</f>
        <v> </v>
      </c>
      <c r="H6339" s="24" t="str">
        <f>IF(J6339&lt;&gt;1,"",IF(I6339="SBJ","CB","?"))</f>
        <v> </v>
      </c>
      <c r="I6339" s="25" t="str">
        <f>IF(OR(E6339="",E6339="!!!",F6339="NEW"),"",INDEX(B6338:B$2,-1+SUMPRODUCT(MAX(ROW(E6338:E$2)*(E6339=E6338:E$2)))))</f>
        <v> </v>
      </c>
      <c r="J6339" s="25" t="str">
        <f>IF(OR(E6339="",E6339="!!!",F6339="NEW"),"",COUNTBLANK(OFFSET(A$1,,,SUMPRODUCT(MAX(ROW(E$2:E6339)*(E6339=E$2:E6339)))))-COUNTBLANK(OFFSET(A$1,,,SUMPRODUCT(MAX(ROW(E$1:E6338)*(E2=E$1:E6338))))))</f>
        <v> </v>
      </c>
      <c r="K6339" s="25" t="str">
        <f>IF(OR(E6339="",E6339="!!!",F6339="NEW"),"",INDEX(J$1:J6338,SUMPRODUCT(MAX(ROW(E$1:E6338)*(E6339=E$1:E6338)))))</f>
        <v> </v>
      </c>
      <c r="L6339" s="26"/>
    </row>
    <row r="6340" spans="1:12">
      <c r="A6340" s="20" t="s">
        <v>2327</v>
      </c>
      <c r="E6340" s="21">
        <f>IF(D6340="?OLD","!!!","")</f>
        <v/>
      </c>
      <c r="F6340" s="22" t="str">
        <f>IF(OR(E6340="",E6340="!!!"),"",IF(NOT(ISNA(VLOOKUP(E6340,E$1:E6339,1,FALSE()))),"OLD",IF(AND(E6340&lt;&gt;"",E6340&lt;&gt;"!!!"),"NEW","")))</f>
        <v> </v>
      </c>
      <c r="G6340" s="23" t="str">
        <f>IF(OR(E6340="",E6340="!!!"),"",IF(OR(J6340=0,AND(J6340=1,K6340=1),AND(J6340=1,I6340="SBJ"),AND(J6340=1,I6340=0)),"?IN_FOCUS",IF(J6340&lt;=2,"?ACTIVATED",IF(J6340&lt;&gt;"","?FAMILIAR",IF(F6340="NEW",IF(ISNA(VLOOKUP(E6340,#REF!,1,FALSE())),"?TYPE_IDENTIFIABLE","?REFERENTIAL"),"_")))))</f>
        <v> </v>
      </c>
      <c r="H6340" s="24" t="str">
        <f>IF(J6340&lt;&gt;1,"",IF(I6340="SBJ","CB","?"))</f>
        <v> </v>
      </c>
      <c r="I6340" s="25" t="str">
        <f>IF(OR(E6340="",E6340="!!!",F6340="NEW"),"",INDEX(B6339:B$2,-1+SUMPRODUCT(MAX(ROW(E6339:E$2)*(E6340=E6339:E$2)))))</f>
        <v> </v>
      </c>
      <c r="J6340" s="25" t="str">
        <f>IF(OR(E6340="",E6340="!!!",F6340="NEW"),"",COUNTBLANK(OFFSET(A$1,,,SUMPRODUCT(MAX(ROW(E$2:E6340)*(E6340=E$2:E6340)))))-COUNTBLANK(OFFSET(A$1,,,SUMPRODUCT(MAX(ROW(E$1:E6339)*(E2=E$1:E6339))))))</f>
        <v> </v>
      </c>
      <c r="K6340" s="25" t="str">
        <f>IF(OR(E6340="",E6340="!!!",F6340="NEW"),"",INDEX(J$1:J6339,SUMPRODUCT(MAX(ROW(E$1:E6339)*(E6340=E$1:E6339)))))</f>
        <v> </v>
      </c>
      <c r="L6340" s="26"/>
    </row>
    <row r="6341" spans="1:12">
      <c r="A6341" s="20" t="s">
        <v>2328</v>
      </c>
      <c r="E6341" s="21">
        <f>IF(D6341="?OLD","!!!","")</f>
        <v/>
      </c>
      <c r="F6341" s="22" t="str">
        <f>IF(OR(E6341="",E6341="!!!"),"",IF(NOT(ISNA(VLOOKUP(E6341,E$1:E6340,1,FALSE()))),"OLD",IF(AND(E6341&lt;&gt;"",E6341&lt;&gt;"!!!"),"NEW","")))</f>
        <v> </v>
      </c>
      <c r="G6341" s="23" t="str">
        <f>IF(OR(E6341="",E6341="!!!"),"",IF(OR(J6341=0,AND(J6341=1,K6341=1),AND(J6341=1,I6341="SBJ"),AND(J6341=1,I6341=0)),"?IN_FOCUS",IF(J6341&lt;=2,"?ACTIVATED",IF(J6341&lt;&gt;"","?FAMILIAR",IF(F6341="NEW",IF(ISNA(VLOOKUP(E6341,#REF!,1,FALSE())),"?TYPE_IDENTIFIABLE","?REFERENTIAL"),"_")))))</f>
        <v> </v>
      </c>
      <c r="H6341" s="24" t="str">
        <f>IF(J6341&lt;&gt;1,"",IF(I6341="SBJ","CB","?"))</f>
        <v> </v>
      </c>
      <c r="I6341" s="25" t="str">
        <f>IF(OR(E6341="",E6341="!!!",F6341="NEW"),"",INDEX(B6340:B$2,-1+SUMPRODUCT(MAX(ROW(E6340:E$2)*(E6341=E6340:E$2)))))</f>
        <v> </v>
      </c>
      <c r="J6341" s="25" t="str">
        <f>IF(OR(E6341="",E6341="!!!",F6341="NEW"),"",COUNTBLANK(OFFSET(A$1,,,SUMPRODUCT(MAX(ROW(E$2:E6341)*(E6341=E$2:E6341)))))-COUNTBLANK(OFFSET(A$1,,,SUMPRODUCT(MAX(ROW(E$1:E6340)*(E2=E$1:E6340))))))</f>
        <v> </v>
      </c>
      <c r="K6341" s="25" t="str">
        <f>IF(OR(E6341="",E6341="!!!",F6341="NEW"),"",INDEX(J$1:J6340,SUMPRODUCT(MAX(ROW(E$1:E6340)*(E6341=E$1:E6340)))))</f>
        <v> </v>
      </c>
      <c r="L6341" s="26"/>
    </row>
    <row r="6342" spans="1:12">
      <c r="A6342" s="20" t="s">
        <v>936</v>
      </c>
      <c r="E6342" s="21">
        <f>IF(D6342="?OLD","!!!","")</f>
        <v/>
      </c>
      <c r="F6342" s="22" t="str">
        <f>IF(OR(E6342="",E6342="!!!"),"",IF(NOT(ISNA(VLOOKUP(E6342,E$1:E6341,1,FALSE()))),"OLD",IF(AND(E6342&lt;&gt;"",E6342&lt;&gt;"!!!"),"NEW","")))</f>
        <v> </v>
      </c>
      <c r="G6342" s="23" t="str">
        <f>IF(OR(E6342="",E6342="!!!"),"",IF(OR(J6342=0,AND(J6342=1,K6342=1),AND(J6342=1,I6342="SBJ"),AND(J6342=1,I6342=0)),"?IN_FOCUS",IF(J6342&lt;=2,"?ACTIVATED",IF(J6342&lt;&gt;"","?FAMILIAR",IF(F6342="NEW",IF(ISNA(VLOOKUP(E6342,#REF!,1,FALSE())),"?TYPE_IDENTIFIABLE","?REFERENTIAL"),"_")))))</f>
        <v> </v>
      </c>
      <c r="H6342" s="24" t="str">
        <f>IF(J6342&lt;&gt;1,"",IF(I6342="SBJ","CB","?"))</f>
        <v> </v>
      </c>
      <c r="I6342" s="25" t="str">
        <f>IF(OR(E6342="",E6342="!!!",F6342="NEW"),"",INDEX(B6341:B$2,-1+SUMPRODUCT(MAX(ROW(E6341:E$2)*(E6342=E6341:E$2)))))</f>
        <v> </v>
      </c>
      <c r="J6342" s="25" t="str">
        <f>IF(OR(E6342="",E6342="!!!",F6342="NEW"),"",COUNTBLANK(OFFSET(A$1,,,SUMPRODUCT(MAX(ROW(E$2:E6342)*(E6342=E$2:E6342)))))-COUNTBLANK(OFFSET(A$1,,,SUMPRODUCT(MAX(ROW(E$1:E6341)*(E2=E$1:E6341))))))</f>
        <v> </v>
      </c>
      <c r="K6342" s="25" t="str">
        <f>IF(OR(E6342="",E6342="!!!",F6342="NEW"),"",INDEX(J$1:J6341,SUMPRODUCT(MAX(ROW(E$1:E6341)*(E6342=E$1:E6341)))))</f>
        <v> </v>
      </c>
      <c r="L6342" s="26"/>
    </row>
    <row r="6343" spans="1:12">
      <c r="A6343" s="20" t="s">
        <v>944</v>
      </c>
      <c r="E6343" s="21">
        <f>IF(D6343="?OLD","!!!","")</f>
        <v/>
      </c>
      <c r="F6343" s="22" t="str">
        <f>IF(OR(E6343="",E6343="!!!"),"",IF(NOT(ISNA(VLOOKUP(E6343,E$1:E6342,1,FALSE()))),"OLD",IF(AND(E6343&lt;&gt;"",E6343&lt;&gt;"!!!"),"NEW","")))</f>
        <v> </v>
      </c>
      <c r="G6343" s="23" t="str">
        <f>IF(OR(E6343="",E6343="!!!"),"",IF(OR(J6343=0,AND(J6343=1,K6343=1),AND(J6343=1,I6343="SBJ"),AND(J6343=1,I6343=0)),"?IN_FOCUS",IF(J6343&lt;=2,"?ACTIVATED",IF(J6343&lt;&gt;"","?FAMILIAR",IF(F6343="NEW",IF(ISNA(VLOOKUP(E6343,#REF!,1,FALSE())),"?TYPE_IDENTIFIABLE","?REFERENTIAL"),"_")))))</f>
        <v> </v>
      </c>
      <c r="H6343" s="24" t="str">
        <f>IF(J6343&lt;&gt;1,"",IF(I6343="SBJ","CB","?"))</f>
        <v> </v>
      </c>
      <c r="I6343" s="25" t="str">
        <f>IF(OR(E6343="",E6343="!!!",F6343="NEW"),"",INDEX(B6342:B$2,-1+SUMPRODUCT(MAX(ROW(E6342:E$2)*(E6343=E6342:E$2)))))</f>
        <v> </v>
      </c>
      <c r="J6343" s="25" t="str">
        <f>IF(OR(E6343="",E6343="!!!",F6343="NEW"),"",COUNTBLANK(OFFSET(A$1,,,SUMPRODUCT(MAX(ROW(E$2:E6343)*(E6343=E$2:E6343)))))-COUNTBLANK(OFFSET(A$1,,,SUMPRODUCT(MAX(ROW(E$1:E6342)*(E2=E$1:E6342))))))</f>
        <v> </v>
      </c>
      <c r="K6343" s="25" t="str">
        <f>IF(OR(E6343="",E6343="!!!",F6343="NEW"),"",INDEX(J$1:J6342,SUMPRODUCT(MAX(ROW(E$1:E6342)*(E6343=E$1:E6342)))))</f>
        <v> </v>
      </c>
      <c r="L6343" s="26"/>
    </row>
    <row r="6344" spans="1:12">
      <c r="A6344" s="20" t="s">
        <v>2327</v>
      </c>
      <c r="E6344" s="21">
        <f>IF(D6344="?OLD","!!!","")</f>
        <v/>
      </c>
      <c r="F6344" s="22" t="str">
        <f>IF(OR(E6344="",E6344="!!!"),"",IF(NOT(ISNA(VLOOKUP(E6344,E$1:E6343,1,FALSE()))),"OLD",IF(AND(E6344&lt;&gt;"",E6344&lt;&gt;"!!!"),"NEW","")))</f>
        <v> </v>
      </c>
      <c r="G6344" s="23" t="str">
        <f>IF(OR(E6344="",E6344="!!!"),"",IF(OR(J6344=0,AND(J6344=1,K6344=1),AND(J6344=1,I6344="SBJ"),AND(J6344=1,I6344=0)),"?IN_FOCUS",IF(J6344&lt;=2,"?ACTIVATED",IF(J6344&lt;&gt;"","?FAMILIAR",IF(F6344="NEW",IF(ISNA(VLOOKUP(E6344,#REF!,1,FALSE())),"?TYPE_IDENTIFIABLE","?REFERENTIAL"),"_")))))</f>
        <v> </v>
      </c>
      <c r="H6344" s="24" t="str">
        <f>IF(J6344&lt;&gt;1,"",IF(I6344="SBJ","CB","?"))</f>
        <v> </v>
      </c>
      <c r="I6344" s="25" t="str">
        <f>IF(OR(E6344="",E6344="!!!",F6344="NEW"),"",INDEX(B6343:B$2,-1+SUMPRODUCT(MAX(ROW(E6343:E$2)*(E6344=E6343:E$2)))))</f>
        <v> </v>
      </c>
      <c r="J6344" s="25" t="str">
        <f>IF(OR(E6344="",E6344="!!!",F6344="NEW"),"",COUNTBLANK(OFFSET(A$1,,,SUMPRODUCT(MAX(ROW(E$2:E6344)*(E6344=E$2:E6344)))))-COUNTBLANK(OFFSET(A$1,,,SUMPRODUCT(MAX(ROW(E$1:E6343)*(E2=E$1:E6343))))))</f>
        <v> </v>
      </c>
      <c r="K6344" s="25" t="str">
        <f>IF(OR(E6344="",E6344="!!!",F6344="NEW"),"",INDEX(J$1:J6343,SUMPRODUCT(MAX(ROW(E$1:E6343)*(E6344=E$1:E6343)))))</f>
        <v> </v>
      </c>
      <c r="L6344" s="26"/>
    </row>
    <row r="6345" spans="1:12">
      <c r="A6345" s="20" t="s">
        <v>2143</v>
      </c>
      <c r="E6345" s="21">
        <f>IF(D6345="?OLD","!!!","")</f>
        <v/>
      </c>
      <c r="F6345" s="22" t="str">
        <f>IF(OR(E6345="",E6345="!!!"),"",IF(NOT(ISNA(VLOOKUP(E6345,E$1:E6344,1,FALSE()))),"OLD",IF(AND(E6345&lt;&gt;"",E6345&lt;&gt;"!!!"),"NEW","")))</f>
        <v> </v>
      </c>
      <c r="G6345" s="23" t="str">
        <f>IF(OR(E6345="",E6345="!!!"),"",IF(OR(J6345=0,AND(J6345=1,K6345=1),AND(J6345=1,I6345="SBJ"),AND(J6345=1,I6345=0)),"?IN_FOCUS",IF(J6345&lt;=2,"?ACTIVATED",IF(J6345&lt;&gt;"","?FAMILIAR",IF(F6345="NEW",IF(ISNA(VLOOKUP(E6345,#REF!,1,FALSE())),"?TYPE_IDENTIFIABLE","?REFERENTIAL"),"_")))))</f>
        <v> </v>
      </c>
      <c r="H6345" s="24" t="str">
        <f>IF(J6345&lt;&gt;1,"",IF(I6345="SBJ","CB","?"))</f>
        <v> </v>
      </c>
      <c r="I6345" s="25" t="str">
        <f>IF(OR(E6345="",E6345="!!!",F6345="NEW"),"",INDEX(B6344:B$2,-1+SUMPRODUCT(MAX(ROW(E6344:E$2)*(E6345=E6344:E$2)))))</f>
        <v> </v>
      </c>
      <c r="J6345" s="25" t="str">
        <f>IF(OR(E6345="",E6345="!!!",F6345="NEW"),"",COUNTBLANK(OFFSET(A$1,,,SUMPRODUCT(MAX(ROW(E$2:E6345)*(E6345=E$2:E6345)))))-COUNTBLANK(OFFSET(A$1,,,SUMPRODUCT(MAX(ROW(E$1:E6344)*(E2=E$1:E6344))))))</f>
        <v> </v>
      </c>
      <c r="K6345" s="25" t="str">
        <f>IF(OR(E6345="",E6345="!!!",F6345="NEW"),"",INDEX(J$1:J6344,SUMPRODUCT(MAX(ROW(E$1:E6344)*(E6345=E$1:E6344)))))</f>
        <v> </v>
      </c>
      <c r="L6345" s="26"/>
    </row>
    <row r="6346" spans="1:12">
      <c r="A6346" s="20" t="s">
        <v>1007</v>
      </c>
      <c r="E6346" s="21">
        <f>IF(D6346="?OLD","!!!","")</f>
        <v/>
      </c>
      <c r="F6346" s="22" t="str">
        <f>IF(OR(E6346="",E6346="!!!"),"",IF(NOT(ISNA(VLOOKUP(E6346,E$1:E6345,1,FALSE()))),"OLD",IF(AND(E6346&lt;&gt;"",E6346&lt;&gt;"!!!"),"NEW","")))</f>
        <v> </v>
      </c>
      <c r="G6346" s="23" t="str">
        <f>IF(OR(E6346="",E6346="!!!"),"",IF(OR(J6346=0,AND(J6346=1,K6346=1),AND(J6346=1,I6346="SBJ"),AND(J6346=1,I6346=0)),"?IN_FOCUS",IF(J6346&lt;=2,"?ACTIVATED",IF(J6346&lt;&gt;"","?FAMILIAR",IF(F6346="NEW",IF(ISNA(VLOOKUP(E6346,#REF!,1,FALSE())),"?TYPE_IDENTIFIABLE","?REFERENTIAL"),"_")))))</f>
        <v> </v>
      </c>
      <c r="H6346" s="24" t="str">
        <f>IF(J6346&lt;&gt;1,"",IF(I6346="SBJ","CB","?"))</f>
        <v> </v>
      </c>
      <c r="I6346" s="25" t="str">
        <f>IF(OR(E6346="",E6346="!!!",F6346="NEW"),"",INDEX(B6345:B$2,-1+SUMPRODUCT(MAX(ROW(E6345:E$2)*(E6346=E6345:E$2)))))</f>
        <v> </v>
      </c>
      <c r="J6346" s="25" t="str">
        <f>IF(OR(E6346="",E6346="!!!",F6346="NEW"),"",COUNTBLANK(OFFSET(A$1,,,SUMPRODUCT(MAX(ROW(E$2:E6346)*(E6346=E$2:E6346)))))-COUNTBLANK(OFFSET(A$1,,,SUMPRODUCT(MAX(ROW(E$1:E6345)*(E2=E$1:E6345))))))</f>
        <v> </v>
      </c>
      <c r="K6346" s="25" t="str">
        <f>IF(OR(E6346="",E6346="!!!",F6346="NEW"),"",INDEX(J$1:J6345,SUMPRODUCT(MAX(ROW(E$1:E6345)*(E6346=E$1:E6345)))))</f>
        <v> </v>
      </c>
      <c r="L6346" s="26"/>
    </row>
    <row r="6347" spans="1:12">
      <c r="A6347" s="20" t="s">
        <v>1131</v>
      </c>
      <c r="B6347" s="27" t="s">
        <v>939</v>
      </c>
      <c r="C6347" s="27" t="s">
        <v>1054</v>
      </c>
      <c r="D6347" s="27" t="s">
        <v>932</v>
      </c>
      <c r="E6347" s="21">
        <f>IF(D6347="?OLD","!!!","")</f>
        <v/>
      </c>
      <c r="F6347" s="22" t="str">
        <f>IF(OR(E6347="",E6347="!!!"),"",IF(NOT(ISNA(VLOOKUP(E6347,E$1:E6346,1,FALSE()))),"OLD",IF(AND(E6347&lt;&gt;"",E6347&lt;&gt;"!!!"),"NEW","")))</f>
        <v> </v>
      </c>
      <c r="G6347" s="23" t="str">
        <f>IF(OR(E6347="",E6347="!!!"),"",IF(OR(J6347=0,AND(J6347=1,K6347=1),AND(J6347=1,I6347="SBJ"),AND(J6347=1,I6347=0)),"?IN_FOCUS",IF(J6347&lt;=2,"?ACTIVATED",IF(J6347&lt;&gt;"","?FAMILIAR",IF(F6347="NEW",IF(ISNA(VLOOKUP(E6347,#REF!,1,FALSE())),"?TYPE_IDENTIFIABLE","?REFERENTIAL"),"_")))))</f>
        <v> </v>
      </c>
      <c r="H6347" s="24" t="str">
        <f>IF(J6347&lt;&gt;1,"",IF(I6347="SBJ","CB","?"))</f>
        <v> </v>
      </c>
      <c r="I6347" s="25" t="str">
        <f>IF(OR(E6347="",E6347="!!!",F6347="NEW"),"",INDEX(B6346:B$2,-1+SUMPRODUCT(MAX(ROW(E6346:E$2)*(E6347=E6346:E$2)))))</f>
        <v> </v>
      </c>
      <c r="J6347" s="25" t="str">
        <f>IF(OR(E6347="",E6347="!!!",F6347="NEW"),"",COUNTBLANK(OFFSET(A$1,,,SUMPRODUCT(MAX(ROW(E$2:E6347)*(E6347=E$2:E6347)))))-COUNTBLANK(OFFSET(A$1,,,SUMPRODUCT(MAX(ROW(E$1:E6346)*(E2=E$1:E6346))))))</f>
        <v> </v>
      </c>
      <c r="K6347" s="25" t="str">
        <f>IF(OR(E6347="",E6347="!!!",F6347="NEW"),"",INDEX(J$1:J6346,SUMPRODUCT(MAX(ROW(E$1:E6346)*(E6347=E$1:E6346)))))</f>
        <v> </v>
      </c>
      <c r="L6347" s="26"/>
    </row>
    <row r="6348" spans="1:12">
      <c r="A6348" s="20" t="s">
        <v>1176</v>
      </c>
      <c r="E6348" s="21">
        <f>IF(D6348="?OLD","!!!","")</f>
        <v/>
      </c>
      <c r="F6348" s="22" t="str">
        <f>IF(OR(E6348="",E6348="!!!"),"",IF(NOT(ISNA(VLOOKUP(E6348,E$1:E6347,1,FALSE()))),"OLD",IF(AND(E6348&lt;&gt;"",E6348&lt;&gt;"!!!"),"NEW","")))</f>
        <v> </v>
      </c>
      <c r="G6348" s="23" t="str">
        <f>IF(OR(E6348="",E6348="!!!"),"",IF(OR(J6348=0,AND(J6348=1,K6348=1),AND(J6348=1,I6348="SBJ"),AND(J6348=1,I6348=0)),"?IN_FOCUS",IF(J6348&lt;=2,"?ACTIVATED",IF(J6348&lt;&gt;"","?FAMILIAR",IF(F6348="NEW",IF(ISNA(VLOOKUP(E6348,#REF!,1,FALSE())),"?TYPE_IDENTIFIABLE","?REFERENTIAL"),"_")))))</f>
        <v> </v>
      </c>
      <c r="H6348" s="24" t="str">
        <f>IF(J6348&lt;&gt;1,"",IF(I6348="SBJ","CB","?"))</f>
        <v> </v>
      </c>
      <c r="I6348" s="25" t="str">
        <f>IF(OR(E6348="",E6348="!!!",F6348="NEW"),"",INDEX(B6347:B$2,-1+SUMPRODUCT(MAX(ROW(E6347:E$2)*(E6348=E6347:E$2)))))</f>
        <v> </v>
      </c>
      <c r="J6348" s="25" t="str">
        <f>IF(OR(E6348="",E6348="!!!",F6348="NEW"),"",COUNTBLANK(OFFSET(A$1,,,SUMPRODUCT(MAX(ROW(E$2:E6348)*(E6348=E$2:E6348)))))-COUNTBLANK(OFFSET(A$1,,,SUMPRODUCT(MAX(ROW(E$1:E6347)*(E2=E$1:E6347))))))</f>
        <v> </v>
      </c>
      <c r="K6348" s="25" t="str">
        <f>IF(OR(E6348="",E6348="!!!",F6348="NEW"),"",INDEX(J$1:J6347,SUMPRODUCT(MAX(ROW(E$1:E6347)*(E6348=E$1:E6347)))))</f>
        <v> </v>
      </c>
      <c r="L6348" s="26"/>
    </row>
    <row r="6349" spans="1:12">
      <c r="A6349" s="20" t="s">
        <v>1268</v>
      </c>
      <c r="B6349" s="27" t="s">
        <v>942</v>
      </c>
      <c r="C6349" s="27" t="s">
        <v>1087</v>
      </c>
      <c r="D6349" s="27" t="s">
        <v>932</v>
      </c>
      <c r="E6349" s="21">
        <f>IF(D6349="?OLD","!!!","")</f>
        <v/>
      </c>
      <c r="F6349" s="22" t="str">
        <f>IF(OR(E6349="",E6349="!!!"),"",IF(NOT(ISNA(VLOOKUP(E6349,E$1:E6348,1,FALSE()))),"OLD",IF(AND(E6349&lt;&gt;"",E6349&lt;&gt;"!!!"),"NEW","")))</f>
        <v> </v>
      </c>
      <c r="G6349" s="23" t="str">
        <f>IF(OR(E6349="",E6349="!!!"),"",IF(OR(J6349=0,AND(J6349=1,K6349=1),AND(J6349=1,I6349="SBJ"),AND(J6349=1,I6349=0)),"?IN_FOCUS",IF(J6349&lt;=2,"?ACTIVATED",IF(J6349&lt;&gt;"","?FAMILIAR",IF(F6349="NEW",IF(ISNA(VLOOKUP(E6349,#REF!,1,FALSE())),"?TYPE_IDENTIFIABLE","?REFERENTIAL"),"_")))))</f>
        <v> </v>
      </c>
      <c r="H6349" s="24" t="str">
        <f>IF(J6349&lt;&gt;1,"",IF(I6349="SBJ","CB","?"))</f>
        <v> </v>
      </c>
      <c r="I6349" s="25" t="str">
        <f>IF(OR(E6349="",E6349="!!!",F6349="NEW"),"",INDEX(B6348:B$2,-1+SUMPRODUCT(MAX(ROW(E6348:E$2)*(E6349=E6348:E$2)))))</f>
        <v> </v>
      </c>
      <c r="J6349" s="25" t="str">
        <f>IF(OR(E6349="",E6349="!!!",F6349="NEW"),"",COUNTBLANK(OFFSET(A$1,,,SUMPRODUCT(MAX(ROW(E$2:E6349)*(E6349=E$2:E6349)))))-COUNTBLANK(OFFSET(A$1,,,SUMPRODUCT(MAX(ROW(E$1:E6348)*(E2=E$1:E6348))))))</f>
        <v> </v>
      </c>
      <c r="K6349" s="25" t="str">
        <f>IF(OR(E6349="",E6349="!!!",F6349="NEW"),"",INDEX(J$1:J6348,SUMPRODUCT(MAX(ROW(E$1:E6348)*(E6349=E$1:E6348)))))</f>
        <v> </v>
      </c>
      <c r="L6349" s="26"/>
    </row>
    <row r="6350" spans="1:12">
      <c r="A6350" s="20" t="s">
        <v>936</v>
      </c>
      <c r="E6350" s="21">
        <f>IF(D6350="?OLD","!!!","")</f>
        <v/>
      </c>
      <c r="F6350" s="22" t="str">
        <f>IF(OR(E6350="",E6350="!!!"),"",IF(NOT(ISNA(VLOOKUP(E6350,E$1:E6349,1,FALSE()))),"OLD",IF(AND(E6350&lt;&gt;"",E6350&lt;&gt;"!!!"),"NEW","")))</f>
        <v> </v>
      </c>
      <c r="G6350" s="23" t="str">
        <f>IF(OR(E6350="",E6350="!!!"),"",IF(OR(J6350=0,AND(J6350=1,K6350=1),AND(J6350=1,I6350="SBJ"),AND(J6350=1,I6350=0)),"?IN_FOCUS",IF(J6350&lt;=2,"?ACTIVATED",IF(J6350&lt;&gt;"","?FAMILIAR",IF(F6350="NEW",IF(ISNA(VLOOKUP(E6350,#REF!,1,FALSE())),"?TYPE_IDENTIFIABLE","?REFERENTIAL"),"_")))))</f>
        <v> </v>
      </c>
      <c r="H6350" s="24" t="str">
        <f>IF(J6350&lt;&gt;1,"",IF(I6350="SBJ","CB","?"))</f>
        <v> </v>
      </c>
      <c r="I6350" s="25" t="str">
        <f>IF(OR(E6350="",E6350="!!!",F6350="NEW"),"",INDEX(B6349:B$2,-1+SUMPRODUCT(MAX(ROW(E6349:E$2)*(E6350=E6349:E$2)))))</f>
        <v> </v>
      </c>
      <c r="J6350" s="25" t="str">
        <f>IF(OR(E6350="",E6350="!!!",F6350="NEW"),"",COUNTBLANK(OFFSET(A$1,,,SUMPRODUCT(MAX(ROW(E$2:E6350)*(E6350=E$2:E6350)))))-COUNTBLANK(OFFSET(A$1,,,SUMPRODUCT(MAX(ROW(E$1:E6349)*(E2=E$1:E6349))))))</f>
        <v> </v>
      </c>
      <c r="K6350" s="25" t="str">
        <f>IF(OR(E6350="",E6350="!!!",F6350="NEW"),"",INDEX(J$1:J6349,SUMPRODUCT(MAX(ROW(E$1:E6349)*(E6350=E$1:E6349)))))</f>
        <v> </v>
      </c>
      <c r="L6350" s="26"/>
    </row>
    <row r="6351" spans="1:12">
      <c r="A6351" s="20" t="s">
        <v>947</v>
      </c>
      <c r="E6351" s="21">
        <f>IF(D6351="?OLD","!!!","")</f>
        <v/>
      </c>
      <c r="F6351" s="22" t="str">
        <f>IF(OR(E6351="",E6351="!!!"),"",IF(NOT(ISNA(VLOOKUP(E6351,E$1:E6350,1,FALSE()))),"OLD",IF(AND(E6351&lt;&gt;"",E6351&lt;&gt;"!!!"),"NEW","")))</f>
        <v> </v>
      </c>
      <c r="G6351" s="23" t="str">
        <f>IF(OR(E6351="",E6351="!!!"),"",IF(OR(J6351=0,AND(J6351=1,K6351=1),AND(J6351=1,I6351="SBJ"),AND(J6351=1,I6351=0)),"?IN_FOCUS",IF(J6351&lt;=2,"?ACTIVATED",IF(J6351&lt;&gt;"","?FAMILIAR",IF(F6351="NEW",IF(ISNA(VLOOKUP(E6351,#REF!,1,FALSE())),"?TYPE_IDENTIFIABLE","?REFERENTIAL"),"_")))))</f>
        <v> </v>
      </c>
      <c r="H6351" s="24" t="str">
        <f>IF(J6351&lt;&gt;1,"",IF(I6351="SBJ","CB","?"))</f>
        <v> </v>
      </c>
      <c r="I6351" s="25" t="str">
        <f>IF(OR(E6351="",E6351="!!!",F6351="NEW"),"",INDEX(B6350:B$2,-1+SUMPRODUCT(MAX(ROW(E6350:E$2)*(E6351=E6350:E$2)))))</f>
        <v> </v>
      </c>
      <c r="J6351" s="25" t="str">
        <f>IF(OR(E6351="",E6351="!!!",F6351="NEW"),"",COUNTBLANK(OFFSET(A$1,,,SUMPRODUCT(MAX(ROW(E$2:E6351)*(E6351=E$2:E6351)))))-COUNTBLANK(OFFSET(A$1,,,SUMPRODUCT(MAX(ROW(E$1:E6350)*(E2=E$1:E6350))))))</f>
        <v> </v>
      </c>
      <c r="K6351" s="25" t="str">
        <f>IF(OR(E6351="",E6351="!!!",F6351="NEW"),"",INDEX(J$1:J6350,SUMPRODUCT(MAX(ROW(E$1:E6350)*(E6351=E$1:E6350)))))</f>
        <v> </v>
      </c>
      <c r="L6351" s="26"/>
    </row>
    <row r="6352" spans="1:12">
      <c r="A6352" s="20" t="s">
        <v>2329</v>
      </c>
      <c r="E6352" s="21">
        <f>IF(D6352="?OLD","!!!","")</f>
        <v/>
      </c>
      <c r="F6352" s="22" t="str">
        <f>IF(OR(E6352="",E6352="!!!"),"",IF(NOT(ISNA(VLOOKUP(E6352,E$1:E6351,1,FALSE()))),"OLD",IF(AND(E6352&lt;&gt;"",E6352&lt;&gt;"!!!"),"NEW","")))</f>
        <v> </v>
      </c>
      <c r="G6352" s="23" t="str">
        <f>IF(OR(E6352="",E6352="!!!"),"",IF(OR(J6352=0,AND(J6352=1,K6352=1),AND(J6352=1,I6352="SBJ"),AND(J6352=1,I6352=0)),"?IN_FOCUS",IF(J6352&lt;=2,"?ACTIVATED",IF(J6352&lt;&gt;"","?FAMILIAR",IF(F6352="NEW",IF(ISNA(VLOOKUP(E6352,#REF!,1,FALSE())),"?TYPE_IDENTIFIABLE","?REFERENTIAL"),"_")))))</f>
        <v> </v>
      </c>
      <c r="H6352" s="24" t="str">
        <f>IF(J6352&lt;&gt;1,"",IF(I6352="SBJ","CB","?"))</f>
        <v> </v>
      </c>
      <c r="I6352" s="25" t="str">
        <f>IF(OR(E6352="",E6352="!!!",F6352="NEW"),"",INDEX(B6351:B$2,-1+SUMPRODUCT(MAX(ROW(E6351:E$2)*(E6352=E6351:E$2)))))</f>
        <v> </v>
      </c>
      <c r="J6352" s="25" t="str">
        <f>IF(OR(E6352="",E6352="!!!",F6352="NEW"),"",COUNTBLANK(OFFSET(A$1,,,SUMPRODUCT(MAX(ROW(E$2:E6352)*(E6352=E$2:E6352)))))-COUNTBLANK(OFFSET(A$1,,,SUMPRODUCT(MAX(ROW(E$1:E6351)*(E2=E$1:E6351))))))</f>
        <v> </v>
      </c>
      <c r="K6352" s="25" t="str">
        <f>IF(OR(E6352="",E6352="!!!",F6352="NEW"),"",INDEX(J$1:J6351,SUMPRODUCT(MAX(ROW(E$1:E6351)*(E6352=E$1:E6351)))))</f>
        <v> </v>
      </c>
      <c r="L6352" s="26"/>
    </row>
    <row r="6353" spans="1:12">
      <c r="A6353" s="20" t="s">
        <v>947</v>
      </c>
      <c r="E6353" s="21">
        <f>IF(D6353="?OLD","!!!","")</f>
        <v/>
      </c>
      <c r="F6353" s="22" t="str">
        <f>IF(OR(E6353="",E6353="!!!"),"",IF(NOT(ISNA(VLOOKUP(E6353,E$1:E6352,1,FALSE()))),"OLD",IF(AND(E6353&lt;&gt;"",E6353&lt;&gt;"!!!"),"NEW","")))</f>
        <v> </v>
      </c>
      <c r="G6353" s="23" t="str">
        <f>IF(OR(E6353="",E6353="!!!"),"",IF(OR(J6353=0,AND(J6353=1,K6353=1),AND(J6353=1,I6353="SBJ"),AND(J6353=1,I6353=0)),"?IN_FOCUS",IF(J6353&lt;=2,"?ACTIVATED",IF(J6353&lt;&gt;"","?FAMILIAR",IF(F6353="NEW",IF(ISNA(VLOOKUP(E6353,#REF!,1,FALSE())),"?TYPE_IDENTIFIABLE","?REFERENTIAL"),"_")))))</f>
        <v> </v>
      </c>
      <c r="H6353" s="24" t="str">
        <f>IF(J6353&lt;&gt;1,"",IF(I6353="SBJ","CB","?"))</f>
        <v> </v>
      </c>
      <c r="I6353" s="25" t="str">
        <f>IF(OR(E6353="",E6353="!!!",F6353="NEW"),"",INDEX(B6352:B$2,-1+SUMPRODUCT(MAX(ROW(E6352:E$2)*(E6353=E6352:E$2)))))</f>
        <v> </v>
      </c>
      <c r="J6353" s="25" t="str">
        <f>IF(OR(E6353="",E6353="!!!",F6353="NEW"),"",COUNTBLANK(OFFSET(A$1,,,SUMPRODUCT(MAX(ROW(E$2:E6353)*(E6353=E$2:E6353)))))-COUNTBLANK(OFFSET(A$1,,,SUMPRODUCT(MAX(ROW(E$1:E6352)*(E2=E$1:E6352))))))</f>
        <v> </v>
      </c>
      <c r="K6353" s="25" t="str">
        <f>IF(OR(E6353="",E6353="!!!",F6353="NEW"),"",INDEX(J$1:J6352,SUMPRODUCT(MAX(ROW(E$1:E6352)*(E6353=E$1:E6352)))))</f>
        <v> </v>
      </c>
      <c r="L6353" s="26"/>
    </row>
    <row r="6354" spans="1:12">
      <c r="A6354" s="20" t="s">
        <v>1007</v>
      </c>
      <c r="E6354" s="21">
        <f>IF(D6354="?OLD","!!!","")</f>
        <v/>
      </c>
      <c r="F6354" s="22" t="str">
        <f>IF(OR(E6354="",E6354="!!!"),"",IF(NOT(ISNA(VLOOKUP(E6354,E$1:E6353,1,FALSE()))),"OLD",IF(AND(E6354&lt;&gt;"",E6354&lt;&gt;"!!!"),"NEW","")))</f>
        <v> </v>
      </c>
      <c r="G6354" s="23" t="str">
        <f>IF(OR(E6354="",E6354="!!!"),"",IF(OR(J6354=0,AND(J6354=1,K6354=1),AND(J6354=1,I6354="SBJ"),AND(J6354=1,I6354=0)),"?IN_FOCUS",IF(J6354&lt;=2,"?ACTIVATED",IF(J6354&lt;&gt;"","?FAMILIAR",IF(F6354="NEW",IF(ISNA(VLOOKUP(E6354,#REF!,1,FALSE())),"?TYPE_IDENTIFIABLE","?REFERENTIAL"),"_")))))</f>
        <v> </v>
      </c>
      <c r="H6354" s="24" t="str">
        <f>IF(J6354&lt;&gt;1,"",IF(I6354="SBJ","CB","?"))</f>
        <v> </v>
      </c>
      <c r="I6354" s="25" t="str">
        <f>IF(OR(E6354="",E6354="!!!",F6354="NEW"),"",INDEX(B6353:B$2,-1+SUMPRODUCT(MAX(ROW(E6353:E$2)*(E6354=E6353:E$2)))))</f>
        <v> </v>
      </c>
      <c r="J6354" s="25" t="str">
        <f>IF(OR(E6354="",E6354="!!!",F6354="NEW"),"",COUNTBLANK(OFFSET(A$1,,,SUMPRODUCT(MAX(ROW(E$2:E6354)*(E6354=E$2:E6354)))))-COUNTBLANK(OFFSET(A$1,,,SUMPRODUCT(MAX(ROW(E$1:E6353)*(E2=E$1:E6353))))))</f>
        <v> </v>
      </c>
      <c r="K6354" s="25" t="str">
        <f>IF(OR(E6354="",E6354="!!!",F6354="NEW"),"",INDEX(J$1:J6353,SUMPRODUCT(MAX(ROW(E$1:E6353)*(E6354=E$1:E6353)))))</f>
        <v> </v>
      </c>
      <c r="L6354" s="26"/>
    </row>
    <row r="6355" spans="1:12">
      <c r="A6355" s="20" t="s">
        <v>2330</v>
      </c>
      <c r="B6355" s="27" t="s">
        <v>949</v>
      </c>
      <c r="C6355" s="27" t="s">
        <v>1054</v>
      </c>
      <c r="D6355" s="27" t="s">
        <v>932</v>
      </c>
      <c r="E6355" s="21">
        <f>IF(D6355="?OLD","!!!","")</f>
        <v/>
      </c>
      <c r="F6355" s="22" t="str">
        <f>IF(OR(E6355="",E6355="!!!"),"",IF(NOT(ISNA(VLOOKUP(E6355,E$1:E6354,1,FALSE()))),"OLD",IF(AND(E6355&lt;&gt;"",E6355&lt;&gt;"!!!"),"NEW","")))</f>
        <v> </v>
      </c>
      <c r="G6355" s="23" t="str">
        <f>IF(OR(E6355="",E6355="!!!"),"",IF(OR(J6355=0,AND(J6355=1,K6355=1),AND(J6355=1,I6355="SBJ"),AND(J6355=1,I6355=0)),"?IN_FOCUS",IF(J6355&lt;=2,"?ACTIVATED",IF(J6355&lt;&gt;"","?FAMILIAR",IF(F6355="NEW",IF(ISNA(VLOOKUP(E6355,#REF!,1,FALSE())),"?TYPE_IDENTIFIABLE","?REFERENTIAL"),"_")))))</f>
        <v> </v>
      </c>
      <c r="H6355" s="24" t="str">
        <f>IF(J6355&lt;&gt;1,"",IF(I6355="SBJ","CB","?"))</f>
        <v> </v>
      </c>
      <c r="I6355" s="25" t="str">
        <f>IF(OR(E6355="",E6355="!!!",F6355="NEW"),"",INDEX(B6354:B$2,-1+SUMPRODUCT(MAX(ROW(E6354:E$2)*(E6355=E6354:E$2)))))</f>
        <v> </v>
      </c>
      <c r="J6355" s="25" t="str">
        <f>IF(OR(E6355="",E6355="!!!",F6355="NEW"),"",COUNTBLANK(OFFSET(A$1,,,SUMPRODUCT(MAX(ROW(E$2:E6355)*(E6355=E$2:E6355)))))-COUNTBLANK(OFFSET(A$1,,,SUMPRODUCT(MAX(ROW(E$1:E6354)*(E2=E$1:E6354))))))</f>
        <v> </v>
      </c>
      <c r="K6355" s="25" t="str">
        <f>IF(OR(E6355="",E6355="!!!",F6355="NEW"),"",INDEX(J$1:J6354,SUMPRODUCT(MAX(ROW(E$1:E6354)*(E6355=E$1:E6354)))))</f>
        <v> </v>
      </c>
      <c r="L6355" s="26"/>
    </row>
    <row r="6356" spans="1:12">
      <c r="A6356" s="20" t="s">
        <v>1063</v>
      </c>
      <c r="E6356" s="21">
        <f>IF(D6356="?OLD","!!!","")</f>
        <v/>
      </c>
      <c r="F6356" s="22" t="str">
        <f>IF(OR(E6356="",E6356="!!!"),"",IF(NOT(ISNA(VLOOKUP(E6356,E$1:E6355,1,FALSE()))),"OLD",IF(AND(E6356&lt;&gt;"",E6356&lt;&gt;"!!!"),"NEW","")))</f>
        <v> </v>
      </c>
      <c r="G6356" s="23" t="str">
        <f>IF(OR(E6356="",E6356="!!!"),"",IF(OR(J6356=0,AND(J6356=1,K6356=1),AND(J6356=1,I6356="SBJ"),AND(J6356=1,I6356=0)),"?IN_FOCUS",IF(J6356&lt;=2,"?ACTIVATED",IF(J6356&lt;&gt;"","?FAMILIAR",IF(F6356="NEW",IF(ISNA(VLOOKUP(E6356,#REF!,1,FALSE())),"?TYPE_IDENTIFIABLE","?REFERENTIAL"),"_")))))</f>
        <v> </v>
      </c>
      <c r="H6356" s="24" t="str">
        <f>IF(J6356&lt;&gt;1,"",IF(I6356="SBJ","CB","?"))</f>
        <v> </v>
      </c>
      <c r="I6356" s="25" t="str">
        <f>IF(OR(E6356="",E6356="!!!",F6356="NEW"),"",INDEX(B6355:B$2,-1+SUMPRODUCT(MAX(ROW(E6355:E$2)*(E6356=E6355:E$2)))))</f>
        <v> </v>
      </c>
      <c r="J6356" s="25" t="str">
        <f>IF(OR(E6356="",E6356="!!!",F6356="NEW"),"",COUNTBLANK(OFFSET(A$1,,,SUMPRODUCT(MAX(ROW(E$2:E6356)*(E6356=E$2:E6356)))))-COUNTBLANK(OFFSET(A$1,,,SUMPRODUCT(MAX(ROW(E$1:E6355)*(E2=E$1:E6355))))))</f>
        <v> </v>
      </c>
      <c r="K6356" s="25" t="str">
        <f>IF(OR(E6356="",E6356="!!!",F6356="NEW"),"",INDEX(J$1:J6355,SUMPRODUCT(MAX(ROW(E$1:E6355)*(E6356=E$1:E6355)))))</f>
        <v> </v>
      </c>
      <c r="L6356" s="26"/>
    </row>
    <row r="6357" spans="1:12">
      <c r="A6357" s="20" t="s">
        <v>1354</v>
      </c>
      <c r="B6357" s="27" t="s">
        <v>1025</v>
      </c>
      <c r="C6357" s="27" t="s">
        <v>946</v>
      </c>
      <c r="E6357" s="21">
        <f>IF(D6357="?OLD","!!!","")</f>
        <v/>
      </c>
      <c r="F6357" s="22" t="str">
        <f>IF(OR(E6357="",E6357="!!!"),"",IF(NOT(ISNA(VLOOKUP(E6357,E$1:E6356,1,FALSE()))),"OLD",IF(AND(E6357&lt;&gt;"",E6357&lt;&gt;"!!!"),"NEW","")))</f>
        <v> </v>
      </c>
      <c r="G6357" s="23" t="str">
        <f>IF(OR(E6357="",E6357="!!!"),"",IF(OR(J6357=0,AND(J6357=1,K6357=1),AND(J6357=1,I6357="SBJ"),AND(J6357=1,I6357=0)),"?IN_FOCUS",IF(J6357&lt;=2,"?ACTIVATED",IF(J6357&lt;&gt;"","?FAMILIAR",IF(F6357="NEW",IF(ISNA(VLOOKUP(E6357,#REF!,1,FALSE())),"?TYPE_IDENTIFIABLE","?REFERENTIAL"),"_")))))</f>
        <v> </v>
      </c>
      <c r="H6357" s="24" t="str">
        <f>IF(J6357&lt;&gt;1,"",IF(I6357="SBJ","CB","?"))</f>
        <v> </v>
      </c>
      <c r="I6357" s="25" t="str">
        <f>IF(OR(E6357="",E6357="!!!",F6357="NEW"),"",INDEX(B6356:B$2,-1+SUMPRODUCT(MAX(ROW(E6356:E$2)*(E6357=E6356:E$2)))))</f>
        <v> </v>
      </c>
      <c r="J6357" s="25" t="str">
        <f>IF(OR(E6357="",E6357="!!!",F6357="NEW"),"",COUNTBLANK(OFFSET(A$1,,,SUMPRODUCT(MAX(ROW(E$2:E6357)*(E6357=E$2:E6357)))))-COUNTBLANK(OFFSET(A$1,,,SUMPRODUCT(MAX(ROW(E$1:E6356)*(E2=E$1:E6356))))))</f>
        <v> </v>
      </c>
      <c r="K6357" s="25" t="str">
        <f>IF(OR(E6357="",E6357="!!!",F6357="NEW"),"",INDEX(J$1:J6356,SUMPRODUCT(MAX(ROW(E$1:E6356)*(E6357=E$1:E6356)))))</f>
        <v> </v>
      </c>
      <c r="L6357" s="26"/>
    </row>
    <row r="6358" spans="1:12">
      <c r="A6358" s="20" t="s">
        <v>1042</v>
      </c>
      <c r="E6358" s="21">
        <f>IF(D6358="?OLD","!!!","")</f>
        <v/>
      </c>
      <c r="F6358" s="22" t="str">
        <f>IF(OR(E6358="",E6358="!!!"),"",IF(NOT(ISNA(VLOOKUP(E6358,E$1:E6357,1,FALSE()))),"OLD",IF(AND(E6358&lt;&gt;"",E6358&lt;&gt;"!!!"),"NEW","")))</f>
        <v> </v>
      </c>
      <c r="G6358" s="23" t="str">
        <f>IF(OR(E6358="",E6358="!!!"),"",IF(OR(J6358=0,AND(J6358=1,K6358=1),AND(J6358=1,I6358="SBJ"),AND(J6358=1,I6358=0)),"?IN_FOCUS",IF(J6358&lt;=2,"?ACTIVATED",IF(J6358&lt;&gt;"","?FAMILIAR",IF(F6358="NEW",IF(ISNA(VLOOKUP(E6358,#REF!,1,FALSE())),"?TYPE_IDENTIFIABLE","?REFERENTIAL"),"_")))))</f>
        <v> </v>
      </c>
      <c r="H6358" s="24" t="str">
        <f>IF(J6358&lt;&gt;1,"",IF(I6358="SBJ","CB","?"))</f>
        <v> </v>
      </c>
      <c r="I6358" s="25" t="str">
        <f>IF(OR(E6358="",E6358="!!!",F6358="NEW"),"",INDEX(B6357:B$2,-1+SUMPRODUCT(MAX(ROW(E6357:E$2)*(E6358=E6357:E$2)))))</f>
        <v> </v>
      </c>
      <c r="J6358" s="25" t="str">
        <f>IF(OR(E6358="",E6358="!!!",F6358="NEW"),"",COUNTBLANK(OFFSET(A$1,,,SUMPRODUCT(MAX(ROW(E$2:E6358)*(E6358=E$2:E6358)))))-COUNTBLANK(OFFSET(A$1,,,SUMPRODUCT(MAX(ROW(E$1:E6357)*(E2=E$1:E6357))))))</f>
        <v> </v>
      </c>
      <c r="K6358" s="25" t="str">
        <f>IF(OR(E6358="",E6358="!!!",F6358="NEW"),"",INDEX(J$1:J6357,SUMPRODUCT(MAX(ROW(E$1:E6357)*(E6358=E$1:E6357)))))</f>
        <v> </v>
      </c>
      <c r="L6358" s="26"/>
    </row>
    <row r="6359" spans="1:12">
      <c r="A6359" s="20"/>
    </row>
    <row r="6360" spans="1:12">
      <c r="A6360" s="20" t="s">
        <v>2331</v>
      </c>
    </row>
    <row r="6361" spans="1:12">
      <c r="A6361" s="20" t="s">
        <v>965</v>
      </c>
      <c r="E6361" s="21">
        <f>IF(D6361="?OLD","!!!","")</f>
        <v/>
      </c>
      <c r="F6361" s="22" t="str">
        <f>IF(OR(E6361="",E6361="!!!"),"",IF(NOT(ISNA(VLOOKUP(E6361,E$1:E6360,1,FALSE()))),"OLD",IF(AND(E6361&lt;&gt;"",E6361&lt;&gt;"!!!"),"NEW","")))</f>
        <v> </v>
      </c>
      <c r="G6361" s="23" t="str">
        <f>IF(OR(E6361="",E6361="!!!"),"",IF(OR(J6361=0,AND(J6361=1,K6361=1),AND(J6361=1,I6361="SBJ"),AND(J6361=1,I6361=0)),"?IN_FOCUS",IF(J6361&lt;=2,"?ACTIVATED",IF(J6361&lt;&gt;"","?FAMILIAR",IF(F6361="NEW",IF(ISNA(VLOOKUP(E6361,#REF!,1,FALSE())),"?TYPE_IDENTIFIABLE","?REFERENTIAL"),"_")))))</f>
        <v> </v>
      </c>
      <c r="H6361" s="24" t="str">
        <f>IF(J6361&lt;&gt;1,"",IF(I6361="SBJ","CB","?"))</f>
        <v> </v>
      </c>
      <c r="I6361" s="25" t="str">
        <f>IF(OR(E6361="",E6361="!!!",F6361="NEW"),"",INDEX(B6360:B$2,-1+SUMPRODUCT(MAX(ROW(E6360:E$2)*(E6361=E6360:E$2)))))</f>
        <v> </v>
      </c>
      <c r="J6361" s="25" t="str">
        <f>IF(OR(E6361="",E6361="!!!",F6361="NEW"),"",COUNTBLANK(OFFSET(A$1,,,SUMPRODUCT(MAX(ROW(E$2:E6361)*(E6361=E$2:E6361)))))-COUNTBLANK(OFFSET(A$1,,,SUMPRODUCT(MAX(ROW(E$1:E6360)*(E2=E$1:E6360))))))</f>
        <v> </v>
      </c>
      <c r="K6361" s="25" t="str">
        <f>IF(OR(E6361="",E6361="!!!",F6361="NEW"),"",INDEX(J$1:J6360,SUMPRODUCT(MAX(ROW(E$1:E6360)*(E6361=E$1:E6360)))))</f>
        <v> </v>
      </c>
      <c r="L6361" s="26"/>
    </row>
    <row r="6362" spans="1:12">
      <c r="A6362" s="20" t="s">
        <v>958</v>
      </c>
      <c r="B6362" s="27" t="s">
        <v>930</v>
      </c>
      <c r="C6362" s="27" t="s">
        <v>1061</v>
      </c>
      <c r="D6362" s="27" t="s">
        <v>932</v>
      </c>
      <c r="E6362" s="21">
        <f>IF(D6362="?OLD","!!!","")</f>
        <v/>
      </c>
      <c r="F6362" s="22" t="str">
        <f>IF(OR(E6362="",E6362="!!!"),"",IF(NOT(ISNA(VLOOKUP(E6362,E$1:E6361,1,FALSE()))),"OLD",IF(AND(E6362&lt;&gt;"",E6362&lt;&gt;"!!!"),"NEW","")))</f>
        <v> </v>
      </c>
      <c r="G6362" s="23" t="str">
        <f>IF(OR(E6362="",E6362="!!!"),"",IF(OR(J6362=0,AND(J6362=1,K6362=1),AND(J6362=1,I6362="SBJ"),AND(J6362=1,I6362=0)),"?IN_FOCUS",IF(J6362&lt;=2,"?ACTIVATED",IF(J6362&lt;&gt;"","?FAMILIAR",IF(F6362="NEW",IF(ISNA(VLOOKUP(E6362,#REF!,1,FALSE())),"?TYPE_IDENTIFIABLE","?REFERENTIAL"),"_")))))</f>
        <v> </v>
      </c>
      <c r="H6362" s="24" t="str">
        <f>IF(J6362&lt;&gt;1,"",IF(I6362="SBJ","CB","?"))</f>
        <v> </v>
      </c>
      <c r="I6362" s="25" t="str">
        <f>IF(OR(E6362="",E6362="!!!",F6362="NEW"),"",INDEX(B6361:B$2,-1+SUMPRODUCT(MAX(ROW(E6361:E$2)*(E6362=E6361:E$2)))))</f>
        <v> </v>
      </c>
      <c r="J6362" s="25" t="str">
        <f>IF(OR(E6362="",E6362="!!!",F6362="NEW"),"",COUNTBLANK(OFFSET(A$1,,,SUMPRODUCT(MAX(ROW(E$2:E6362)*(E6362=E$2:E6362)))))-COUNTBLANK(OFFSET(A$1,,,SUMPRODUCT(MAX(ROW(E$1:E6361)*(E2=E$1:E6361))))))</f>
        <v> </v>
      </c>
      <c r="K6362" s="25" t="str">
        <f>IF(OR(E6362="",E6362="!!!",F6362="NEW"),"",INDEX(J$1:J6361,SUMPRODUCT(MAX(ROW(E$1:E6361)*(E6362=E$1:E6361)))))</f>
        <v> </v>
      </c>
      <c r="L6362" s="26"/>
    </row>
    <row r="6363" spans="1:12">
      <c r="A6363" s="20" t="s">
        <v>936</v>
      </c>
      <c r="E6363" s="21">
        <f>IF(D6363="?OLD","!!!","")</f>
        <v/>
      </c>
      <c r="F6363" s="22" t="str">
        <f>IF(OR(E6363="",E6363="!!!"),"",IF(NOT(ISNA(VLOOKUP(E6363,E$1:E6362,1,FALSE()))),"OLD",IF(AND(E6363&lt;&gt;"",E6363&lt;&gt;"!!!"),"NEW","")))</f>
        <v> </v>
      </c>
      <c r="G6363" s="23" t="str">
        <f>IF(OR(E6363="",E6363="!!!"),"",IF(OR(J6363=0,AND(J6363=1,K6363=1),AND(J6363=1,I6363="SBJ"),AND(J6363=1,I6363=0)),"?IN_FOCUS",IF(J6363&lt;=2,"?ACTIVATED",IF(J6363&lt;&gt;"","?FAMILIAR",IF(F6363="NEW",IF(ISNA(VLOOKUP(E6363,#REF!,1,FALSE())),"?TYPE_IDENTIFIABLE","?REFERENTIAL"),"_")))))</f>
        <v> </v>
      </c>
      <c r="H6363" s="24" t="str">
        <f>IF(J6363&lt;&gt;1,"",IF(I6363="SBJ","CB","?"))</f>
        <v> </v>
      </c>
      <c r="I6363" s="25" t="str">
        <f>IF(OR(E6363="",E6363="!!!",F6363="NEW"),"",INDEX(B6362:B$2,-1+SUMPRODUCT(MAX(ROW(E6362:E$2)*(E6363=E6362:E$2)))))</f>
        <v> </v>
      </c>
      <c r="J6363" s="25" t="str">
        <f>IF(OR(E6363="",E6363="!!!",F6363="NEW"),"",COUNTBLANK(OFFSET(A$1,,,SUMPRODUCT(MAX(ROW(E$2:E6363)*(E6363=E$2:E6363)))))-COUNTBLANK(OFFSET(A$1,,,SUMPRODUCT(MAX(ROW(E$1:E6362)*(E2=E$1:E6362))))))</f>
        <v> </v>
      </c>
      <c r="K6363" s="25" t="str">
        <f>IF(OR(E6363="",E6363="!!!",F6363="NEW"),"",INDEX(J$1:J6362,SUMPRODUCT(MAX(ROW(E$1:E6362)*(E6363=E$1:E6362)))))</f>
        <v> </v>
      </c>
      <c r="L6363" s="26"/>
    </row>
    <row r="6364" spans="1:12">
      <c r="A6364" s="20" t="s">
        <v>929</v>
      </c>
      <c r="B6364" s="27" t="s">
        <v>930</v>
      </c>
      <c r="C6364" s="27" t="s">
        <v>931</v>
      </c>
      <c r="D6364" s="27" t="s">
        <v>932</v>
      </c>
      <c r="E6364" s="21">
        <f>IF(D6364="?OLD","!!!","")</f>
        <v/>
      </c>
      <c r="F6364" s="22" t="str">
        <f>IF(OR(E6364="",E6364="!!!"),"",IF(NOT(ISNA(VLOOKUP(E6364,E$1:E6363,1,FALSE()))),"OLD",IF(AND(E6364&lt;&gt;"",E6364&lt;&gt;"!!!"),"NEW","")))</f>
        <v> </v>
      </c>
      <c r="G6364" s="23" t="str">
        <f>IF(OR(E6364="",E6364="!!!"),"",IF(OR(J6364=0,AND(J6364=1,K6364=1),AND(J6364=1,I6364="SBJ"),AND(J6364=1,I6364=0)),"?IN_FOCUS",IF(J6364&lt;=2,"?ACTIVATED",IF(J6364&lt;&gt;"","?FAMILIAR",IF(F6364="NEW",IF(ISNA(VLOOKUP(E6364,#REF!,1,FALSE())),"?TYPE_IDENTIFIABLE","?REFERENTIAL"),"_")))))</f>
        <v> </v>
      </c>
      <c r="H6364" s="24" t="str">
        <f>IF(J6364&lt;&gt;1,"",IF(I6364="SBJ","CB","?"))</f>
        <v> </v>
      </c>
      <c r="I6364" s="25" t="str">
        <f>IF(OR(E6364="",E6364="!!!",F6364="NEW"),"",INDEX(B6363:B$2,-1+SUMPRODUCT(MAX(ROW(E6363:E$2)*(E6364=E6363:E$2)))))</f>
        <v> </v>
      </c>
      <c r="J6364" s="25" t="str">
        <f>IF(OR(E6364="",E6364="!!!",F6364="NEW"),"",COUNTBLANK(OFFSET(A$1,,,SUMPRODUCT(MAX(ROW(E$2:E6364)*(E6364=E$2:E6364)))))-COUNTBLANK(OFFSET(A$1,,,SUMPRODUCT(MAX(ROW(E$1:E6363)*(E2=E$1:E6363))))))</f>
        <v> </v>
      </c>
      <c r="K6364" s="25" t="str">
        <f>IF(OR(E6364="",E6364="!!!",F6364="NEW"),"",INDEX(J$1:J6363,SUMPRODUCT(MAX(ROW(E$1:E6363)*(E6364=E$1:E6363)))))</f>
        <v> </v>
      </c>
      <c r="L6364" s="26"/>
    </row>
    <row r="6365" spans="1:12">
      <c r="A6365" s="20" t="s">
        <v>42</v>
      </c>
      <c r="E6365" s="21">
        <f>IF(D6365="?OLD","!!!","")</f>
        <v/>
      </c>
      <c r="F6365" s="22" t="str">
        <f>IF(OR(E6365="",E6365="!!!"),"",IF(NOT(ISNA(VLOOKUP(E6365,E$1:E6364,1,FALSE()))),"OLD",IF(AND(E6365&lt;&gt;"",E6365&lt;&gt;"!!!"),"NEW","")))</f>
        <v> </v>
      </c>
      <c r="G6365" s="23" t="str">
        <f>IF(OR(E6365="",E6365="!!!"),"",IF(OR(J6365=0,AND(J6365=1,K6365=1),AND(J6365=1,I6365="SBJ"),AND(J6365=1,I6365=0)),"?IN_FOCUS",IF(J6365&lt;=2,"?ACTIVATED",IF(J6365&lt;&gt;"","?FAMILIAR",IF(F6365="NEW",IF(ISNA(VLOOKUP(E6365,#REF!,1,FALSE())),"?TYPE_IDENTIFIABLE","?REFERENTIAL"),"_")))))</f>
        <v> </v>
      </c>
      <c r="H6365" s="24" t="str">
        <f>IF(J6365&lt;&gt;1,"",IF(I6365="SBJ","CB","?"))</f>
        <v> </v>
      </c>
      <c r="I6365" s="25" t="str">
        <f>IF(OR(E6365="",E6365="!!!",F6365="NEW"),"",INDEX(B6364:B$2,-1+SUMPRODUCT(MAX(ROW(E6364:E$2)*(E6365=E6364:E$2)))))</f>
        <v> </v>
      </c>
      <c r="J6365" s="25" t="str">
        <f>IF(OR(E6365="",E6365="!!!",F6365="NEW"),"",COUNTBLANK(OFFSET(A$1,,,SUMPRODUCT(MAX(ROW(E$2:E6365)*(E6365=E$2:E6365)))))-COUNTBLANK(OFFSET(A$1,,,SUMPRODUCT(MAX(ROW(E$1:E6364)*(E2=E$1:E6364))))))</f>
        <v> </v>
      </c>
      <c r="K6365" s="25" t="str">
        <f>IF(OR(E6365="",E6365="!!!",F6365="NEW"),"",INDEX(J$1:J6364,SUMPRODUCT(MAX(ROW(E$1:E6364)*(E6365=E$1:E6364)))))</f>
        <v> </v>
      </c>
      <c r="L6365" s="26"/>
    </row>
    <row r="6366" spans="1:12">
      <c r="A6366" s="20" t="s">
        <v>936</v>
      </c>
      <c r="E6366" s="21">
        <f>IF(D6366="?OLD","!!!","")</f>
        <v/>
      </c>
      <c r="F6366" s="22" t="str">
        <f>IF(OR(E6366="",E6366="!!!"),"",IF(NOT(ISNA(VLOOKUP(E6366,E$1:E6365,1,FALSE()))),"OLD",IF(AND(E6366&lt;&gt;"",E6366&lt;&gt;"!!!"),"NEW","")))</f>
        <v> </v>
      </c>
      <c r="G6366" s="23" t="str">
        <f>IF(OR(E6366="",E6366="!!!"),"",IF(OR(J6366=0,AND(J6366=1,K6366=1),AND(J6366=1,I6366="SBJ"),AND(J6366=1,I6366=0)),"?IN_FOCUS",IF(J6366&lt;=2,"?ACTIVATED",IF(J6366&lt;&gt;"","?FAMILIAR",IF(F6366="NEW",IF(ISNA(VLOOKUP(E6366,#REF!,1,FALSE())),"?TYPE_IDENTIFIABLE","?REFERENTIAL"),"_")))))</f>
        <v> </v>
      </c>
      <c r="H6366" s="24" t="str">
        <f>IF(J6366&lt;&gt;1,"",IF(I6366="SBJ","CB","?"))</f>
        <v> </v>
      </c>
      <c r="I6366" s="25" t="str">
        <f>IF(OR(E6366="",E6366="!!!",F6366="NEW"),"",INDEX(B6365:B$2,-1+SUMPRODUCT(MAX(ROW(E6365:E$2)*(E6366=E6365:E$2)))))</f>
        <v> </v>
      </c>
      <c r="J6366" s="25" t="str">
        <f>IF(OR(E6366="",E6366="!!!",F6366="NEW"),"",COUNTBLANK(OFFSET(A$1,,,SUMPRODUCT(MAX(ROW(E$2:E6366)*(E6366=E$2:E6366)))))-COUNTBLANK(OFFSET(A$1,,,SUMPRODUCT(MAX(ROW(E$1:E6365)*(E2=E$1:E6365))))))</f>
        <v> </v>
      </c>
      <c r="K6366" s="25" t="str">
        <f>IF(OR(E6366="",E6366="!!!",F6366="NEW"),"",INDEX(J$1:J6365,SUMPRODUCT(MAX(ROW(E$1:E6365)*(E6366=E$1:E6365)))))</f>
        <v> </v>
      </c>
      <c r="L6366" s="26"/>
    </row>
    <row r="6367" spans="1:12">
      <c r="A6367" s="20" t="s">
        <v>1056</v>
      </c>
      <c r="E6367" s="21">
        <f>IF(D6367="?OLD","!!!","")</f>
        <v/>
      </c>
      <c r="F6367" s="22" t="str">
        <f>IF(OR(E6367="",E6367="!!!"),"",IF(NOT(ISNA(VLOOKUP(E6367,E$1:E6366,1,FALSE()))),"OLD",IF(AND(E6367&lt;&gt;"",E6367&lt;&gt;"!!!"),"NEW","")))</f>
        <v> </v>
      </c>
      <c r="G6367" s="23" t="str">
        <f>IF(OR(E6367="",E6367="!!!"),"",IF(OR(J6367=0,AND(J6367=1,K6367=1),AND(J6367=1,I6367="SBJ"),AND(J6367=1,I6367=0)),"?IN_FOCUS",IF(J6367&lt;=2,"?ACTIVATED",IF(J6367&lt;&gt;"","?FAMILIAR",IF(F6367="NEW",IF(ISNA(VLOOKUP(E6367,#REF!,1,FALSE())),"?TYPE_IDENTIFIABLE","?REFERENTIAL"),"_")))))</f>
        <v> </v>
      </c>
      <c r="H6367" s="24" t="str">
        <f>IF(J6367&lt;&gt;1,"",IF(I6367="SBJ","CB","?"))</f>
        <v> </v>
      </c>
      <c r="I6367" s="25" t="str">
        <f>IF(OR(E6367="",E6367="!!!",F6367="NEW"),"",INDEX(B6366:B$2,-1+SUMPRODUCT(MAX(ROW(E6366:E$2)*(E6367=E6366:E$2)))))</f>
        <v> </v>
      </c>
      <c r="J6367" s="25" t="str">
        <f>IF(OR(E6367="",E6367="!!!",F6367="NEW"),"",COUNTBLANK(OFFSET(A$1,,,SUMPRODUCT(MAX(ROW(E$2:E6367)*(E6367=E$2:E6367)))))-COUNTBLANK(OFFSET(A$1,,,SUMPRODUCT(MAX(ROW(E$1:E6366)*(E2=E$1:E6366))))))</f>
        <v> </v>
      </c>
      <c r="K6367" s="25" t="str">
        <f>IF(OR(E6367="",E6367="!!!",F6367="NEW"),"",INDEX(J$1:J6366,SUMPRODUCT(MAX(ROW(E$1:E6366)*(E6367=E$1:E6366)))))</f>
        <v> </v>
      </c>
      <c r="L6367" s="26"/>
    </row>
    <row r="6368" spans="1:12">
      <c r="A6368" s="20" t="s">
        <v>934</v>
      </c>
      <c r="E6368" s="21">
        <f>IF(D6368="?OLD","!!!","")</f>
        <v/>
      </c>
      <c r="F6368" s="22" t="str">
        <f>IF(OR(E6368="",E6368="!!!"),"",IF(NOT(ISNA(VLOOKUP(E6368,E$1:E6367,1,FALSE()))),"OLD",IF(AND(E6368&lt;&gt;"",E6368&lt;&gt;"!!!"),"NEW","")))</f>
        <v> </v>
      </c>
      <c r="G6368" s="23" t="str">
        <f>IF(OR(E6368="",E6368="!!!"),"",IF(OR(J6368=0,AND(J6368=1,K6368=1),AND(J6368=1,I6368="SBJ"),AND(J6368=1,I6368=0)),"?IN_FOCUS",IF(J6368&lt;=2,"?ACTIVATED",IF(J6368&lt;&gt;"","?FAMILIAR",IF(F6368="NEW",IF(ISNA(VLOOKUP(E6368,#REF!,1,FALSE())),"?TYPE_IDENTIFIABLE","?REFERENTIAL"),"_")))))</f>
        <v> </v>
      </c>
      <c r="H6368" s="24" t="str">
        <f>IF(J6368&lt;&gt;1,"",IF(I6368="SBJ","CB","?"))</f>
        <v> </v>
      </c>
      <c r="I6368" s="25" t="str">
        <f>IF(OR(E6368="",E6368="!!!",F6368="NEW"),"",INDEX(B6367:B$2,-1+SUMPRODUCT(MAX(ROW(E6367:E$2)*(E6368=E6367:E$2)))))</f>
        <v> </v>
      </c>
      <c r="J6368" s="25" t="str">
        <f>IF(OR(E6368="",E6368="!!!",F6368="NEW"),"",COUNTBLANK(OFFSET(A$1,,,SUMPRODUCT(MAX(ROW(E$2:E6368)*(E6368=E$2:E6368)))))-COUNTBLANK(OFFSET(A$1,,,SUMPRODUCT(MAX(ROW(E$1:E6367)*(E2=E$1:E6367))))))</f>
        <v> </v>
      </c>
      <c r="K6368" s="25" t="str">
        <f>IF(OR(E6368="",E6368="!!!",F6368="NEW"),"",INDEX(J$1:J6367,SUMPRODUCT(MAX(ROW(E$1:E6367)*(E6368=E$1:E6367)))))</f>
        <v> </v>
      </c>
      <c r="L6368" s="26"/>
    </row>
    <row r="6369" spans="1:12">
      <c r="A6369" s="20" t="s">
        <v>2332</v>
      </c>
      <c r="E6369" s="21">
        <f>IF(D6369="?OLD","!!!","")</f>
        <v/>
      </c>
      <c r="F6369" s="22" t="str">
        <f>IF(OR(E6369="",E6369="!!!"),"",IF(NOT(ISNA(VLOOKUP(E6369,E$1:E6368,1,FALSE()))),"OLD",IF(AND(E6369&lt;&gt;"",E6369&lt;&gt;"!!!"),"NEW","")))</f>
        <v> </v>
      </c>
      <c r="G6369" s="23" t="str">
        <f>IF(OR(E6369="",E6369="!!!"),"",IF(OR(J6369=0,AND(J6369=1,K6369=1),AND(J6369=1,I6369="SBJ"),AND(J6369=1,I6369=0)),"?IN_FOCUS",IF(J6369&lt;=2,"?ACTIVATED",IF(J6369&lt;&gt;"","?FAMILIAR",IF(F6369="NEW",IF(ISNA(VLOOKUP(E6369,#REF!,1,FALSE())),"?TYPE_IDENTIFIABLE","?REFERENTIAL"),"_")))))</f>
        <v> </v>
      </c>
      <c r="H6369" s="24" t="str">
        <f>IF(J6369&lt;&gt;1,"",IF(I6369="SBJ","CB","?"))</f>
        <v> </v>
      </c>
      <c r="I6369" s="25" t="str">
        <f>IF(OR(E6369="",E6369="!!!",F6369="NEW"),"",INDEX(B6368:B$2,-1+SUMPRODUCT(MAX(ROW(E6368:E$2)*(E6369=E6368:E$2)))))</f>
        <v> </v>
      </c>
      <c r="J6369" s="25" t="str">
        <f>IF(OR(E6369="",E6369="!!!",F6369="NEW"),"",COUNTBLANK(OFFSET(A$1,,,SUMPRODUCT(MAX(ROW(E$2:E6369)*(E6369=E$2:E6369)))))-COUNTBLANK(OFFSET(A$1,,,SUMPRODUCT(MAX(ROW(E$1:E6368)*(E2=E$1:E6368))))))</f>
        <v> </v>
      </c>
      <c r="K6369" s="25" t="str">
        <f>IF(OR(E6369="",E6369="!!!",F6369="NEW"),"",INDEX(J$1:J6368,SUMPRODUCT(MAX(ROW(E$1:E6368)*(E6369=E$1:E6368)))))</f>
        <v> </v>
      </c>
      <c r="L6369" s="26"/>
    </row>
    <row r="6370" spans="1:12">
      <c r="A6370" s="20" t="s">
        <v>2333</v>
      </c>
      <c r="E6370" s="21">
        <f>IF(D6370="?OLD","!!!","")</f>
        <v/>
      </c>
      <c r="F6370" s="22" t="str">
        <f>IF(OR(E6370="",E6370="!!!"),"",IF(NOT(ISNA(VLOOKUP(E6370,E$1:E6369,1,FALSE()))),"OLD",IF(AND(E6370&lt;&gt;"",E6370&lt;&gt;"!!!"),"NEW","")))</f>
        <v> </v>
      </c>
      <c r="G6370" s="23" t="str">
        <f>IF(OR(E6370="",E6370="!!!"),"",IF(OR(J6370=0,AND(J6370=1,K6370=1),AND(J6370=1,I6370="SBJ"),AND(J6370=1,I6370=0)),"?IN_FOCUS",IF(J6370&lt;=2,"?ACTIVATED",IF(J6370&lt;&gt;"","?FAMILIAR",IF(F6370="NEW",IF(ISNA(VLOOKUP(E6370,#REF!,1,FALSE())),"?TYPE_IDENTIFIABLE","?REFERENTIAL"),"_")))))</f>
        <v> </v>
      </c>
      <c r="H6370" s="24" t="str">
        <f>IF(J6370&lt;&gt;1,"",IF(I6370="SBJ","CB","?"))</f>
        <v> </v>
      </c>
      <c r="I6370" s="25" t="str">
        <f>IF(OR(E6370="",E6370="!!!",F6370="NEW"),"",INDEX(B6369:B$2,-1+SUMPRODUCT(MAX(ROW(E6369:E$2)*(E6370=E6369:E$2)))))</f>
        <v> </v>
      </c>
      <c r="J6370" s="25" t="str">
        <f>IF(OR(E6370="",E6370="!!!",F6370="NEW"),"",COUNTBLANK(OFFSET(A$1,,,SUMPRODUCT(MAX(ROW(E$2:E6370)*(E6370=E$2:E6370)))))-COUNTBLANK(OFFSET(A$1,,,SUMPRODUCT(MAX(ROW(E$1:E6369)*(E2=E$1:E6369))))))</f>
        <v> </v>
      </c>
      <c r="K6370" s="25" t="str">
        <f>IF(OR(E6370="",E6370="!!!",F6370="NEW"),"",INDEX(J$1:J6369,SUMPRODUCT(MAX(ROW(E$1:E6369)*(E6370=E$1:E6369)))))</f>
        <v> </v>
      </c>
      <c r="L6370" s="26"/>
    </row>
    <row r="6371" spans="1:12">
      <c r="A6371" s="20" t="s">
        <v>2334</v>
      </c>
      <c r="B6371" s="27" t="s">
        <v>942</v>
      </c>
      <c r="C6371" s="27" t="s">
        <v>973</v>
      </c>
      <c r="E6371" s="21">
        <f>IF(D6371="?OLD","!!!","")</f>
        <v/>
      </c>
      <c r="F6371" s="22" t="str">
        <f>IF(OR(E6371="",E6371="!!!"),"",IF(NOT(ISNA(VLOOKUP(E6371,E$1:E6370,1,FALSE()))),"OLD",IF(AND(E6371&lt;&gt;"",E6371&lt;&gt;"!!!"),"NEW","")))</f>
        <v> </v>
      </c>
      <c r="G6371" s="23" t="str">
        <f>IF(OR(E6371="",E6371="!!!"),"",IF(OR(J6371=0,AND(J6371=1,K6371=1),AND(J6371=1,I6371="SBJ"),AND(J6371=1,I6371=0)),"?IN_FOCUS",IF(J6371&lt;=2,"?ACTIVATED",IF(J6371&lt;&gt;"","?FAMILIAR",IF(F6371="NEW",IF(ISNA(VLOOKUP(E6371,#REF!,1,FALSE())),"?TYPE_IDENTIFIABLE","?REFERENTIAL"),"_")))))</f>
        <v> </v>
      </c>
      <c r="H6371" s="24" t="str">
        <f>IF(J6371&lt;&gt;1,"",IF(I6371="SBJ","CB","?"))</f>
        <v> </v>
      </c>
      <c r="I6371" s="25" t="str">
        <f>IF(OR(E6371="",E6371="!!!",F6371="NEW"),"",INDEX(B6370:B$2,-1+SUMPRODUCT(MAX(ROW(E6370:E$2)*(E6371=E6370:E$2)))))</f>
        <v> </v>
      </c>
      <c r="J6371" s="25" t="str">
        <f>IF(OR(E6371="",E6371="!!!",F6371="NEW"),"",COUNTBLANK(OFFSET(A$1,,,SUMPRODUCT(MAX(ROW(E$2:E6371)*(E6371=E$2:E6371)))))-COUNTBLANK(OFFSET(A$1,,,SUMPRODUCT(MAX(ROW(E$1:E6370)*(E2=E$1:E6370))))))</f>
        <v> </v>
      </c>
      <c r="K6371" s="25" t="str">
        <f>IF(OR(E6371="",E6371="!!!",F6371="NEW"),"",INDEX(J$1:J6370,SUMPRODUCT(MAX(ROW(E$1:E6370)*(E6371=E$1:E6370)))))</f>
        <v> </v>
      </c>
      <c r="L6371" s="26"/>
    </row>
    <row r="6372" spans="1:12">
      <c r="A6372" s="20" t="s">
        <v>1042</v>
      </c>
      <c r="E6372" s="21">
        <f>IF(D6372="?OLD","!!!","")</f>
        <v/>
      </c>
      <c r="F6372" s="22" t="str">
        <f>IF(OR(E6372="",E6372="!!!"),"",IF(NOT(ISNA(VLOOKUP(E6372,E$1:E6371,1,FALSE()))),"OLD",IF(AND(E6372&lt;&gt;"",E6372&lt;&gt;"!!!"),"NEW","")))</f>
        <v> </v>
      </c>
      <c r="G6372" s="23" t="str">
        <f>IF(OR(E6372="",E6372="!!!"),"",IF(OR(J6372=0,AND(J6372=1,K6372=1),AND(J6372=1,I6372="SBJ"),AND(J6372=1,I6372=0)),"?IN_FOCUS",IF(J6372&lt;=2,"?ACTIVATED",IF(J6372&lt;&gt;"","?FAMILIAR",IF(F6372="NEW",IF(ISNA(VLOOKUP(E6372,#REF!,1,FALSE())),"?TYPE_IDENTIFIABLE","?REFERENTIAL"),"_")))))</f>
        <v> </v>
      </c>
      <c r="H6372" s="24" t="str">
        <f>IF(J6372&lt;&gt;1,"",IF(I6372="SBJ","CB","?"))</f>
        <v> </v>
      </c>
      <c r="I6372" s="25" t="str">
        <f>IF(OR(E6372="",E6372="!!!",F6372="NEW"),"",INDEX(B6371:B$2,-1+SUMPRODUCT(MAX(ROW(E6371:E$2)*(E6372=E6371:E$2)))))</f>
        <v> </v>
      </c>
      <c r="J6372" s="25" t="str">
        <f>IF(OR(E6372="",E6372="!!!",F6372="NEW"),"",COUNTBLANK(OFFSET(A$1,,,SUMPRODUCT(MAX(ROW(E$2:E6372)*(E6372=E$2:E6372)))))-COUNTBLANK(OFFSET(A$1,,,SUMPRODUCT(MAX(ROW(E$1:E6371)*(E2=E$1:E6371))))))</f>
        <v> </v>
      </c>
      <c r="K6372" s="25" t="str">
        <f>IF(OR(E6372="",E6372="!!!",F6372="NEW"),"",INDEX(J$1:J6371,SUMPRODUCT(MAX(ROW(E$1:E6371)*(E6372=E$1:E6371)))))</f>
        <v> </v>
      </c>
      <c r="L6372" s="26"/>
    </row>
    <row r="6373" spans="1:12">
      <c r="A6373" s="20"/>
    </row>
    <row r="6374" spans="1:12">
      <c r="A6374" s="20" t="s">
        <v>2335</v>
      </c>
    </row>
    <row r="6375" spans="1:12">
      <c r="A6375" s="20" t="s">
        <v>2336</v>
      </c>
      <c r="E6375" s="21">
        <f>IF(D6375="?OLD","!!!","")</f>
        <v/>
      </c>
      <c r="F6375" s="22" t="str">
        <f>IF(OR(E6375="",E6375="!!!"),"",IF(NOT(ISNA(VLOOKUP(E6375,E$1:E6374,1,FALSE()))),"OLD",IF(AND(E6375&lt;&gt;"",E6375&lt;&gt;"!!!"),"NEW","")))</f>
        <v> </v>
      </c>
      <c r="G6375" s="23" t="str">
        <f>IF(OR(E6375="",E6375="!!!"),"",IF(OR(J6375=0,AND(J6375=1,K6375=1),AND(J6375=1,I6375="SBJ"),AND(J6375=1,I6375=0)),"?IN_FOCUS",IF(J6375&lt;=2,"?ACTIVATED",IF(J6375&lt;&gt;"","?FAMILIAR",IF(F6375="NEW",IF(ISNA(VLOOKUP(E6375,#REF!,1,FALSE())),"?TYPE_IDENTIFIABLE","?REFERENTIAL"),"_")))))</f>
        <v> </v>
      </c>
      <c r="H6375" s="24" t="str">
        <f>IF(J6375&lt;&gt;1,"",IF(I6375="SBJ","CB","?"))</f>
        <v> </v>
      </c>
      <c r="I6375" s="25" t="str">
        <f>IF(OR(E6375="",E6375="!!!",F6375="NEW"),"",INDEX(B6374:B$2,-1+SUMPRODUCT(MAX(ROW(E6374:E$2)*(E6375=E6374:E$2)))))</f>
        <v> </v>
      </c>
      <c r="J6375" s="25" t="str">
        <f>IF(OR(E6375="",E6375="!!!",F6375="NEW"),"",COUNTBLANK(OFFSET(A$1,,,SUMPRODUCT(MAX(ROW(E$2:E6375)*(E6375=E$2:E6375)))))-COUNTBLANK(OFFSET(A$1,,,SUMPRODUCT(MAX(ROW(E$1:E6374)*(E2=E$1:E6374))))))</f>
        <v> </v>
      </c>
      <c r="K6375" s="25" t="str">
        <f>IF(OR(E6375="",E6375="!!!",F6375="NEW"),"",INDEX(J$1:J6374,SUMPRODUCT(MAX(ROW(E$1:E6374)*(E6375=E$1:E6374)))))</f>
        <v> </v>
      </c>
      <c r="L6375" s="26"/>
    </row>
    <row r="6376" spans="1:12">
      <c r="A6376" s="20" t="s">
        <v>1175</v>
      </c>
      <c r="B6376" s="27" t="s">
        <v>988</v>
      </c>
      <c r="C6376" s="27" t="s">
        <v>931</v>
      </c>
      <c r="D6376" s="27" t="s">
        <v>932</v>
      </c>
      <c r="E6376" s="21">
        <f>IF(D6376="?OLD","!!!","")</f>
        <v/>
      </c>
      <c r="F6376" s="22" t="str">
        <f>IF(OR(E6376="",E6376="!!!"),"",IF(NOT(ISNA(VLOOKUP(E6376,E$1:E6375,1,FALSE()))),"OLD",IF(AND(E6376&lt;&gt;"",E6376&lt;&gt;"!!!"),"NEW","")))</f>
        <v> </v>
      </c>
      <c r="G6376" s="23" t="str">
        <f>IF(OR(E6376="",E6376="!!!"),"",IF(OR(J6376=0,AND(J6376=1,K6376=1),AND(J6376=1,I6376="SBJ"),AND(J6376=1,I6376=0)),"?IN_FOCUS",IF(J6376&lt;=2,"?ACTIVATED",IF(J6376&lt;&gt;"","?FAMILIAR",IF(F6376="NEW",IF(ISNA(VLOOKUP(E6376,#REF!,1,FALSE())),"?TYPE_IDENTIFIABLE","?REFERENTIAL"),"_")))))</f>
        <v> </v>
      </c>
      <c r="H6376" s="24" t="str">
        <f>IF(J6376&lt;&gt;1,"",IF(I6376="SBJ","CB","?"))</f>
        <v> </v>
      </c>
      <c r="I6376" s="25" t="str">
        <f>IF(OR(E6376="",E6376="!!!",F6376="NEW"),"",INDEX(B6375:B$2,-1+SUMPRODUCT(MAX(ROW(E6375:E$2)*(E6376=E6375:E$2)))))</f>
        <v> </v>
      </c>
      <c r="J6376" s="25" t="str">
        <f>IF(OR(E6376="",E6376="!!!",F6376="NEW"),"",COUNTBLANK(OFFSET(A$1,,,SUMPRODUCT(MAX(ROW(E$2:E6376)*(E6376=E$2:E6376)))))-COUNTBLANK(OFFSET(A$1,,,SUMPRODUCT(MAX(ROW(E$1:E6375)*(E2=E$1:E6375))))))</f>
        <v> </v>
      </c>
      <c r="K6376" s="25" t="str">
        <f>IF(OR(E6376="",E6376="!!!",F6376="NEW"),"",INDEX(J$1:J6375,SUMPRODUCT(MAX(ROW(E$1:E6375)*(E6376=E$1:E6375)))))</f>
        <v> </v>
      </c>
      <c r="L6376" s="26"/>
    </row>
    <row r="6377" spans="1:12">
      <c r="A6377" s="20" t="s">
        <v>1042</v>
      </c>
      <c r="E6377" s="21">
        <f>IF(D6377="?OLD","!!!","")</f>
        <v/>
      </c>
      <c r="F6377" s="22" t="str">
        <f>IF(OR(E6377="",E6377="!!!"),"",IF(NOT(ISNA(VLOOKUP(E6377,E$1:E6376,1,FALSE()))),"OLD",IF(AND(E6377&lt;&gt;"",E6377&lt;&gt;"!!!"),"NEW","")))</f>
        <v> </v>
      </c>
      <c r="G6377" s="23" t="str">
        <f>IF(OR(E6377="",E6377="!!!"),"",IF(OR(J6377=0,AND(J6377=1,K6377=1),AND(J6377=1,I6377="SBJ"),AND(J6377=1,I6377=0)),"?IN_FOCUS",IF(J6377&lt;=2,"?ACTIVATED",IF(J6377&lt;&gt;"","?FAMILIAR",IF(F6377="NEW",IF(ISNA(VLOOKUP(E6377,#REF!,1,FALSE())),"?TYPE_IDENTIFIABLE","?REFERENTIAL"),"_")))))</f>
        <v> </v>
      </c>
      <c r="H6377" s="24" t="str">
        <f>IF(J6377&lt;&gt;1,"",IF(I6377="SBJ","CB","?"))</f>
        <v> </v>
      </c>
      <c r="I6377" s="25" t="str">
        <f>IF(OR(E6377="",E6377="!!!",F6377="NEW"),"",INDEX(B6376:B$2,-1+SUMPRODUCT(MAX(ROW(E6376:E$2)*(E6377=E6376:E$2)))))</f>
        <v> </v>
      </c>
      <c r="J6377" s="25" t="str">
        <f>IF(OR(E6377="",E6377="!!!",F6377="NEW"),"",COUNTBLANK(OFFSET(A$1,,,SUMPRODUCT(MAX(ROW(E$2:E6377)*(E6377=E$2:E6377)))))-COUNTBLANK(OFFSET(A$1,,,SUMPRODUCT(MAX(ROW(E$1:E6376)*(E2=E$1:E6376))))))</f>
        <v> </v>
      </c>
      <c r="K6377" s="25" t="str">
        <f>IF(OR(E6377="",E6377="!!!",F6377="NEW"),"",INDEX(J$1:J6376,SUMPRODUCT(MAX(ROW(E$1:E6376)*(E6377=E$1:E6376)))))</f>
        <v> </v>
      </c>
      <c r="L6377" s="26"/>
    </row>
    <row r="6378" spans="1:12">
      <c r="A637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2024-05-20T13:17:28Z</dcterms:created>
  <dcterms:modified xsi:type="dcterms:W3CDTF">2024-05-20T13:17:28Z</dcterms:modified>
</cp:coreProperties>
</file>