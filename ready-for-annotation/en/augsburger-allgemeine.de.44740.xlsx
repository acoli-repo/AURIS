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<sst xmlns="http://schemas.openxmlformats.org/spreadsheetml/2006/main" count="2016" uniqueCount="658">
  <si>
    <t>ID</t>
  </si>
  <si>
    <t>PRED_ID</t>
  </si>
  <si>
    <t>MARKER_AUTO</t>
  </si>
  <si>
    <t>PREDICATE</t>
  </si>
  <si>
    <t>TEXT</t>
  </si>
  <si>
    <t>SENTENCE</t>
  </si>
  <si>
    <t>MARKER</t>
  </si>
  <si>
    <t>TARGET</t>
  </si>
  <si>
    <t>RELATION</t>
  </si>
  <si>
    <t>COMMENT</t>
  </si>
  <si>
    <t>1</t>
  </si>
  <si>
    <t>2</t>
  </si>
  <si>
    <t>_</t>
  </si>
  <si>
    <t>refuge</t>
  </si>
  <si>
    <t>Seeking refuge : &amp;quot; Every refugee woman has dealt with sexual violence &amp;quot;</t>
  </si>
  <si>
    <t>file://conllu/en/augsburger-allgemeine.de.44740.conllu#s1_0</t>
  </si>
  <si>
    <t>for?</t>
  </si>
  <si>
    <t>woman</t>
  </si>
  <si>
    <t>For women fleeing a country on their own , sexual violence is almost part of daily life .</t>
  </si>
  <si>
    <t>file://conllu/en/augsburger-allgemeine.de.44740.conllu#s2_0</t>
  </si>
  <si>
    <t>3</t>
  </si>
  <si>
    <t>10</t>
  </si>
  <si>
    <t>when?</t>
  </si>
  <si>
    <t>traumatise</t>
  </si>
  <si>
    <t>When they arrive in Germany , they are often traumatised .</t>
  </si>
  <si>
    <t>file://conllu/en/augsburger-allgemeine.de.44740.conllu#s3_0</t>
  </si>
  <si>
    <t>4</t>
  </si>
  <si>
    <t>One house offers refuge .</t>
  </si>
  <si>
    <t>file://conllu/en/augsburger-allgemeine.de.44740.conllu#s4_0</t>
  </si>
  <si>
    <t>5</t>
  </si>
  <si>
    <t>sit</t>
  </si>
  <si>
    <t>Four women are sitting in a large kitchen .</t>
  </si>
  <si>
    <t>file://conllu/en/augsburger-allgemeine.de.44740.conllu#s5_0</t>
  </si>
  <si>
    <t>6</t>
  </si>
  <si>
    <t>have</t>
  </si>
  <si>
    <t>Every one of them has a baby with them , the oldest of which is one year old .</t>
  </si>
  <si>
    <t>file://conllu/en/augsburger-allgemeine.de.44740.conllu#s6_0</t>
  </si>
  <si>
    <t>7</t>
  </si>
  <si>
    <t>hold</t>
  </si>
  <si>
    <t>One woman holds her little son in her arms .</t>
  </si>
  <si>
    <t>file://conllu/en/augsburger-allgemeine.de.44740.conllu#s7_0</t>
  </si>
  <si>
    <t>8</t>
  </si>
  <si>
    <t>look</t>
  </si>
  <si>
    <t>He looks around the room inquisitively , his eyes wide .</t>
  </si>
  <si>
    <t>file://conllu/en/augsburger-allgemeine.de.44740.conllu#s8_0</t>
  </si>
  <si>
    <t>9</t>
  </si>
  <si>
    <t>stare</t>
  </si>
  <si>
    <t>His mother stares at the tabletop .</t>
  </si>
  <si>
    <t>file://conllu/en/augsburger-allgemeine.de.44740.conllu#s9_0</t>
  </si>
  <si>
    <t>until?</t>
  </si>
  <si>
    <t>watch</t>
  </si>
  <si>
    <t>Until she realises she 's being watched .</t>
  </si>
  <si>
    <t>file://conllu/en/augsburger-allgemeine.de.44740.conllu#s10_0</t>
  </si>
  <si>
    <t>11</t>
  </si>
  <si>
    <t>and?</t>
  </si>
  <si>
    <t>smile</t>
  </si>
  <si>
    <t>She smiles briefly and kisses the child .</t>
  </si>
  <si>
    <t>file://conllu/en/augsburger-allgemeine.de.44740.conllu#s11_0</t>
  </si>
  <si>
    <t>12</t>
  </si>
  <si>
    <t>The scene looks normal .</t>
  </si>
  <si>
    <t>file://conllu/en/augsburger-allgemeine.de.44740.conllu#s12_0</t>
  </si>
  <si>
    <t>13</t>
  </si>
  <si>
    <t>start</t>
  </si>
  <si>
    <t>Until you start talking to Katrin Bahr .</t>
  </si>
  <si>
    <t>file://conllu/en/augsburger-allgemeine.de.44740.conllu#s13_0</t>
  </si>
  <si>
    <t>14</t>
  </si>
  <si>
    <t>be (be manager)</t>
  </si>
  <si>
    <t>She is the field manager for Condrobs , a provider of social assistance within Bavaria .</t>
  </si>
  <si>
    <t>file://conllu/en/augsburger-allgemeine.de.44740.conllu#s14_0</t>
  </si>
  <si>
    <t>15</t>
  </si>
  <si>
    <t>be (be woman)</t>
  </si>
  <si>
    <t>One of the issues she deals with is refugee women .</t>
  </si>
  <si>
    <t>file://conllu/en/augsburger-allgemeine.de.44740.conllu#s15_0</t>
  </si>
  <si>
    <t>16</t>
  </si>
  <si>
    <t>be (be refugee)</t>
  </si>
  <si>
    <t>The four women in the kitchen are refugees .</t>
  </si>
  <si>
    <t>file://conllu/en/augsburger-allgemeine.de.44740.conllu#s16_0</t>
  </si>
  <si>
    <t>17</t>
  </si>
  <si>
    <t>live</t>
  </si>
  <si>
    <t>They live in the north of Munich , in one of the few decentralised accommodation centres in Bavaria for refugee women and their children who have made the journey alone .</t>
  </si>
  <si>
    <t>file://conllu/en/augsburger-allgemeine.de.44740.conllu#s17_0</t>
  </si>
  <si>
    <t>18</t>
  </si>
  <si>
    <t>open</t>
  </si>
  <si>
    <t>Condrobs opened the centre in January , in collaboration with Pro Familia and the Munich Women 's Help organisation .</t>
  </si>
  <si>
    <t>file://conllu/en/augsburger-allgemeine.de.44740.conllu#s18_0</t>
  </si>
  <si>
    <t>19</t>
  </si>
  <si>
    <t>It recently had its official opening .</t>
  </si>
  <si>
    <t>file://conllu/en/augsburger-allgemeine.de.44740.conllu#s19_0</t>
  </si>
  <si>
    <t>20</t>
  </si>
  <si>
    <t>60 people live there around 40 women and 20 children .</t>
  </si>
  <si>
    <t>file://conllu/en/augsburger-allgemeine.de.44740.conllu#s20_0</t>
  </si>
  <si>
    <t>21</t>
  </si>
  <si>
    <t>be</t>
  </si>
  <si>
    <t>There are no men not even male visitors .</t>
  </si>
  <si>
    <t>file://conllu/en/augsburger-allgemeine.de.44740.conllu#s21_0</t>
  </si>
  <si>
    <t>22</t>
  </si>
  <si>
    <t>be (be bodyguard)</t>
  </si>
  <si>
    <t>The exception is a bodyguard on the door .</t>
  </si>
  <si>
    <t>file://conllu/en/augsburger-allgemeine.de.44740.conllu#s22_0</t>
  </si>
  <si>
    <t>23</t>
  </si>
  <si>
    <t>28</t>
  </si>
  <si>
    <t>say</t>
  </si>
  <si>
    <t>&amp;quot; I 'm not exaggerating when I say that every woman who arrives here has dealt with sexual violence on her way to find refuge , &amp;quot; said Bahr .</t>
  </si>
  <si>
    <t>file://conllu/en/augsburger-allgemeine.de.44740.conllu#s23_0</t>
  </si>
  <si>
    <t>24</t>
  </si>
  <si>
    <t>because?</t>
  </si>
  <si>
    <t>flee</t>
  </si>
  <si>
    <t>&amp;quot; Men flee because of war , because they are politically persecuted , because they are threatened with torture or death , or because their families pin their hopes on them and send them to Europe , &amp;quot; she explains .</t>
  </si>
  <si>
    <t>file://conllu/en/augsburger-allgemeine.de.44740.conllu#s24_0</t>
  </si>
  <si>
    <t>25</t>
  </si>
  <si>
    <t>be (be foreground)</t>
  </si>
  <si>
    <t>When women flee , other reasons are in the foreground : &amp;quot; Many women sneak away secretly , because they see no other way out &amp;quot; .</t>
  </si>
  <si>
    <t>file://conllu/en/augsburger-allgemeine.de.44740.conllu#s25_0</t>
  </si>
  <si>
    <t>26</t>
  </si>
  <si>
    <t>experience</t>
  </si>
  <si>
    <t>In their home countries , they experienced sexual violence , forced marriage , honour killings , slavery or forced prostitution .</t>
  </si>
  <si>
    <t>file://conllu/en/augsburger-allgemeine.de.44740.conllu#s26_0</t>
  </si>
  <si>
    <t>27</t>
  </si>
  <si>
    <t>propel</t>
  </si>
  <si>
    <t>That propels them forward .</t>
  </si>
  <si>
    <t>file://conllu/en/augsburger-allgemeine.de.44740.conllu#s27_0</t>
  </si>
  <si>
    <t>while?</t>
  </si>
  <si>
    <t>continue</t>
  </si>
  <si>
    <t>And it continues even while they 're on the run .</t>
  </si>
  <si>
    <t>file://conllu/en/augsburger-allgemeine.de.44740.conllu#s28_0</t>
  </si>
  <si>
    <t>29</t>
  </si>
  <si>
    <t>be (be occurrence)</t>
  </si>
  <si>
    <t>&amp;quot; It is not a rare occurrence that traffickers request a sexual act in exchange for a bottle of water , for example , &amp;quot; says Bahr .</t>
  </si>
  <si>
    <t>file://conllu/en/augsburger-allgemeine.de.44740.conllu#s29_0</t>
  </si>
  <si>
    <t>30</t>
  </si>
  <si>
    <t>be (be alone)</t>
  </si>
  <si>
    <t>And the woman are alone , unprotected by their families .</t>
  </si>
  <si>
    <t>file://conllu/en/augsburger-allgemeine.de.44740.conllu#s30_0</t>
  </si>
  <si>
    <t>31</t>
  </si>
  <si>
    <t>if?</t>
  </si>
  <si>
    <t>think (think say)</t>
  </si>
  <si>
    <t>If you think that this stops as soon as they arrive in Germany , you 'd be wrong , says Bahr .</t>
  </si>
  <si>
    <t>file://conllu/en/augsburger-allgemeine.de.44740.conllu#s31_0</t>
  </si>
  <si>
    <t>32</t>
  </si>
  <si>
    <t>as?</t>
  </si>
  <si>
    <t>see</t>
  </si>
  <si>
    <t>Even in Germany , lone women are often seen as inferior in refugee accommodation , and , in the worst cases , they are abused .</t>
  </si>
  <si>
    <t>file://conllu/en/augsburger-allgemeine.de.44740.conllu#s32_0</t>
  </si>
  <si>
    <t>33</t>
  </si>
  <si>
    <t>as a result?</t>
  </si>
  <si>
    <t>As a result , around 90 percent of the women living in accommodation in the north of Munich are traumatised , she estimates .</t>
  </si>
  <si>
    <t>file://conllu/en/augsburger-allgemeine.de.44740.conllu#s33_0</t>
  </si>
  <si>
    <t>34</t>
  </si>
  <si>
    <t>conceive</t>
  </si>
  <si>
    <t>&amp;quot; Some of the children were certainly not conceived with the woman 's consent &amp;quot; .</t>
  </si>
  <si>
    <t>file://conllu/en/augsburger-allgemeine.de.44740.conllu#s34_0</t>
  </si>
  <si>
    <t>35</t>
  </si>
  <si>
    <t>so?</t>
  </si>
  <si>
    <t>say (say use say)</t>
  </si>
  <si>
    <t>Many women are so used to it that they do not say anything , she says .</t>
  </si>
  <si>
    <t>file://conllu/en/augsburger-allgemeine.de.44740.conllu#s35_0</t>
  </si>
  <si>
    <t>36</t>
  </si>
  <si>
    <t>or?</t>
  </si>
  <si>
    <t>bring</t>
  </si>
  <si>
    <t>&amp;quot; Or they ca n't bring themselves to talk about what they experienced because they are too ashamed &amp;quot; .</t>
  </si>
  <si>
    <t>file://conllu/en/augsburger-allgemeine.de.44740.conllu#s36_0</t>
  </si>
  <si>
    <t>37</t>
  </si>
  <si>
    <t>Because they often do n't know how to get help , there needs to be more accommodation just for them , says Bahr .</t>
  </si>
  <si>
    <t>file://conllu/en/augsburger-allgemeine.de.44740.conllu#s37_0</t>
  </si>
  <si>
    <t>38</t>
  </si>
  <si>
    <t>be (be responsible)</t>
  </si>
  <si>
    <t>In Bavaria , the seven district governments are responsible for providing accommodation for refugees .</t>
  </si>
  <si>
    <t>file://conllu/en/augsburger-allgemeine.de.44740.conllu#s38_0</t>
  </si>
  <si>
    <t>39</t>
  </si>
  <si>
    <t>know (know ask answer)</t>
  </si>
  <si>
    <t>When asked if they knew of projects like the one in Munich operating within the areas they covered , some answered with &amp;quot; no &amp;quot; .</t>
  </si>
  <si>
    <t>file://conllu/en/augsburger-allgemeine.de.44740.conllu#s39_0</t>
  </si>
  <si>
    <t>40</t>
  </si>
  <si>
    <t>In Upper Palatinate and Upper Franconia regions , for example , there is no similar accommodation offered by the government .</t>
  </si>
  <si>
    <t>file://conllu/en/augsburger-allgemeine.de.44740.conllu#s40_0</t>
  </si>
  <si>
    <t>41</t>
  </si>
  <si>
    <t>give</t>
  </si>
  <si>
    <t>Even in Swabia , women who come as lone refugees are not given separate accommodation , says Karl Heinz Meyer , press spokesperson for the region .</t>
  </si>
  <si>
    <t>file://conllu/en/augsburger-allgemeine.de.44740.conllu#s41_0</t>
  </si>
  <si>
    <t>42</t>
  </si>
  <si>
    <t>set</t>
  </si>
  <si>
    <t>In Upper Bavaria , Lower Franconia and Middle Franconia , floors , or individual houses , are set aside in some shared accommodation for lone women and their children .</t>
  </si>
  <si>
    <t>file://conllu/en/augsburger-allgemeine.de.44740.conllu#s42_0</t>
  </si>
  <si>
    <t>43</t>
  </si>
  <si>
    <t>be (be lower)</t>
  </si>
  <si>
    <t>The exception is Lower Bavaria :</t>
  </si>
  <si>
    <t>file://conllu/en/augsburger-allgemeine.de.44740.conllu#s43_0</t>
  </si>
  <si>
    <t>44</t>
  </si>
  <si>
    <t>there , there are two central accommodation centres exclusively for women .</t>
  </si>
  <si>
    <t>file://conllu/en/augsburger-allgemeine.de.44740.conllu#s44_0</t>
  </si>
  <si>
    <t>45</t>
  </si>
  <si>
    <t>stress</t>
  </si>
  <si>
    <t>Even the European Parliament 's Committee on &amp;quot; Women 's Rights and Gender Equality &amp;quot; stresses that women must be provided with accommodation separate from that of the men .</t>
  </si>
  <si>
    <t>file://conllu/en/augsburger-allgemeine.de.44740.conllu#s45_0</t>
  </si>
  <si>
    <t>46</t>
  </si>
  <si>
    <t>state</t>
  </si>
  <si>
    <t>In a study published on behalf of the Committee , it was stated that &amp;quot; it is very important that men and women are given separate accommodation . &amp;quot;</t>
  </si>
  <si>
    <t>file://conllu/en/augsburger-allgemeine.de.44740.conllu#s46_0</t>
  </si>
  <si>
    <t>47</t>
  </si>
  <si>
    <t>&amp;quot; If there is a lack of private space , or if men and women are provided with accommodation together , this can result in ( perpetual ) violence against women &amp;quot; .</t>
  </si>
  <si>
    <t>file://conllu/en/augsburger-allgemeine.de.44740.conllu#s47_0</t>
  </si>
  <si>
    <t>48</t>
  </si>
  <si>
    <t>be (be separate)</t>
  </si>
  <si>
    <t>Washing facilities , above all , should be separate , and easily accessible for women , according to the study .</t>
  </si>
  <si>
    <t>file://conllu/en/augsburger-allgemeine.de.44740.conllu#s48_0</t>
  </si>
  <si>
    <t>49</t>
  </si>
  <si>
    <t>The extent to which women need this protection can be seen in the sheer number of people interested in the house in Munich .</t>
  </si>
  <si>
    <t>file://conllu/en/augsburger-allgemeine.de.44740.conllu#s49_0</t>
  </si>
  <si>
    <t>50</t>
  </si>
  <si>
    <t>&amp;quot; Since word has got around that we exist , we have developed a long waiting list , &amp;quot; says Bahr .</t>
  </si>
  <si>
    <t>file://conllu/en/augsburger-allgemeine.de.44740.conllu#s50_0</t>
  </si>
  <si>
    <t>51</t>
  </si>
  <si>
    <t>be (be easy)</t>
  </si>
  <si>
    <t>It would be easy to open a second house .</t>
  </si>
  <si>
    <t>file://conllu/en/augsburger-allgemeine.de.44740.conllu#s51_0</t>
  </si>
  <si>
    <t>WORD</t>
  </si>
  <si>
    <t>GR</t>
  </si>
  <si>
    <t>NP_TYPE</t>
  </si>
  <si>
    <t>REF_AUTO</t>
  </si>
  <si>
    <t>COREF</t>
  </si>
  <si>
    <t>REF</t>
  </si>
  <si>
    <t>IS</t>
  </si>
  <si>
    <t>CB</t>
  </si>
  <si>
    <t>GR_ANTE</t>
  </si>
  <si>
    <t>REF_DIST</t>
  </si>
  <si>
    <t>REF_DIST_ANTE</t>
  </si>
  <si>
    <t># text = Seeking refuge: \"Every refugee woman has dealt with sexual violence\"</t>
  </si>
  <si>
    <t>Seeking</t>
  </si>
  <si>
    <t>other</t>
  </si>
  <si>
    <t>indef-np.bare</t>
  </si>
  <si>
    <t>:</t>
  </si>
  <si>
    <t>&amp;quot;</t>
  </si>
  <si>
    <t>Every</t>
  </si>
  <si>
    <t>refugee</t>
  </si>
  <si>
    <t>SBJ_2</t>
  </si>
  <si>
    <t>indef-np</t>
  </si>
  <si>
    <t>has</t>
  </si>
  <si>
    <t>dealt</t>
  </si>
  <si>
    <t>with</t>
  </si>
  <si>
    <t>sexual</t>
  </si>
  <si>
    <t>violence</t>
  </si>
  <si>
    <t>other_2</t>
  </si>
  <si>
    <t># text = For women fleeing a country on their own, sexual violence is almost part of daily life.</t>
  </si>
  <si>
    <t>For</t>
  </si>
  <si>
    <t>women</t>
  </si>
  <si>
    <t>fleeing</t>
  </si>
  <si>
    <t>a</t>
  </si>
  <si>
    <t>country</t>
  </si>
  <si>
    <t>OBJ_2</t>
  </si>
  <si>
    <t>indef-np.a</t>
  </si>
  <si>
    <t>on</t>
  </si>
  <si>
    <t>their</t>
  </si>
  <si>
    <t>other_3</t>
  </si>
  <si>
    <t>pron.ppos</t>
  </si>
  <si>
    <t>?OLD</t>
  </si>
  <si>
    <t>own</t>
  </si>
  <si>
    <t>,</t>
  </si>
  <si>
    <t>SBJ_3</t>
  </si>
  <si>
    <t>is</t>
  </si>
  <si>
    <t>almost</t>
  </si>
  <si>
    <t>part</t>
  </si>
  <si>
    <t>def-np.poss</t>
  </si>
  <si>
    <t>of</t>
  </si>
  <si>
    <t>daily</t>
  </si>
  <si>
    <t>life</t>
  </si>
  <si>
    <t>.</t>
  </si>
  <si>
    <t># text = When they arrive in Germany, they are often traumatised.</t>
  </si>
  <si>
    <t>When</t>
  </si>
  <si>
    <t>they</t>
  </si>
  <si>
    <t>pron.pper</t>
  </si>
  <si>
    <t>arrive</t>
  </si>
  <si>
    <t>in</t>
  </si>
  <si>
    <t>Germany</t>
  </si>
  <si>
    <t>ne</t>
  </si>
  <si>
    <t>SBJ</t>
  </si>
  <si>
    <t>are</t>
  </si>
  <si>
    <t>often</t>
  </si>
  <si>
    <t>traumatised</t>
  </si>
  <si>
    <t># text = One house offers refuge.</t>
  </si>
  <si>
    <t>One</t>
  </si>
  <si>
    <t>house</t>
  </si>
  <si>
    <t>offers</t>
  </si>
  <si>
    <t>indef-np.quant</t>
  </si>
  <si>
    <t># text = Four women are sitting in a large kitchen.</t>
  </si>
  <si>
    <t>Four</t>
  </si>
  <si>
    <t>sitting</t>
  </si>
  <si>
    <t>large</t>
  </si>
  <si>
    <t>kitchen</t>
  </si>
  <si>
    <t># text = Every one of them has a baby with them, the oldest of which is one year old.</t>
  </si>
  <si>
    <t>one</t>
  </si>
  <si>
    <t>them</t>
  </si>
  <si>
    <t>baby</t>
  </si>
  <si>
    <t>OBJ</t>
  </si>
  <si>
    <t>the</t>
  </si>
  <si>
    <t>oldest</t>
  </si>
  <si>
    <t>which</t>
  </si>
  <si>
    <t>pron.pint</t>
  </si>
  <si>
    <t>year</t>
  </si>
  <si>
    <t>old</t>
  </si>
  <si>
    <t># text = One woman holds her little son in her arms.</t>
  </si>
  <si>
    <t>holds</t>
  </si>
  <si>
    <t>her</t>
  </si>
  <si>
    <t>little</t>
  </si>
  <si>
    <t>son</t>
  </si>
  <si>
    <t>arms</t>
  </si>
  <si>
    <t># text = He looks around the room inquisitively, his eyes wide.</t>
  </si>
  <si>
    <t>He</t>
  </si>
  <si>
    <t>looks</t>
  </si>
  <si>
    <t>around</t>
  </si>
  <si>
    <t>room</t>
  </si>
  <si>
    <t>def-np.the</t>
  </si>
  <si>
    <t>inquisitively</t>
  </si>
  <si>
    <t>his</t>
  </si>
  <si>
    <t>eyes</t>
  </si>
  <si>
    <t>wide</t>
  </si>
  <si>
    <t># text = His mother stares at the tabletop.</t>
  </si>
  <si>
    <t>His</t>
  </si>
  <si>
    <t>mother</t>
  </si>
  <si>
    <t>stares</t>
  </si>
  <si>
    <t>at</t>
  </si>
  <si>
    <t>tabletop</t>
  </si>
  <si>
    <t># text = Until she realises she's being watched.</t>
  </si>
  <si>
    <t>Until</t>
  </si>
  <si>
    <t>she</t>
  </si>
  <si>
    <t>realises</t>
  </si>
  <si>
    <t>'s</t>
  </si>
  <si>
    <t>being</t>
  </si>
  <si>
    <t>watched</t>
  </si>
  <si>
    <t># text = She smiles briefly and kisses the child.</t>
  </si>
  <si>
    <t>She</t>
  </si>
  <si>
    <t>smiles</t>
  </si>
  <si>
    <t>briefly</t>
  </si>
  <si>
    <t>and</t>
  </si>
  <si>
    <t>kisses</t>
  </si>
  <si>
    <t>child</t>
  </si>
  <si>
    <t># text = The scene looks normal.</t>
  </si>
  <si>
    <t>The</t>
  </si>
  <si>
    <t>scene</t>
  </si>
  <si>
    <t>normal</t>
  </si>
  <si>
    <t># text = Until you start talking to Katrin Bahr.</t>
  </si>
  <si>
    <t>you</t>
  </si>
  <si>
    <t>talking</t>
  </si>
  <si>
    <t>to</t>
  </si>
  <si>
    <t>Katrin</t>
  </si>
  <si>
    <t>Bahr</t>
  </si>
  <si>
    <t># text = She is the field manager for Condrobs, a provider of social assistance within Bavaria.</t>
  </si>
  <si>
    <t>field</t>
  </si>
  <si>
    <t>manager</t>
  </si>
  <si>
    <t>for</t>
  </si>
  <si>
    <t>Condrobs</t>
  </si>
  <si>
    <t>provider</t>
  </si>
  <si>
    <t>social</t>
  </si>
  <si>
    <t>assistance</t>
  </si>
  <si>
    <t>within</t>
  </si>
  <si>
    <t>Bavaria</t>
  </si>
  <si>
    <t># text = One of the issues she deals with is refugee women.</t>
  </si>
  <si>
    <t>issues</t>
  </si>
  <si>
    <t>SBJ_4</t>
  </si>
  <si>
    <t>deals</t>
  </si>
  <si>
    <t># text = The four women in the kitchen are refugees.</t>
  </si>
  <si>
    <t>four</t>
  </si>
  <si>
    <t>def-np.quant</t>
  </si>
  <si>
    <t>refugees</t>
  </si>
  <si>
    <t># text = They live in the north of Munich, in one of the few decentralised accommodation centres in Bavaria for refugee women and their children who have made the journey alone.</t>
  </si>
  <si>
    <t>They</t>
  </si>
  <si>
    <t>north</t>
  </si>
  <si>
    <t>Munich</t>
  </si>
  <si>
    <t>few</t>
  </si>
  <si>
    <t>decentralised</t>
  </si>
  <si>
    <t>accommodation</t>
  </si>
  <si>
    <t>centres</t>
  </si>
  <si>
    <t>children</t>
  </si>
  <si>
    <t>who</t>
  </si>
  <si>
    <t>made</t>
  </si>
  <si>
    <t>journey</t>
  </si>
  <si>
    <t>OBJ_3</t>
  </si>
  <si>
    <t>alone</t>
  </si>
  <si>
    <t># text = Condrobs opened the centre in January, in collaboration with Pro Familia and the Munich Women's Help organisation.</t>
  </si>
  <si>
    <t>opened</t>
  </si>
  <si>
    <t>centre</t>
  </si>
  <si>
    <t>January</t>
  </si>
  <si>
    <t>collaboration</t>
  </si>
  <si>
    <t>Pro</t>
  </si>
  <si>
    <t>Familia</t>
  </si>
  <si>
    <t>other_4</t>
  </si>
  <si>
    <t>Women</t>
  </si>
  <si>
    <t>Help</t>
  </si>
  <si>
    <t>organisation</t>
  </si>
  <si>
    <t># text = It recently had its official opening.</t>
  </si>
  <si>
    <t>It</t>
  </si>
  <si>
    <t>recently</t>
  </si>
  <si>
    <t>had</t>
  </si>
  <si>
    <t>its</t>
  </si>
  <si>
    <t>official</t>
  </si>
  <si>
    <t>opening</t>
  </si>
  <si>
    <t># text = 60 people live there - around 40 women and 20 children.</t>
  </si>
  <si>
    <t>60</t>
  </si>
  <si>
    <t>people</t>
  </si>
  <si>
    <t>there</t>
  </si>
  <si>
    <t># text = There are no men - not even male visitors.</t>
  </si>
  <si>
    <t>There</t>
  </si>
  <si>
    <t>no</t>
  </si>
  <si>
    <t>men</t>
  </si>
  <si>
    <t>not</t>
  </si>
  <si>
    <t>even</t>
  </si>
  <si>
    <t>male</t>
  </si>
  <si>
    <t>visitors</t>
  </si>
  <si>
    <t># text = The exception is a bodyguard on the door.</t>
  </si>
  <si>
    <t>exception</t>
  </si>
  <si>
    <t>bodyguard</t>
  </si>
  <si>
    <t>door</t>
  </si>
  <si>
    <t>--</t>
  </si>
  <si>
    <t># text = "I'm not exaggerating when I say that every woman who arrives here has dealt with sexual violence on her way to find refuge," said Bahr.</t>
  </si>
  <si>
    <t>I</t>
  </si>
  <si>
    <t>'m</t>
  </si>
  <si>
    <t>exaggerating</t>
  </si>
  <si>
    <t>when</t>
  </si>
  <si>
    <t>that</t>
  </si>
  <si>
    <t>every</t>
  </si>
  <si>
    <t>SBJ_6</t>
  </si>
  <si>
    <t>arrives</t>
  </si>
  <si>
    <t>here</t>
  </si>
  <si>
    <t>other_5</t>
  </si>
  <si>
    <t>way</t>
  </si>
  <si>
    <t>find</t>
  </si>
  <si>
    <t>OBJ_6</t>
  </si>
  <si>
    <t>said</t>
  </si>
  <si>
    <t># text = "Men flee because of war, because they are politically persecuted, because they are threatened with torture or death, or because their families pin their hopes on them and send them to Europe," she explains.</t>
  </si>
  <si>
    <t>Men</t>
  </si>
  <si>
    <t>because</t>
  </si>
  <si>
    <t>war</t>
  </si>
  <si>
    <t>politically</t>
  </si>
  <si>
    <t>persecuted</t>
  </si>
  <si>
    <t>threatened</t>
  </si>
  <si>
    <t>torture</t>
  </si>
  <si>
    <t>or</t>
  </si>
  <si>
    <t>death</t>
  </si>
  <si>
    <t>other_6</t>
  </si>
  <si>
    <t>families</t>
  </si>
  <si>
    <t>SBJ_5</t>
  </si>
  <si>
    <t>pin</t>
  </si>
  <si>
    <t>hopes</t>
  </si>
  <si>
    <t>OBJ_5</t>
  </si>
  <si>
    <t>send</t>
  </si>
  <si>
    <t>OBJ_7</t>
  </si>
  <si>
    <t>Europe</t>
  </si>
  <si>
    <t>other_7</t>
  </si>
  <si>
    <t>explains</t>
  </si>
  <si>
    <t># text = When women flee, other reasons are in the foreground: \"Many women sneak away secretly, because they see no other way out\".</t>
  </si>
  <si>
    <t>reasons</t>
  </si>
  <si>
    <t>foreground</t>
  </si>
  <si>
    <t>Many</t>
  </si>
  <si>
    <t>sneak</t>
  </si>
  <si>
    <t>away</t>
  </si>
  <si>
    <t>secretly</t>
  </si>
  <si>
    <t>out</t>
  </si>
  <si>
    <t># text = In their home countries, they experienced sexual violence, forced marriage, honour killings, slavery or forced prostitution.</t>
  </si>
  <si>
    <t>In</t>
  </si>
  <si>
    <t>home</t>
  </si>
  <si>
    <t>countries</t>
  </si>
  <si>
    <t>experienced</t>
  </si>
  <si>
    <t>forced</t>
  </si>
  <si>
    <t>marriage</t>
  </si>
  <si>
    <t>honour</t>
  </si>
  <si>
    <t>killings</t>
  </si>
  <si>
    <t>slavery</t>
  </si>
  <si>
    <t>prostitution</t>
  </si>
  <si>
    <t># text = That propels them forward.</t>
  </si>
  <si>
    <t>That</t>
  </si>
  <si>
    <t>pron.pds</t>
  </si>
  <si>
    <t>propels</t>
  </si>
  <si>
    <t>forward</t>
  </si>
  <si>
    <t># text = And it continues even while they're on the run.</t>
  </si>
  <si>
    <t>And</t>
  </si>
  <si>
    <t>it</t>
  </si>
  <si>
    <t>continues</t>
  </si>
  <si>
    <t>while</t>
  </si>
  <si>
    <t>'re</t>
  </si>
  <si>
    <t>run</t>
  </si>
  <si>
    <t># text = "It is not a rare occurrence that traffickers request a sexual act in exchange for a bottle of water, for example," says Bahr.</t>
  </si>
  <si>
    <t>rare</t>
  </si>
  <si>
    <t>occurrence</t>
  </si>
  <si>
    <t>traffickers</t>
  </si>
  <si>
    <t>request</t>
  </si>
  <si>
    <t>act</t>
  </si>
  <si>
    <t>exchange</t>
  </si>
  <si>
    <t>bottle</t>
  </si>
  <si>
    <t>water</t>
  </si>
  <si>
    <t>example</t>
  </si>
  <si>
    <t>says</t>
  </si>
  <si>
    <t># text = And the woman are alone, unprotected by their families.</t>
  </si>
  <si>
    <t>unprotected</t>
  </si>
  <si>
    <t>by</t>
  </si>
  <si>
    <t># text = If you think that this stops as soon as they arrive in Germany, you'd be wrong, says Bahr.</t>
  </si>
  <si>
    <t>If</t>
  </si>
  <si>
    <t>think</t>
  </si>
  <si>
    <t>this</t>
  </si>
  <si>
    <t>stops</t>
  </si>
  <si>
    <t>def-np.dem</t>
  </si>
  <si>
    <t>as</t>
  </si>
  <si>
    <t>soon</t>
  </si>
  <si>
    <t>'d</t>
  </si>
  <si>
    <t>wrong</t>
  </si>
  <si>
    <t># text = Even in Germany, lone women are often seen as inferior in refugee accommodation, and, in the worst cases, they are abused.</t>
  </si>
  <si>
    <t>Even</t>
  </si>
  <si>
    <t>lone</t>
  </si>
  <si>
    <t>seen</t>
  </si>
  <si>
    <t>inferior</t>
  </si>
  <si>
    <t>worst</t>
  </si>
  <si>
    <t>cases</t>
  </si>
  <si>
    <t>abused</t>
  </si>
  <si>
    <t># text = As a result, around 90 percent of the women living in accommodation in the north of Munich are traumatised, she estimates.</t>
  </si>
  <si>
    <t>As</t>
  </si>
  <si>
    <t>result</t>
  </si>
  <si>
    <t>90</t>
  </si>
  <si>
    <t>percent</t>
  </si>
  <si>
    <t>living</t>
  </si>
  <si>
    <t>estimates</t>
  </si>
  <si>
    <t># text = \"Some of the children were certainly not conceived with the woman's consent\".</t>
  </si>
  <si>
    <t>Some</t>
  </si>
  <si>
    <t>were</t>
  </si>
  <si>
    <t>certainly</t>
  </si>
  <si>
    <t>conceived</t>
  </si>
  <si>
    <t>consent</t>
  </si>
  <si>
    <t># text = Many women are so used to it that they do not say anything, she says.</t>
  </si>
  <si>
    <t>so</t>
  </si>
  <si>
    <t>used</t>
  </si>
  <si>
    <t>do</t>
  </si>
  <si>
    <t>anything</t>
  </si>
  <si>
    <t>pron</t>
  </si>
  <si>
    <t># text = "Or they can't bring themselves to talk about what they experienced because they are too ashamed".</t>
  </si>
  <si>
    <t>Or</t>
  </si>
  <si>
    <t>ca</t>
  </si>
  <si>
    <t>n't</t>
  </si>
  <si>
    <t>themselves</t>
  </si>
  <si>
    <t>talk</t>
  </si>
  <si>
    <t>about</t>
  </si>
  <si>
    <t>what</t>
  </si>
  <si>
    <t>too</t>
  </si>
  <si>
    <t>ashamed</t>
  </si>
  <si>
    <t># text = Because they often don't know how to get help, there needs to be more accommodation just for them, says Bahr.</t>
  </si>
  <si>
    <t>Because</t>
  </si>
  <si>
    <t>know</t>
  </si>
  <si>
    <t>how</t>
  </si>
  <si>
    <t>get</t>
  </si>
  <si>
    <t>help</t>
  </si>
  <si>
    <t>OBJ_4</t>
  </si>
  <si>
    <t>needs</t>
  </si>
  <si>
    <t>more</t>
  </si>
  <si>
    <t>just</t>
  </si>
  <si>
    <t># text = In Bavaria, the seven district governments are responsible for providing accommodation for refugees.</t>
  </si>
  <si>
    <t>seven</t>
  </si>
  <si>
    <t>district</t>
  </si>
  <si>
    <t>governments</t>
  </si>
  <si>
    <t>responsible</t>
  </si>
  <si>
    <t>providing</t>
  </si>
  <si>
    <t># text = When asked if they knew of projects like the one in Munich operating within the areas they covered, some answered with "no".</t>
  </si>
  <si>
    <t>asked</t>
  </si>
  <si>
    <t>if</t>
  </si>
  <si>
    <t>knew</t>
  </si>
  <si>
    <t>projects</t>
  </si>
  <si>
    <t>like</t>
  </si>
  <si>
    <t>operating</t>
  </si>
  <si>
    <t>areas</t>
  </si>
  <si>
    <t>covered</t>
  </si>
  <si>
    <t>some</t>
  </si>
  <si>
    <t>answered</t>
  </si>
  <si>
    <t># text = In Upper Palatinate and Upper Franconia regions, for example, there is no similar accommodation offered by the government.</t>
  </si>
  <si>
    <t>Upper</t>
  </si>
  <si>
    <t>Palatinate</t>
  </si>
  <si>
    <t>Franconia</t>
  </si>
  <si>
    <t>regions</t>
  </si>
  <si>
    <t>similar</t>
  </si>
  <si>
    <t>offered</t>
  </si>
  <si>
    <t>government</t>
  </si>
  <si>
    <t># text = Even in Swabia, women who come as lone refugees are not given separate accommodation, says Karl-Heinz Meyer, press spokesperson for the region.</t>
  </si>
  <si>
    <t>Swabia</t>
  </si>
  <si>
    <t>come</t>
  </si>
  <si>
    <t>given</t>
  </si>
  <si>
    <t>separate</t>
  </si>
  <si>
    <t>Karl</t>
  </si>
  <si>
    <t>Heinz</t>
  </si>
  <si>
    <t>Meyer</t>
  </si>
  <si>
    <t>press</t>
  </si>
  <si>
    <t>spokesperson</t>
  </si>
  <si>
    <t>region</t>
  </si>
  <si>
    <t># text = In Upper Bavaria, Lower Franconia and Middle Franconia, floors, or individual houses, are set aside in some shared accommodation for lone women and their children.</t>
  </si>
  <si>
    <t>Lower</t>
  </si>
  <si>
    <t>Middle</t>
  </si>
  <si>
    <t>floors</t>
  </si>
  <si>
    <t>individual</t>
  </si>
  <si>
    <t>houses</t>
  </si>
  <si>
    <t>aside</t>
  </si>
  <si>
    <t>shared</t>
  </si>
  <si>
    <t># text = The exception is Lower Bavaria:</t>
  </si>
  <si>
    <t># text = there, there are two central accommodation centres exclusively for women.</t>
  </si>
  <si>
    <t>two</t>
  </si>
  <si>
    <t>central</t>
  </si>
  <si>
    <t>exclusively</t>
  </si>
  <si>
    <t># text = Even the European Parliament's Committee on \"Women's Rights and Gender Equality\" stresses that women must be provided with accommodation separate from that of the men.</t>
  </si>
  <si>
    <t>European</t>
  </si>
  <si>
    <t>Parliament</t>
  </si>
  <si>
    <t>Committee</t>
  </si>
  <si>
    <t>Rights</t>
  </si>
  <si>
    <t>Gender</t>
  </si>
  <si>
    <t>Equality</t>
  </si>
  <si>
    <t>stresses</t>
  </si>
  <si>
    <t>must</t>
  </si>
  <si>
    <t>provided</t>
  </si>
  <si>
    <t>from</t>
  </si>
  <si>
    <t># text = In a study published on behalf of the Committee, it was stated that "it is very important that men and women are given separate accommodation."</t>
  </si>
  <si>
    <t>study</t>
  </si>
  <si>
    <t>published</t>
  </si>
  <si>
    <t>behalf</t>
  </si>
  <si>
    <t>was</t>
  </si>
  <si>
    <t>stated</t>
  </si>
  <si>
    <t>very</t>
  </si>
  <si>
    <t>important</t>
  </si>
  <si>
    <t># text = \"If there is a lack of private space, or if men and women are provided with accommodation together, this can result in (perpetual) violence against women\".</t>
  </si>
  <si>
    <t>lack</t>
  </si>
  <si>
    <t>private</t>
  </si>
  <si>
    <t>space</t>
  </si>
  <si>
    <t>together</t>
  </si>
  <si>
    <t>can</t>
  </si>
  <si>
    <t>(</t>
  </si>
  <si>
    <t>perpetual</t>
  </si>
  <si>
    <t>)</t>
  </si>
  <si>
    <t>against</t>
  </si>
  <si>
    <t># text = Washing facilities, above all, should be separate, and easily accessible for women, according to the study.</t>
  </si>
  <si>
    <t>Washing</t>
  </si>
  <si>
    <t>facilities</t>
  </si>
  <si>
    <t>above</t>
  </si>
  <si>
    <t>all</t>
  </si>
  <si>
    <t>should</t>
  </si>
  <si>
    <t>easily</t>
  </si>
  <si>
    <t>accessible</t>
  </si>
  <si>
    <t>according</t>
  </si>
  <si>
    <t># text = The extent to which women need this protection can be seen in the sheer number of people interested in the house in Munich.</t>
  </si>
  <si>
    <t>extent</t>
  </si>
  <si>
    <t>need</t>
  </si>
  <si>
    <t>protection</t>
  </si>
  <si>
    <t>sheer</t>
  </si>
  <si>
    <t>number</t>
  </si>
  <si>
    <t>interested</t>
  </si>
  <si>
    <t># text = \"Since word has got around that we exist, we have developed a long waiting list,\" says Bahr.</t>
  </si>
  <si>
    <t>Since</t>
  </si>
  <si>
    <t>word</t>
  </si>
  <si>
    <t>got</t>
  </si>
  <si>
    <t>we</t>
  </si>
  <si>
    <t>exist</t>
  </si>
  <si>
    <t>developed</t>
  </si>
  <si>
    <t>long</t>
  </si>
  <si>
    <t>waiting</t>
  </si>
  <si>
    <t>list</t>
  </si>
  <si>
    <t># text = It would be easy to open a second house.</t>
  </si>
  <si>
    <t>would</t>
  </si>
  <si>
    <t>easy</t>
  </si>
  <si>
    <t>second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</si>
</sst>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52"/>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11</v>
      </c>
      <c r="B3" s="6" t="s">
        <v>11</v>
      </c>
      <c r="C3" s="6" t="s">
        <v>16</v>
      </c>
      <c r="D3" s="7" t="s">
        <v>17</v>
      </c>
      <c r="E3" s="8" t="s">
        <v>18</v>
      </c>
      <c r="F3" s="6" t="s">
        <v>19</v>
      </c>
      <c r="G3" s="9">
        <f>IF(A3=1,"_",IF(C3="_","???",C3))</f>
        <v/>
      </c>
      <c r="H3" s="10" t="s">
        <v>12</v>
      </c>
      <c r="I3" s="11" t="s">
        <v>12</v>
      </c>
      <c r="J3" s="12"/>
    </row>
    <row r="4" spans="1:10" ht="60" customHeight="1">
      <c r="A4" s="6" t="s">
        <v>20</v>
      </c>
      <c r="B4" s="6" t="s">
        <v>21</v>
      </c>
      <c r="C4" s="6" t="s">
        <v>22</v>
      </c>
      <c r="D4" s="7" t="s">
        <v>23</v>
      </c>
      <c r="E4" s="8" t="s">
        <v>24</v>
      </c>
      <c r="F4" s="6" t="s">
        <v>25</v>
      </c>
      <c r="G4" s="9">
        <f>IF(A4=1,"_",IF(C4="_","???",C4))</f>
        <v/>
      </c>
      <c r="H4" s="10" t="s">
        <v>12</v>
      </c>
      <c r="I4" s="11" t="s">
        <v>12</v>
      </c>
      <c r="J4" s="12"/>
    </row>
    <row r="5" spans="1:10" ht="60" customHeight="1">
      <c r="A5" s="6" t="s">
        <v>26</v>
      </c>
      <c r="B5" s="6" t="s">
        <v>26</v>
      </c>
      <c r="C5" s="6" t="s">
        <v>12</v>
      </c>
      <c r="D5" s="7" t="s">
        <v>13</v>
      </c>
      <c r="E5" s="8" t="s">
        <v>27</v>
      </c>
      <c r="F5" s="6" t="s">
        <v>28</v>
      </c>
      <c r="G5" s="9">
        <f>IF(A5=1,"_",IF(C5="_","???",C5))</f>
        <v/>
      </c>
      <c r="H5" s="10" t="s">
        <v>12</v>
      </c>
      <c r="I5" s="11" t="s">
        <v>12</v>
      </c>
      <c r="J5" s="12"/>
    </row>
    <row r="6" spans="1:10" ht="60" customHeight="1">
      <c r="A6" s="6" t="s">
        <v>29</v>
      </c>
      <c r="B6" s="6" t="s">
        <v>26</v>
      </c>
      <c r="C6" s="6" t="s">
        <v>12</v>
      </c>
      <c r="D6" s="7" t="s">
        <v>30</v>
      </c>
      <c r="E6" s="8" t="s">
        <v>31</v>
      </c>
      <c r="F6" s="6" t="s">
        <v>32</v>
      </c>
      <c r="G6" s="9">
        <f>IF(A6=1,"_",IF(C6="_","???",C6))</f>
        <v/>
      </c>
      <c r="H6" s="10" t="s">
        <v>12</v>
      </c>
      <c r="I6" s="11" t="s">
        <v>12</v>
      </c>
      <c r="J6" s="12"/>
    </row>
    <row r="7" spans="1:10" ht="60" customHeight="1">
      <c r="A7" s="6" t="s">
        <v>33</v>
      </c>
      <c r="B7" s="6" t="s">
        <v>29</v>
      </c>
      <c r="C7" s="6" t="s">
        <v>12</v>
      </c>
      <c r="D7" s="7" t="s">
        <v>34</v>
      </c>
      <c r="E7" s="8" t="s">
        <v>35</v>
      </c>
      <c r="F7" s="6" t="s">
        <v>36</v>
      </c>
      <c r="G7" s="9">
        <f>IF(A7=1,"_",IF(C7="_","???",C7))</f>
        <v/>
      </c>
      <c r="H7" s="10" t="s">
        <v>12</v>
      </c>
      <c r="I7" s="11" t="s">
        <v>12</v>
      </c>
      <c r="J7" s="12"/>
    </row>
    <row r="8" spans="1:10" ht="60" customHeight="1">
      <c r="A8" s="6" t="s">
        <v>37</v>
      </c>
      <c r="B8" s="6" t="s">
        <v>20</v>
      </c>
      <c r="C8" s="6" t="s">
        <v>12</v>
      </c>
      <c r="D8" s="7" t="s">
        <v>38</v>
      </c>
      <c r="E8" s="8" t="s">
        <v>39</v>
      </c>
      <c r="F8" s="6" t="s">
        <v>40</v>
      </c>
      <c r="G8" s="9">
        <f>IF(A8=1,"_",IF(C8="_","???",C8))</f>
        <v/>
      </c>
      <c r="H8" s="10" t="s">
        <v>12</v>
      </c>
      <c r="I8" s="11" t="s">
        <v>12</v>
      </c>
      <c r="J8" s="12"/>
    </row>
    <row r="9" spans="1:10" ht="60" customHeight="1">
      <c r="A9" s="6" t="s">
        <v>41</v>
      </c>
      <c r="B9" s="6" t="s">
        <v>11</v>
      </c>
      <c r="C9" s="6" t="s">
        <v>12</v>
      </c>
      <c r="D9" s="7" t="s">
        <v>42</v>
      </c>
      <c r="E9" s="8" t="s">
        <v>43</v>
      </c>
      <c r="F9" s="6" t="s">
        <v>44</v>
      </c>
      <c r="G9" s="9">
        <f>IF(A9=1,"_",IF(C9="_","???",C9))</f>
        <v/>
      </c>
      <c r="H9" s="10" t="s">
        <v>12</v>
      </c>
      <c r="I9" s="11" t="s">
        <v>12</v>
      </c>
      <c r="J9" s="12"/>
    </row>
    <row r="10" spans="1:10" ht="60" customHeight="1">
      <c r="A10" s="6" t="s">
        <v>45</v>
      </c>
      <c r="B10" s="6" t="s">
        <v>20</v>
      </c>
      <c r="C10" s="6" t="s">
        <v>12</v>
      </c>
      <c r="D10" s="7" t="s">
        <v>46</v>
      </c>
      <c r="E10" s="8" t="s">
        <v>47</v>
      </c>
      <c r="F10" s="6" t="s">
        <v>48</v>
      </c>
      <c r="G10" s="9">
        <f>IF(A10=1,"_",IF(C10="_","???",C10))</f>
        <v/>
      </c>
      <c r="H10" s="10" t="s">
        <v>12</v>
      </c>
      <c r="I10" s="11" t="s">
        <v>12</v>
      </c>
      <c r="J10" s="12"/>
    </row>
    <row r="11" spans="1:10" ht="60" customHeight="1">
      <c r="A11" s="6" t="s">
        <v>21</v>
      </c>
      <c r="B11" s="6" t="s">
        <v>37</v>
      </c>
      <c r="C11" s="6" t="s">
        <v>49</v>
      </c>
      <c r="D11" s="7" t="s">
        <v>50</v>
      </c>
      <c r="E11" s="8" t="s">
        <v>51</v>
      </c>
      <c r="F11" s="6" t="s">
        <v>52</v>
      </c>
      <c r="G11" s="9">
        <f>IF(A11=1,"_",IF(C11="_","???",C11))</f>
        <v/>
      </c>
      <c r="H11" s="10" t="s">
        <v>12</v>
      </c>
      <c r="I11" s="11" t="s">
        <v>12</v>
      </c>
      <c r="J11" s="12"/>
    </row>
    <row r="12" spans="1:10" ht="60" customHeight="1">
      <c r="A12" s="6" t="s">
        <v>53</v>
      </c>
      <c r="B12" s="6" t="s">
        <v>11</v>
      </c>
      <c r="C12" s="6" t="s">
        <v>54</v>
      </c>
      <c r="D12" s="7" t="s">
        <v>55</v>
      </c>
      <c r="E12" s="8" t="s">
        <v>56</v>
      </c>
      <c r="F12" s="6" t="s">
        <v>57</v>
      </c>
      <c r="G12" s="9">
        <f>IF(A12=1,"_",IF(C12="_","???",C12))</f>
        <v/>
      </c>
      <c r="H12" s="10" t="s">
        <v>12</v>
      </c>
      <c r="I12" s="11" t="s">
        <v>12</v>
      </c>
      <c r="J12" s="12"/>
    </row>
    <row r="13" spans="1:10" ht="60" customHeight="1">
      <c r="A13" s="6" t="s">
        <v>58</v>
      </c>
      <c r="B13" s="6" t="s">
        <v>20</v>
      </c>
      <c r="C13" s="6" t="s">
        <v>12</v>
      </c>
      <c r="D13" s="7" t="s">
        <v>42</v>
      </c>
      <c r="E13" s="8" t="s">
        <v>59</v>
      </c>
      <c r="F13" s="6" t="s">
        <v>60</v>
      </c>
      <c r="G13" s="9">
        <f>IF(A13=1,"_",IF(C13="_","???",C13))</f>
        <v/>
      </c>
      <c r="H13" s="10" t="s">
        <v>12</v>
      </c>
      <c r="I13" s="11" t="s">
        <v>12</v>
      </c>
      <c r="J13" s="12"/>
    </row>
    <row r="14" spans="1:10" ht="60" customHeight="1">
      <c r="A14" s="6" t="s">
        <v>61</v>
      </c>
      <c r="B14" s="6" t="s">
        <v>20</v>
      </c>
      <c r="C14" s="6" t="s">
        <v>49</v>
      </c>
      <c r="D14" s="7" t="s">
        <v>62</v>
      </c>
      <c r="E14" s="8" t="s">
        <v>63</v>
      </c>
      <c r="F14" s="6" t="s">
        <v>64</v>
      </c>
      <c r="G14" s="9">
        <f>IF(A14=1,"_",IF(C14="_","???",C14))</f>
        <v/>
      </c>
      <c r="H14" s="10" t="s">
        <v>12</v>
      </c>
      <c r="I14" s="11" t="s">
        <v>12</v>
      </c>
      <c r="J14" s="12"/>
    </row>
    <row r="15" spans="1:10" ht="60" customHeight="1">
      <c r="A15" s="6" t="s">
        <v>65</v>
      </c>
      <c r="B15" s="6" t="s">
        <v>11</v>
      </c>
      <c r="C15" s="6" t="s">
        <v>16</v>
      </c>
      <c r="D15" s="7" t="s">
        <v>66</v>
      </c>
      <c r="E15" s="8" t="s">
        <v>67</v>
      </c>
      <c r="F15" s="6" t="s">
        <v>68</v>
      </c>
      <c r="G15" s="9">
        <f>IF(A15=1,"_",IF(C15="_","???",C15))</f>
        <v/>
      </c>
      <c r="H15" s="10" t="s">
        <v>12</v>
      </c>
      <c r="I15" s="11" t="s">
        <v>12</v>
      </c>
      <c r="J15" s="12"/>
    </row>
    <row r="16" spans="1:10" ht="60" customHeight="1">
      <c r="A16" s="6" t="s">
        <v>69</v>
      </c>
      <c r="B16" s="6" t="s">
        <v>41</v>
      </c>
      <c r="C16" s="6" t="s">
        <v>12</v>
      </c>
      <c r="D16" s="7" t="s">
        <v>70</v>
      </c>
      <c r="E16" s="8" t="s">
        <v>71</v>
      </c>
      <c r="F16" s="6" t="s">
        <v>72</v>
      </c>
      <c r="G16" s="9">
        <f>IF(A16=1,"_",IF(C16="_","???",C16))</f>
        <v/>
      </c>
      <c r="H16" s="10" t="s">
        <v>12</v>
      </c>
      <c r="I16" s="11" t="s">
        <v>12</v>
      </c>
      <c r="J16" s="12"/>
    </row>
    <row r="17" spans="1:10" ht="60" customHeight="1">
      <c r="A17" s="6" t="s">
        <v>73</v>
      </c>
      <c r="B17" s="6" t="s">
        <v>37</v>
      </c>
      <c r="C17" s="6" t="s">
        <v>12</v>
      </c>
      <c r="D17" s="7" t="s">
        <v>74</v>
      </c>
      <c r="E17" s="8" t="s">
        <v>75</v>
      </c>
      <c r="F17" s="6" t="s">
        <v>76</v>
      </c>
      <c r="G17" s="9">
        <f>IF(A17=1,"_",IF(C17="_","???",C17))</f>
        <v/>
      </c>
      <c r="H17" s="10" t="s">
        <v>12</v>
      </c>
      <c r="I17" s="11" t="s">
        <v>12</v>
      </c>
      <c r="J17" s="12"/>
    </row>
    <row r="18" spans="1:10" ht="60" customHeight="1">
      <c r="A18" s="6" t="s">
        <v>77</v>
      </c>
      <c r="B18" s="6" t="s">
        <v>11</v>
      </c>
      <c r="C18" s="6" t="s">
        <v>54</v>
      </c>
      <c r="D18" s="7" t="s">
        <v>78</v>
      </c>
      <c r="E18" s="8" t="s">
        <v>79</v>
      </c>
      <c r="F18" s="6" t="s">
        <v>80</v>
      </c>
      <c r="G18" s="9">
        <f>IF(A18=1,"_",IF(C18="_","???",C18))</f>
        <v/>
      </c>
      <c r="H18" s="10" t="s">
        <v>12</v>
      </c>
      <c r="I18" s="11" t="s">
        <v>12</v>
      </c>
      <c r="J18" s="12"/>
    </row>
    <row r="19" spans="1:10" ht="60" customHeight="1">
      <c r="A19" s="6" t="s">
        <v>81</v>
      </c>
      <c r="B19" s="6" t="s">
        <v>11</v>
      </c>
      <c r="C19" s="6" t="s">
        <v>12</v>
      </c>
      <c r="D19" s="7" t="s">
        <v>82</v>
      </c>
      <c r="E19" s="8" t="s">
        <v>83</v>
      </c>
      <c r="F19" s="6" t="s">
        <v>84</v>
      </c>
      <c r="G19" s="9">
        <f>IF(A19=1,"_",IF(C19="_","???",C19))</f>
        <v/>
      </c>
      <c r="H19" s="10" t="s">
        <v>12</v>
      </c>
      <c r="I19" s="11" t="s">
        <v>12</v>
      </c>
      <c r="J19" s="12"/>
    </row>
    <row r="20" spans="1:10" ht="60" customHeight="1">
      <c r="A20" s="6" t="s">
        <v>85</v>
      </c>
      <c r="B20" s="6" t="s">
        <v>20</v>
      </c>
      <c r="C20" s="6" t="s">
        <v>12</v>
      </c>
      <c r="D20" s="7" t="s">
        <v>34</v>
      </c>
      <c r="E20" s="8" t="s">
        <v>86</v>
      </c>
      <c r="F20" s="6" t="s">
        <v>87</v>
      </c>
      <c r="G20" s="9">
        <f>IF(A20=1,"_",IF(C20="_","???",C20))</f>
        <v/>
      </c>
      <c r="H20" s="10" t="s">
        <v>12</v>
      </c>
      <c r="I20" s="11" t="s">
        <v>12</v>
      </c>
      <c r="J20" s="12"/>
    </row>
    <row r="21" spans="1:10" ht="60" customHeight="1">
      <c r="A21" s="6" t="s">
        <v>88</v>
      </c>
      <c r="B21" s="6" t="s">
        <v>20</v>
      </c>
      <c r="C21" s="6" t="s">
        <v>12</v>
      </c>
      <c r="D21" s="7" t="s">
        <v>78</v>
      </c>
      <c r="E21" s="8" t="s">
        <v>89</v>
      </c>
      <c r="F21" s="6" t="s">
        <v>90</v>
      </c>
      <c r="G21" s="9">
        <f>IF(A21=1,"_",IF(C21="_","???",C21))</f>
        <v/>
      </c>
      <c r="H21" s="10" t="s">
        <v>12</v>
      </c>
      <c r="I21" s="11" t="s">
        <v>12</v>
      </c>
      <c r="J21" s="12"/>
    </row>
    <row r="22" spans="1:10" ht="60" customHeight="1">
      <c r="A22" s="6" t="s">
        <v>91</v>
      </c>
      <c r="B22" s="6" t="s">
        <v>11</v>
      </c>
      <c r="C22" s="6" t="s">
        <v>12</v>
      </c>
      <c r="D22" s="7" t="s">
        <v>92</v>
      </c>
      <c r="E22" s="8" t="s">
        <v>93</v>
      </c>
      <c r="F22" s="6" t="s">
        <v>94</v>
      </c>
      <c r="G22" s="9">
        <f>IF(A22=1,"_",IF(C22="_","???",C22))</f>
        <v/>
      </c>
      <c r="H22" s="10" t="s">
        <v>12</v>
      </c>
      <c r="I22" s="11" t="s">
        <v>12</v>
      </c>
      <c r="J22" s="12"/>
    </row>
    <row r="23" spans="1:10" ht="60" customHeight="1">
      <c r="A23" s="6" t="s">
        <v>95</v>
      </c>
      <c r="B23" s="6" t="s">
        <v>20</v>
      </c>
      <c r="C23" s="6" t="s">
        <v>12</v>
      </c>
      <c r="D23" s="7" t="s">
        <v>96</v>
      </c>
      <c r="E23" s="8" t="s">
        <v>97</v>
      </c>
      <c r="F23" s="6" t="s">
        <v>98</v>
      </c>
      <c r="G23" s="9">
        <f>IF(A23=1,"_",IF(C23="_","???",C23))</f>
        <v/>
      </c>
      <c r="H23" s="10" t="s">
        <v>12</v>
      </c>
      <c r="I23" s="11" t="s">
        <v>12</v>
      </c>
      <c r="J23" s="12"/>
    </row>
    <row r="24" spans="1:10" ht="60" customHeight="1">
      <c r="A24" s="6" t="s">
        <v>99</v>
      </c>
      <c r="B24" s="6" t="s">
        <v>100</v>
      </c>
      <c r="C24" s="6" t="s">
        <v>12</v>
      </c>
      <c r="D24" s="7" t="s">
        <v>101</v>
      </c>
      <c r="E24" s="8" t="s">
        <v>102</v>
      </c>
      <c r="F24" s="6" t="s">
        <v>103</v>
      </c>
      <c r="G24" s="9">
        <f>IF(A24=1,"_",IF(C24="_","???",C24))</f>
        <v/>
      </c>
      <c r="H24" s="10" t="s">
        <v>12</v>
      </c>
      <c r="I24" s="11" t="s">
        <v>12</v>
      </c>
      <c r="J24" s="12"/>
    </row>
    <row r="25" spans="1:10" ht="60" customHeight="1">
      <c r="A25" s="6" t="s">
        <v>104</v>
      </c>
      <c r="B25" s="6" t="s">
        <v>20</v>
      </c>
      <c r="C25" s="6" t="s">
        <v>105</v>
      </c>
      <c r="D25" s="7" t="s">
        <v>106</v>
      </c>
      <c r="E25" s="8" t="s">
        <v>107</v>
      </c>
      <c r="F25" s="6" t="s">
        <v>108</v>
      </c>
      <c r="G25" s="9">
        <f>IF(A25=1,"_",IF(C25="_","???",C25))</f>
        <v/>
      </c>
      <c r="H25" s="10" t="s">
        <v>12</v>
      </c>
      <c r="I25" s="11" t="s">
        <v>12</v>
      </c>
      <c r="J25" s="12"/>
    </row>
    <row r="26" spans="1:10" ht="60" customHeight="1">
      <c r="A26" s="6" t="s">
        <v>109</v>
      </c>
      <c r="B26" s="6" t="s">
        <v>37</v>
      </c>
      <c r="C26" s="6" t="s">
        <v>22</v>
      </c>
      <c r="D26" s="7" t="s">
        <v>110</v>
      </c>
      <c r="E26" s="8" t="s">
        <v>111</v>
      </c>
      <c r="F26" s="6" t="s">
        <v>112</v>
      </c>
      <c r="G26" s="9">
        <f>IF(A26=1,"_",IF(C26="_","???",C26))</f>
        <v/>
      </c>
      <c r="H26" s="10" t="s">
        <v>12</v>
      </c>
      <c r="I26" s="11" t="s">
        <v>12</v>
      </c>
      <c r="J26" s="12"/>
    </row>
    <row r="27" spans="1:10" ht="60" customHeight="1">
      <c r="A27" s="6" t="s">
        <v>113</v>
      </c>
      <c r="B27" s="6" t="s">
        <v>37</v>
      </c>
      <c r="C27" s="6" t="s">
        <v>12</v>
      </c>
      <c r="D27" s="7" t="s">
        <v>114</v>
      </c>
      <c r="E27" s="8" t="s">
        <v>115</v>
      </c>
      <c r="F27" s="6" t="s">
        <v>116</v>
      </c>
      <c r="G27" s="9">
        <f>IF(A27=1,"_",IF(C27="_","???",C27))</f>
        <v/>
      </c>
      <c r="H27" s="10" t="s">
        <v>12</v>
      </c>
      <c r="I27" s="11" t="s">
        <v>12</v>
      </c>
      <c r="J27" s="12"/>
    </row>
    <row r="28" spans="1:10" ht="60" customHeight="1">
      <c r="A28" s="6" t="s">
        <v>117</v>
      </c>
      <c r="B28" s="6" t="s">
        <v>11</v>
      </c>
      <c r="C28" s="6" t="s">
        <v>12</v>
      </c>
      <c r="D28" s="7" t="s">
        <v>118</v>
      </c>
      <c r="E28" s="8" t="s">
        <v>119</v>
      </c>
      <c r="F28" s="6" t="s">
        <v>120</v>
      </c>
      <c r="G28" s="9">
        <f>IF(A28=1,"_",IF(C28="_","???",C28))</f>
        <v/>
      </c>
      <c r="H28" s="10" t="s">
        <v>12</v>
      </c>
      <c r="I28" s="11" t="s">
        <v>12</v>
      </c>
      <c r="J28" s="12"/>
    </row>
    <row r="29" spans="1:10" ht="60" customHeight="1">
      <c r="A29" s="6" t="s">
        <v>100</v>
      </c>
      <c r="B29" s="6" t="s">
        <v>20</v>
      </c>
      <c r="C29" s="6" t="s">
        <v>121</v>
      </c>
      <c r="D29" s="7" t="s">
        <v>122</v>
      </c>
      <c r="E29" s="8" t="s">
        <v>123</v>
      </c>
      <c r="F29" s="6" t="s">
        <v>124</v>
      </c>
      <c r="G29" s="9">
        <f>IF(A29=1,"_",IF(C29="_","???",C29))</f>
        <v/>
      </c>
      <c r="H29" s="10" t="s">
        <v>12</v>
      </c>
      <c r="I29" s="11" t="s">
        <v>12</v>
      </c>
      <c r="J29" s="12"/>
    </row>
    <row r="30" spans="1:10" ht="60" customHeight="1">
      <c r="A30" s="6" t="s">
        <v>125</v>
      </c>
      <c r="B30" s="6" t="s">
        <v>20</v>
      </c>
      <c r="C30" s="6" t="s">
        <v>12</v>
      </c>
      <c r="D30" s="7" t="s">
        <v>126</v>
      </c>
      <c r="E30" s="8" t="s">
        <v>127</v>
      </c>
      <c r="F30" s="6" t="s">
        <v>128</v>
      </c>
      <c r="G30" s="9">
        <f>IF(A30=1,"_",IF(C30="_","???",C30))</f>
        <v/>
      </c>
      <c r="H30" s="10" t="s">
        <v>12</v>
      </c>
      <c r="I30" s="11" t="s">
        <v>12</v>
      </c>
      <c r="J30" s="12"/>
    </row>
    <row r="31" spans="1:10" ht="60" customHeight="1">
      <c r="A31" s="6" t="s">
        <v>129</v>
      </c>
      <c r="B31" s="6" t="s">
        <v>26</v>
      </c>
      <c r="C31" s="6" t="s">
        <v>54</v>
      </c>
      <c r="D31" s="7" t="s">
        <v>130</v>
      </c>
      <c r="E31" s="8" t="s">
        <v>131</v>
      </c>
      <c r="F31" s="6" t="s">
        <v>132</v>
      </c>
      <c r="G31" s="9">
        <f>IF(A31=1,"_",IF(C31="_","???",C31))</f>
        <v/>
      </c>
      <c r="H31" s="10" t="s">
        <v>12</v>
      </c>
      <c r="I31" s="11" t="s">
        <v>12</v>
      </c>
      <c r="J31" s="12"/>
    </row>
    <row r="32" spans="1:10" ht="60" customHeight="1">
      <c r="A32" s="6" t="s">
        <v>133</v>
      </c>
      <c r="B32" s="6" t="s">
        <v>20</v>
      </c>
      <c r="C32" s="6" t="s">
        <v>134</v>
      </c>
      <c r="D32" s="7" t="s">
        <v>135</v>
      </c>
      <c r="E32" s="8" t="s">
        <v>136</v>
      </c>
      <c r="F32" s="6" t="s">
        <v>137</v>
      </c>
      <c r="G32" s="9">
        <f>IF(A32=1,"_",IF(C32="_","???",C32))</f>
        <v/>
      </c>
      <c r="H32" s="10" t="s">
        <v>12</v>
      </c>
      <c r="I32" s="11" t="s">
        <v>12</v>
      </c>
      <c r="J32" s="12"/>
    </row>
    <row r="33" spans="1:10" ht="60" customHeight="1">
      <c r="A33" s="6" t="s">
        <v>138</v>
      </c>
      <c r="B33" s="6" t="s">
        <v>45</v>
      </c>
      <c r="C33" s="6" t="s">
        <v>139</v>
      </c>
      <c r="D33" s="7" t="s">
        <v>140</v>
      </c>
      <c r="E33" s="8" t="s">
        <v>141</v>
      </c>
      <c r="F33" s="6" t="s">
        <v>142</v>
      </c>
      <c r="G33" s="9">
        <f>IF(A33=1,"_",IF(C33="_","???",C33))</f>
        <v/>
      </c>
      <c r="H33" s="10" t="s">
        <v>12</v>
      </c>
      <c r="I33" s="11" t="s">
        <v>12</v>
      </c>
      <c r="J33" s="12"/>
    </row>
    <row r="34" spans="1:10" ht="60" customHeight="1">
      <c r="A34" s="6" t="s">
        <v>143</v>
      </c>
      <c r="B34" s="6" t="s">
        <v>88</v>
      </c>
      <c r="C34" s="6" t="s">
        <v>144</v>
      </c>
      <c r="D34" s="7" t="s">
        <v>23</v>
      </c>
      <c r="E34" s="8" t="s">
        <v>145</v>
      </c>
      <c r="F34" s="6" t="s">
        <v>146</v>
      </c>
      <c r="G34" s="9">
        <f>IF(A34=1,"_",IF(C34="_","???",C34))</f>
        <v/>
      </c>
      <c r="H34" s="10" t="s">
        <v>12</v>
      </c>
      <c r="I34" s="11" t="s">
        <v>12</v>
      </c>
      <c r="J34" s="12"/>
    </row>
    <row r="35" spans="1:10" ht="60" customHeight="1">
      <c r="A35" s="6" t="s">
        <v>147</v>
      </c>
      <c r="B35" s="6" t="s">
        <v>45</v>
      </c>
      <c r="C35" s="6" t="s">
        <v>12</v>
      </c>
      <c r="D35" s="7" t="s">
        <v>148</v>
      </c>
      <c r="E35" s="8" t="s">
        <v>149</v>
      </c>
      <c r="F35" s="6" t="s">
        <v>150</v>
      </c>
      <c r="G35" s="9">
        <f>IF(A35=1,"_",IF(C35="_","???",C35))</f>
        <v/>
      </c>
      <c r="H35" s="10" t="s">
        <v>12</v>
      </c>
      <c r="I35" s="11" t="s">
        <v>12</v>
      </c>
      <c r="J35" s="12"/>
    </row>
    <row r="36" spans="1:10" ht="60" customHeight="1">
      <c r="A36" s="6" t="s">
        <v>151</v>
      </c>
      <c r="B36" s="6" t="s">
        <v>58</v>
      </c>
      <c r="C36" s="6" t="s">
        <v>152</v>
      </c>
      <c r="D36" s="7" t="s">
        <v>153</v>
      </c>
      <c r="E36" s="8" t="s">
        <v>154</v>
      </c>
      <c r="F36" s="6" t="s">
        <v>155</v>
      </c>
      <c r="G36" s="9">
        <f>IF(A36=1,"_",IF(C36="_","???",C36))</f>
        <v/>
      </c>
      <c r="H36" s="10" t="s">
        <v>12</v>
      </c>
      <c r="I36" s="11" t="s">
        <v>12</v>
      </c>
      <c r="J36" s="12"/>
    </row>
    <row r="37" spans="1:10" ht="60" customHeight="1">
      <c r="A37" s="6" t="s">
        <v>156</v>
      </c>
      <c r="B37" s="6" t="s">
        <v>33</v>
      </c>
      <c r="C37" s="6" t="s">
        <v>157</v>
      </c>
      <c r="D37" s="7" t="s">
        <v>158</v>
      </c>
      <c r="E37" s="8" t="s">
        <v>159</v>
      </c>
      <c r="F37" s="6" t="s">
        <v>160</v>
      </c>
      <c r="G37" s="9">
        <f>IF(A37=1,"_",IF(C37="_","???",C37))</f>
        <v/>
      </c>
      <c r="H37" s="10" t="s">
        <v>12</v>
      </c>
      <c r="I37" s="11" t="s">
        <v>12</v>
      </c>
      <c r="J37" s="12"/>
    </row>
    <row r="38" spans="1:10" ht="60" customHeight="1">
      <c r="A38" s="6" t="s">
        <v>161</v>
      </c>
      <c r="B38" s="6" t="s">
        <v>95</v>
      </c>
      <c r="C38" s="6" t="s">
        <v>12</v>
      </c>
      <c r="D38" s="7" t="s">
        <v>101</v>
      </c>
      <c r="E38" s="8" t="s">
        <v>162</v>
      </c>
      <c r="F38" s="6" t="s">
        <v>163</v>
      </c>
      <c r="G38" s="9">
        <f>IF(A38=1,"_",IF(C38="_","???",C38))</f>
        <v/>
      </c>
      <c r="H38" s="10" t="s">
        <v>12</v>
      </c>
      <c r="I38" s="11" t="s">
        <v>12</v>
      </c>
      <c r="J38" s="12"/>
    </row>
    <row r="39" spans="1:10" ht="60" customHeight="1">
      <c r="A39" s="6" t="s">
        <v>164</v>
      </c>
      <c r="B39" s="6" t="s">
        <v>41</v>
      </c>
      <c r="C39" s="6" t="s">
        <v>16</v>
      </c>
      <c r="D39" s="7" t="s">
        <v>165</v>
      </c>
      <c r="E39" s="8" t="s">
        <v>166</v>
      </c>
      <c r="F39" s="6" t="s">
        <v>167</v>
      </c>
      <c r="G39" s="9">
        <f>IF(A39=1,"_",IF(C39="_","???",C39))</f>
        <v/>
      </c>
      <c r="H39" s="10" t="s">
        <v>12</v>
      </c>
      <c r="I39" s="11" t="s">
        <v>12</v>
      </c>
      <c r="J39" s="12"/>
    </row>
    <row r="40" spans="1:10" ht="60" customHeight="1">
      <c r="A40" s="6" t="s">
        <v>168</v>
      </c>
      <c r="B40" s="6" t="s">
        <v>29</v>
      </c>
      <c r="C40" s="6" t="s">
        <v>22</v>
      </c>
      <c r="D40" s="7" t="s">
        <v>169</v>
      </c>
      <c r="E40" s="8" t="s">
        <v>170</v>
      </c>
      <c r="F40" s="6" t="s">
        <v>171</v>
      </c>
      <c r="G40" s="9">
        <f>IF(A40=1,"_",IF(C40="_","???",C40))</f>
        <v/>
      </c>
      <c r="H40" s="10" t="s">
        <v>12</v>
      </c>
      <c r="I40" s="11" t="s">
        <v>12</v>
      </c>
      <c r="J40" s="12"/>
    </row>
    <row r="41" spans="1:10" ht="60" customHeight="1">
      <c r="A41" s="6" t="s">
        <v>172</v>
      </c>
      <c r="B41" s="6" t="s">
        <v>61</v>
      </c>
      <c r="C41" s="6" t="s">
        <v>12</v>
      </c>
      <c r="D41" s="7" t="s">
        <v>92</v>
      </c>
      <c r="E41" s="8" t="s">
        <v>173</v>
      </c>
      <c r="F41" s="6" t="s">
        <v>174</v>
      </c>
      <c r="G41" s="9">
        <f>IF(A41=1,"_",IF(C41="_","???",C41))</f>
        <v/>
      </c>
      <c r="H41" s="10" t="s">
        <v>12</v>
      </c>
      <c r="I41" s="11" t="s">
        <v>12</v>
      </c>
      <c r="J41" s="12"/>
    </row>
    <row r="42" spans="1:10" ht="60" customHeight="1">
      <c r="A42" s="6" t="s">
        <v>175</v>
      </c>
      <c r="B42" s="6" t="s">
        <v>61</v>
      </c>
      <c r="C42" s="6" t="s">
        <v>12</v>
      </c>
      <c r="D42" s="7" t="s">
        <v>176</v>
      </c>
      <c r="E42" s="8" t="s">
        <v>177</v>
      </c>
      <c r="F42" s="6" t="s">
        <v>178</v>
      </c>
      <c r="G42" s="9">
        <f>IF(A42=1,"_",IF(C42="_","???",C42))</f>
        <v/>
      </c>
      <c r="H42" s="10" t="s">
        <v>12</v>
      </c>
      <c r="I42" s="11" t="s">
        <v>12</v>
      </c>
      <c r="J42" s="12"/>
    </row>
    <row r="43" spans="1:10" ht="60" customHeight="1">
      <c r="A43" s="6" t="s">
        <v>179</v>
      </c>
      <c r="B43" s="6" t="s">
        <v>81</v>
      </c>
      <c r="C43" s="6" t="s">
        <v>16</v>
      </c>
      <c r="D43" s="7" t="s">
        <v>180</v>
      </c>
      <c r="E43" s="8" t="s">
        <v>181</v>
      </c>
      <c r="F43" s="6" t="s">
        <v>182</v>
      </c>
      <c r="G43" s="9">
        <f>IF(A43=1,"_",IF(C43="_","???",C43))</f>
        <v/>
      </c>
      <c r="H43" s="10" t="s">
        <v>12</v>
      </c>
      <c r="I43" s="11" t="s">
        <v>12</v>
      </c>
      <c r="J43" s="12"/>
    </row>
    <row r="44" spans="1:10" ht="60" customHeight="1">
      <c r="A44" s="6" t="s">
        <v>183</v>
      </c>
      <c r="B44" s="6" t="s">
        <v>20</v>
      </c>
      <c r="C44" s="6" t="s">
        <v>12</v>
      </c>
      <c r="D44" s="7" t="s">
        <v>184</v>
      </c>
      <c r="E44" s="8" t="s">
        <v>185</v>
      </c>
      <c r="F44" s="6" t="s">
        <v>186</v>
      </c>
      <c r="G44" s="9">
        <f>IF(A44=1,"_",IF(C44="_","???",C44))</f>
        <v/>
      </c>
      <c r="H44" s="10" t="s">
        <v>12</v>
      </c>
      <c r="I44" s="11" t="s">
        <v>12</v>
      </c>
      <c r="J44" s="12"/>
    </row>
    <row r="45" spans="1:10" ht="60" customHeight="1">
      <c r="A45" s="6" t="s">
        <v>187</v>
      </c>
      <c r="B45" s="6" t="s">
        <v>26</v>
      </c>
      <c r="C45" s="6" t="s">
        <v>16</v>
      </c>
      <c r="D45" s="7" t="s">
        <v>92</v>
      </c>
      <c r="E45" s="8" t="s">
        <v>188</v>
      </c>
      <c r="F45" s="6" t="s">
        <v>189</v>
      </c>
      <c r="G45" s="9">
        <f>IF(A45=1,"_",IF(C45="_","???",C45))</f>
        <v/>
      </c>
      <c r="H45" s="10" t="s">
        <v>12</v>
      </c>
      <c r="I45" s="11" t="s">
        <v>12</v>
      </c>
      <c r="J45" s="12"/>
    </row>
    <row r="46" spans="1:10" ht="60" customHeight="1">
      <c r="A46" s="6" t="s">
        <v>190</v>
      </c>
      <c r="B46" s="6" t="s">
        <v>73</v>
      </c>
      <c r="C46" s="6" t="s">
        <v>12</v>
      </c>
      <c r="D46" s="7" t="s">
        <v>191</v>
      </c>
      <c r="E46" s="8" t="s">
        <v>192</v>
      </c>
      <c r="F46" s="6" t="s">
        <v>193</v>
      </c>
      <c r="G46" s="9">
        <f>IF(A46=1,"_",IF(C46="_","???",C46))</f>
        <v/>
      </c>
      <c r="H46" s="10" t="s">
        <v>12</v>
      </c>
      <c r="I46" s="11" t="s">
        <v>12</v>
      </c>
      <c r="J46" s="12"/>
    </row>
    <row r="47" spans="1:10" ht="60" customHeight="1">
      <c r="A47" s="6" t="s">
        <v>194</v>
      </c>
      <c r="B47" s="6" t="s">
        <v>61</v>
      </c>
      <c r="C47" s="6" t="s">
        <v>12</v>
      </c>
      <c r="D47" s="7" t="s">
        <v>195</v>
      </c>
      <c r="E47" s="8" t="s">
        <v>196</v>
      </c>
      <c r="F47" s="6" t="s">
        <v>197</v>
      </c>
      <c r="G47" s="9">
        <f>IF(A47=1,"_",IF(C47="_","???",C47))</f>
        <v/>
      </c>
      <c r="H47" s="10" t="s">
        <v>12</v>
      </c>
      <c r="I47" s="11" t="s">
        <v>12</v>
      </c>
      <c r="J47" s="12"/>
    </row>
    <row r="48" spans="1:10" ht="60" customHeight="1">
      <c r="A48" s="6" t="s">
        <v>198</v>
      </c>
      <c r="B48" s="6" t="s">
        <v>26</v>
      </c>
      <c r="C48" s="6" t="s">
        <v>134</v>
      </c>
      <c r="D48" s="7" t="s">
        <v>92</v>
      </c>
      <c r="E48" s="8" t="s">
        <v>199</v>
      </c>
      <c r="F48" s="6" t="s">
        <v>200</v>
      </c>
      <c r="G48" s="9">
        <f>IF(A48=1,"_",IF(C48="_","???",C48))</f>
        <v/>
      </c>
      <c r="H48" s="10" t="s">
        <v>12</v>
      </c>
      <c r="I48" s="11" t="s">
        <v>12</v>
      </c>
      <c r="J48" s="12"/>
    </row>
    <row r="49" spans="1:10" ht="60" customHeight="1">
      <c r="A49" s="6" t="s">
        <v>201</v>
      </c>
      <c r="B49" s="6" t="s">
        <v>41</v>
      </c>
      <c r="C49" s="6" t="s">
        <v>54</v>
      </c>
      <c r="D49" s="7" t="s">
        <v>202</v>
      </c>
      <c r="E49" s="8" t="s">
        <v>203</v>
      </c>
      <c r="F49" s="6" t="s">
        <v>204</v>
      </c>
      <c r="G49" s="9">
        <f>IF(A49=1,"_",IF(C49="_","???",C49))</f>
        <v/>
      </c>
      <c r="H49" s="10" t="s">
        <v>12</v>
      </c>
      <c r="I49" s="11" t="s">
        <v>12</v>
      </c>
      <c r="J49" s="12"/>
    </row>
    <row r="50" spans="1:10" ht="60" customHeight="1">
      <c r="A50" s="6" t="s">
        <v>205</v>
      </c>
      <c r="B50" s="6" t="s">
        <v>53</v>
      </c>
      <c r="C50" s="6" t="s">
        <v>12</v>
      </c>
      <c r="D50" s="7" t="s">
        <v>140</v>
      </c>
      <c r="E50" s="8" t="s">
        <v>206</v>
      </c>
      <c r="F50" s="6" t="s">
        <v>207</v>
      </c>
      <c r="G50" s="9">
        <f>IF(A50=1,"_",IF(C50="_","???",C50))</f>
        <v/>
      </c>
      <c r="H50" s="10" t="s">
        <v>12</v>
      </c>
      <c r="I50" s="11" t="s">
        <v>12</v>
      </c>
      <c r="J50" s="12"/>
    </row>
    <row r="51" spans="1:10" ht="60" customHeight="1">
      <c r="A51" s="6" t="s">
        <v>208</v>
      </c>
      <c r="B51" s="6" t="s">
        <v>88</v>
      </c>
      <c r="C51" s="6" t="s">
        <v>12</v>
      </c>
      <c r="D51" s="7" t="s">
        <v>101</v>
      </c>
      <c r="E51" s="8" t="s">
        <v>209</v>
      </c>
      <c r="F51" s="6" t="s">
        <v>210</v>
      </c>
      <c r="G51" s="9">
        <f>IF(A51=1,"_",IF(C51="_","???",C51))</f>
        <v/>
      </c>
      <c r="H51" s="10" t="s">
        <v>12</v>
      </c>
      <c r="I51" s="11" t="s">
        <v>12</v>
      </c>
      <c r="J51" s="12"/>
    </row>
    <row r="52" spans="1:10" ht="60" customHeight="1">
      <c r="A52" s="6" t="s">
        <v>211</v>
      </c>
      <c r="B52" s="6" t="s">
        <v>20</v>
      </c>
      <c r="C52" s="6" t="s">
        <v>12</v>
      </c>
      <c r="D52" s="7" t="s">
        <v>212</v>
      </c>
      <c r="E52" s="8" t="s">
        <v>213</v>
      </c>
      <c r="F52" s="6" t="s">
        <v>214</v>
      </c>
      <c r="G52" s="9">
        <f>IF(A52=1,"_",IF(C52="_","???",C52))</f>
        <v/>
      </c>
      <c r="H52" s="10" t="s">
        <v>12</v>
      </c>
      <c r="I52" s="11" t="s">
        <v>12</v>
      </c>
      <c r="J52"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1001"/>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215</v>
      </c>
      <c r="B1" s="13" t="s">
        <v>216</v>
      </c>
      <c r="C1" s="13" t="s">
        <v>217</v>
      </c>
      <c r="D1" s="13" t="s">
        <v>218</v>
      </c>
      <c r="E1" s="14" t="s">
        <v>219</v>
      </c>
      <c r="F1" s="15" t="s">
        <v>220</v>
      </c>
      <c r="G1" s="16" t="s">
        <v>221</v>
      </c>
      <c r="H1" s="17" t="s">
        <v>222</v>
      </c>
      <c r="I1" s="18" t="s">
        <v>223</v>
      </c>
      <c r="J1" s="18" t="s">
        <v>224</v>
      </c>
      <c r="K1" s="18" t="s">
        <v>225</v>
      </c>
      <c r="L1" s="19" t="s">
        <v>9</v>
      </c>
    </row>
    <row r="2" spans="1:12">
      <c r="A2" s="20" t="s">
        <v>226</v>
      </c>
    </row>
    <row r="3" spans="1:12">
      <c r="A3" s="20" t="s">
        <v>227</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13</v>
      </c>
      <c r="B4" s="27" t="s">
        <v>228</v>
      </c>
      <c r="C4" s="27" t="s">
        <v>229</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230</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231</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232</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233</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17</v>
      </c>
      <c r="B9" s="27" t="s">
        <v>234</v>
      </c>
      <c r="C9" s="27" t="s">
        <v>235</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236</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237</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238</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239</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240</v>
      </c>
      <c r="B14" s="27" t="s">
        <v>241</v>
      </c>
      <c r="C14" s="27" t="s">
        <v>229</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231</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row>
    <row r="17" spans="1:12">
      <c r="A17" s="20" t="s">
        <v>242</v>
      </c>
    </row>
    <row r="18" spans="1:12">
      <c r="A18" s="20" t="s">
        <v>243</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244</v>
      </c>
      <c r="B19" s="27" t="s">
        <v>228</v>
      </c>
      <c r="C19" s="27" t="s">
        <v>229</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245</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246</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247</v>
      </c>
      <c r="B22" s="27" t="s">
        <v>248</v>
      </c>
      <c r="C22" s="27" t="s">
        <v>249</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250</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251</v>
      </c>
      <c r="B24" s="27" t="s">
        <v>252</v>
      </c>
      <c r="C24" s="27" t="s">
        <v>253</v>
      </c>
      <c r="D24" s="27" t="s">
        <v>254</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255</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256</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239</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240</v>
      </c>
      <c r="B28" s="27" t="s">
        <v>257</v>
      </c>
      <c r="C28" s="27" t="s">
        <v>229</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258</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259</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260</v>
      </c>
      <c r="B31" s="27" t="s">
        <v>241</v>
      </c>
      <c r="C31" s="27" t="s">
        <v>261</v>
      </c>
      <c r="D31" s="27" t="s">
        <v>254</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262</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263</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264</v>
      </c>
      <c r="B34" s="27" t="s">
        <v>252</v>
      </c>
      <c r="C34" s="27" t="s">
        <v>229</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265</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row>
    <row r="37" spans="1:12">
      <c r="A37" s="20" t="s">
        <v>266</v>
      </c>
    </row>
    <row r="38" spans="1:12">
      <c r="A38" s="20" t="s">
        <v>267</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268</v>
      </c>
      <c r="B39" s="27" t="s">
        <v>234</v>
      </c>
      <c r="C39" s="27" t="s">
        <v>269</v>
      </c>
      <c r="D39" s="27" t="s">
        <v>254</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270</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271</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272</v>
      </c>
      <c r="B42" s="27" t="s">
        <v>241</v>
      </c>
      <c r="C42" s="27" t="s">
        <v>273</v>
      </c>
      <c r="D42" s="27" t="s">
        <v>254</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256</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268</v>
      </c>
      <c r="B44" s="27" t="s">
        <v>274</v>
      </c>
      <c r="C44" s="27" t="s">
        <v>269</v>
      </c>
      <c r="D44" s="27" t="s">
        <v>254</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275</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276</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277</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265</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row>
    <row r="50" spans="1:12">
      <c r="A50" s="20" t="s">
        <v>278</v>
      </c>
    </row>
    <row r="51" spans="1:12">
      <c r="A51" s="20" t="s">
        <v>279</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280</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281</v>
      </c>
      <c r="B53" s="27" t="s">
        <v>274</v>
      </c>
      <c r="C53" s="27" t="s">
        <v>282</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13</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265</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row>
    <row r="57" spans="1:12">
      <c r="A57" s="20" t="s">
        <v>283</v>
      </c>
    </row>
    <row r="58" spans="1:12">
      <c r="A58" s="20" t="s">
        <v>284</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244</v>
      </c>
      <c r="B59" s="27" t="s">
        <v>274</v>
      </c>
      <c r="C59" s="27" t="s">
        <v>282</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275</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285</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271</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246</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286</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287</v>
      </c>
      <c r="B65" s="27" t="s">
        <v>228</v>
      </c>
      <c r="C65" s="27" t="s">
        <v>249</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265</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row>
    <row r="68" spans="1:12">
      <c r="A68" s="20" t="s">
        <v>288</v>
      </c>
    </row>
    <row r="69" spans="1:12">
      <c r="A69" s="20" t="s">
        <v>232</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289</v>
      </c>
      <c r="B70" s="27" t="s">
        <v>274</v>
      </c>
      <c r="C70" s="27" t="s">
        <v>261</v>
      </c>
      <c r="D70" s="27" t="s">
        <v>254</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262</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290</v>
      </c>
      <c r="B72" s="27" t="s">
        <v>241</v>
      </c>
      <c r="C72" s="27" t="s">
        <v>269</v>
      </c>
      <c r="D72" s="27" t="s">
        <v>254</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236</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246</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291</v>
      </c>
      <c r="B75" s="27" t="s">
        <v>292</v>
      </c>
      <c r="C75" s="27" t="s">
        <v>249</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238</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290</v>
      </c>
      <c r="B77" s="27" t="s">
        <v>241</v>
      </c>
      <c r="C77" s="27" t="s">
        <v>269</v>
      </c>
      <c r="D77" s="27" t="s">
        <v>254</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256</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293</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294</v>
      </c>
      <c r="B80" s="27" t="s">
        <v>234</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262</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295</v>
      </c>
      <c r="B82" s="27" t="s">
        <v>252</v>
      </c>
      <c r="C82" s="27" t="s">
        <v>296</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258</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289</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297</v>
      </c>
      <c r="B85" s="27" t="s">
        <v>241</v>
      </c>
      <c r="C85" s="27" t="s">
        <v>282</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298</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265</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row>
    <row r="89" spans="1:12">
      <c r="A89" s="20" t="s">
        <v>299</v>
      </c>
    </row>
    <row r="90" spans="1:12">
      <c r="A90" s="20" t="s">
        <v>279</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17</v>
      </c>
      <c r="B91" s="27" t="s">
        <v>274</v>
      </c>
      <c r="C91" s="27" t="s">
        <v>282</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300</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301</v>
      </c>
      <c r="B93" s="27" t="s">
        <v>241</v>
      </c>
      <c r="C93" s="27" t="s">
        <v>253</v>
      </c>
      <c r="D93" s="27" t="s">
        <v>254</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302</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303</v>
      </c>
      <c r="B95" s="27" t="s">
        <v>292</v>
      </c>
      <c r="C95" s="27" t="s">
        <v>261</v>
      </c>
      <c r="D95" s="27" t="s">
        <v>254</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271</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301</v>
      </c>
      <c r="B97" s="27" t="s">
        <v>241</v>
      </c>
      <c r="C97" s="27" t="s">
        <v>253</v>
      </c>
      <c r="D97" s="27" t="s">
        <v>254</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304</v>
      </c>
      <c r="B98" s="27" t="s">
        <v>228</v>
      </c>
      <c r="C98" s="27" t="s">
        <v>261</v>
      </c>
      <c r="D98" s="27" t="s">
        <v>254</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265</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row>
    <row r="101" spans="1:12">
      <c r="A101" s="20" t="s">
        <v>305</v>
      </c>
    </row>
    <row r="102" spans="1:12">
      <c r="A102" s="20" t="s">
        <v>306</v>
      </c>
      <c r="B102" s="27" t="s">
        <v>274</v>
      </c>
      <c r="C102" s="27" t="s">
        <v>269</v>
      </c>
      <c r="D102" s="27" t="s">
        <v>254</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307</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308</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293</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309</v>
      </c>
      <c r="B106" s="27" t="s">
        <v>228</v>
      </c>
      <c r="C106" s="27" t="s">
        <v>310</v>
      </c>
      <c r="D106" s="27" t="s">
        <v>254</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311</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256</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312</v>
      </c>
      <c r="B109" s="27" t="s">
        <v>241</v>
      </c>
      <c r="C109" s="27" t="s">
        <v>253</v>
      </c>
      <c r="D109" s="27" t="s">
        <v>254</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313</v>
      </c>
      <c r="B110" s="27" t="s">
        <v>292</v>
      </c>
      <c r="C110" s="27" t="s">
        <v>261</v>
      </c>
      <c r="D110" s="27" t="s">
        <v>254</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314</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265</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row>
    <row r="114" spans="1:12">
      <c r="A114" s="20" t="s">
        <v>315</v>
      </c>
    </row>
    <row r="115" spans="1:12">
      <c r="A115" s="20" t="s">
        <v>316</v>
      </c>
      <c r="B115" s="27" t="s">
        <v>241</v>
      </c>
      <c r="C115" s="27" t="s">
        <v>253</v>
      </c>
      <c r="D115" s="27" t="s">
        <v>254</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317</v>
      </c>
      <c r="B116" s="27" t="s">
        <v>274</v>
      </c>
      <c r="C116" s="27" t="s">
        <v>261</v>
      </c>
      <c r="D116" s="27" t="s">
        <v>254</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318</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319</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293</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320</v>
      </c>
      <c r="B120" s="27" t="s">
        <v>228</v>
      </c>
      <c r="C120" s="27" t="s">
        <v>310</v>
      </c>
      <c r="D120" s="27" t="s">
        <v>254</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265</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row>
    <row r="123" spans="1:12">
      <c r="A123" s="20" t="s">
        <v>321</v>
      </c>
    </row>
    <row r="124" spans="1:12">
      <c r="A124" s="20" t="s">
        <v>322</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323</v>
      </c>
      <c r="B125" s="27" t="s">
        <v>234</v>
      </c>
      <c r="C125" s="27" t="s">
        <v>269</v>
      </c>
      <c r="D125" s="27" t="s">
        <v>254</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324</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323</v>
      </c>
      <c r="B127" s="27" t="s">
        <v>274</v>
      </c>
      <c r="C127" s="27" t="s">
        <v>269</v>
      </c>
      <c r="D127" s="27" t="s">
        <v>254</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325</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326</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327</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265</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row>
    <row r="133" spans="1:12">
      <c r="A133" s="20" t="s">
        <v>328</v>
      </c>
    </row>
    <row r="134" spans="1:12">
      <c r="A134" s="20" t="s">
        <v>329</v>
      </c>
      <c r="B134" s="27" t="s">
        <v>274</v>
      </c>
      <c r="C134" s="27" t="s">
        <v>269</v>
      </c>
      <c r="D134" s="27" t="s">
        <v>254</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330</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331</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332</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333</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293</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334</v>
      </c>
      <c r="B140" s="27" t="s">
        <v>248</v>
      </c>
      <c r="C140" s="27" t="s">
        <v>310</v>
      </c>
      <c r="D140" s="27" t="s">
        <v>254</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265</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row>
    <row r="143" spans="1:12">
      <c r="A143" s="20" t="s">
        <v>335</v>
      </c>
    </row>
    <row r="144" spans="1:12">
      <c r="A144" s="20" t="s">
        <v>336</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337</v>
      </c>
      <c r="B145" s="27" t="s">
        <v>274</v>
      </c>
      <c r="C145" s="27" t="s">
        <v>310</v>
      </c>
      <c r="D145" s="27" t="s">
        <v>254</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307</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338</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265</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row>
    <row r="150" spans="1:12">
      <c r="A150" s="20" t="s">
        <v>339</v>
      </c>
    </row>
    <row r="151" spans="1:12">
      <c r="A151" s="20" t="s">
        <v>322</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340</v>
      </c>
      <c r="B152" s="27" t="s">
        <v>274</v>
      </c>
      <c r="C152" s="27" t="s">
        <v>269</v>
      </c>
      <c r="D152" s="27" t="s">
        <v>254</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62</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341</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342</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343</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344</v>
      </c>
      <c r="B157" s="27" t="s">
        <v>241</v>
      </c>
      <c r="C157" s="27" t="s">
        <v>273</v>
      </c>
      <c r="D157" s="27" t="s">
        <v>254</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265</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row>
    <row r="160" spans="1:12">
      <c r="A160" s="20" t="s">
        <v>345</v>
      </c>
    </row>
    <row r="161" spans="1:12">
      <c r="A161" s="20" t="s">
        <v>329</v>
      </c>
      <c r="B161" s="27" t="s">
        <v>274</v>
      </c>
      <c r="C161" s="27" t="s">
        <v>269</v>
      </c>
      <c r="D161" s="27" t="s">
        <v>254</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258</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293</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346</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347</v>
      </c>
      <c r="B165" s="27" t="s">
        <v>228</v>
      </c>
      <c r="C165" s="27" t="s">
        <v>310</v>
      </c>
      <c r="D165" s="27" t="s">
        <v>254</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348</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349</v>
      </c>
      <c r="B167" s="27" t="s">
        <v>228</v>
      </c>
      <c r="C167" s="27" t="s">
        <v>273</v>
      </c>
      <c r="D167" s="27" t="s">
        <v>254</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256</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246</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350</v>
      </c>
      <c r="B170" s="27" t="s">
        <v>228</v>
      </c>
      <c r="C170" s="27" t="s">
        <v>249</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262</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351</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352</v>
      </c>
      <c r="B173" s="27" t="s">
        <v>241</v>
      </c>
      <c r="C173" s="27" t="s">
        <v>229</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353</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354</v>
      </c>
      <c r="B175" s="27" t="s">
        <v>252</v>
      </c>
      <c r="C175" s="27" t="s">
        <v>273</v>
      </c>
      <c r="D175" s="27" t="s">
        <v>254</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265</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row>
    <row r="178" spans="1:12">
      <c r="A178" s="20" t="s">
        <v>355</v>
      </c>
    </row>
    <row r="179" spans="1:12">
      <c r="A179" s="20" t="s">
        <v>279</v>
      </c>
      <c r="B179" s="27" t="s">
        <v>274</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262</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293</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356</v>
      </c>
      <c r="B182" s="27" t="s">
        <v>241</v>
      </c>
      <c r="C182" s="27" t="s">
        <v>310</v>
      </c>
      <c r="D182" s="27" t="s">
        <v>254</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323</v>
      </c>
      <c r="B183" s="27" t="s">
        <v>357</v>
      </c>
      <c r="C183" s="27" t="s">
        <v>269</v>
      </c>
      <c r="D183" s="27" t="s">
        <v>254</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358</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238</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258</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233</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244</v>
      </c>
      <c r="B188" s="27" t="s">
        <v>228</v>
      </c>
      <c r="C188" s="27" t="s">
        <v>282</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265</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row>
    <row r="191" spans="1:12">
      <c r="A191" s="20" t="s">
        <v>359</v>
      </c>
    </row>
    <row r="192" spans="1:12">
      <c r="A192" s="20" t="s">
        <v>336</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360</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244</v>
      </c>
      <c r="B194" s="27" t="s">
        <v>274</v>
      </c>
      <c r="C194" s="27" t="s">
        <v>361</v>
      </c>
      <c r="D194" s="27" t="s">
        <v>254</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271</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293</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287</v>
      </c>
      <c r="B197" s="27" t="s">
        <v>241</v>
      </c>
      <c r="C197" s="27" t="s">
        <v>310</v>
      </c>
      <c r="D197" s="27" t="s">
        <v>254</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275</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362</v>
      </c>
      <c r="B199" s="27" t="s">
        <v>228</v>
      </c>
      <c r="C199" s="27" t="s">
        <v>229</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265</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row>
    <row r="202" spans="1:12">
      <c r="A202" s="20" t="s">
        <v>363</v>
      </c>
    </row>
    <row r="203" spans="1:12">
      <c r="A203" s="20" t="s">
        <v>364</v>
      </c>
      <c r="B203" s="27" t="s">
        <v>274</v>
      </c>
      <c r="C203" s="27" t="s">
        <v>269</v>
      </c>
      <c r="D203" s="27" t="s">
        <v>254</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78</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271</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293</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365</v>
      </c>
      <c r="B207" s="27" t="s">
        <v>228</v>
      </c>
      <c r="C207" s="27" t="s">
        <v>261</v>
      </c>
      <c r="D207" s="27" t="s">
        <v>254</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262</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366</v>
      </c>
      <c r="B209" s="27" t="s">
        <v>241</v>
      </c>
      <c r="C209" s="27" t="s">
        <v>273</v>
      </c>
      <c r="D209" s="27" t="s">
        <v>254</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256</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271</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289</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262</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293</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367</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368</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369</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370</v>
      </c>
      <c r="B218" s="27" t="s">
        <v>241</v>
      </c>
      <c r="C218" s="27" t="s">
        <v>310</v>
      </c>
      <c r="D218" s="27" t="s">
        <v>254</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271</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354</v>
      </c>
      <c r="B220" s="27" t="s">
        <v>252</v>
      </c>
      <c r="C220" s="27" t="s">
        <v>273</v>
      </c>
      <c r="D220" s="27" t="s">
        <v>254</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348</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233</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244</v>
      </c>
      <c r="B223" s="27" t="s">
        <v>252</v>
      </c>
      <c r="C223" s="27" t="s">
        <v>229</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332</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251</v>
      </c>
      <c r="B225" s="27" t="s">
        <v>241</v>
      </c>
      <c r="C225" s="27" t="s">
        <v>253</v>
      </c>
      <c r="D225" s="27" t="s">
        <v>254</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371</v>
      </c>
      <c r="B226" s="27" t="s">
        <v>228</v>
      </c>
      <c r="C226" s="27" t="s">
        <v>261</v>
      </c>
      <c r="D226" s="27" t="s">
        <v>254</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372</v>
      </c>
      <c r="B227" s="27" t="s">
        <v>257</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34</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373</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293</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374</v>
      </c>
      <c r="B231" s="27" t="s">
        <v>375</v>
      </c>
      <c r="C231" s="27" t="s">
        <v>310</v>
      </c>
      <c r="D231" s="27" t="s">
        <v>254</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376</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265</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row>
    <row r="235" spans="1:12">
      <c r="A235" s="20" t="s">
        <v>377</v>
      </c>
    </row>
    <row r="236" spans="1:12">
      <c r="A236" s="20" t="s">
        <v>349</v>
      </c>
      <c r="B236" s="27" t="s">
        <v>274</v>
      </c>
      <c r="C236" s="27" t="s">
        <v>229</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378</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293</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379</v>
      </c>
      <c r="B239" s="27" t="s">
        <v>292</v>
      </c>
      <c r="C239" s="27" t="s">
        <v>310</v>
      </c>
      <c r="D239" s="27" t="s">
        <v>254</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271</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380</v>
      </c>
      <c r="B241" s="27" t="s">
        <v>228</v>
      </c>
      <c r="C241" s="27" t="s">
        <v>273</v>
      </c>
      <c r="D241" s="27" t="s">
        <v>254</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256</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271</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381</v>
      </c>
      <c r="B244" s="27" t="s">
        <v>228</v>
      </c>
      <c r="C244" s="27" t="s">
        <v>229</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238</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382</v>
      </c>
      <c r="B246" s="27" t="s">
        <v>241</v>
      </c>
      <c r="C246" s="27" t="s">
        <v>273</v>
      </c>
      <c r="D246" s="27" t="s">
        <v>254</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383</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332</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293</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366</v>
      </c>
      <c r="B250" s="27" t="s">
        <v>384</v>
      </c>
      <c r="C250" s="27" t="s">
        <v>273</v>
      </c>
      <c r="D250" s="27" t="s">
        <v>254</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385</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325</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386</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387</v>
      </c>
      <c r="B254" s="27" t="s">
        <v>252</v>
      </c>
      <c r="C254" s="27" t="s">
        <v>261</v>
      </c>
      <c r="D254" s="27" t="s">
        <v>254</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265</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row>
    <row r="257" spans="1:12">
      <c r="A257" s="20" t="s">
        <v>388</v>
      </c>
    </row>
    <row r="258" spans="1:12">
      <c r="A258" s="20" t="s">
        <v>389</v>
      </c>
      <c r="B258" s="27" t="s">
        <v>274</v>
      </c>
      <c r="C258" s="27" t="s">
        <v>269</v>
      </c>
      <c r="D258" s="27" t="s">
        <v>254</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390</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391</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392</v>
      </c>
      <c r="B261" s="27" t="s">
        <v>241</v>
      </c>
      <c r="C261" s="27" t="s">
        <v>253</v>
      </c>
      <c r="D261" s="27" t="s">
        <v>254</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393</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394</v>
      </c>
      <c r="B263" s="27" t="s">
        <v>292</v>
      </c>
      <c r="C263" s="27" t="s">
        <v>261</v>
      </c>
      <c r="D263" s="27" t="s">
        <v>254</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265</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row>
    <row r="266" spans="1:12">
      <c r="A266" s="20" t="s">
        <v>395</v>
      </c>
    </row>
    <row r="267" spans="1:12">
      <c r="A267" s="20" t="s">
        <v>396</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397</v>
      </c>
      <c r="B268" s="27" t="s">
        <v>274</v>
      </c>
      <c r="C268" s="27" t="s">
        <v>282</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78</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398</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12</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308</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172</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244</v>
      </c>
      <c r="B274" s="27" t="s">
        <v>228</v>
      </c>
      <c r="C274" s="27" t="s">
        <v>282</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332</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88</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371</v>
      </c>
      <c r="B277" s="27" t="s">
        <v>241</v>
      </c>
      <c r="C277" s="27" t="s">
        <v>282</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265</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row>
    <row r="280" spans="1:12">
      <c r="A280" s="20" t="s">
        <v>399</v>
      </c>
    </row>
    <row r="281" spans="1:12">
      <c r="A281" s="20" t="s">
        <v>400</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275</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401</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402</v>
      </c>
      <c r="B284" s="27" t="s">
        <v>274</v>
      </c>
      <c r="C284" s="27" t="s">
        <v>282</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12</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403</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404</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405</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406</v>
      </c>
      <c r="B289" s="27" t="s">
        <v>248</v>
      </c>
      <c r="C289" s="27" t="s">
        <v>229</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265</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row>
    <row r="292" spans="1:12">
      <c r="A292" s="20" t="s">
        <v>407</v>
      </c>
    </row>
    <row r="293" spans="1:12">
      <c r="A293" s="20" t="s">
        <v>336</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408</v>
      </c>
      <c r="B294" s="27" t="s">
        <v>274</v>
      </c>
      <c r="C294" s="27" t="s">
        <v>310</v>
      </c>
      <c r="D294" s="27" t="s">
        <v>254</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258</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246</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409</v>
      </c>
      <c r="B297" s="27" t="s">
        <v>228</v>
      </c>
      <c r="C297" s="27" t="s">
        <v>249</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250</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293</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410</v>
      </c>
      <c r="B300" s="27" t="s">
        <v>228</v>
      </c>
      <c r="C300" s="27" t="s">
        <v>310</v>
      </c>
      <c r="D300" s="27" t="s">
        <v>254</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265</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row>
    <row r="303" spans="1:12">
      <c r="A303" s="20" t="s">
        <v>411</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412</v>
      </c>
    </row>
    <row r="305" spans="1:12">
      <c r="A305" s="20" t="s">
        <v>231</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413</v>
      </c>
      <c r="B306" s="27" t="s">
        <v>234</v>
      </c>
      <c r="C306" s="27" t="s">
        <v>269</v>
      </c>
      <c r="D306" s="27" t="s">
        <v>254</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414</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403</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415</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416</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413</v>
      </c>
      <c r="B311" s="27" t="s">
        <v>257</v>
      </c>
      <c r="C311" s="27" t="s">
        <v>269</v>
      </c>
      <c r="D311" s="27" t="s">
        <v>254</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101</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417</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418</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17</v>
      </c>
      <c r="B315" s="27" t="s">
        <v>357</v>
      </c>
      <c r="C315" s="27" t="s">
        <v>235</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372</v>
      </c>
      <c r="B316" s="27" t="s">
        <v>419</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420</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421</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236</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237</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238</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239</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240</v>
      </c>
      <c r="B323" s="27" t="s">
        <v>384</v>
      </c>
      <c r="C323" s="27" t="s">
        <v>229</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250</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301</v>
      </c>
      <c r="B325" s="27" t="s">
        <v>422</v>
      </c>
      <c r="C325" s="27" t="s">
        <v>253</v>
      </c>
      <c r="D325" s="27" t="s">
        <v>254</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423</v>
      </c>
      <c r="B326" s="27" t="s">
        <v>384</v>
      </c>
      <c r="C326" s="27" t="s">
        <v>261</v>
      </c>
      <c r="D326" s="27" t="s">
        <v>254</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342</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424</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13</v>
      </c>
      <c r="B329" s="27" t="s">
        <v>425</v>
      </c>
      <c r="C329" s="27" t="s">
        <v>229</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256</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231</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426</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344</v>
      </c>
      <c r="B333" s="27" t="s">
        <v>274</v>
      </c>
      <c r="C333" s="27" t="s">
        <v>273</v>
      </c>
      <c r="D333" s="27" t="s">
        <v>254</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265</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row>
    <row r="336" spans="1:12">
      <c r="A336" s="20" t="s">
        <v>411</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427</v>
      </c>
    </row>
    <row r="338" spans="1:12">
      <c r="A338" s="20" t="s">
        <v>231</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428</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106</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429</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262</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430</v>
      </c>
      <c r="B343" s="27" t="s">
        <v>228</v>
      </c>
      <c r="C343" s="27" t="s">
        <v>229</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256</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429</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268</v>
      </c>
      <c r="B346" s="27" t="s">
        <v>234</v>
      </c>
      <c r="C346" s="27" t="s">
        <v>269</v>
      </c>
      <c r="D346" s="27" t="s">
        <v>254</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275</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431</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432</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256</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429</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268</v>
      </c>
      <c r="B352" s="27" t="s">
        <v>257</v>
      </c>
      <c r="C352" s="27" t="s">
        <v>269</v>
      </c>
      <c r="D352" s="27" t="s">
        <v>254</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275</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433</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238</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434</v>
      </c>
      <c r="B356" s="27" t="s">
        <v>252</v>
      </c>
      <c r="C356" s="27" t="s">
        <v>229</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435</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436</v>
      </c>
      <c r="B358" s="27" t="s">
        <v>384</v>
      </c>
      <c r="C358" s="27" t="s">
        <v>229</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256</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435</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429</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251</v>
      </c>
      <c r="B362" s="27" t="s">
        <v>437</v>
      </c>
      <c r="C362" s="27" t="s">
        <v>253</v>
      </c>
      <c r="D362" s="27" t="s">
        <v>254</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438</v>
      </c>
      <c r="B363" s="27" t="s">
        <v>439</v>
      </c>
      <c r="C363" s="27" t="s">
        <v>261</v>
      </c>
      <c r="D363" s="27" t="s">
        <v>254</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440</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251</v>
      </c>
      <c r="B365" s="27" t="s">
        <v>437</v>
      </c>
      <c r="C365" s="27" t="s">
        <v>253</v>
      </c>
      <c r="D365" s="27" t="s">
        <v>254</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441</v>
      </c>
      <c r="B366" s="27" t="s">
        <v>442</v>
      </c>
      <c r="C366" s="27" t="s">
        <v>261</v>
      </c>
      <c r="D366" s="27" t="s">
        <v>254</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250</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290</v>
      </c>
      <c r="B368" s="27" t="s">
        <v>437</v>
      </c>
      <c r="C368" s="27" t="s">
        <v>269</v>
      </c>
      <c r="D368" s="27" t="s">
        <v>254</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332</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443</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290</v>
      </c>
      <c r="B371" s="27" t="s">
        <v>444</v>
      </c>
      <c r="C371" s="27" t="s">
        <v>269</v>
      </c>
      <c r="D371" s="27" t="s">
        <v>254</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342</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445</v>
      </c>
      <c r="B373" s="27" t="s">
        <v>446</v>
      </c>
      <c r="C373" s="27" t="s">
        <v>273</v>
      </c>
      <c r="D373" s="27" t="s">
        <v>254</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256</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231</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323</v>
      </c>
      <c r="B376" s="27" t="s">
        <v>419</v>
      </c>
      <c r="C376" s="27" t="s">
        <v>269</v>
      </c>
      <c r="D376" s="27" t="s">
        <v>254</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447</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265</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row>
    <row r="380" spans="1:12">
      <c r="A380" s="20" t="s">
        <v>411</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448</v>
      </c>
    </row>
    <row r="382" spans="1:12">
      <c r="A382" s="20" t="s">
        <v>267</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244</v>
      </c>
      <c r="B383" s="27" t="s">
        <v>234</v>
      </c>
      <c r="C383" s="27" t="s">
        <v>229</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106</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256</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228</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449</v>
      </c>
      <c r="B387" s="27" t="s">
        <v>274</v>
      </c>
      <c r="C387" s="27" t="s">
        <v>229</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275</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271</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293</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450</v>
      </c>
      <c r="B391" s="27" t="s">
        <v>228</v>
      </c>
      <c r="C391" s="27" t="s">
        <v>310</v>
      </c>
      <c r="D391" s="27" t="s">
        <v>254</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230</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231</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451</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244</v>
      </c>
      <c r="B395" s="27" t="s">
        <v>234</v>
      </c>
      <c r="C395" s="27" t="s">
        <v>229</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452</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453</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454</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256</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429</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268</v>
      </c>
      <c r="B401" s="27" t="s">
        <v>257</v>
      </c>
      <c r="C401" s="27" t="s">
        <v>269</v>
      </c>
      <c r="D401" s="27" t="s">
        <v>254</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140</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401</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228</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423</v>
      </c>
      <c r="B405" s="27" t="s">
        <v>384</v>
      </c>
      <c r="C405" s="27" t="s">
        <v>282</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455</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231</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265</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row>
    <row r="410" spans="1:12">
      <c r="A410" s="20" t="s">
        <v>456</v>
      </c>
    </row>
    <row r="411" spans="1:12">
      <c r="A411" s="20" t="s">
        <v>457</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251</v>
      </c>
      <c r="B412" s="27" t="s">
        <v>241</v>
      </c>
      <c r="C412" s="27" t="s">
        <v>253</v>
      </c>
      <c r="D412" s="27" t="s">
        <v>254</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458</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459</v>
      </c>
      <c r="B414" s="27" t="s">
        <v>228</v>
      </c>
      <c r="C414" s="27" t="s">
        <v>261</v>
      </c>
      <c r="D414" s="27" t="s">
        <v>254</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256</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268</v>
      </c>
      <c r="B416" s="27" t="s">
        <v>274</v>
      </c>
      <c r="C416" s="27" t="s">
        <v>269</v>
      </c>
      <c r="D416" s="27" t="s">
        <v>254</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460</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239</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240</v>
      </c>
      <c r="B419" s="27" t="s">
        <v>292</v>
      </c>
      <c r="C419" s="27" t="s">
        <v>229</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256</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461</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462</v>
      </c>
      <c r="B422" s="27" t="s">
        <v>228</v>
      </c>
      <c r="C422" s="27" t="s">
        <v>229</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256</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463</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464</v>
      </c>
      <c r="B425" s="27" t="s">
        <v>241</v>
      </c>
      <c r="C425" s="27" t="s">
        <v>229</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256</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465</v>
      </c>
      <c r="B427" s="27" t="s">
        <v>241</v>
      </c>
      <c r="C427" s="27" t="s">
        <v>229</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435</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461</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466</v>
      </c>
      <c r="B430" s="27" t="s">
        <v>241</v>
      </c>
      <c r="C430" s="27" t="s">
        <v>229</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265</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row>
    <row r="433" spans="1:12">
      <c r="A433" s="20" t="s">
        <v>467</v>
      </c>
    </row>
    <row r="434" spans="1:12">
      <c r="A434" s="20" t="s">
        <v>468</v>
      </c>
      <c r="B434" s="27" t="s">
        <v>274</v>
      </c>
      <c r="C434" s="27" t="s">
        <v>469</v>
      </c>
      <c r="D434" s="27" t="s">
        <v>254</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470</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290</v>
      </c>
      <c r="B436" s="27" t="s">
        <v>292</v>
      </c>
      <c r="C436" s="27" t="s">
        <v>269</v>
      </c>
      <c r="D436" s="27" t="s">
        <v>254</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471</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265</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row>
    <row r="440" spans="1:12">
      <c r="A440" s="20" t="s">
        <v>472</v>
      </c>
    </row>
    <row r="441" spans="1:12">
      <c r="A441" s="20" t="s">
        <v>473</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474</v>
      </c>
      <c r="B442" s="27" t="s">
        <v>274</v>
      </c>
      <c r="C442" s="27" t="s">
        <v>269</v>
      </c>
      <c r="D442" s="27" t="s">
        <v>254</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475</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404</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476</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268</v>
      </c>
      <c r="B446" s="27" t="s">
        <v>234</v>
      </c>
      <c r="C446" s="27" t="s">
        <v>269</v>
      </c>
      <c r="D446" s="27" t="s">
        <v>254</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477</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250</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293</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478</v>
      </c>
      <c r="B450" s="27" t="s">
        <v>228</v>
      </c>
      <c r="C450" s="27" t="s">
        <v>310</v>
      </c>
      <c r="D450" s="27" t="s">
        <v>254</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265</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row>
    <row r="453" spans="1:12">
      <c r="A453" s="20" t="s">
        <v>411</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479</v>
      </c>
    </row>
    <row r="455" spans="1:12">
      <c r="A455" s="20" t="s">
        <v>231</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389</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258</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403</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246</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480</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481</v>
      </c>
      <c r="B461" s="27" t="s">
        <v>228</v>
      </c>
      <c r="C461" s="27" t="s">
        <v>249</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417</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482</v>
      </c>
      <c r="B463" s="27" t="s">
        <v>257</v>
      </c>
      <c r="C463" s="27" t="s">
        <v>229</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483</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246</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239</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484</v>
      </c>
      <c r="B467" s="27" t="s">
        <v>375</v>
      </c>
      <c r="C467" s="27" t="s">
        <v>249</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271</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485</v>
      </c>
      <c r="B469" s="27" t="s">
        <v>252</v>
      </c>
      <c r="C469" s="27" t="s">
        <v>229</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348</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246</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486</v>
      </c>
      <c r="B472" s="27" t="s">
        <v>384</v>
      </c>
      <c r="C472" s="27" t="s">
        <v>249</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262</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487</v>
      </c>
      <c r="B474" s="27" t="s">
        <v>422</v>
      </c>
      <c r="C474" s="27" t="s">
        <v>229</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256</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348</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488</v>
      </c>
      <c r="B477" s="27" t="s">
        <v>241</v>
      </c>
      <c r="C477" s="27" t="s">
        <v>229</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256</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231</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489</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344</v>
      </c>
      <c r="B481" s="27" t="s">
        <v>234</v>
      </c>
      <c r="C481" s="27" t="s">
        <v>273</v>
      </c>
      <c r="D481" s="27" t="s">
        <v>254</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265</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row>
    <row r="484" spans="1:12">
      <c r="A484" s="20" t="s">
        <v>490</v>
      </c>
    </row>
    <row r="485" spans="1:12">
      <c r="A485" s="20" t="s">
        <v>473</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293</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17</v>
      </c>
      <c r="B487" s="27" t="s">
        <v>274</v>
      </c>
      <c r="C487" s="27" t="s">
        <v>310</v>
      </c>
      <c r="D487" s="27" t="s">
        <v>254</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275</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376</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256</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491</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492</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251</v>
      </c>
      <c r="B493" s="27" t="s">
        <v>252</v>
      </c>
      <c r="C493" s="27" t="s">
        <v>253</v>
      </c>
      <c r="D493" s="27" t="s">
        <v>254</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438</v>
      </c>
      <c r="B494" s="27" t="s">
        <v>241</v>
      </c>
      <c r="C494" s="27" t="s">
        <v>261</v>
      </c>
      <c r="D494" s="27" t="s">
        <v>254</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265</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row>
    <row r="497" spans="1:12">
      <c r="A497" s="20" t="s">
        <v>493</v>
      </c>
    </row>
    <row r="498" spans="1:12">
      <c r="A498" s="20" t="s">
        <v>494</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340</v>
      </c>
      <c r="B499" s="27" t="s">
        <v>234</v>
      </c>
      <c r="C499" s="27" t="s">
        <v>269</v>
      </c>
      <c r="D499" s="27" t="s">
        <v>254</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495</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417</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496</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497</v>
      </c>
      <c r="B503" s="27" t="s">
        <v>257</v>
      </c>
      <c r="C503" s="27" t="s">
        <v>498</v>
      </c>
      <c r="D503" s="27" t="s">
        <v>254</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499</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500</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499</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268</v>
      </c>
      <c r="B507" s="27" t="s">
        <v>439</v>
      </c>
      <c r="C507" s="27" t="s">
        <v>269</v>
      </c>
      <c r="D507" s="27" t="s">
        <v>254</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270</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271</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272</v>
      </c>
      <c r="B510" s="27" t="s">
        <v>422</v>
      </c>
      <c r="C510" s="27" t="s">
        <v>273</v>
      </c>
      <c r="D510" s="27" t="s">
        <v>254</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256</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340</v>
      </c>
      <c r="B512" s="27" t="s">
        <v>257</v>
      </c>
      <c r="C512" s="27" t="s">
        <v>269</v>
      </c>
      <c r="D512" s="27" t="s">
        <v>254</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501</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92</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502</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256</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489</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344</v>
      </c>
      <c r="B518" s="27" t="s">
        <v>274</v>
      </c>
      <c r="C518" s="27" t="s">
        <v>273</v>
      </c>
      <c r="D518" s="27" t="s">
        <v>254</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265</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row>
    <row r="521" spans="1:12">
      <c r="A521" s="20" t="s">
        <v>503</v>
      </c>
    </row>
    <row r="522" spans="1:12">
      <c r="A522" s="20" t="s">
        <v>504</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271</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272</v>
      </c>
      <c r="B524" s="27" t="s">
        <v>228</v>
      </c>
      <c r="C524" s="27" t="s">
        <v>273</v>
      </c>
      <c r="D524" s="27" t="s">
        <v>254</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256</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505</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244</v>
      </c>
      <c r="B527" s="27" t="s">
        <v>274</v>
      </c>
      <c r="C527" s="27" t="s">
        <v>229</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275</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276</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506</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499</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507</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271</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233</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369</v>
      </c>
      <c r="B535" s="27" t="s">
        <v>241</v>
      </c>
      <c r="C535" s="27" t="s">
        <v>229</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256</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332</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256</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271</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293</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508</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509</v>
      </c>
      <c r="B542" s="27" t="s">
        <v>252</v>
      </c>
      <c r="C542" s="27" t="s">
        <v>310</v>
      </c>
      <c r="D542" s="27" t="s">
        <v>254</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256</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268</v>
      </c>
      <c r="B544" s="27" t="s">
        <v>257</v>
      </c>
      <c r="C544" s="27" t="s">
        <v>269</v>
      </c>
      <c r="D544" s="27" t="s">
        <v>254</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275</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510</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265</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row>
    <row r="549" spans="1:12">
      <c r="A549" s="20" t="s">
        <v>511</v>
      </c>
    </row>
    <row r="550" spans="1:12">
      <c r="A550" s="20" t="s">
        <v>512</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246</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513</v>
      </c>
      <c r="B552" s="27" t="s">
        <v>228</v>
      </c>
      <c r="C552" s="27" t="s">
        <v>249</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256</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308</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514</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515</v>
      </c>
      <c r="B556" s="27" t="s">
        <v>274</v>
      </c>
      <c r="C556" s="27" t="s">
        <v>282</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262</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293</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244</v>
      </c>
      <c r="B559" s="27" t="s">
        <v>241</v>
      </c>
      <c r="C559" s="27" t="s">
        <v>310</v>
      </c>
      <c r="D559" s="27" t="s">
        <v>254</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516</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271</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369</v>
      </c>
      <c r="B562" s="27" t="s">
        <v>384</v>
      </c>
      <c r="C562" s="27" t="s">
        <v>229</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271</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293</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365</v>
      </c>
      <c r="B565" s="27" t="s">
        <v>384</v>
      </c>
      <c r="C565" s="27" t="s">
        <v>261</v>
      </c>
      <c r="D565" s="27" t="s">
        <v>254</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262</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366</v>
      </c>
      <c r="B567" s="27" t="s">
        <v>422</v>
      </c>
      <c r="C567" s="27" t="s">
        <v>273</v>
      </c>
      <c r="D567" s="27" t="s">
        <v>254</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275</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277</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256</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323</v>
      </c>
      <c r="B571" s="27" t="s">
        <v>234</v>
      </c>
      <c r="C571" s="27" t="s">
        <v>269</v>
      </c>
      <c r="D571" s="27" t="s">
        <v>254</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517</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265</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row>
    <row r="575" spans="1:12">
      <c r="A575" s="20" t="s">
        <v>411</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518</v>
      </c>
    </row>
    <row r="577" spans="1:12">
      <c r="A577" s="20" t="s">
        <v>231</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519</v>
      </c>
      <c r="B578" s="27" t="s">
        <v>274</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262</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293</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371</v>
      </c>
      <c r="B581" s="27" t="s">
        <v>241</v>
      </c>
      <c r="C581" s="27" t="s">
        <v>310</v>
      </c>
      <c r="D581" s="27" t="s">
        <v>254</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520</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521</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403</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522</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238</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293</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17</v>
      </c>
      <c r="B588" s="27" t="s">
        <v>241</v>
      </c>
      <c r="C588" s="27" t="s">
        <v>310</v>
      </c>
      <c r="D588" s="27" t="s">
        <v>254</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325</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523</v>
      </c>
      <c r="B590" s="27" t="s">
        <v>228</v>
      </c>
      <c r="C590" s="27" t="s">
        <v>261</v>
      </c>
      <c r="D590" s="27" t="s">
        <v>254</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231</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265</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row>
    <row r="594" spans="1:12">
      <c r="A594" s="20" t="s">
        <v>524</v>
      </c>
    </row>
    <row r="595" spans="1:12">
      <c r="A595" s="20" t="s">
        <v>451</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244</v>
      </c>
      <c r="B596" s="27" t="s">
        <v>234</v>
      </c>
      <c r="C596" s="27" t="s">
        <v>282</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275</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525</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526</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342</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474</v>
      </c>
      <c r="B601" s="27" t="s">
        <v>241</v>
      </c>
      <c r="C601" s="27" t="s">
        <v>269</v>
      </c>
      <c r="D601" s="27" t="s">
        <v>254</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417</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268</v>
      </c>
      <c r="B603" s="27" t="s">
        <v>257</v>
      </c>
      <c r="C603" s="27" t="s">
        <v>269</v>
      </c>
      <c r="D603" s="27" t="s">
        <v>254</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527</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403</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101</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528</v>
      </c>
      <c r="B607" s="27" t="s">
        <v>375</v>
      </c>
      <c r="C607" s="27" t="s">
        <v>529</v>
      </c>
      <c r="D607" s="27" t="s">
        <v>254</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256</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323</v>
      </c>
      <c r="B609" s="27" t="s">
        <v>274</v>
      </c>
      <c r="C609" s="27" t="s">
        <v>269</v>
      </c>
      <c r="D609" s="27" t="s">
        <v>254</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489</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265</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row>
    <row r="613" spans="1:12">
      <c r="A613" s="20" t="s">
        <v>411</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530</v>
      </c>
    </row>
    <row r="615" spans="1:12">
      <c r="A615" s="20" t="s">
        <v>231</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531</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268</v>
      </c>
      <c r="B617" s="27" t="s">
        <v>274</v>
      </c>
      <c r="C617" s="27" t="s">
        <v>269</v>
      </c>
      <c r="D617" s="27" t="s">
        <v>254</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532</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533</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158</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534</v>
      </c>
      <c r="B621" s="27" t="s">
        <v>292</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342</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535</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536</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537</v>
      </c>
      <c r="B625" s="27" t="s">
        <v>241</v>
      </c>
      <c r="C625" s="27" t="s">
        <v>296</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268</v>
      </c>
      <c r="B626" s="27" t="s">
        <v>357</v>
      </c>
      <c r="C626" s="27" t="s">
        <v>269</v>
      </c>
      <c r="D626" s="27" t="s">
        <v>254</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460</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429</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268</v>
      </c>
      <c r="B629" s="27" t="s">
        <v>439</v>
      </c>
      <c r="C629" s="27" t="s">
        <v>269</v>
      </c>
      <c r="D629" s="27" t="s">
        <v>254</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275</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538</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539</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231</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265</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row>
    <row r="636" spans="1:12">
      <c r="A636" s="20" t="s">
        <v>540</v>
      </c>
    </row>
    <row r="637" spans="1:12">
      <c r="A637" s="20" t="s">
        <v>541</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268</v>
      </c>
      <c r="B638" s="27" t="s">
        <v>257</v>
      </c>
      <c r="C638" s="27" t="s">
        <v>269</v>
      </c>
      <c r="D638" s="27" t="s">
        <v>254</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276</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527</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533</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542</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543</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342</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544</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545</v>
      </c>
      <c r="B646" s="27" t="s">
        <v>546</v>
      </c>
      <c r="C646" s="27" t="s">
        <v>229</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256</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398</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547</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342</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92</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548</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369</v>
      </c>
      <c r="B653" s="27" t="s">
        <v>241</v>
      </c>
      <c r="C653" s="27" t="s">
        <v>229</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549</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348</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290</v>
      </c>
      <c r="B656" s="27" t="s">
        <v>252</v>
      </c>
      <c r="C656" s="27" t="s">
        <v>269</v>
      </c>
      <c r="D656" s="27" t="s">
        <v>254</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256</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489</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344</v>
      </c>
      <c r="B659" s="27" t="s">
        <v>274</v>
      </c>
      <c r="C659" s="27" t="s">
        <v>273</v>
      </c>
      <c r="D659" s="27" t="s">
        <v>254</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265</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row>
    <row r="662" spans="1:12">
      <c r="A662" s="20" t="s">
        <v>550</v>
      </c>
    </row>
    <row r="663" spans="1:12">
      <c r="A663" s="20" t="s">
        <v>457</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354</v>
      </c>
      <c r="B664" s="27" t="s">
        <v>228</v>
      </c>
      <c r="C664" s="27" t="s">
        <v>273</v>
      </c>
      <c r="D664" s="27" t="s">
        <v>254</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256</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293</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551</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552</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553</v>
      </c>
      <c r="B669" s="27" t="s">
        <v>274</v>
      </c>
      <c r="C669" s="27" t="s">
        <v>310</v>
      </c>
      <c r="D669" s="27" t="s">
        <v>254</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275</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554</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348</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555</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369</v>
      </c>
      <c r="B674" s="27" t="s">
        <v>248</v>
      </c>
      <c r="C674" s="27" t="s">
        <v>229</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348</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362</v>
      </c>
      <c r="B676" s="27" t="s">
        <v>252</v>
      </c>
      <c r="C676" s="27" t="s">
        <v>229</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265</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row>
    <row r="679" spans="1:12">
      <c r="A679" s="20" t="s">
        <v>411</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556</v>
      </c>
    </row>
    <row r="681" spans="1:12">
      <c r="A681" s="20" t="s">
        <v>267</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557</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558</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268</v>
      </c>
      <c r="B684" s="27" t="s">
        <v>257</v>
      </c>
      <c r="C684" s="27" t="s">
        <v>269</v>
      </c>
      <c r="D684" s="27" t="s">
        <v>254</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559</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262</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560</v>
      </c>
      <c r="B687" s="27" t="s">
        <v>252</v>
      </c>
      <c r="C687" s="27" t="s">
        <v>229</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561</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293</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289</v>
      </c>
      <c r="B690" s="27" t="s">
        <v>384</v>
      </c>
      <c r="C690" s="27" t="s">
        <v>310</v>
      </c>
      <c r="D690" s="27" t="s">
        <v>254</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271</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366</v>
      </c>
      <c r="B692" s="27" t="s">
        <v>422</v>
      </c>
      <c r="C692" s="27" t="s">
        <v>273</v>
      </c>
      <c r="D692" s="27" t="s">
        <v>254</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562</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353</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293</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563</v>
      </c>
      <c r="B696" s="27" t="s">
        <v>422</v>
      </c>
      <c r="C696" s="27" t="s">
        <v>310</v>
      </c>
      <c r="D696" s="27" t="s">
        <v>254</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268</v>
      </c>
      <c r="B697" s="27" t="s">
        <v>439</v>
      </c>
      <c r="C697" s="27" t="s">
        <v>269</v>
      </c>
      <c r="D697" s="27" t="s">
        <v>254</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564</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256</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565</v>
      </c>
      <c r="B700" s="27" t="s">
        <v>274</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566</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238</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231</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401</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231</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265</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row>
    <row r="708" spans="1:12">
      <c r="A708" s="20" t="s">
        <v>567</v>
      </c>
    </row>
    <row r="709" spans="1:12">
      <c r="A709" s="20" t="s">
        <v>457</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568</v>
      </c>
      <c r="B710" s="27" t="s">
        <v>228</v>
      </c>
      <c r="C710" s="27" t="s">
        <v>273</v>
      </c>
      <c r="D710" s="27" t="s">
        <v>254</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569</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332</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568</v>
      </c>
      <c r="B713" s="27" t="s">
        <v>241</v>
      </c>
      <c r="C713" s="27" t="s">
        <v>273</v>
      </c>
      <c r="D713" s="27" t="s">
        <v>254</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570</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571</v>
      </c>
      <c r="B715" s="27" t="s">
        <v>241</v>
      </c>
      <c r="C715" s="27" t="s">
        <v>229</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256</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348</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488</v>
      </c>
      <c r="B718" s="27" t="s">
        <v>252</v>
      </c>
      <c r="C718" s="27" t="s">
        <v>229</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256</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398</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258</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401</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572</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369</v>
      </c>
      <c r="B724" s="27" t="s">
        <v>274</v>
      </c>
      <c r="C724" s="27" t="s">
        <v>282</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573</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492</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293</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574</v>
      </c>
      <c r="B728" s="27" t="s">
        <v>252</v>
      </c>
      <c r="C728" s="27" t="s">
        <v>310</v>
      </c>
      <c r="D728" s="27" t="s">
        <v>254</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265</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row>
    <row r="731" spans="1:12">
      <c r="A731" s="20" t="s">
        <v>575</v>
      </c>
    </row>
    <row r="732" spans="1:12">
      <c r="A732" s="20" t="s">
        <v>504</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271</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576</v>
      </c>
      <c r="B734" s="27" t="s">
        <v>274</v>
      </c>
      <c r="C734" s="27" t="s">
        <v>273</v>
      </c>
      <c r="D734" s="27" t="s">
        <v>254</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256</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244</v>
      </c>
      <c r="B736" s="27" t="s">
        <v>241</v>
      </c>
      <c r="C736" s="27" t="s">
        <v>229</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372</v>
      </c>
      <c r="B737" s="27" t="s">
        <v>357</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577</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499</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505</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362</v>
      </c>
      <c r="B741" s="27" t="s">
        <v>384</v>
      </c>
      <c r="C741" s="27" t="s">
        <v>229</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275</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403</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578</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579</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369</v>
      </c>
      <c r="B746" s="27" t="s">
        <v>292</v>
      </c>
      <c r="C746" s="27" t="s">
        <v>229</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256</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489</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580</v>
      </c>
      <c r="B749" s="27" t="s">
        <v>234</v>
      </c>
      <c r="C749" s="27" t="s">
        <v>273</v>
      </c>
      <c r="D749" s="27" t="s">
        <v>254</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12</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581</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582</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256</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583</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584</v>
      </c>
      <c r="B755" s="27" t="s">
        <v>252</v>
      </c>
      <c r="C755" s="27" t="s">
        <v>229</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348</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293</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585</v>
      </c>
      <c r="B758" s="27" t="s">
        <v>384</v>
      </c>
      <c r="C758" s="27" t="s">
        <v>310</v>
      </c>
      <c r="D758" s="27" t="s">
        <v>254</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265</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row>
    <row r="761" spans="1:12">
      <c r="A761" s="20" t="s">
        <v>586</v>
      </c>
    </row>
    <row r="762" spans="1:12">
      <c r="A762" s="20" t="s">
        <v>457</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568</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354</v>
      </c>
      <c r="B764" s="27" t="s">
        <v>228</v>
      </c>
      <c r="C764" s="27" t="s">
        <v>273</v>
      </c>
      <c r="D764" s="27" t="s">
        <v>254</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256</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587</v>
      </c>
      <c r="B766" s="27" t="s">
        <v>241</v>
      </c>
      <c r="C766" s="27" t="s">
        <v>273</v>
      </c>
      <c r="D766" s="27" t="s">
        <v>254</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570</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332</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588</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570</v>
      </c>
      <c r="B770" s="27" t="s">
        <v>241</v>
      </c>
      <c r="C770" s="27" t="s">
        <v>273</v>
      </c>
      <c r="D770" s="27" t="s">
        <v>254</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256</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589</v>
      </c>
      <c r="B772" s="27" t="s">
        <v>241</v>
      </c>
      <c r="C772" s="27" t="s">
        <v>229</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256</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435</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590</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591</v>
      </c>
      <c r="B776" s="27" t="s">
        <v>241</v>
      </c>
      <c r="C776" s="27" t="s">
        <v>229</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256</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275</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180</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592</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271</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565</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593</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369</v>
      </c>
      <c r="B784" s="27" t="s">
        <v>228</v>
      </c>
      <c r="C784" s="27" t="s">
        <v>282</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348</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505</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244</v>
      </c>
      <c r="B787" s="27" t="s">
        <v>228</v>
      </c>
      <c r="C787" s="27" t="s">
        <v>229</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332</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251</v>
      </c>
      <c r="B789" s="27" t="s">
        <v>241</v>
      </c>
      <c r="C789" s="27" t="s">
        <v>253</v>
      </c>
      <c r="D789" s="27" t="s">
        <v>254</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371</v>
      </c>
      <c r="B790" s="27" t="s">
        <v>228</v>
      </c>
      <c r="C790" s="27" t="s">
        <v>261</v>
      </c>
      <c r="D790" s="27" t="s">
        <v>254</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265</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row>
    <row r="793" spans="1:12">
      <c r="A793" s="20" t="s">
        <v>594</v>
      </c>
    </row>
    <row r="794" spans="1:12">
      <c r="A794" s="20" t="s">
        <v>336</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408</v>
      </c>
      <c r="B795" s="27" t="s">
        <v>274</v>
      </c>
      <c r="C795" s="27" t="s">
        <v>310</v>
      </c>
      <c r="D795" s="27" t="s">
        <v>254</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258</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587</v>
      </c>
      <c r="B797" s="27" t="s">
        <v>228</v>
      </c>
      <c r="C797" s="27" t="s">
        <v>273</v>
      </c>
      <c r="D797" s="27" t="s">
        <v>254</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354</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230</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row>
    <row r="801" spans="1:12">
      <c r="A801" s="20" t="s">
        <v>595</v>
      </c>
    </row>
    <row r="802" spans="1:12">
      <c r="A802" s="20" t="s">
        <v>398</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256</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398</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275</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596</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597</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369</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370</v>
      </c>
      <c r="B809" s="27" t="s">
        <v>274</v>
      </c>
      <c r="C809" s="27" t="s">
        <v>282</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598</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348</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244</v>
      </c>
      <c r="B812" s="27" t="s">
        <v>228</v>
      </c>
      <c r="C812" s="27" t="s">
        <v>229</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265</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row>
    <row r="815" spans="1:12">
      <c r="A815" s="20" t="s">
        <v>411</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599</v>
      </c>
    </row>
    <row r="817" spans="1:12">
      <c r="A817" s="20" t="s">
        <v>504</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293</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600</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601</v>
      </c>
      <c r="B820" s="27" t="s">
        <v>241</v>
      </c>
      <c r="C820" s="27" t="s">
        <v>310</v>
      </c>
      <c r="D820" s="27" t="s">
        <v>254</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325</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602</v>
      </c>
      <c r="B822" s="27" t="s">
        <v>274</v>
      </c>
      <c r="C822" s="27" t="s">
        <v>261</v>
      </c>
      <c r="D822" s="27" t="s">
        <v>254</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250</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231</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385</v>
      </c>
      <c r="B825" s="27" t="s">
        <v>252</v>
      </c>
      <c r="C825" s="27" t="s">
        <v>273</v>
      </c>
      <c r="D825" s="27" t="s">
        <v>254</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325</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603</v>
      </c>
      <c r="B827" s="27" t="s">
        <v>241</v>
      </c>
      <c r="C827" s="27" t="s">
        <v>261</v>
      </c>
      <c r="D827" s="27" t="s">
        <v>254</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332</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604</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605</v>
      </c>
      <c r="B830" s="27" t="s">
        <v>252</v>
      </c>
      <c r="C830" s="27" t="s">
        <v>273</v>
      </c>
      <c r="D830" s="27" t="s">
        <v>254</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231</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606</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417</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244</v>
      </c>
      <c r="B834" s="27" t="s">
        <v>234</v>
      </c>
      <c r="C834" s="27" t="s">
        <v>229</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607</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92</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608</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238</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369</v>
      </c>
      <c r="B839" s="27" t="s">
        <v>241</v>
      </c>
      <c r="C839" s="27" t="s">
        <v>229</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579</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609</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417</v>
      </c>
      <c r="B842" s="27" t="s">
        <v>384</v>
      </c>
      <c r="C842" s="27" t="s">
        <v>469</v>
      </c>
      <c r="D842" s="27" t="s">
        <v>254</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262</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293</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402</v>
      </c>
      <c r="B845" s="27" t="s">
        <v>422</v>
      </c>
      <c r="C845" s="27" t="s">
        <v>310</v>
      </c>
      <c r="D845" s="27" t="s">
        <v>254</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265</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row>
    <row r="848" spans="1:12">
      <c r="A848" s="20" t="s">
        <v>411</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610</v>
      </c>
    </row>
    <row r="850" spans="1:12">
      <c r="A850" s="20" t="s">
        <v>457</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246</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611</v>
      </c>
      <c r="B852" s="27" t="s">
        <v>228</v>
      </c>
      <c r="C852" s="27" t="s">
        <v>249</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612</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250</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t="s">
        <v>613</v>
      </c>
      <c r="B855" s="27" t="s">
        <v>252</v>
      </c>
      <c r="C855" s="27" t="s">
        <v>261</v>
      </c>
      <c r="D855" s="27" t="s">
        <v>254</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262</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293</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602</v>
      </c>
      <c r="B858" s="27" t="s">
        <v>384</v>
      </c>
      <c r="C858" s="27" t="s">
        <v>273</v>
      </c>
      <c r="D858" s="27" t="s">
        <v>254</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256</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474</v>
      </c>
      <c r="B860" s="27" t="s">
        <v>274</v>
      </c>
      <c r="C860" s="27" t="s">
        <v>269</v>
      </c>
      <c r="D860" s="27" t="s">
        <v>254</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614</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615</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417</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231</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474</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258</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616</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617</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417</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402</v>
      </c>
      <c r="B870" s="27" t="s">
        <v>257</v>
      </c>
      <c r="C870" s="27" t="s">
        <v>229</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332</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244</v>
      </c>
      <c r="B872" s="27" t="s">
        <v>384</v>
      </c>
      <c r="C872" s="27" t="s">
        <v>229</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275</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578</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579</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369</v>
      </c>
      <c r="B876" s="27" t="s">
        <v>375</v>
      </c>
      <c r="C876" s="27" t="s">
        <v>229</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265</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231</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row>
    <row r="880" spans="1:12">
      <c r="A880" s="20" t="s">
        <v>411</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618</v>
      </c>
    </row>
    <row r="882" spans="1:12">
      <c r="A882" s="20" t="s">
        <v>231</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494</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398</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258</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246</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619</v>
      </c>
      <c r="B887" s="27" t="s">
        <v>274</v>
      </c>
      <c r="C887" s="27" t="s">
        <v>249</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262</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620</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621</v>
      </c>
      <c r="B890" s="27" t="s">
        <v>241</v>
      </c>
      <c r="C890" s="27" t="s">
        <v>229</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256</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435</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558</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402</v>
      </c>
      <c r="B894" s="27" t="s">
        <v>357</v>
      </c>
      <c r="C894" s="27" t="s">
        <v>229</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332</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244</v>
      </c>
      <c r="B896" s="27" t="s">
        <v>422</v>
      </c>
      <c r="C896" s="27" t="s">
        <v>229</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275</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608</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238</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369</v>
      </c>
      <c r="B900" s="27" t="s">
        <v>384</v>
      </c>
      <c r="C900" s="27" t="s">
        <v>229</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622</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256</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496</v>
      </c>
      <c r="B903" s="27" t="s">
        <v>257</v>
      </c>
      <c r="C903" s="27" t="s">
        <v>469</v>
      </c>
      <c r="D903" s="27" t="s">
        <v>254</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623</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513</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271</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624</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625</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626</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240</v>
      </c>
      <c r="B910" s="27" t="s">
        <v>252</v>
      </c>
      <c r="C910" s="27" t="s">
        <v>229</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627</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244</v>
      </c>
      <c r="B912" s="27" t="s">
        <v>252</v>
      </c>
      <c r="C912" s="27" t="s">
        <v>229</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231</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t="s">
        <v>265</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row>
    <row r="916" spans="1:12">
      <c r="A916" s="20" t="s">
        <v>628</v>
      </c>
    </row>
    <row r="917" spans="1:12">
      <c r="A917" s="20" t="s">
        <v>629</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630</v>
      </c>
      <c r="B918" s="27" t="s">
        <v>274</v>
      </c>
      <c r="C918" s="27" t="s">
        <v>282</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256</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631</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632</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t="s">
        <v>256</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633</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92</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579</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256</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332</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634</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635</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348</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244</v>
      </c>
      <c r="B931" s="27" t="s">
        <v>241</v>
      </c>
      <c r="C931" s="27" t="s">
        <v>229</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256</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636</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342</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293</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611</v>
      </c>
      <c r="B936" s="27" t="s">
        <v>241</v>
      </c>
      <c r="C936" s="27" t="s">
        <v>310</v>
      </c>
      <c r="D936" s="27" t="s">
        <v>254</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265</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row>
    <row r="939" spans="1:12">
      <c r="A939" s="20" t="s">
        <v>637</v>
      </c>
    </row>
    <row r="940" spans="1:12">
      <c r="A940" s="20" t="s">
        <v>336</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638</v>
      </c>
      <c r="B941" s="27" t="s">
        <v>274</v>
      </c>
      <c r="C941" s="27" t="s">
        <v>310</v>
      </c>
      <c r="D941" s="27" t="s">
        <v>254</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342</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t="s">
        <v>295</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244</v>
      </c>
      <c r="B944" s="27" t="s">
        <v>257</v>
      </c>
      <c r="C944" s="27" t="s">
        <v>229</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639</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496</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640</v>
      </c>
      <c r="B947" s="27" t="s">
        <v>375</v>
      </c>
      <c r="C947" s="27" t="s">
        <v>498</v>
      </c>
      <c r="D947" s="27" t="s">
        <v>254</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623</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92</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506</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271</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293</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641</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642</v>
      </c>
      <c r="B954" s="27" t="s">
        <v>228</v>
      </c>
      <c r="C954" s="27" t="s">
        <v>310</v>
      </c>
      <c r="D954" s="27" t="s">
        <v>254</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262</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397</v>
      </c>
      <c r="B956" s="27" t="s">
        <v>241</v>
      </c>
      <c r="C956" s="27" t="s">
        <v>229</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t="s">
        <v>643</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t="s">
        <v>271</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t="s">
        <v>293</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280</v>
      </c>
      <c r="B960" s="27" t="s">
        <v>384</v>
      </c>
      <c r="C960" s="27" t="s">
        <v>310</v>
      </c>
      <c r="D960" s="27" t="s">
        <v>254</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271</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366</v>
      </c>
      <c r="B962" s="27" t="s">
        <v>422</v>
      </c>
      <c r="C962" s="27" t="s">
        <v>273</v>
      </c>
      <c r="D962" s="27" t="s">
        <v>254</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t="s">
        <v>265</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row>
    <row r="965" spans="1:12">
      <c r="A965" s="20" t="s">
        <v>411</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t="s">
        <v>644</v>
      </c>
    </row>
    <row r="967" spans="1:12">
      <c r="A967" s="20" t="s">
        <v>231</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645</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646</v>
      </c>
      <c r="B969" s="27" t="s">
        <v>257</v>
      </c>
      <c r="C969" s="27" t="s">
        <v>229</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236</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647</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308</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417</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648</v>
      </c>
      <c r="B974" s="27" t="s">
        <v>357</v>
      </c>
      <c r="C974" s="27" t="s">
        <v>269</v>
      </c>
      <c r="D974" s="27" t="s">
        <v>254</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649</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256</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648</v>
      </c>
      <c r="B977" s="27" t="s">
        <v>234</v>
      </c>
      <c r="C977" s="27" t="s">
        <v>269</v>
      </c>
      <c r="D977" s="27" t="s">
        <v>254</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34</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650</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246</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651</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652</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653</v>
      </c>
      <c r="B983" s="27" t="s">
        <v>248</v>
      </c>
      <c r="C983" s="27" t="s">
        <v>249</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256</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231</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489</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344</v>
      </c>
      <c r="B987" s="27" t="s">
        <v>274</v>
      </c>
      <c r="C987" s="27" t="s">
        <v>273</v>
      </c>
      <c r="D987" s="27" t="s">
        <v>254</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265</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row>
    <row r="990" spans="1:12">
      <c r="A990" s="20" t="s">
        <v>654</v>
      </c>
    </row>
    <row r="991" spans="1:12">
      <c r="A991" s="20" t="s">
        <v>389</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t="s">
        <v>655</v>
      </c>
      <c r="E992" s="21">
        <f>IF(D992="?OLD","!!!","")</f>
        <v/>
      </c>
      <c r="F992" s="22" t="str">
        <f>IF(OR(E992="",E992="!!!"),"",IF(NOT(ISNA(VLOOKUP(E992,E$1:E991,1,FALSE()))),"OLD",IF(AND(E992&lt;&gt;"",E992&lt;&gt;"!!!"),"NEW","")))</f>
        <v> </v>
      </c>
      <c r="G992" s="23" t="str">
        <f>IF(OR(E992="",E992="!!!"),"",IF(OR(J992=0,AND(J992=1,K992=1),AND(J992=1,I992="SBJ"),AND(J992=1,I992=0)),"?IN_FOCUS",IF(J992&lt;=2,"?ACTIVATED",IF(J992&lt;&gt;"","?FAMILIAR",IF(F992="NEW",IF(ISNA(VLOOKUP(E992,#REF!,1,FALSE())),"?TYPE_IDENTIFIABLE","?REFERENTIAL"),"_")))))</f>
        <v> </v>
      </c>
      <c r="H992" s="24" t="str">
        <f>IF(J992&lt;&gt;1,"",IF(I992="SBJ","CB","?"))</f>
        <v> </v>
      </c>
      <c r="I992" s="25" t="str">
        <f>IF(OR(E992="",E992="!!!",F992="NEW"),"",INDEX(B991:B$2,-1+SUMPRODUCT(MAX(ROW(E991:E$2)*(E992=E991:E$2)))))</f>
        <v> </v>
      </c>
      <c r="J992" s="25" t="str">
        <f>IF(OR(E992="",E992="!!!",F992="NEW"),"",COUNTBLANK(OFFSET(A$1,,,SUMPRODUCT(MAX(ROW(E$2:E992)*(E992=E$2:E992)))))-COUNTBLANK(OFFSET(A$1,,,SUMPRODUCT(MAX(ROW(E$1:E991)*(E2=E$1:E991))))))</f>
        <v> </v>
      </c>
      <c r="K992" s="25" t="str">
        <f>IF(OR(E992="",E992="!!!",F992="NEW"),"",INDEX(J$1:J991,SUMPRODUCT(MAX(ROW(E$1:E991)*(E992=E$1:E991)))))</f>
        <v> </v>
      </c>
      <c r="L992" s="26"/>
    </row>
    <row r="993" spans="1:12">
      <c r="A993" s="20" t="s">
        <v>92</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656</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342</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82</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246</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t="s">
        <v>657</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280</v>
      </c>
      <c r="B999" s="27" t="s">
        <v>248</v>
      </c>
      <c r="C999" s="27" t="s">
        <v>249</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265</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2024-05-20T20:26:31Z</dcterms:created>
  <dcterms:modified xsi:type="dcterms:W3CDTF">2024-05-20T20:26:31Z</dcterms:modified>
</cp:coreProperties>
</file>