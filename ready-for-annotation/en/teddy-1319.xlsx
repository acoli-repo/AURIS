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<sst xmlns="http://schemas.openxmlformats.org/spreadsheetml/2006/main" count="13299" uniqueCount="2420">
  <si>
    <t>ID</t>
  </si>
  <si>
    <t>PRED_ID</t>
  </si>
  <si>
    <t>MARKER_AUTO</t>
  </si>
  <si>
    <t>PREDICATE</t>
  </si>
  <si>
    <t>TEXT</t>
  </si>
  <si>
    <t>SENTENCE</t>
  </si>
  <si>
    <t>MARKER</t>
  </si>
  <si>
    <t>TARGET</t>
  </si>
  <si>
    <t>RELATION</t>
  </si>
  <si>
    <t>COMMENT</t>
  </si>
  <si>
    <t>1</t>
  </si>
  <si>
    <t>_</t>
  </si>
  <si>
    <t>Chris</t>
  </si>
  <si>
    <t>Chris Anderson :</t>
  </si>
  <si>
    <t>file://conllu/en/teddy-1319.conllu#s1_0</t>
  </si>
  <si>
    <t>2</t>
  </si>
  <si>
    <t>right</t>
  </si>
  <si>
    <t>The rights of citizens , the future of the Internet .</t>
  </si>
  <si>
    <t>file://conllu/en/teddy-1319.conllu#s2_0</t>
  </si>
  <si>
    <t>3</t>
  </si>
  <si>
    <t>4</t>
  </si>
  <si>
    <t>so?</t>
  </si>
  <si>
    <t>like</t>
  </si>
  <si>
    <t>So I would like to welcome to the TED stage the man behind those revelations , Ed Snowden .</t>
  </si>
  <si>
    <t>file://conllu/en/teddy-1319.conllu#s3_0</t>
  </si>
  <si>
    <t>5</t>
  </si>
  <si>
    <t>be (be location)</t>
  </si>
  <si>
    <t>( Applause ) Ed is in a remote location somewhere in Russia controlling this bot from his laptop , so he can see what the bot can see .</t>
  </si>
  <si>
    <t>file://conllu/en/teddy-1319.conllu#s4_0</t>
  </si>
  <si>
    <t>Ed</t>
  </si>
  <si>
    <t>Ed , welcome to the TED stage .</t>
  </si>
  <si>
    <t>file://conllu/en/teddy-1319.conllu#s5_0</t>
  </si>
  <si>
    <t>6</t>
  </si>
  <si>
    <t>as?</t>
  </si>
  <si>
    <t>see</t>
  </si>
  <si>
    <t>What can you see , as a matter of fact ?</t>
  </si>
  <si>
    <t>file://conllu/en/teddy-1319.conllu#s6_0</t>
  </si>
  <si>
    <t>7</t>
  </si>
  <si>
    <t>Edward</t>
  </si>
  <si>
    <t>Edward Snowden :</t>
  </si>
  <si>
    <t>file://conllu/en/teddy-1319.conllu#s7_0</t>
  </si>
  <si>
    <t>8</t>
  </si>
  <si>
    <t>Ha , I can see everyone .</t>
  </si>
  <si>
    <t>file://conllu/en/teddy-1319.conllu#s8_0</t>
  </si>
  <si>
    <t>9</t>
  </si>
  <si>
    <t>be (be amazing)</t>
  </si>
  <si>
    <t>This is amazing .</t>
  </si>
  <si>
    <t>file://conllu/en/teddy-1319.conllu#s9_0</t>
  </si>
  <si>
    <t>10</t>
  </si>
  <si>
    <t>laughter</t>
  </si>
  <si>
    <t>( Laughter )</t>
  </si>
  <si>
    <t>file://conllu/en/teddy-1319.conllu#s10_0</t>
  </si>
  <si>
    <t>11</t>
  </si>
  <si>
    <t>ca</t>
  </si>
  <si>
    <t>CA : Ed , some questions for you .</t>
  </si>
  <si>
    <t>file://conllu/en/teddy-1319.conllu#s11_0</t>
  </si>
  <si>
    <t>12</t>
  </si>
  <si>
    <t>call</t>
  </si>
  <si>
    <t>You 've been called many things in the last few months .</t>
  </si>
  <si>
    <t>file://conllu/en/teddy-1319.conllu#s12_0</t>
  </si>
  <si>
    <t>13</t>
  </si>
  <si>
    <t>You 've been called a whistleblower , a traitor , a hero .</t>
  </si>
  <si>
    <t>file://conllu/en/teddy-1319.conllu#s13_0</t>
  </si>
  <si>
    <t>14</t>
  </si>
  <si>
    <t>with (with describe)</t>
  </si>
  <si>
    <t>What words would you describe yourself with ?</t>
  </si>
  <si>
    <t>file://conllu/en/teddy-1319.conllu#s14_0</t>
  </si>
  <si>
    <t>15</t>
  </si>
  <si>
    <t>Es</t>
  </si>
  <si>
    <t>ES : You know , everybody who is involved with this debate has been struggling over me and my personality and how to describe me .</t>
  </si>
  <si>
    <t>file://conllu/en/teddy-1319.conllu#s15_0</t>
  </si>
  <si>
    <t>16</t>
  </si>
  <si>
    <t>when?</t>
  </si>
  <si>
    <t>think (think question)</t>
  </si>
  <si>
    <t>But when I think about it , this is n't the question that we should be struggling with .</t>
  </si>
  <si>
    <t>file://conllu/en/teddy-1319.conllu#s16_0</t>
  </si>
  <si>
    <t>17</t>
  </si>
  <si>
    <t>matter</t>
  </si>
  <si>
    <t>Who I am really does n't matter at all .</t>
  </si>
  <si>
    <t>file://conllu/en/teddy-1319.conllu#s17_0</t>
  </si>
  <si>
    <t>18</t>
  </si>
  <si>
    <t>and?</t>
  </si>
  <si>
    <t>hate</t>
  </si>
  <si>
    <t>If I 'm the worst person in the world , you can hate me and move on .</t>
  </si>
  <si>
    <t>file://conllu/en/teddy-1319.conllu#s18_0</t>
  </si>
  <si>
    <t>19</t>
  </si>
  <si>
    <t>What really matters here are the issues .</t>
  </si>
  <si>
    <t>file://conllu/en/teddy-1319.conllu#s19_0</t>
  </si>
  <si>
    <t>20</t>
  </si>
  <si>
    <t>be (be kind)</t>
  </si>
  <si>
    <t>What really matters here is the kind of government we want , the kind of Internet we want , the kind of relationship between people and societies .</t>
  </si>
  <si>
    <t>file://conllu/en/teddy-1319.conllu#s20_0</t>
  </si>
  <si>
    <t>21</t>
  </si>
  <si>
    <t>be (be what)</t>
  </si>
  <si>
    <t>And that 's what I 'm hoping the debate will move towards , and we 've seen that increasing over time .</t>
  </si>
  <si>
    <t>file://conllu/en/teddy-1319.conllu#s21_0</t>
  </si>
  <si>
    <t>22</t>
  </si>
  <si>
    <t>if?</t>
  </si>
  <si>
    <t>use</t>
  </si>
  <si>
    <t>If I had to describe myself , I would n't use words like &amp;quot; hero . &amp;quot;</t>
  </si>
  <si>
    <t>file://conllu/en/teddy-1319.conllu#s22_0</t>
  </si>
  <si>
    <t>23</t>
  </si>
  <si>
    <t>use (use use)</t>
  </si>
  <si>
    <t>I would n't use &amp;quot; patriot , &amp;quot; and I would n't use &amp;quot; traitor . &amp;quot;</t>
  </si>
  <si>
    <t>file://conllu/en/teddy-1319.conllu#s23_0</t>
  </si>
  <si>
    <t>24</t>
  </si>
  <si>
    <t>say</t>
  </si>
  <si>
    <t>I 'd say I 'm an American and I 'm a citizen , just like everyone else .</t>
  </si>
  <si>
    <t>file://conllu/en/teddy-1319.conllu#s24_0</t>
  </si>
  <si>
    <t>25</t>
  </si>
  <si>
    <t>Ca</t>
  </si>
  <si>
    <t>CA :</t>
  </si>
  <si>
    <t>file://conllu/en/teddy-1319.conllu#s25_0</t>
  </si>
  <si>
    <t>26</t>
  </si>
  <si>
    <t>give</t>
  </si>
  <si>
    <t>So just to give some context for those who do n't know the whole story ( Applause ) — this time a year ago , you were stationed in Hawaii working as a consultant to the NSA .</t>
  </si>
  <si>
    <t>file://conllu/en/teddy-1319.conllu#s26_0</t>
  </si>
  <si>
    <t>27</t>
  </si>
  <si>
    <t>have</t>
  </si>
  <si>
    <t>As a sysadmin , you had access to their systems , and you began revealing certain classified documents to some handpicked journalists leading the way to June 's revelations .</t>
  </si>
  <si>
    <t>file://conllu/en/teddy-1319.conllu#s27_0</t>
  </si>
  <si>
    <t>28</t>
  </si>
  <si>
    <t>propell</t>
  </si>
  <si>
    <t>Now , what propelled you to do this ?</t>
  </si>
  <si>
    <t>file://conllu/en/teddy-1319.conllu#s28_0</t>
  </si>
  <si>
    <t>29</t>
  </si>
  <si>
    <t>ES : You know , when I was sitting in Hawaii , and the years before , when I was working in the intelligence community , I saw a lot of things that had disturbed me .</t>
  </si>
  <si>
    <t>file://conllu/en/teddy-1319.conllu#s29_0</t>
  </si>
  <si>
    <t>30</t>
  </si>
  <si>
    <t>do</t>
  </si>
  <si>
    <t>We do a lot of good things in the intelligence community , things that need to be done , and things that help everyone .</t>
  </si>
  <si>
    <t>file://conllu/en/teddy-1319.conllu#s30_0</t>
  </si>
  <si>
    <t>31</t>
  </si>
  <si>
    <t>also?</t>
  </si>
  <si>
    <t>be</t>
  </si>
  <si>
    <t>But there are also things that go too far .</t>
  </si>
  <si>
    <t>file://conllu/en/teddy-1319.conllu#s31_0</t>
  </si>
  <si>
    <t>32</t>
  </si>
  <si>
    <t>There are things that should n't be done , and decisions that were being made in secret without the public 's awareness , without the public 's consent , and without even our representatives in government having knowledge of these programs .</t>
  </si>
  <si>
    <t>file://conllu/en/teddy-1319.conllu#s32_0</t>
  </si>
  <si>
    <t>33</t>
  </si>
  <si>
    <t>think</t>
  </si>
  <si>
    <t>When I really came to struggle with these issues , I thought to myself , how can I do this in the most responsible way , that maximizes the public benefit while minimizing the risks ?</t>
  </si>
  <si>
    <t>file://conllu/en/teddy-1319.conllu#s33_0</t>
  </si>
  <si>
    <t>34</t>
  </si>
  <si>
    <t>And out of all the solutions that I could come up with , out of going to Congress , when there were no laws , there were no legal protections for a private employee , a contractor in intelligence like myself , there was a risk that I would be buried along with the information and the public would never find out .</t>
  </si>
  <si>
    <t>file://conllu/en/teddy-1319.conllu#s34_0</t>
  </si>
  <si>
    <t>35</t>
  </si>
  <si>
    <t>guarantee</t>
  </si>
  <si>
    <t>But the First Amendment of the United States Constitution guarantees us a free press for a reason , and that 's to enable an adversarial press , to challenge the government , but also to work together with the government , to have a dialogue and debate about how we can inform the public about matters of vital importance without putting our national security at risk .</t>
  </si>
  <si>
    <t>file://conllu/en/teddy-1319.conllu#s35_0</t>
  </si>
  <si>
    <t>36</t>
  </si>
  <si>
    <t>rather?</t>
  </si>
  <si>
    <t>And by working with journalists , by giving all of my information back to the American people , rather than trusting myself to make the decisions about publication , we 've had a robust debate with a deep investment by the government that I think has resulted in a benefit for everyone .</t>
  </si>
  <si>
    <t>file://conllu/en/teddy-1319.conllu#s36_0</t>
  </si>
  <si>
    <t>37</t>
  </si>
  <si>
    <t>materialize</t>
  </si>
  <si>
    <t>And the risks that have been threatened , the risks that have been played up by the government have never materialized .</t>
  </si>
  <si>
    <t>file://conllu/en/teddy-1319.conllu#s37_0</t>
  </si>
  <si>
    <t>38</t>
  </si>
  <si>
    <t>We 've never seen any evidence of even a single instance of specific harm , and because of that , I 'm comfortable with the decisions that I made .</t>
  </si>
  <si>
    <t>file://conllu/en/teddy-1319.conllu#s38_0</t>
  </si>
  <si>
    <t>39</t>
  </si>
  <si>
    <t>file://conllu/en/teddy-1319.conllu#s39_0</t>
  </si>
  <si>
    <t>40</t>
  </si>
  <si>
    <t>let</t>
  </si>
  <si>
    <t>So let me show the audience a couple of examples of what you revealed .</t>
  </si>
  <si>
    <t>file://conllu/en/teddy-1319.conllu#s40_0</t>
  </si>
  <si>
    <t>41</t>
  </si>
  <si>
    <t>be (be here)</t>
  </si>
  <si>
    <t>If we could have a slide up , and Ed , I do n't know whether you can see , the slides are here .</t>
  </si>
  <si>
    <t>file://conllu/en/teddy-1319.conllu#s41_0</t>
  </si>
  <si>
    <t>42</t>
  </si>
  <si>
    <t>be (be slide)</t>
  </si>
  <si>
    <t>This is a slide of the PRISM program , and maybe you could tell the audience what that was that was revealed .</t>
  </si>
  <si>
    <t>file://conllu/en/teddy-1319.conllu#s42_0</t>
  </si>
  <si>
    <t>43</t>
  </si>
  <si>
    <t>because?</t>
  </si>
  <si>
    <t>ES : The best way to understand PRISM , because there 's been a little bit of controversy , is to first talk about what PRISM is n't .</t>
  </si>
  <si>
    <t>file://conllu/en/teddy-1319.conllu#s43_0</t>
  </si>
  <si>
    <t>44</t>
  </si>
  <si>
    <t>be (be metadata)</t>
  </si>
  <si>
    <t>Much of the debate in the U.S. has been about metadata .</t>
  </si>
  <si>
    <t>file://conllu/en/teddy-1319.conllu#s44_0</t>
  </si>
  <si>
    <t>45</t>
  </si>
  <si>
    <t>talk (talk say)</t>
  </si>
  <si>
    <t>They 've said it 's just metadata , it 's just metadata , and they 're talking about a specific legal authority called Section 215 of the Patriot Act .</t>
  </si>
  <si>
    <t>file://conllu/en/teddy-1319.conllu#s45_0</t>
  </si>
  <si>
    <t>46</t>
  </si>
  <si>
    <t>allow</t>
  </si>
  <si>
    <t>That allows sort of a warrantless wiretapping , mass surveillance of the entire country 's phone records , things like that who you 're talking to , when you 're talking to them , where you traveled .</t>
  </si>
  <si>
    <t>file://conllu/en/teddy-1319.conllu#s46_0</t>
  </si>
  <si>
    <t>47</t>
  </si>
  <si>
    <t>be (be event)</t>
  </si>
  <si>
    <t>These are all metadata events .</t>
  </si>
  <si>
    <t>file://conllu/en/teddy-1319.conllu#s47_0</t>
  </si>
  <si>
    <t>48</t>
  </si>
  <si>
    <t>be (be content)</t>
  </si>
  <si>
    <t>PRISM is about content .</t>
  </si>
  <si>
    <t>file://conllu/en/teddy-1319.conllu#s48_0</t>
  </si>
  <si>
    <t>49</t>
  </si>
  <si>
    <t>be (be program)</t>
  </si>
  <si>
    <t>It 's a program through which the government could compel corporate America , it could deputize corporate America to do its dirty work for the NSA .</t>
  </si>
  <si>
    <t>file://conllu/en/teddy-1319.conllu#s49_0</t>
  </si>
  <si>
    <t>50</t>
  </si>
  <si>
    <t>though?</t>
  </si>
  <si>
    <t>resist</t>
  </si>
  <si>
    <t>And even though some of these companies did resist , even though some of them I believe Yahoo was one of them — challenged them in court , they all lost , because it was never tried by an open court .</t>
  </si>
  <si>
    <t>file://conllu/en/teddy-1319.conllu#s50_0</t>
  </si>
  <si>
    <t>51</t>
  </si>
  <si>
    <t>try</t>
  </si>
  <si>
    <t>They were only tried by a secret court .</t>
  </si>
  <si>
    <t>file://conllu/en/teddy-1319.conllu#s51_0</t>
  </si>
  <si>
    <t>52</t>
  </si>
  <si>
    <t>something</t>
  </si>
  <si>
    <t>And something that we 've seen , something about the PRISM program that 's very concerning to me is , there 's been a talking point in the U.S. government where they 've said 15 federal judges have reviewed these programs and found them to be lawful , but what they do n't tell you is those are secret judges in a secret court based on secret interpretations of law that 's considered 34,000 warrant requests over 33 years , and in 33 years only rejected 11 government requests .</t>
  </si>
  <si>
    <t>file://conllu/en/teddy-1319.conllu#s52_0</t>
  </si>
  <si>
    <t>53</t>
  </si>
  <si>
    <t>be (be people)</t>
  </si>
  <si>
    <t>These are n't the people that we want deciding what the role of corporate America in a free and open Internet should be .</t>
  </si>
  <si>
    <t>file://conllu/en/teddy-1319.conllu#s53_0</t>
  </si>
  <si>
    <t>54</t>
  </si>
  <si>
    <t>show</t>
  </si>
  <si>
    <t>CA : Now , this slide that we 're showing here shows the dates in which different technology companies , Internet companies , are alleged to have joined the program , and where data collection began from them .</t>
  </si>
  <si>
    <t>file://conllu/en/teddy-1319.conllu#s54_0</t>
  </si>
  <si>
    <t>55</t>
  </si>
  <si>
    <t>deny</t>
  </si>
  <si>
    <t>Now , they have denied collaborating with the NSA .</t>
  </si>
  <si>
    <t>file://conllu/en/teddy-1319.conllu#s55_0</t>
  </si>
  <si>
    <t>56</t>
  </si>
  <si>
    <t>be (be how)</t>
  </si>
  <si>
    <t>How was that data collected by the NSA ?</t>
  </si>
  <si>
    <t>file://conllu/en/teddy-1319.conllu#s56_0</t>
  </si>
  <si>
    <t>57</t>
  </si>
  <si>
    <t>ES : Right .</t>
  </si>
  <si>
    <t>file://conllu/en/teddy-1319.conllu#s57_0</t>
  </si>
  <si>
    <t>58</t>
  </si>
  <si>
    <t>refer</t>
  </si>
  <si>
    <t>So the NSA 's own slides refer to it as direct access .</t>
  </si>
  <si>
    <t>file://conllu/en/teddy-1319.conllu#s58_0</t>
  </si>
  <si>
    <t>59</t>
  </si>
  <si>
    <t>what</t>
  </si>
  <si>
    <t>What that means to an actual NSA analyst , someone like me who was working as an intelligence analyst targeting , Chinese cyber hackers , things like that , in Hawaii , is the provenance of that data is directly from their servers .</t>
  </si>
  <si>
    <t>file://conllu/en/teddy-1319.conllu#s59_0</t>
  </si>
  <si>
    <t>60</t>
  </si>
  <si>
    <t>mean</t>
  </si>
  <si>
    <t>It does n't mean that there 's a group of company representatives sitting in a smoky room with the NSA palling around and making back room deals about how they 're going to give this stuff away .</t>
  </si>
  <si>
    <t>file://conllu/en/teddy-1319.conllu#s60_0</t>
  </si>
  <si>
    <t>61</t>
  </si>
  <si>
    <t>handle</t>
  </si>
  <si>
    <t>Now each company handles it different ways .</t>
  </si>
  <si>
    <t>file://conllu/en/teddy-1319.conllu#s61_0</t>
  </si>
  <si>
    <t>62</t>
  </si>
  <si>
    <t>be (be responsible)</t>
  </si>
  <si>
    <t>Some are responsible .</t>
  </si>
  <si>
    <t>file://conllu/en/teddy-1319.conllu#s62_0</t>
  </si>
  <si>
    <t>63</t>
  </si>
  <si>
    <t>Some are somewhat less responsible .</t>
  </si>
  <si>
    <t>file://conllu/en/teddy-1319.conllu#s63_0</t>
  </si>
  <si>
    <t>64</t>
  </si>
  <si>
    <t>but?</t>
  </si>
  <si>
    <t>But the bottom line is , when we talk about how this information is given , it 's coming from the companies themselves .</t>
  </si>
  <si>
    <t>file://conllu/en/teddy-1319.conllu#s64_0</t>
  </si>
  <si>
    <t>65</t>
  </si>
  <si>
    <t>steal</t>
  </si>
  <si>
    <t>It 's not stolen from the lines .</t>
  </si>
  <si>
    <t>file://conllu/en/teddy-1319.conllu#s65_0</t>
  </si>
  <si>
    <t>66</t>
  </si>
  <si>
    <t>as well?</t>
  </si>
  <si>
    <t>But there 's an important thing to remember here : even though companies pushed back , even though companies demanded , hey , let 's do this through a warrant process , let 's do this where we actually have some sort of legal review , some sort of basis for handing over these users ' data , we saw stories in the Washington Post last year that were n't as well reported as the PRISM story that said the NSA broke in to the data center communications between Google to itself and Yahoo to itself .</t>
  </si>
  <si>
    <t>file://conllu/en/teddy-1319.conllu#s66_0</t>
  </si>
  <si>
    <t>67</t>
  </si>
  <si>
    <t>be (be satisfied)</t>
  </si>
  <si>
    <t>So even these companies that are cooperating in at least a compelled but hopefully lawful manner with the NSA , the NSA is n't satisfied with that , and because of that , we need our companies to work very hard to guarantee that they 're going to represent the interests of the user , and also advocate for the rights of the users .</t>
  </si>
  <si>
    <t>file://conllu/en/teddy-1319.conllu#s67_0</t>
  </si>
  <si>
    <t>68</t>
  </si>
  <si>
    <t>see (see think)</t>
  </si>
  <si>
    <t>And I think over the last year , we 've seen the companies that are named on the PRISM slides take great strides to do that , and I encourage them to continue .</t>
  </si>
  <si>
    <t>file://conllu/en/teddy-1319.conllu#s68_0</t>
  </si>
  <si>
    <t>69</t>
  </si>
  <si>
    <t>CA : What more should they do ?</t>
  </si>
  <si>
    <t>file://conllu/en/teddy-1319.conllu#s69_0</t>
  </si>
  <si>
    <t>70</t>
  </si>
  <si>
    <t>ES : The biggest thing that an Internet company in America can do today , right now , without consulting with lawyers , to protect the rights of users worldwide , is to enable SSL web encryption on every page you visit .</t>
  </si>
  <si>
    <t>file://conllu/en/teddy-1319.conllu#s70_0</t>
  </si>
  <si>
    <t>71</t>
  </si>
  <si>
    <t>be (be today)</t>
  </si>
  <si>
    <t>The reason this matters is today , if you go to look at a copy of &amp;quot; 1984 &amp;quot; on Amazon.com , the NSA can see a record of that , the Russian intelligence service can see a record of that , the Chinese service can see a record of that , the French service , the German service , the services of Andorra .</t>
  </si>
  <si>
    <t>file://conllu/en/teddy-1319.conllu#s71_0</t>
  </si>
  <si>
    <t>72</t>
  </si>
  <si>
    <t>They can all see it because it 's unencrypted .</t>
  </si>
  <si>
    <t>file://conllu/en/teddy-1319.conllu#s72_0</t>
  </si>
  <si>
    <t>73</t>
  </si>
  <si>
    <t>be (be Amazon.com)</t>
  </si>
  <si>
    <t>The world 's library is Amazon.com , but not only do they not support encryption by default , you can not choose to use encryption when browsing through books .</t>
  </si>
  <si>
    <t>file://conllu/en/teddy-1319.conllu#s73_0</t>
  </si>
  <si>
    <t>74</t>
  </si>
  <si>
    <t>be (be something)</t>
  </si>
  <si>
    <t>This is something that we need to change , not just for Amazon , I do n't mean to single them out , but they 're a great example .</t>
  </si>
  <si>
    <t>file://conllu/en/teddy-1319.conllu#s74_0</t>
  </si>
  <si>
    <t>75</t>
  </si>
  <si>
    <t>need</t>
  </si>
  <si>
    <t>All companies need to move to an encrypted browsing habit by default for all users who have n't taken any action or picked any special methods on their own .</t>
  </si>
  <si>
    <t>file://conllu/en/teddy-1319.conllu#s75_0</t>
  </si>
  <si>
    <t>76</t>
  </si>
  <si>
    <t>increase</t>
  </si>
  <si>
    <t>That 'll increase the privacy and the rights that people enjoy worldwide .</t>
  </si>
  <si>
    <t>file://conllu/en/teddy-1319.conllu#s76_0</t>
  </si>
  <si>
    <t>77</t>
  </si>
  <si>
    <t>CA : Ed , come with me to this part of the stage .</t>
  </si>
  <si>
    <t>file://conllu/en/teddy-1319.conllu#s77_0</t>
  </si>
  <si>
    <t>78</t>
  </si>
  <si>
    <t>show (show want)</t>
  </si>
  <si>
    <t>I want to show you the next slide here .</t>
  </si>
  <si>
    <t>file://conllu/en/teddy-1319.conllu#s78_0</t>
  </si>
  <si>
    <t>79</t>
  </si>
  <si>
    <t>Applause</t>
  </si>
  <si>
    <t>( Applause )</t>
  </si>
  <si>
    <t>file://conllu/en/teddy-1319.conllu#s79_0</t>
  </si>
  <si>
    <t>80</t>
  </si>
  <si>
    <t>This is a program called Boundless Informant .</t>
  </si>
  <si>
    <t>file://conllu/en/teddy-1319.conllu#s80_0</t>
  </si>
  <si>
    <t>81</t>
  </si>
  <si>
    <t>What is that ?</t>
  </si>
  <si>
    <t>file://conllu/en/teddy-1319.conllu#s81_0</t>
  </si>
  <si>
    <t>82</t>
  </si>
  <si>
    <t>ES : So , I 've got to give credit to the NSA for using appropriate names on this .</t>
  </si>
  <si>
    <t>file://conllu/en/teddy-1319.conllu#s82_0</t>
  </si>
  <si>
    <t>83</t>
  </si>
  <si>
    <t>be (be one)</t>
  </si>
  <si>
    <t>This is one of my favorite NSA cryptonyms .</t>
  </si>
  <si>
    <t>file://conllu/en/teddy-1319.conllu#s83_0</t>
  </si>
  <si>
    <t>84</t>
  </si>
  <si>
    <t>Boundless Informant is a program that the NSA hid from Congress .</t>
  </si>
  <si>
    <t>file://conllu/en/teddy-1319.conllu#s84_0</t>
  </si>
  <si>
    <t>85</t>
  </si>
  <si>
    <t>previously?</t>
  </si>
  <si>
    <t>ask</t>
  </si>
  <si>
    <t>The NSA was previously asked by Congress , was there any ability that they had to even give a rough ballpark estimate of the amount of American communications that were being intercepted .</t>
  </si>
  <si>
    <t>file://conllu/en/teddy-1319.conllu#s85_0</t>
  </si>
  <si>
    <t>86</t>
  </si>
  <si>
    <t>They said no .</t>
  </si>
  <si>
    <t>file://conllu/en/teddy-1319.conllu#s86_0</t>
  </si>
  <si>
    <t>87</t>
  </si>
  <si>
    <t>They said , we do n't track those stats , and we ca n't track those stats .</t>
  </si>
  <si>
    <t>file://conllu/en/teddy-1319.conllu#s87_0</t>
  </si>
  <si>
    <t>88</t>
  </si>
  <si>
    <t>tell (tell tell)</t>
  </si>
  <si>
    <t>We ca n't tell you how many communications we 're intercepting around the world , because to tell you that would be to invade your privacy .</t>
  </si>
  <si>
    <t>file://conllu/en/teddy-1319.conllu#s88_0</t>
  </si>
  <si>
    <t>89</t>
  </si>
  <si>
    <t>appreciate</t>
  </si>
  <si>
    <t>Now , I really appreciate that sentiment from them , but the reality , when you look at this slide is , not only do they have the capability , the capability already exists .</t>
  </si>
  <si>
    <t>file://conllu/en/teddy-1319.conllu#s89_0</t>
  </si>
  <si>
    <t>90</t>
  </si>
  <si>
    <t>be (be place)</t>
  </si>
  <si>
    <t>It 's already in place .</t>
  </si>
  <si>
    <t>file://conllu/en/teddy-1319.conllu#s90_0</t>
  </si>
  <si>
    <t>91</t>
  </si>
  <si>
    <t>The NSA has its own internal data format that tracks both ends of a communication , and if it says , this communication came from America , they can tell Congress how many of those communications they have today , right now .</t>
  </si>
  <si>
    <t>file://conllu/en/teddy-1319.conllu#s91_0</t>
  </si>
  <si>
    <t>92</t>
  </si>
  <si>
    <t>intercept</t>
  </si>
  <si>
    <t>And what Boundless Informant tells us is more communications are being intercepted in America about Americans than there are in Russia about Russians .</t>
  </si>
  <si>
    <t>file://conllu/en/teddy-1319.conllu#s92_0</t>
  </si>
  <si>
    <t>93</t>
  </si>
  <si>
    <t>for?</t>
  </si>
  <si>
    <t>be (be sure)</t>
  </si>
  <si>
    <t>I 'm not sure that 's what an intelligence agency should be aiming for .</t>
  </si>
  <si>
    <t>file://conllu/en/teddy-1319.conllu#s93_0</t>
  </si>
  <si>
    <t>94</t>
  </si>
  <si>
    <t>CA : Ed , there was a story broken in the Washington Post , again from your data .</t>
  </si>
  <si>
    <t>file://conllu/en/teddy-1319.conllu#s94_0</t>
  </si>
  <si>
    <t>95</t>
  </si>
  <si>
    <t>The headline says , &amp;quot; NSA broke privacy rules thousands of times per year . &amp;quot;</t>
  </si>
  <si>
    <t>file://conllu/en/teddy-1319.conllu#s95_0</t>
  </si>
  <si>
    <t>96</t>
  </si>
  <si>
    <t>tell</t>
  </si>
  <si>
    <t>Tell us about that .</t>
  </si>
  <si>
    <t>file://conllu/en/teddy-1319.conllu#s96_0</t>
  </si>
  <si>
    <t>97</t>
  </si>
  <si>
    <t>ES : We also heard in Congressional testimony last year , it was an amazing thing for someone like me who came from the NSA and who 's seen the actual internal documents , knows what 's in them , to see officials testifying under oath that there had been no abuses , that there had been no violations of the NSA 's rules , when we knew this story was coming .</t>
  </si>
  <si>
    <t>file://conllu/en/teddy-1319.conllu#s97_0</t>
  </si>
  <si>
    <t>98</t>
  </si>
  <si>
    <t>be (be interesting)</t>
  </si>
  <si>
    <t>But what 's especially interesting about this , about the fact that the NSA has violated their own rules , their own laws thousands of times in a single year , including one event by itself , one event out of those 2,776 , that affected more than 3,000 people .</t>
  </si>
  <si>
    <t>file://conllu/en/teddy-1319.conllu#s98_0</t>
  </si>
  <si>
    <t>99</t>
  </si>
  <si>
    <t>In another event , they intercepted all the calls in Washington , D.C. , by accident .</t>
  </si>
  <si>
    <t>file://conllu/en/teddy-1319.conllu#s99_0</t>
  </si>
  <si>
    <t>100</t>
  </si>
  <si>
    <t>What 's amazing about this , this report , that did n't get that much attention , is the fact that not only were there 2,776 abuses , the chairman of the Senate Intelligence Committee , Dianne Feinstein , had not seen this report until the Washington Post contacted her asking for comment on the report .</t>
  </si>
  <si>
    <t>file://conllu/en/teddy-1319.conllu#s100_0</t>
  </si>
  <si>
    <t>101</t>
  </si>
  <si>
    <t>then?</t>
  </si>
  <si>
    <t>see (see request)</t>
  </si>
  <si>
    <t>And she then requested a copy from the NSA and received it , but had never seen this before that .</t>
  </si>
  <si>
    <t>file://conllu/en/teddy-1319.conllu#s101_0</t>
  </si>
  <si>
    <t>102</t>
  </si>
  <si>
    <t>state (state say)</t>
  </si>
  <si>
    <t>What does that say about the state of oversight in American intelligence when the chairman of the Senate Intelligence Committee has no idea that the rules are being broken thousands of times every year ?</t>
  </si>
  <si>
    <t>file://conllu/en/teddy-1319.conllu#s102_0</t>
  </si>
  <si>
    <t>103</t>
  </si>
  <si>
    <t>CA : Ed , one response to this whole debate is this :</t>
  </si>
  <si>
    <t>file://conllu/en/teddy-1319.conllu#s103_0</t>
  </si>
  <si>
    <t>104</t>
  </si>
  <si>
    <t>care</t>
  </si>
  <si>
    <t>Why should we care about all this surveillance , honestly ?</t>
  </si>
  <si>
    <t>file://conllu/en/teddy-1319.conllu#s104_0</t>
  </si>
  <si>
    <t>105</t>
  </si>
  <si>
    <t>look</t>
  </si>
  <si>
    <t>I mean , look , if you 've done nothing wrong , you 've got nothing to worry about .</t>
  </si>
  <si>
    <t>file://conllu/en/teddy-1319.conllu#s105_0</t>
  </si>
  <si>
    <t>106</t>
  </si>
  <si>
    <t>be (be wrong)</t>
  </si>
  <si>
    <t>What 's wrong with that point of view ?</t>
  </si>
  <si>
    <t>file://conllu/en/teddy-1319.conllu#s106_0</t>
  </si>
  <si>
    <t>107</t>
  </si>
  <si>
    <t>ES : Well , so the first thing is , you 're giving up your rights .</t>
  </si>
  <si>
    <t>file://conllu/en/teddy-1319.conllu#s107_0</t>
  </si>
  <si>
    <t>108</t>
  </si>
  <si>
    <t>think (think know say)</t>
  </si>
  <si>
    <t>You 're saying hey , you know , I do n't think I 'm going to need them , so I 'm just going to trust that , you know , let 's get rid of them , it does n't really matter , these guys are going to do the right thing .</t>
  </si>
  <si>
    <t>file://conllu/en/teddy-1319.conllu#s108_0</t>
  </si>
  <si>
    <t>109</t>
  </si>
  <si>
    <t>know</t>
  </si>
  <si>
    <t>Your rights matter because you never know when you 're going to need them .</t>
  </si>
  <si>
    <t>file://conllu/en/teddy-1319.conllu#s109_0</t>
  </si>
  <si>
    <t>110</t>
  </si>
  <si>
    <t>be (be part)</t>
  </si>
  <si>
    <t>Beyond that , it 's a part of our cultural identity , not just in America , but in Western societies and in democratic societies around the world .</t>
  </si>
  <si>
    <t>file://conllu/en/teddy-1319.conllu#s110_0</t>
  </si>
  <si>
    <t>111</t>
  </si>
  <si>
    <t>be (be able)</t>
  </si>
  <si>
    <t>People should be able to pick up the phone and to call their family , people should be able to send a text message to their loved ones , people should be able to buy a book online , they should be able to travel by train , they should be able to buy an airline ticket without wondering about how these events are going to look to an agent of the government , possibly not even your government years in the future , how they 're going to be misinterpreted and what they 're going to think your intentions were .</t>
  </si>
  <si>
    <t>file://conllu/en/teddy-1319.conllu#s111_0</t>
  </si>
  <si>
    <t>112</t>
  </si>
  <si>
    <t>We have a right to privacy .</t>
  </si>
  <si>
    <t>file://conllu/en/teddy-1319.conllu#s112_0</t>
  </si>
  <si>
    <t>113</t>
  </si>
  <si>
    <t>recognize (recognize require)</t>
  </si>
  <si>
    <t>We require warrants to be based on probable cause or some kind of individualized suspicion because we recognize that trusting anybody , any government authority , with the entirety of human communications in secret and without oversight is simply too great a temptation to be ignored .</t>
  </si>
  <si>
    <t>file://conllu/en/teddy-1319.conllu#s113_0</t>
  </si>
  <si>
    <t>114</t>
  </si>
  <si>
    <t>file://conllu/en/teddy-1319.conllu#s114_0</t>
  </si>
  <si>
    <t>115</t>
  </si>
  <si>
    <t>be (be furious)</t>
  </si>
  <si>
    <t>Some people are furious at what you 've done .</t>
  </si>
  <si>
    <t>file://conllu/en/teddy-1319.conllu#s115_0</t>
  </si>
  <si>
    <t>116</t>
  </si>
  <si>
    <t>say (say hear)</t>
  </si>
  <si>
    <t>I heard a quote recently from Dick Cheney who said that Julian Assange was a flea bite , Edward Snowden is the lion that bit the head off the dog .</t>
  </si>
  <si>
    <t>file://conllu/en/teddy-1319.conllu#s116_0</t>
  </si>
  <si>
    <t>117</t>
  </si>
  <si>
    <t>He thinks you 've committed one of the worst acts of betrayal in American history .</t>
  </si>
  <si>
    <t>file://conllu/en/teddy-1319.conllu#s117_0</t>
  </si>
  <si>
    <t>118</t>
  </si>
  <si>
    <t>What would you say to people who think that ?</t>
  </si>
  <si>
    <t>file://conllu/en/teddy-1319.conllu#s118_0</t>
  </si>
  <si>
    <t>119</t>
  </si>
  <si>
    <t>else?</t>
  </si>
  <si>
    <t>ES : Dick Cheney 's really something else .</t>
  </si>
  <si>
    <t>file://conllu/en/teddy-1319.conllu#s119_0</t>
  </si>
  <si>
    <t>120</t>
  </si>
  <si>
    <t>( Laughter ) ( Applause )</t>
  </si>
  <si>
    <t>file://conllu/en/teddy-1319.conllu#s120_0</t>
  </si>
  <si>
    <t>121</t>
  </si>
  <si>
    <t>thank</t>
  </si>
  <si>
    <t>Thank you .</t>
  </si>
  <si>
    <t>file://conllu/en/teddy-1319.conllu#s121_0</t>
  </si>
  <si>
    <t>122</t>
  </si>
  <si>
    <t>file://conllu/en/teddy-1319.conllu#s122_0</t>
  </si>
  <si>
    <t>123</t>
  </si>
  <si>
    <t>I think it 's amazing , because at the time Julian Assange was doing some of his greatest work , Dick Cheney was saying he was going to end governments worldwide , the skies were going to ignite and the seas were going to boil off , and now he 's saying it 's a flea bite .</t>
  </si>
  <si>
    <t>file://conllu/en/teddy-1319.conllu#s123_0</t>
  </si>
  <si>
    <t>124</t>
  </si>
  <si>
    <t>be (be suspicious)</t>
  </si>
  <si>
    <t>So we should be suspicious about the same sort of overblown claims of damage to national security from these kind of officials .</t>
  </si>
  <si>
    <t>file://conllu/en/teddy-1319.conllu#s124_0</t>
  </si>
  <si>
    <t>125</t>
  </si>
  <si>
    <t>But let 's assume that these people really believe this .</t>
  </si>
  <si>
    <t>file://conllu/en/teddy-1319.conllu#s125_0</t>
  </si>
  <si>
    <t>126</t>
  </si>
  <si>
    <t>argue</t>
  </si>
  <si>
    <t>I would argue that they have kind of a narrow conception of national security .</t>
  </si>
  <si>
    <t>file://conllu/en/teddy-1319.conllu#s126_0</t>
  </si>
  <si>
    <t>127</t>
  </si>
  <si>
    <t>keep</t>
  </si>
  <si>
    <t>The prerogatives of people like Dick Cheney do not keep the nation safe .</t>
  </si>
  <si>
    <t>file://conllu/en/teddy-1319.conllu#s127_0</t>
  </si>
  <si>
    <t>128</t>
  </si>
  <si>
    <t>be (be same)</t>
  </si>
  <si>
    <t>The public interest is not always the same as the national interest .</t>
  </si>
  <si>
    <t>file://conllu/en/teddy-1319.conllu#s128_0</t>
  </si>
  <si>
    <t>129</t>
  </si>
  <si>
    <t>make</t>
  </si>
  <si>
    <t>Going to war with people who are not our enemy in places that are not a threat does n't make us safe , and that applies whether it 's in Iraq or on the Internet .</t>
  </si>
  <si>
    <t>file://conllu/en/teddy-1319.conllu#s129_0</t>
  </si>
  <si>
    <t>130</t>
  </si>
  <si>
    <t>be (be enemy)</t>
  </si>
  <si>
    <t>The Internet is not the enemy .</t>
  </si>
  <si>
    <t>file://conllu/en/teddy-1319.conllu#s130_0</t>
  </si>
  <si>
    <t>131</t>
  </si>
  <si>
    <t>Our economy is not the enemy .</t>
  </si>
  <si>
    <t>file://conllu/en/teddy-1319.conllu#s131_0</t>
  </si>
  <si>
    <t>132</t>
  </si>
  <si>
    <t>business</t>
  </si>
  <si>
    <t>American businesses , Chinese businesses , and any other company out there is a part of our society .</t>
  </si>
  <si>
    <t>file://conllu/en/teddy-1319.conllu#s132_0</t>
  </si>
  <si>
    <t>133</t>
  </si>
  <si>
    <t>It 's a part of our interconnected world .</t>
  </si>
  <si>
    <t>file://conllu/en/teddy-1319.conllu#s133_0</t>
  </si>
  <si>
    <t>134</t>
  </si>
  <si>
    <t>There are ties of fraternity that bond us together , and if we destroy these bonds by undermining the standards , the security , the manner of behavior , that nations and citizens all around the world expect us to abide by .</t>
  </si>
  <si>
    <t>file://conllu/en/teddy-1319.conllu#s134_0</t>
  </si>
  <si>
    <t>135</t>
  </si>
  <si>
    <t>file://conllu/en/teddy-1319.conllu#s135_0</t>
  </si>
  <si>
    <t>136</t>
  </si>
  <si>
    <t>allege</t>
  </si>
  <si>
    <t>But it 's alleged that you 've stolen 1.7 million documents .</t>
  </si>
  <si>
    <t>file://conllu/en/teddy-1319.conllu#s136_0</t>
  </si>
  <si>
    <t>137</t>
  </si>
  <si>
    <t>seem</t>
  </si>
  <si>
    <t>It seems only a few hundred of them have been shared with journalists so far .</t>
  </si>
  <si>
    <t>file://conllu/en/teddy-1319.conllu#s137_0</t>
  </si>
  <si>
    <t>138</t>
  </si>
  <si>
    <t>Are there more revelations to come ?</t>
  </si>
  <si>
    <t>file://conllu/en/teddy-1319.conllu#s138_0</t>
  </si>
  <si>
    <t>139</t>
  </si>
  <si>
    <t>ES : There are absolutely more revelations to come .</t>
  </si>
  <si>
    <t>file://conllu/en/teddy-1319.conllu#s139_0</t>
  </si>
  <si>
    <t>140</t>
  </si>
  <si>
    <t>I do n't think there 's any question that some of the most important reporting to be done is yet to come .</t>
  </si>
  <si>
    <t>file://conllu/en/teddy-1319.conllu#s140_0</t>
  </si>
  <si>
    <t>141</t>
  </si>
  <si>
    <t>CA : Come here , because I want to ask you about this particular revelation .</t>
  </si>
  <si>
    <t>file://conllu/en/teddy-1319.conllu#s141_0</t>
  </si>
  <si>
    <t>142</t>
  </si>
  <si>
    <t>come</t>
  </si>
  <si>
    <t>Come and take a look at this .</t>
  </si>
  <si>
    <t>file://conllu/en/teddy-1319.conllu#s142_0</t>
  </si>
  <si>
    <t>143</t>
  </si>
  <si>
    <t>be (be thing)</t>
  </si>
  <si>
    <t>I mean , this is a story which I think for a lot of the techies in this room is the single most shocking thing that they have heard in the last few months .</t>
  </si>
  <si>
    <t>file://conllu/en/teddy-1319.conllu#s143_0</t>
  </si>
  <si>
    <t>144</t>
  </si>
  <si>
    <t>It 's about a program called &amp;quot; Bullrun . &amp;quot;</t>
  </si>
  <si>
    <t>file://conllu/en/teddy-1319.conllu#s144_0</t>
  </si>
  <si>
    <t>145</t>
  </si>
  <si>
    <t>explain</t>
  </si>
  <si>
    <t>Can you explain what that is ?</t>
  </si>
  <si>
    <t>file://conllu/en/teddy-1319.conllu#s145_0</t>
  </si>
  <si>
    <t>146</t>
  </si>
  <si>
    <t>ES : So Bullrun , and this is again where we 've got to thank the NSA for their candor , this is a program named after a Civil War battle .</t>
  </si>
  <si>
    <t>file://conllu/en/teddy-1319.conllu#s146_0</t>
  </si>
  <si>
    <t>147</t>
  </si>
  <si>
    <t>The British counterpart is called Edgehill , which is a U.K. civil war battle .</t>
  </si>
  <si>
    <t>file://conllu/en/teddy-1319.conllu#s147_0</t>
  </si>
  <si>
    <t>148</t>
  </si>
  <si>
    <t>And the reason that I believe they 're named this way is because they target our own infrastructure .</t>
  </si>
  <si>
    <t>file://conllu/en/teddy-1319.conllu#s148_0</t>
  </si>
  <si>
    <t>149</t>
  </si>
  <si>
    <t>They 're programs through which the NSA intentionally misleads corporate partners .</t>
  </si>
  <si>
    <t>file://conllu/en/teddy-1319.conllu#s149_0</t>
  </si>
  <si>
    <t>150</t>
  </si>
  <si>
    <t>They tell corporate partners that these are safe standards .</t>
  </si>
  <si>
    <t>file://conllu/en/teddy-1319.conllu#s150_0</t>
  </si>
  <si>
    <t>151</t>
  </si>
  <si>
    <t>They say hey , we need to work with you to secure your systems , but in reality , they 're giving bad advice to these companies that makes them degrade the security of their services .</t>
  </si>
  <si>
    <t>file://conllu/en/teddy-1319.conllu#s151_0</t>
  </si>
  <si>
    <t>152</t>
  </si>
  <si>
    <t>build</t>
  </si>
  <si>
    <t>They 're building in backdoors that not only the NSA can exploit , but anyone else who has time and money to research and find it can then use to let themselves in to the world 's communications .</t>
  </si>
  <si>
    <t>file://conllu/en/teddy-1319.conllu#s152_0</t>
  </si>
  <si>
    <t>153</t>
  </si>
  <si>
    <t>be (be dangerous)</t>
  </si>
  <si>
    <t>And this is really dangerous , because if we lose a single standard , if we lose the trust of something like SSL , which was specifically targeted by the Bullrun program , we will live a less safe world overall .</t>
  </si>
  <si>
    <t>file://conllu/en/teddy-1319.conllu#s153_0</t>
  </si>
  <si>
    <t>154</t>
  </si>
  <si>
    <t>We wo n't be able to access our banks and we wo n't be able to access commerce without worrying about people monitoring those communications or subverting them for their own ends .</t>
  </si>
  <si>
    <t>file://conllu/en/teddy-1319.conllu#s154_0</t>
  </si>
  <si>
    <t>155</t>
  </si>
  <si>
    <t>file://conllu/en/teddy-1319.conllu#s155_0</t>
  </si>
  <si>
    <t>156</t>
  </si>
  <si>
    <t>open</t>
  </si>
  <si>
    <t>And do those same decisions also potentially open America up to cyberattacks from other sources ?</t>
  </si>
  <si>
    <t>file://conllu/en/teddy-1319.conllu#s156_0</t>
  </si>
  <si>
    <t>157</t>
  </si>
  <si>
    <t>Es (Es absolutely)</t>
  </si>
  <si>
    <t>ES : Absolutely .</t>
  </si>
  <si>
    <t>file://conllu/en/teddy-1319.conllu#s157_0</t>
  </si>
  <si>
    <t>158</t>
  </si>
  <si>
    <t>One of the problems , one of the dangerous legacies that we 've seen in the post-9/11 era , is that the NSA has traditionally worn two hats .</t>
  </si>
  <si>
    <t>file://conllu/en/teddy-1319.conllu#s158_0</t>
  </si>
  <si>
    <t>159</t>
  </si>
  <si>
    <t>be (be charge charge)</t>
  </si>
  <si>
    <t>They 've been in charge of offensive operations , that is hacking , but they 've also been in charge of defensive operations , and traditionally they 've always prioritized defense over offense based on the principle that American secrets are simply worth more .</t>
  </si>
  <si>
    <t>file://conllu/en/teddy-1319.conllu#s159_0</t>
  </si>
  <si>
    <t>160</t>
  </si>
  <si>
    <t>hack</t>
  </si>
  <si>
    <t>If we hack a Chinese business and steal their secrets , if we hack a government office in Berlin that has less value to the American people than making sure that the Chinese ca n't get access to our secrets .</t>
  </si>
  <si>
    <t>file://conllu/en/teddy-1319.conllu#s160_0</t>
  </si>
  <si>
    <t>161</t>
  </si>
  <si>
    <t>put</t>
  </si>
  <si>
    <t>So by reducing the security of our communications , they 're not only putting the world at risk , they 're putting America at risk in a fundamental way , because intellectual property is the basis , the foundation of our economy , and if we put that at risk through weak security , we 're going to be paying for it for years .</t>
  </si>
  <si>
    <t>file://conllu/en/teddy-1319.conllu#s161_0</t>
  </si>
  <si>
    <t>162</t>
  </si>
  <si>
    <t>CA : But they 've made a calculation that it was worth doing this as part of America 's defense against terrorism .</t>
  </si>
  <si>
    <t>file://conllu/en/teddy-1319.conllu#s162_0</t>
  </si>
  <si>
    <t>163</t>
  </si>
  <si>
    <t>Surely that makes it a price worth paying .</t>
  </si>
  <si>
    <t>file://conllu/en/teddy-1319.conllu#s163_0</t>
  </si>
  <si>
    <t>164</t>
  </si>
  <si>
    <t>ES : Well , when you look at the results of these programs in stopping terrorism , you will see that that 's unfounded , and you do n't have to take my word for it , because we 've had the first open court , the first federal court that 's reviewed this , outside the secrecy arrangement , called these programs Orwellian and likely unconstitutional .</t>
  </si>
  <si>
    <t>file://conllu/en/teddy-1319.conllu#s164_0</t>
  </si>
  <si>
    <t>165</t>
  </si>
  <si>
    <t>Congress , who has access to be briefed on these things , and now has the desire to be , has produced bills to reform it , and two independent White House panels who reviewed all of the classified evidence said these programs have never stopped a single terrorist attack that was imminent in the United States .</t>
  </si>
  <si>
    <t>file://conllu/en/teddy-1319.conllu#s165_0</t>
  </si>
  <si>
    <t>166</t>
  </si>
  <si>
    <t>be (be terrorism)</t>
  </si>
  <si>
    <t>So is it really terrorism that we 're stopping ?</t>
  </si>
  <si>
    <t>file://conllu/en/teddy-1319.conllu#s166_0</t>
  </si>
  <si>
    <t>167</t>
  </si>
  <si>
    <t>Do these programs have any value at all ?</t>
  </si>
  <si>
    <t>file://conllu/en/teddy-1319.conllu#s167_0</t>
  </si>
  <si>
    <t>168</t>
  </si>
  <si>
    <t>say (say say)</t>
  </si>
  <si>
    <t>I say no , and all three branches of the American government say no as well .</t>
  </si>
  <si>
    <t>file://conllu/en/teddy-1319.conllu#s168_0</t>
  </si>
  <si>
    <t>169</t>
  </si>
  <si>
    <t>CA : I mean , do you think there 's a deeper motivation for them than the war against terrorism ?</t>
  </si>
  <si>
    <t>file://conllu/en/teddy-1319.conllu#s169_0</t>
  </si>
  <si>
    <t>170</t>
  </si>
  <si>
    <t>be (be sorry)</t>
  </si>
  <si>
    <t>ES : I 'm sorry , I could n't hear you , say again ?</t>
  </si>
  <si>
    <t>file://conllu/en/teddy-1319.conllu#s170_0</t>
  </si>
  <si>
    <t>171</t>
  </si>
  <si>
    <t>CA : Sorry .</t>
  </si>
  <si>
    <t>file://conllu/en/teddy-1319.conllu#s171_0</t>
  </si>
  <si>
    <t>172</t>
  </si>
  <si>
    <t>Do you think there 's a deeper motivation for them other than the war against terrorism ?</t>
  </si>
  <si>
    <t>file://conllu/en/teddy-1319.conllu#s172_0</t>
  </si>
  <si>
    <t>173</t>
  </si>
  <si>
    <t>ES : Yeah .</t>
  </si>
  <si>
    <t>file://conllu/en/teddy-1319.conllu#s173_0</t>
  </si>
  <si>
    <t>174</t>
  </si>
  <si>
    <t>The bottom line is that terrorism has always been what we in the intelligence world would call a cover for action .</t>
  </si>
  <si>
    <t>file://conllu/en/teddy-1319.conllu#s174_0</t>
  </si>
  <si>
    <t>175</t>
  </si>
  <si>
    <t>Terrorism is something that provokes an emotional response that allows people to rationalize authorizing powers and programs that they would n't give otherwise .</t>
  </si>
  <si>
    <t>file://conllu/en/teddy-1319.conllu#s175_0</t>
  </si>
  <si>
    <t>176</t>
  </si>
  <si>
    <t>The Bullrun and Edgehill type programs , the NSA asked for these authorities back in the 1990s .</t>
  </si>
  <si>
    <t>file://conllu/en/teddy-1319.conllu#s176_0</t>
  </si>
  <si>
    <t>177</t>
  </si>
  <si>
    <t>They asked the FBI to go to Congress and make the case .</t>
  </si>
  <si>
    <t>file://conllu/en/teddy-1319.conllu#s177_0</t>
  </si>
  <si>
    <t>178</t>
  </si>
  <si>
    <t>go</t>
  </si>
  <si>
    <t>The FBI went to Congress and did make the case .</t>
  </si>
  <si>
    <t>file://conllu/en/teddy-1319.conllu#s178_0</t>
  </si>
  <si>
    <t>179</t>
  </si>
  <si>
    <t>But Congress and the American people said no .</t>
  </si>
  <si>
    <t>file://conllu/en/teddy-1319.conllu#s179_0</t>
  </si>
  <si>
    <t>180</t>
  </si>
  <si>
    <t>They said , it 's not worth the risk to our economy .</t>
  </si>
  <si>
    <t>file://conllu/en/teddy-1319.conllu#s180_0</t>
  </si>
  <si>
    <t>181</t>
  </si>
  <si>
    <t>They said it 's worth too much damage to our society to justify the gains .</t>
  </si>
  <si>
    <t>file://conllu/en/teddy-1319.conllu#s181_0</t>
  </si>
  <si>
    <t>182</t>
  </si>
  <si>
    <t>But what we saw is , in the post-9/11 era , they used secrecy and they used the justification of terrorism to start these programs in secret without asking Congress , without asking the American people , and it 's that kind of government behind closed doors that we need to guard ourselves against , because it makes us less safe , and it offers no value .</t>
  </si>
  <si>
    <t>file://conllu/en/teddy-1319.conllu#s182_0</t>
  </si>
  <si>
    <t>183</t>
  </si>
  <si>
    <t>CA : Okay , come with me here for a sec , because I 've got a more personal question for you .</t>
  </si>
  <si>
    <t>file://conllu/en/teddy-1319.conllu#s183_0</t>
  </si>
  <si>
    <t>184</t>
  </si>
  <si>
    <t>find</t>
  </si>
  <si>
    <t>Speaking of terror , most people would find the situation you 're in right now in Russia pretty terrifying .</t>
  </si>
  <si>
    <t>file://conllu/en/teddy-1319.conllu#s184_0</t>
  </si>
  <si>
    <t>185</t>
  </si>
  <si>
    <t>hear</t>
  </si>
  <si>
    <t>You obviously heard what happened , what the treatment that Bradley Manning got , Chelsea Manning as now is , and there was a story in Buzzfeed saying that there are people in the intelligence community who want you dead .</t>
  </si>
  <si>
    <t>file://conllu/en/teddy-1319.conllu#s185_0</t>
  </si>
  <si>
    <t>186</t>
  </si>
  <si>
    <t>cop</t>
  </si>
  <si>
    <t>How are you coping with this ?</t>
  </si>
  <si>
    <t>file://conllu/en/teddy-1319.conllu#s186_0</t>
  </si>
  <si>
    <t>187</t>
  </si>
  <si>
    <t>How are you coping with the fear ?</t>
  </si>
  <si>
    <t>file://conllu/en/teddy-1319.conllu#s187_0</t>
  </si>
  <si>
    <t>188</t>
  </si>
  <si>
    <t>be (be mystery)</t>
  </si>
  <si>
    <t>ES : It 's no mystery that there are governments out there that want to see me dead .</t>
  </si>
  <si>
    <t>file://conllu/en/teddy-1319.conllu#s188_0</t>
  </si>
  <si>
    <t>189</t>
  </si>
  <si>
    <t>I 've made clear again and again and again that I go to sleep every morning thinking about what I can do for the American people .</t>
  </si>
  <si>
    <t>file://conllu/en/teddy-1319.conllu#s189_0</t>
  </si>
  <si>
    <t>190</t>
  </si>
  <si>
    <t>want</t>
  </si>
  <si>
    <t>I do n't want to harm my government .</t>
  </si>
  <si>
    <t>file://conllu/en/teddy-1319.conllu#s190_0</t>
  </si>
  <si>
    <t>191</t>
  </si>
  <si>
    <t>help (help want)</t>
  </si>
  <si>
    <t>I want to help my government , but the fact that they are willing to completely ignore due process , they 're willing to declare guilt without ever seeing a trial , these are things that we need to work against as a society , and say hey , this is not appropriate .</t>
  </si>
  <si>
    <t>file://conllu/en/teddy-1319.conllu#s191_0</t>
  </si>
  <si>
    <t>192</t>
  </si>
  <si>
    <t>threaten</t>
  </si>
  <si>
    <t>We should n't be threatening dissidents .</t>
  </si>
  <si>
    <t>file://conllu/en/teddy-1319.conllu#s192_0</t>
  </si>
  <si>
    <t>193</t>
  </si>
  <si>
    <t>criminalize</t>
  </si>
  <si>
    <t>We should n't be criminalizing journalism .</t>
  </si>
  <si>
    <t>file://conllu/en/teddy-1319.conllu#s193_0</t>
  </si>
  <si>
    <t>194</t>
  </si>
  <si>
    <t>be (be happy)</t>
  </si>
  <si>
    <t>And whatever part I can do to see that end , I 'm happy to do despite the risks .</t>
  </si>
  <si>
    <t>file://conllu/en/teddy-1319.conllu#s194_0</t>
  </si>
  <si>
    <t>195</t>
  </si>
  <si>
    <t>can</t>
  </si>
  <si>
    <t>CA : So I 'd actually like to get some feedback from the audience here , because I know there 's widely differing reactions to Edward Snowden .</t>
  </si>
  <si>
    <t>file://conllu/en/teddy-1319.conllu#s195_0</t>
  </si>
  <si>
    <t>196</t>
  </si>
  <si>
    <t>suppose</t>
  </si>
  <si>
    <t>Suppose you had the following two choices , right ?</t>
  </si>
  <si>
    <t>file://conllu/en/teddy-1319.conllu#s196_0</t>
  </si>
  <si>
    <t>197</t>
  </si>
  <si>
    <t>view</t>
  </si>
  <si>
    <t>You could view what he did as fundamentally a reckless act that has endangered America or you could view it as fundamentally a heroic act that will work towards America and the world 's long term good ?</t>
  </si>
  <si>
    <t>file://conllu/en/teddy-1319.conllu#s197_0</t>
  </si>
  <si>
    <t>198</t>
  </si>
  <si>
    <t>be (be choice)</t>
  </si>
  <si>
    <t>Those are the two choices I 'll give you .</t>
  </si>
  <si>
    <t>file://conllu/en/teddy-1319.conllu#s198_0</t>
  </si>
  <si>
    <t>199</t>
  </si>
  <si>
    <t>be (be curious)</t>
  </si>
  <si>
    <t>I 'm curious to see who 's willing to vote with the first of those , that this was a reckless act ?</t>
  </si>
  <si>
    <t>file://conllu/en/teddy-1319.conllu#s199_0</t>
  </si>
  <si>
    <t>200</t>
  </si>
  <si>
    <t>There are some hands going up .</t>
  </si>
  <si>
    <t>file://conllu/en/teddy-1319.conllu#s200_0</t>
  </si>
  <si>
    <t>201</t>
  </si>
  <si>
    <t>Some hands going up .</t>
  </si>
  <si>
    <t>file://conllu/en/teddy-1319.conllu#s201_0</t>
  </si>
  <si>
    <t>202</t>
  </si>
  <si>
    <t>be (be hard)</t>
  </si>
  <si>
    <t>It 's hard to put your hand up when the man is standing right here , but I see them .</t>
  </si>
  <si>
    <t>file://conllu/en/teddy-1319.conllu#s202_0</t>
  </si>
  <si>
    <t>203</t>
  </si>
  <si>
    <t>ES : I can see you .</t>
  </si>
  <si>
    <t>file://conllu/en/teddy-1319.conllu#s203_0</t>
  </si>
  <si>
    <t>204</t>
  </si>
  <si>
    <t>file://conllu/en/teddy-1319.conllu#s204_0</t>
  </si>
  <si>
    <t>205</t>
  </si>
  <si>
    <t>CA : And who goes with the second choice , the fundamentally heroic act ?</t>
  </si>
  <si>
    <t>file://conllu/en/teddy-1319.conllu#s205_0</t>
  </si>
  <si>
    <t>206</t>
  </si>
  <si>
    <t>( Applause ) ( Cheers )</t>
  </si>
  <si>
    <t>file://conllu/en/teddy-1319.conllu#s206_0</t>
  </si>
  <si>
    <t>207</t>
  </si>
  <si>
    <t>And I think it 's true to say that there are a lot of people who did n't show a hand and I think are still thinking this through , because it seems to me that the debate around you does n't split along traditional political lines .</t>
  </si>
  <si>
    <t>file://conllu/en/teddy-1319.conllu#s207_0</t>
  </si>
  <si>
    <t>208</t>
  </si>
  <si>
    <t>or?</t>
  </si>
  <si>
    <t>leave</t>
  </si>
  <si>
    <t>It 's not left or right , it 's not really about pro-government , libertarian , or not just that .</t>
  </si>
  <si>
    <t>file://conllu/en/teddy-1319.conllu#s208_0</t>
  </si>
  <si>
    <t>209</t>
  </si>
  <si>
    <t>be (be issue)</t>
  </si>
  <si>
    <t>Part of it is almost a generational issue .</t>
  </si>
  <si>
    <t>file://conllu/en/teddy-1319.conllu#s209_0</t>
  </si>
  <si>
    <t>210</t>
  </si>
  <si>
    <t>You 're part of a generation that grew up with the Internet , and it seems as if you become offended at almost a visceral level when you see something done that you think will harm the Internet .</t>
  </si>
  <si>
    <t>file://conllu/en/teddy-1319.conllu#s210_0</t>
  </si>
  <si>
    <t>211</t>
  </si>
  <si>
    <t>Is there some truth to that ?</t>
  </si>
  <si>
    <t>file://conllu/en/teddy-1319.conllu#s211_0</t>
  </si>
  <si>
    <t>212</t>
  </si>
  <si>
    <t>ES : It is .</t>
  </si>
  <si>
    <t>file://conllu/en/teddy-1319.conllu#s212_0</t>
  </si>
  <si>
    <t>213</t>
  </si>
  <si>
    <t>I think it 's very true .</t>
  </si>
  <si>
    <t>file://conllu/en/teddy-1319.conllu#s213_0</t>
  </si>
  <si>
    <t>214</t>
  </si>
  <si>
    <t>This is not a left or right issue .</t>
  </si>
  <si>
    <t>file://conllu/en/teddy-1319.conllu#s214_0</t>
  </si>
  <si>
    <t>215</t>
  </si>
  <si>
    <t>Our basic freedoms , and when I say our , I do n't just mean Americans , I mean people around the world , it 's not a partisan issue .</t>
  </si>
  <si>
    <t>file://conllu/en/teddy-1319.conllu#s215_0</t>
  </si>
  <si>
    <t>216</t>
  </si>
  <si>
    <t>These are things that all people believe , and it 's up to all of us to protect them , and to people who have seen and enjoyed a free and open Internet , it 's up to us to preserve that liberty for the next generation to enjoy , and if we do n't change things , if we do n't stand up to make the changes we need to do to keep the Internet safe , not just for us but for everyone , we 're going to lose that , and that would be a tremendous loss , not just for us , but for the world .</t>
  </si>
  <si>
    <t>file://conllu/en/teddy-1319.conllu#s216_0</t>
  </si>
  <si>
    <t>217</t>
  </si>
  <si>
    <t>CA : Well , I have heard similar language recently from the founder of the world wide web , who I actually think is with us , Sir Tim Berners Lee .</t>
  </si>
  <si>
    <t>file://conllu/en/teddy-1319.conllu#s217_0</t>
  </si>
  <si>
    <t>218</t>
  </si>
  <si>
    <t>Tim , actually , would you like to come up and say , do we have a microphone for Tim ?</t>
  </si>
  <si>
    <t>file://conllu/en/teddy-1319.conllu#s218_0</t>
  </si>
  <si>
    <t>219</t>
  </si>
  <si>
    <t>good</t>
  </si>
  <si>
    <t>Tim , good to see you .</t>
  </si>
  <si>
    <t>file://conllu/en/teddy-1319.conllu#s219_0</t>
  </si>
  <si>
    <t>220</t>
  </si>
  <si>
    <t>Come up there .</t>
  </si>
  <si>
    <t>file://conllu/en/teddy-1319.conllu#s220_0</t>
  </si>
  <si>
    <t>221</t>
  </si>
  <si>
    <t>way</t>
  </si>
  <si>
    <t>Which camp are you in , by the way , traitor , hero ?</t>
  </si>
  <si>
    <t>file://conllu/en/teddy-1319.conllu#s221_0</t>
  </si>
  <si>
    <t>222</t>
  </si>
  <si>
    <t>I have a theory on this , but Tim Berners Lee :</t>
  </si>
  <si>
    <t>file://conllu/en/teddy-1319.conllu#s222_0</t>
  </si>
  <si>
    <t>223</t>
  </si>
  <si>
    <t>I 've given much longer answers to that question , but hero , if I have to make the choice between the two .</t>
  </si>
  <si>
    <t>file://conllu/en/teddy-1319.conllu#s223_0</t>
  </si>
  <si>
    <t>224</t>
  </si>
  <si>
    <t>CA : And Ed , I think you 've read the proposal that Sir Tim has talked about about a new Magna Carta to take back the Internet .</t>
  </si>
  <si>
    <t>file://conllu/en/teddy-1319.conllu#s224_0</t>
  </si>
  <si>
    <t>225</t>
  </si>
  <si>
    <t>Is that something that makes sense ?</t>
  </si>
  <si>
    <t>file://conllu/en/teddy-1319.conllu#s225_0</t>
  </si>
  <si>
    <t>226</t>
  </si>
  <si>
    <t>file://conllu/en/teddy-1319.conllu#s226_0</t>
  </si>
  <si>
    <t>227</t>
  </si>
  <si>
    <t>although?</t>
  </si>
  <si>
    <t>I mean , my generation , I grew up not just thinking about the Internet , but I grew up in the Internet , and although I never expected to have the chance to defend it in such a direct and practical manner and to embody it in this unusual , almost avatar manner , I think there 's something poetic about the fact that one of the sons of the Internet has actually become close to the Internet as a result of their political expression .</t>
  </si>
  <si>
    <t>file://conllu/en/teddy-1319.conllu#s227_0</t>
  </si>
  <si>
    <t>228</t>
  </si>
  <si>
    <t>believe</t>
  </si>
  <si>
    <t>And I believe that a Magna Carta for the Internet is exactly what we need .</t>
  </si>
  <si>
    <t>file://conllu/en/teddy-1319.conllu#s228_0</t>
  </si>
  <si>
    <t>229</t>
  </si>
  <si>
    <t>We need to encode our values not just in writing but in the structure of the Internet , and it 's something that I hope , I invite everyone in the audience , not just here in Vancouver but around the world , to join and participate in .</t>
  </si>
  <si>
    <t>file://conllu/en/teddy-1319.conllu#s229_0</t>
  </si>
  <si>
    <t>230</t>
  </si>
  <si>
    <t>CA : Do you have a question for Ed ?</t>
  </si>
  <si>
    <t>file://conllu/en/teddy-1319.conllu#s230_0</t>
  </si>
  <si>
    <t>231</t>
  </si>
  <si>
    <t>Tbl</t>
  </si>
  <si>
    <t>TBL : Well , two questions , a general question — CA : Ed , can you still hear us ?</t>
  </si>
  <si>
    <t>file://conllu/en/teddy-1319.conllu#s231_0</t>
  </si>
  <si>
    <t>232</t>
  </si>
  <si>
    <t>ES : Yes , I can hear you .</t>
  </si>
  <si>
    <t>file://conllu/en/teddy-1319.conllu#s232_0</t>
  </si>
  <si>
    <t>233</t>
  </si>
  <si>
    <t>CA : Oh , he 's back .</t>
  </si>
  <si>
    <t>file://conllu/en/teddy-1319.conllu#s233_0</t>
  </si>
  <si>
    <t>234</t>
  </si>
  <si>
    <t>TBL : The wiretap on your line got a little interfered with for a moment .</t>
  </si>
  <si>
    <t>file://conllu/en/teddy-1319.conllu#s234_0</t>
  </si>
  <si>
    <t>235</t>
  </si>
  <si>
    <t>be (be bit)</t>
  </si>
  <si>
    <t>ES : It 's a little bit of an NSA problem .</t>
  </si>
  <si>
    <t>file://conllu/en/teddy-1319.conllu#s235_0</t>
  </si>
  <si>
    <t>236</t>
  </si>
  <si>
    <t>TBL : So , from the 25 years , stepping back and thinking , what would you think would be the best that we could achieve from all the discussions that we have about the web we want ?</t>
  </si>
  <si>
    <t>file://conllu/en/teddy-1319.conllu#s236_0</t>
  </si>
  <si>
    <t>237</t>
  </si>
  <si>
    <t>ES : When we think about in terms of how far we can go , I think that 's a question that 's really only limited by what we 're willing to put into it .</t>
  </si>
  <si>
    <t>file://conllu/en/teddy-1319.conllu#s237_0</t>
  </si>
  <si>
    <t>238</t>
  </si>
  <si>
    <t>I think the Internet that we 've enjoyed in the past has been exactly what we as not just a nation but as a people around the world need , and by cooperating , by engaging not just the technical parts of society , but as you said , the users , the people around the world who contribute through the Internet , through social media , who just check the weather , who rely on it every day as a part of their life , to champion that .</t>
  </si>
  <si>
    <t>file://conllu/en/teddy-1319.conllu#s238_0</t>
  </si>
  <si>
    <t>239</t>
  </si>
  <si>
    <t>get</t>
  </si>
  <si>
    <t>We 'll get not just the Internet we 've had , but a better Internet , a better now , something that we can use to build a future that 'll be better not just than what we hoped for but anything that we could have imagined .</t>
  </si>
  <si>
    <t>file://conllu/en/teddy-1319.conllu#s239_0</t>
  </si>
  <si>
    <t>240</t>
  </si>
  <si>
    <t>file://conllu/en/teddy-1319.conllu#s240_0</t>
  </si>
  <si>
    <t>241</t>
  </si>
  <si>
    <t>be (be ago)</t>
  </si>
  <si>
    <t>It 's 30 years ago that TED was founded , 1984 .</t>
  </si>
  <si>
    <t>file://conllu/en/teddy-1319.conllu#s241_0</t>
  </si>
  <si>
    <t>242</t>
  </si>
  <si>
    <t>since?</t>
  </si>
  <si>
    <t>be (be line)</t>
  </si>
  <si>
    <t>A lot of the conversation since then has been along the lines that actually George Orwell got it wrong .</t>
  </si>
  <si>
    <t>file://conllu/en/teddy-1319.conllu#s242_0</t>
  </si>
  <si>
    <t>243</t>
  </si>
  <si>
    <t>be (be brother)</t>
  </si>
  <si>
    <t>It 's not Big Brother watching us .</t>
  </si>
  <si>
    <t>file://conllu/en/teddy-1319.conllu#s243_0</t>
  </si>
  <si>
    <t>244</t>
  </si>
  <si>
    <t>watch</t>
  </si>
  <si>
    <t>We , through the power of the web , and transparency , are now watching Big Brother .</t>
  </si>
  <si>
    <t>file://conllu/en/teddy-1319.conllu#s244_0</t>
  </si>
  <si>
    <t>245</t>
  </si>
  <si>
    <t>still?</t>
  </si>
  <si>
    <t>drive</t>
  </si>
  <si>
    <t>Your revelations kind of drove a stake through the heart of that rather optimistic view , but you still believe there 's a way of doing something about that .</t>
  </si>
  <si>
    <t>file://conllu/en/teddy-1319.conllu#s245_0</t>
  </si>
  <si>
    <t>246</t>
  </si>
  <si>
    <t>And you do too .</t>
  </si>
  <si>
    <t>file://conllu/en/teddy-1319.conllu#s246_0</t>
  </si>
  <si>
    <t>247</t>
  </si>
  <si>
    <t>ES : Right , so there is an argument to be made that the powers of Big Brother have increased enormously .</t>
  </si>
  <si>
    <t>file://conllu/en/teddy-1319.conllu#s247_0</t>
  </si>
  <si>
    <t>248</t>
  </si>
  <si>
    <t>There was a recent legal article at Yale that established something called the Bankston Soltani Principle , which is that our expectation of privacy is violated when the capabilities of government surveillance have become cheaper by an order of magnitude , and each time that occurs , we need to revisit and rebalance our privacy rights .</t>
  </si>
  <si>
    <t>file://conllu/en/teddy-1319.conllu#s248_0</t>
  </si>
  <si>
    <t>249</t>
  </si>
  <si>
    <t>happen</t>
  </si>
  <si>
    <t>Now , that has n't happened since the government 's surveillance powers have increased by several orders of magnitude , and that 's why we 're in the problem that we 're in today , but there is still hope , because the power of individuals have also been increased by technology .</t>
  </si>
  <si>
    <t>file://conllu/en/teddy-1319.conllu#s249_0</t>
  </si>
  <si>
    <t>250</t>
  </si>
  <si>
    <t>live</t>
  </si>
  <si>
    <t>I am living proof that an individual can go head to head against the most powerful adversaries and the most powerful intelligence agencies around the world and win , and I think that 's something that we need to take hope from , and we need to build on to make it accessible not just to technical experts but to ordinary citizens around the world .</t>
  </si>
  <si>
    <t>file://conllu/en/teddy-1319.conllu#s250_0</t>
  </si>
  <si>
    <t>251</t>
  </si>
  <si>
    <t>be (be crime)</t>
  </si>
  <si>
    <t>Journalism is not a crime , communication is not a crime , and we should not be monitored in our every day activities .</t>
  </si>
  <si>
    <t>file://conllu/en/teddy-1319.conllu#s251_0</t>
  </si>
  <si>
    <t>252</t>
  </si>
  <si>
    <t>CA : I 'm not quite sure how you shake the hand of a bot , but I imagine it 's , this is the hand right here .</t>
  </si>
  <si>
    <t>file://conllu/en/teddy-1319.conllu#s252_0</t>
  </si>
  <si>
    <t>253</t>
  </si>
  <si>
    <t>TBL : That 'll come very soon .</t>
  </si>
  <si>
    <t>file://conllu/en/teddy-1319.conllu#s253_0</t>
  </si>
  <si>
    <t>254</t>
  </si>
  <si>
    <t>ES : Nice to meet you , and I hope my beam looks as nice as my view of you guys does .</t>
  </si>
  <si>
    <t>file://conllu/en/teddy-1319.conllu#s254_0</t>
  </si>
  <si>
    <t>255</t>
  </si>
  <si>
    <t>CA : Thank you ,</t>
  </si>
  <si>
    <t>file://conllu/en/teddy-1319.conllu#s255_0</t>
  </si>
  <si>
    <t>256</t>
  </si>
  <si>
    <t>Tim</t>
  </si>
  <si>
    <t>Tim .</t>
  </si>
  <si>
    <t>file://conllu/en/teddy-1319.conllu#s256_0</t>
  </si>
  <si>
    <t>257</t>
  </si>
  <si>
    <t>I mean , The New York Times recently called for an amnesty for you .</t>
  </si>
  <si>
    <t>file://conllu/en/teddy-1319.conllu#s257_0</t>
  </si>
  <si>
    <t>258</t>
  </si>
  <si>
    <t>welcome</t>
  </si>
  <si>
    <t>Would you welcome the chance to come back to America ?</t>
  </si>
  <si>
    <t>file://conllu/en/teddy-1319.conllu#s258_0</t>
  </si>
  <si>
    <t>259</t>
  </si>
  <si>
    <t>file://conllu/en/teddy-1319.conllu#s259_0</t>
  </si>
  <si>
    <t>260</t>
  </si>
  <si>
    <t>There 's really no question , the principles that have been the foundation of this project have been the public interest and the principles that underly the journalistic establishment in the United States and around the world , and I think if the press is now saying , we support this , this is something that needed to happen , that 's a powerful argument , but it 's not the final argument , that public should decide .</t>
  </si>
  <si>
    <t>file://conllu/en/teddy-1319.conllu#s260_0</t>
  </si>
  <si>
    <t>261</t>
  </si>
  <si>
    <t>hint</t>
  </si>
  <si>
    <t>But at the same time , the government has hinted that they want some kind of deal , that they want me to compromise the journalists with which I 've been working , to come back , and I want to make it very clear that I did not do this to be safe .</t>
  </si>
  <si>
    <t>file://conllu/en/teddy-1319.conllu#s261_0</t>
  </si>
  <si>
    <t>262</t>
  </si>
  <si>
    <t>I did this to do what was right , and I 'm not going to stop my work in the public interest just to benefit myself .</t>
  </si>
  <si>
    <t>file://conllu/en/teddy-1319.conllu#s262_0</t>
  </si>
  <si>
    <t>263</t>
  </si>
  <si>
    <t>meantime?</t>
  </si>
  <si>
    <t>CA : In the meantime , courtesy of the Internet and this technology , you 're here , back in North America , not quite the U.S. , Canada , in this form .</t>
  </si>
  <si>
    <t>file://conllu/en/teddy-1319.conllu#s263_0</t>
  </si>
  <si>
    <t>264</t>
  </si>
  <si>
    <t>I 'm curious , how does that feel ?</t>
  </si>
  <si>
    <t>file://conllu/en/teddy-1319.conllu#s264_0</t>
  </si>
  <si>
    <t>265</t>
  </si>
  <si>
    <t>ES : Canada is different than what I expected .</t>
  </si>
  <si>
    <t>file://conllu/en/teddy-1319.conllu#s265_0</t>
  </si>
  <si>
    <t>266</t>
  </si>
  <si>
    <t>be (be warmer)</t>
  </si>
  <si>
    <t>It 's a lot warmer .</t>
  </si>
  <si>
    <t>file://conllu/en/teddy-1319.conllu#s266_0</t>
  </si>
  <si>
    <t>267</t>
  </si>
  <si>
    <t>CA : At TED , the mission is &amp;quot; ideas worth spreading . &amp;quot;</t>
  </si>
  <si>
    <t>file://conllu/en/teddy-1319.conllu#s267_0</t>
  </si>
  <si>
    <t>268</t>
  </si>
  <si>
    <t>If you could encapsulate it in a single idea , what is your idea worth spreading right now at this moment ?</t>
  </si>
  <si>
    <t>file://conllu/en/teddy-1319.conllu#s268_0</t>
  </si>
  <si>
    <t>269</t>
  </si>
  <si>
    <t>ES : I would say the last year has been a reminder that democracy may die behind closed doors , but we as individuals are born behind those same closed doors , and we do n't have to give up our privacy to have good government .</t>
  </si>
  <si>
    <t>file://conllu/en/teddy-1319.conllu#s269_0</t>
  </si>
  <si>
    <t>270</t>
  </si>
  <si>
    <t>We do n't have to give up our liberty to have security .</t>
  </si>
  <si>
    <t>file://conllu/en/teddy-1319.conllu#s270_0</t>
  </si>
  <si>
    <t>271</t>
  </si>
  <si>
    <t>And I think by working together we can have both open government and private lives , and I look forward to working with everyone around the world to see that happen .</t>
  </si>
  <si>
    <t>file://conllu/en/teddy-1319.conllu#s271_0</t>
  </si>
  <si>
    <t>272</t>
  </si>
  <si>
    <t>Thank you very much .</t>
  </si>
  <si>
    <t>file://conllu/en/teddy-1319.conllu#s272_0</t>
  </si>
  <si>
    <t>273</t>
  </si>
  <si>
    <t>CA : Ed , thank you .</t>
  </si>
  <si>
    <t>file://conllu/en/teddy-1319.conllu#s273_0</t>
  </si>
  <si>
    <t>WORD</t>
  </si>
  <si>
    <t>GR</t>
  </si>
  <si>
    <t>NP_TYPE</t>
  </si>
  <si>
    <t>REF_AUTO</t>
  </si>
  <si>
    <t>COREF</t>
  </si>
  <si>
    <t>REF</t>
  </si>
  <si>
    <t>IS</t>
  </si>
  <si>
    <t>CB</t>
  </si>
  <si>
    <t>GR_ANTE</t>
  </si>
  <si>
    <t>REF_DIST</t>
  </si>
  <si>
    <t>REF_DIST_ANTE</t>
  </si>
  <si>
    <t># text = Chris Anderson:</t>
  </si>
  <si>
    <t>other</t>
  </si>
  <si>
    <t>ne</t>
  </si>
  <si>
    <t>?OLD</t>
  </si>
  <si>
    <t>Anderson</t>
  </si>
  <si>
    <t>:</t>
  </si>
  <si>
    <t># text = The rights of citizens, the future of the Internet.</t>
  </si>
  <si>
    <t>The</t>
  </si>
  <si>
    <t>rights</t>
  </si>
  <si>
    <t>def-np.the</t>
  </si>
  <si>
    <t>of</t>
  </si>
  <si>
    <t>citizens</t>
  </si>
  <si>
    <t>indef-np.bare</t>
  </si>
  <si>
    <t>,</t>
  </si>
  <si>
    <t>the</t>
  </si>
  <si>
    <t>future</t>
  </si>
  <si>
    <t>Internet</t>
  </si>
  <si>
    <t>other_2</t>
  </si>
  <si>
    <t>.</t>
  </si>
  <si>
    <t># text = So I would like to welcome to the TED stage the man behind those revelations, Ed Snowden.</t>
  </si>
  <si>
    <t>So</t>
  </si>
  <si>
    <t>I</t>
  </si>
  <si>
    <t>SBJ</t>
  </si>
  <si>
    <t>pron.pper</t>
  </si>
  <si>
    <t>would</t>
  </si>
  <si>
    <t>to</t>
  </si>
  <si>
    <t>TED</t>
  </si>
  <si>
    <t>stage</t>
  </si>
  <si>
    <t>man</t>
  </si>
  <si>
    <t>OBJ_2</t>
  </si>
  <si>
    <t>behind</t>
  </si>
  <si>
    <t>those</t>
  </si>
  <si>
    <t>revelations</t>
  </si>
  <si>
    <t>other_3</t>
  </si>
  <si>
    <t>def-np.dem</t>
  </si>
  <si>
    <t>Snowden</t>
  </si>
  <si>
    <t># text = (Applause) Ed is in a remote location somewhere in Russia controlling this bot from his laptop, so he can see what the bot can see.</t>
  </si>
  <si>
    <t>(</t>
  </si>
  <si>
    <t>)</t>
  </si>
  <si>
    <t>is</t>
  </si>
  <si>
    <t>in</t>
  </si>
  <si>
    <t>a</t>
  </si>
  <si>
    <t>remote</t>
  </si>
  <si>
    <t>location</t>
  </si>
  <si>
    <t>indef-np.a</t>
  </si>
  <si>
    <t>somewhere</t>
  </si>
  <si>
    <t>Russia</t>
  </si>
  <si>
    <t>controlling</t>
  </si>
  <si>
    <t>this</t>
  </si>
  <si>
    <t>bot</t>
  </si>
  <si>
    <t>from</t>
  </si>
  <si>
    <t>his</t>
  </si>
  <si>
    <t>pron.ppos</t>
  </si>
  <si>
    <t>laptop</t>
  </si>
  <si>
    <t>def-np.poss</t>
  </si>
  <si>
    <t>so</t>
  </si>
  <si>
    <t>he</t>
  </si>
  <si>
    <t>SBJ_2</t>
  </si>
  <si>
    <t>OBJ_3</t>
  </si>
  <si>
    <t>pron.pint</t>
  </si>
  <si>
    <t>SBJ_3</t>
  </si>
  <si>
    <t># text = Ed, welcome to the TED stage.</t>
  </si>
  <si>
    <t># text = What can you see, as a matter of fact?</t>
  </si>
  <si>
    <t>What</t>
  </si>
  <si>
    <t>OBJ</t>
  </si>
  <si>
    <t>you</t>
  </si>
  <si>
    <t>as</t>
  </si>
  <si>
    <t>fact</t>
  </si>
  <si>
    <t>?</t>
  </si>
  <si>
    <t># text = Edward Snowden:</t>
  </si>
  <si>
    <t># text = Ha, I can see everyone.</t>
  </si>
  <si>
    <t>Ha</t>
  </si>
  <si>
    <t>everyone</t>
  </si>
  <si>
    <t>pron.pind</t>
  </si>
  <si>
    <t># text = This is amazing.</t>
  </si>
  <si>
    <t>This</t>
  </si>
  <si>
    <t>pron.pds</t>
  </si>
  <si>
    <t>amazing</t>
  </si>
  <si>
    <t># text = (Laughter)</t>
  </si>
  <si>
    <t>Laughter</t>
  </si>
  <si>
    <t># text = CA: Ed, some questions for you.</t>
  </si>
  <si>
    <t>CA</t>
  </si>
  <si>
    <t>some</t>
  </si>
  <si>
    <t>questions</t>
  </si>
  <si>
    <t>indef-np.quant</t>
  </si>
  <si>
    <t>for</t>
  </si>
  <si>
    <t># text = You've been called many things in the last few months.</t>
  </si>
  <si>
    <t>You</t>
  </si>
  <si>
    <t>'ve</t>
  </si>
  <si>
    <t>been</t>
  </si>
  <si>
    <t>called</t>
  </si>
  <si>
    <t>many</t>
  </si>
  <si>
    <t>things</t>
  </si>
  <si>
    <t>last</t>
  </si>
  <si>
    <t>few</t>
  </si>
  <si>
    <t>months</t>
  </si>
  <si>
    <t># text = You've been called a whistleblower, a traitor, a hero.</t>
  </si>
  <si>
    <t>whistleblower</t>
  </si>
  <si>
    <t>traitor</t>
  </si>
  <si>
    <t>hero</t>
  </si>
  <si>
    <t># text = What words would you describe yourself with?</t>
  </si>
  <si>
    <t>words</t>
  </si>
  <si>
    <t>indef-np</t>
  </si>
  <si>
    <t>describe</t>
  </si>
  <si>
    <t>yourself</t>
  </si>
  <si>
    <t>with</t>
  </si>
  <si>
    <t># text = ES: You know, everybody who is involved with this debate has been struggling over me and my personality and how to describe me.</t>
  </si>
  <si>
    <t>ES</t>
  </si>
  <si>
    <t>everybody</t>
  </si>
  <si>
    <t>pron</t>
  </si>
  <si>
    <t>who</t>
  </si>
  <si>
    <t>SBJ_4</t>
  </si>
  <si>
    <t>involved</t>
  </si>
  <si>
    <t>debate</t>
  </si>
  <si>
    <t>other_4</t>
  </si>
  <si>
    <t>has</t>
  </si>
  <si>
    <t>struggling</t>
  </si>
  <si>
    <t>over</t>
  </si>
  <si>
    <t>me</t>
  </si>
  <si>
    <t>and</t>
  </si>
  <si>
    <t>my</t>
  </si>
  <si>
    <t>personality</t>
  </si>
  <si>
    <t>how</t>
  </si>
  <si>
    <t>OBJ_4</t>
  </si>
  <si>
    <t># text = But when I think about it, this isn't the question that we should be struggling with.</t>
  </si>
  <si>
    <t>But</t>
  </si>
  <si>
    <t>when</t>
  </si>
  <si>
    <t>about</t>
  </si>
  <si>
    <t>it</t>
  </si>
  <si>
    <t>n't</t>
  </si>
  <si>
    <t>question</t>
  </si>
  <si>
    <t>that</t>
  </si>
  <si>
    <t>we</t>
  </si>
  <si>
    <t>should</t>
  </si>
  <si>
    <t># text = Who I am really doesn't matter at all.</t>
  </si>
  <si>
    <t>Who</t>
  </si>
  <si>
    <t>am</t>
  </si>
  <si>
    <t>really</t>
  </si>
  <si>
    <t>does</t>
  </si>
  <si>
    <t>at</t>
  </si>
  <si>
    <t>all</t>
  </si>
  <si>
    <t># text = If I'm the worst person in the world, you can hate me and move on.</t>
  </si>
  <si>
    <t>If</t>
  </si>
  <si>
    <t>'m</t>
  </si>
  <si>
    <t>worst</t>
  </si>
  <si>
    <t>person</t>
  </si>
  <si>
    <t>world</t>
  </si>
  <si>
    <t>move</t>
  </si>
  <si>
    <t>on</t>
  </si>
  <si>
    <t># text = What really matters here are the issues.</t>
  </si>
  <si>
    <t>matters</t>
  </si>
  <si>
    <t>here</t>
  </si>
  <si>
    <t>are</t>
  </si>
  <si>
    <t>issues</t>
  </si>
  <si>
    <t># text = What really matters here is the kind of government we want, the kind of Internet we want, the kind of relationship between people and societies.</t>
  </si>
  <si>
    <t>kind</t>
  </si>
  <si>
    <t>government</t>
  </si>
  <si>
    <t>relationship</t>
  </si>
  <si>
    <t>between</t>
  </si>
  <si>
    <t>people</t>
  </si>
  <si>
    <t>societies</t>
  </si>
  <si>
    <t># text = And that's what I'm hoping the debate will move towards, and we've seen that increasing over time.</t>
  </si>
  <si>
    <t>And</t>
  </si>
  <si>
    <t>'s</t>
  </si>
  <si>
    <t>hoping</t>
  </si>
  <si>
    <t>will</t>
  </si>
  <si>
    <t>towards</t>
  </si>
  <si>
    <t>seen</t>
  </si>
  <si>
    <t>increasing</t>
  </si>
  <si>
    <t>time</t>
  </si>
  <si>
    <t>--</t>
  </si>
  <si>
    <t># text = If I had to describe myself, I wouldn't use words like \"hero.\"</t>
  </si>
  <si>
    <t>had</t>
  </si>
  <si>
    <t>myself</t>
  </si>
  <si>
    <t>&amp;quot;</t>
  </si>
  <si>
    <t># text = I wouldn't use "patriot," and I wouldn't use "traitor."</t>
  </si>
  <si>
    <t>patriot</t>
  </si>
  <si>
    <t># text = I'd say I'm an American and I'm a citizen, just like everyone else.</t>
  </si>
  <si>
    <t>'d</t>
  </si>
  <si>
    <t>an</t>
  </si>
  <si>
    <t>American</t>
  </si>
  <si>
    <t>citizen</t>
  </si>
  <si>
    <t>just</t>
  </si>
  <si>
    <t>else</t>
  </si>
  <si>
    <t># text = CA:</t>
  </si>
  <si>
    <t># text = So just to give some context for those who don't know the whole story -- (Applause) — this time a year ago, you were stationed in Hawaii working as a consultant to the NSA.</t>
  </si>
  <si>
    <t>context</t>
  </si>
  <si>
    <t>whole</t>
  </si>
  <si>
    <t>story</t>
  </si>
  <si>
    <t>—</t>
  </si>
  <si>
    <t>year</t>
  </si>
  <si>
    <t>ago</t>
  </si>
  <si>
    <t>were</t>
  </si>
  <si>
    <t>stationed</t>
  </si>
  <si>
    <t>Hawaii</t>
  </si>
  <si>
    <t>working</t>
  </si>
  <si>
    <t>consultant</t>
  </si>
  <si>
    <t>NSA</t>
  </si>
  <si>
    <t># text = As a sysadmin, you had access to their systems, and you began revealing certain classified documents to some handpicked journalists leading the way to June's revelations.</t>
  </si>
  <si>
    <t>As</t>
  </si>
  <si>
    <t>sysadmin</t>
  </si>
  <si>
    <t>access</t>
  </si>
  <si>
    <t>their</t>
  </si>
  <si>
    <t>systems</t>
  </si>
  <si>
    <t>began</t>
  </si>
  <si>
    <t>revealing</t>
  </si>
  <si>
    <t>certain</t>
  </si>
  <si>
    <t>classified</t>
  </si>
  <si>
    <t>documents</t>
  </si>
  <si>
    <t>handpicked</t>
  </si>
  <si>
    <t>journalists</t>
  </si>
  <si>
    <t>leading</t>
  </si>
  <si>
    <t>June</t>
  </si>
  <si>
    <t>other_5</t>
  </si>
  <si>
    <t># text = Now, what propelled you to do this?</t>
  </si>
  <si>
    <t>Now</t>
  </si>
  <si>
    <t>propelled</t>
  </si>
  <si>
    <t># text = ES: You know, when I was sitting in Hawaii, and the years before, when I was working in the intelligence community, I saw a lot of things that had disturbed me.</t>
  </si>
  <si>
    <t>was</t>
  </si>
  <si>
    <t>sitting</t>
  </si>
  <si>
    <t>years</t>
  </si>
  <si>
    <t>before</t>
  </si>
  <si>
    <t>intelligence</t>
  </si>
  <si>
    <t>community</t>
  </si>
  <si>
    <t>saw</t>
  </si>
  <si>
    <t>lot</t>
  </si>
  <si>
    <t>SBJ_6</t>
  </si>
  <si>
    <t>disturbed</t>
  </si>
  <si>
    <t>OBJ_6</t>
  </si>
  <si>
    <t># text = We do a lot of good things in the intelligence community, things that need to be done, and things that help everyone.</t>
  </si>
  <si>
    <t>We</t>
  </si>
  <si>
    <t>done</t>
  </si>
  <si>
    <t>help</t>
  </si>
  <si>
    <t># text = But there are also things that go too far.</t>
  </si>
  <si>
    <t>there</t>
  </si>
  <si>
    <t>also</t>
  </si>
  <si>
    <t>too</t>
  </si>
  <si>
    <t>far</t>
  </si>
  <si>
    <t># text = There are things that shouldn't be done, and decisions that were being made in secret without the public's awareness, without the public's consent, and without even our representatives in government having knowledge of these programs.</t>
  </si>
  <si>
    <t>There</t>
  </si>
  <si>
    <t>decisions</t>
  </si>
  <si>
    <t>being</t>
  </si>
  <si>
    <t>made</t>
  </si>
  <si>
    <t>secret</t>
  </si>
  <si>
    <t>without</t>
  </si>
  <si>
    <t>public</t>
  </si>
  <si>
    <t>awareness</t>
  </si>
  <si>
    <t>consent</t>
  </si>
  <si>
    <t>even</t>
  </si>
  <si>
    <t>our</t>
  </si>
  <si>
    <t>representatives</t>
  </si>
  <si>
    <t>having</t>
  </si>
  <si>
    <t>knowledge</t>
  </si>
  <si>
    <t>these</t>
  </si>
  <si>
    <t>programs</t>
  </si>
  <si>
    <t># text = When I really came to struggle with these issues, I thought to myself, how can I do this in the most responsible way, that maximizes the public benefit while minimizing the risks?</t>
  </si>
  <si>
    <t>When</t>
  </si>
  <si>
    <t>came</t>
  </si>
  <si>
    <t>struggle</t>
  </si>
  <si>
    <t>thought</t>
  </si>
  <si>
    <t>most</t>
  </si>
  <si>
    <t>responsible</t>
  </si>
  <si>
    <t>maximizes</t>
  </si>
  <si>
    <t>benefit</t>
  </si>
  <si>
    <t>while</t>
  </si>
  <si>
    <t>minimizing</t>
  </si>
  <si>
    <t>risks</t>
  </si>
  <si>
    <t># text = And out of all the solutions that I could come up with, out of going to Congress, when there were no laws, there were no legal protections for a private employee, a contractor in intelligence like myself, there was a risk that I would be buried along with the information and the public would never find out.</t>
  </si>
  <si>
    <t>out</t>
  </si>
  <si>
    <t>solutions</t>
  </si>
  <si>
    <t>could</t>
  </si>
  <si>
    <t>up</t>
  </si>
  <si>
    <t>going</t>
  </si>
  <si>
    <t>Congress</t>
  </si>
  <si>
    <t>no</t>
  </si>
  <si>
    <t>laws</t>
  </si>
  <si>
    <t>legal</t>
  </si>
  <si>
    <t>protections</t>
  </si>
  <si>
    <t>private</t>
  </si>
  <si>
    <t>employee</t>
  </si>
  <si>
    <t>contractor</t>
  </si>
  <si>
    <t>risk</t>
  </si>
  <si>
    <t>buried</t>
  </si>
  <si>
    <t>along</t>
  </si>
  <si>
    <t>information</t>
  </si>
  <si>
    <t>never</t>
  </si>
  <si>
    <t># text = But the First Amendment of the United States Constitution guarantees us a free press for a reason, and that's to enable an adversarial press, to challenge the government, but also to work together with the government, to have a dialogue and debate about how we can inform the public about matters of vital importance without putting our national security at risk.</t>
  </si>
  <si>
    <t>First</t>
  </si>
  <si>
    <t>Amendment</t>
  </si>
  <si>
    <t>United</t>
  </si>
  <si>
    <t>States</t>
  </si>
  <si>
    <t>Constitution</t>
  </si>
  <si>
    <t>guarantees</t>
  </si>
  <si>
    <t>us</t>
  </si>
  <si>
    <t>free</t>
  </si>
  <si>
    <t>press</t>
  </si>
  <si>
    <t>reason</t>
  </si>
  <si>
    <t>enable</t>
  </si>
  <si>
    <t>adversarial</t>
  </si>
  <si>
    <t>challenge</t>
  </si>
  <si>
    <t>but</t>
  </si>
  <si>
    <t>work</t>
  </si>
  <si>
    <t>together</t>
  </si>
  <si>
    <t>dialogue</t>
  </si>
  <si>
    <t>SBJ_5</t>
  </si>
  <si>
    <t>inform</t>
  </si>
  <si>
    <t>OBJ_5</t>
  </si>
  <si>
    <t>vital</t>
  </si>
  <si>
    <t>importance</t>
  </si>
  <si>
    <t>other_6</t>
  </si>
  <si>
    <t>putting</t>
  </si>
  <si>
    <t>other_7</t>
  </si>
  <si>
    <t>national</t>
  </si>
  <si>
    <t>security</t>
  </si>
  <si>
    <t># text = And by working with journalists, by giving all of my information back to the American people, rather than trusting myself to make the decisions about publication, we've had a robust debate with a deep investment by the government that I think has resulted in a benefit for everyone.</t>
  </si>
  <si>
    <t>by</t>
  </si>
  <si>
    <t>giving</t>
  </si>
  <si>
    <t>back</t>
  </si>
  <si>
    <t>rather</t>
  </si>
  <si>
    <t>than</t>
  </si>
  <si>
    <t>trusting</t>
  </si>
  <si>
    <t>publication</t>
  </si>
  <si>
    <t>robust</t>
  </si>
  <si>
    <t>deep</t>
  </si>
  <si>
    <t>investment</t>
  </si>
  <si>
    <t>resulted</t>
  </si>
  <si>
    <t># text = And the risks that have been threatened, the risks that have been played up by the government have never materialized.</t>
  </si>
  <si>
    <t>threatened</t>
  </si>
  <si>
    <t>played</t>
  </si>
  <si>
    <t>materialized</t>
  </si>
  <si>
    <t># text = We've never seen any evidence of even a single instance of specific harm, and because of that, I'm comfortable with the decisions that I made.</t>
  </si>
  <si>
    <t>any</t>
  </si>
  <si>
    <t>evidence</t>
  </si>
  <si>
    <t>single</t>
  </si>
  <si>
    <t>instance</t>
  </si>
  <si>
    <t>specific</t>
  </si>
  <si>
    <t>harm</t>
  </si>
  <si>
    <t>because</t>
  </si>
  <si>
    <t>comfortable</t>
  </si>
  <si>
    <t># text = So let me show the audience a couple of examples of what you revealed.</t>
  </si>
  <si>
    <t>audience</t>
  </si>
  <si>
    <t>couple</t>
  </si>
  <si>
    <t>examples</t>
  </si>
  <si>
    <t>SBJ_7</t>
  </si>
  <si>
    <t>revealed</t>
  </si>
  <si>
    <t># text = If we could have a slide up, and Ed, I don't know whether you can see, the slides are here.</t>
  </si>
  <si>
    <t>slide</t>
  </si>
  <si>
    <t>whether</t>
  </si>
  <si>
    <t>slides</t>
  </si>
  <si>
    <t>pron.padv</t>
  </si>
  <si>
    <t># text = This is a slide of the PRISM program, and maybe you could tell the audience what that was that was revealed.</t>
  </si>
  <si>
    <t>PRISM</t>
  </si>
  <si>
    <t>program</t>
  </si>
  <si>
    <t>maybe</t>
  </si>
  <si>
    <t># text = ES: The best way to understand PRISM, because there's been a little bit of controversy, is to first talk about what PRISM isn't.</t>
  </si>
  <si>
    <t>best</t>
  </si>
  <si>
    <t>understand</t>
  </si>
  <si>
    <t>little</t>
  </si>
  <si>
    <t>bit</t>
  </si>
  <si>
    <t>controversy</t>
  </si>
  <si>
    <t>first</t>
  </si>
  <si>
    <t>talk</t>
  </si>
  <si>
    <t># text = Much of the debate in the U.S. has been about metadata.</t>
  </si>
  <si>
    <t>Much</t>
  </si>
  <si>
    <t>U.S.</t>
  </si>
  <si>
    <t>metadata</t>
  </si>
  <si>
    <t># text = They've said it's just metadata, it's just metadata, and they're talking about a specific legal authority called Section 215 of the Patriot Act.</t>
  </si>
  <si>
    <t>They</t>
  </si>
  <si>
    <t>said</t>
  </si>
  <si>
    <t>they</t>
  </si>
  <si>
    <t>'re</t>
  </si>
  <si>
    <t>talking</t>
  </si>
  <si>
    <t>authority</t>
  </si>
  <si>
    <t>Section</t>
  </si>
  <si>
    <t>Patriot</t>
  </si>
  <si>
    <t>Act</t>
  </si>
  <si>
    <t># text = That allows sort of a warrantless wiretapping, mass surveillance of the entire country's phone records, things like that -- who you're talking to, when you're talking to them, where you traveled.</t>
  </si>
  <si>
    <t>That</t>
  </si>
  <si>
    <t>allows</t>
  </si>
  <si>
    <t>sort</t>
  </si>
  <si>
    <t>warrantless</t>
  </si>
  <si>
    <t>wiretapping</t>
  </si>
  <si>
    <t>mass</t>
  </si>
  <si>
    <t>surveillance</t>
  </si>
  <si>
    <t>entire</t>
  </si>
  <si>
    <t>country</t>
  </si>
  <si>
    <t>phone</t>
  </si>
  <si>
    <t>records</t>
  </si>
  <si>
    <t>them</t>
  </si>
  <si>
    <t>where</t>
  </si>
  <si>
    <t>traveled</t>
  </si>
  <si>
    <t># text = These are all metadata events.</t>
  </si>
  <si>
    <t>These</t>
  </si>
  <si>
    <t>events</t>
  </si>
  <si>
    <t># text = PRISM is about content.</t>
  </si>
  <si>
    <t>content</t>
  </si>
  <si>
    <t># text = It's a program through which the government could compel corporate America, it could deputize corporate America to do its dirty work for the NSA.</t>
  </si>
  <si>
    <t>It</t>
  </si>
  <si>
    <t>through</t>
  </si>
  <si>
    <t>which</t>
  </si>
  <si>
    <t>compel</t>
  </si>
  <si>
    <t>corporate</t>
  </si>
  <si>
    <t>America</t>
  </si>
  <si>
    <t>deputize</t>
  </si>
  <si>
    <t>its</t>
  </si>
  <si>
    <t>dirty</t>
  </si>
  <si>
    <t># text = And even though some of these companies did resist, even though some of them -- I believe Yahoo was one of them — challenged them in court, they all lost, because it was never tried by an open court.</t>
  </si>
  <si>
    <t>though</t>
  </si>
  <si>
    <t>companies</t>
  </si>
  <si>
    <t>did</t>
  </si>
  <si>
    <t>Yahoo</t>
  </si>
  <si>
    <t>one</t>
  </si>
  <si>
    <t>challenged</t>
  </si>
  <si>
    <t>court</t>
  </si>
  <si>
    <t>lost</t>
  </si>
  <si>
    <t>tried</t>
  </si>
  <si>
    <t># text = They were only tried by a secret court.</t>
  </si>
  <si>
    <t>only</t>
  </si>
  <si>
    <t># text = And something that we've seen, something about the PRISM program that's very concerning to me is, there's been a talking point in the U.S. government where they've said 15 federal judges have reviewed these programs and found them to be lawful, but what they don't tell you is those are secret judges in a secret court based on secret interpretations of law that's considered 34,000 warrant requests over 33 years, and in 33 years only rejected 11 government requests.</t>
  </si>
  <si>
    <t>very</t>
  </si>
  <si>
    <t>concerning</t>
  </si>
  <si>
    <t>point</t>
  </si>
  <si>
    <t>federal</t>
  </si>
  <si>
    <t>judges</t>
  </si>
  <si>
    <t>reviewed</t>
  </si>
  <si>
    <t>found</t>
  </si>
  <si>
    <t>lawful</t>
  </si>
  <si>
    <t>based</t>
  </si>
  <si>
    <t>interpretations</t>
  </si>
  <si>
    <t>law</t>
  </si>
  <si>
    <t>considered</t>
  </si>
  <si>
    <t>34,000</t>
  </si>
  <si>
    <t>warrant</t>
  </si>
  <si>
    <t>requests</t>
  </si>
  <si>
    <t>other_8</t>
  </si>
  <si>
    <t>rejected</t>
  </si>
  <si>
    <t># text = These aren't the people that we want deciding what the role of corporate America in a free and open Internet should be.</t>
  </si>
  <si>
    <t>deciding</t>
  </si>
  <si>
    <t>role</t>
  </si>
  <si>
    <t># text = CA: Now, this slide that we're showing here shows the dates in which different technology companies, Internet companies, are alleged to have joined the program, and where data collection began from them.</t>
  </si>
  <si>
    <t>showing</t>
  </si>
  <si>
    <t>shows</t>
  </si>
  <si>
    <t>dates</t>
  </si>
  <si>
    <t>different</t>
  </si>
  <si>
    <t>technology</t>
  </si>
  <si>
    <t>alleged</t>
  </si>
  <si>
    <t>joined</t>
  </si>
  <si>
    <t>data</t>
  </si>
  <si>
    <t>collection</t>
  </si>
  <si>
    <t># text = Now, they have denied collaborating with the NSA.</t>
  </si>
  <si>
    <t>denied</t>
  </si>
  <si>
    <t>collaborating</t>
  </si>
  <si>
    <t># text = How was that data collected by the NSA?</t>
  </si>
  <si>
    <t>How</t>
  </si>
  <si>
    <t>collected</t>
  </si>
  <si>
    <t># text = ES: Right.</t>
  </si>
  <si>
    <t>Right</t>
  </si>
  <si>
    <t># text = So the NSA's own slides refer to it as direct access.</t>
  </si>
  <si>
    <t>own</t>
  </si>
  <si>
    <t>direct</t>
  </si>
  <si>
    <t># text = What that means to an actual NSA analyst, someone like me who was working as an intelligence analyst targeting, Chinese cyber-hackers, things like that, in Hawaii, is the provenance of that data is directly from their servers.</t>
  </si>
  <si>
    <t>means</t>
  </si>
  <si>
    <t>actual</t>
  </si>
  <si>
    <t>analyst</t>
  </si>
  <si>
    <t>someone</t>
  </si>
  <si>
    <t>targeting</t>
  </si>
  <si>
    <t>Chinese</t>
  </si>
  <si>
    <t>cyber</t>
  </si>
  <si>
    <t>hackers</t>
  </si>
  <si>
    <t>OBJ_7</t>
  </si>
  <si>
    <t>other_10</t>
  </si>
  <si>
    <t>provenance</t>
  </si>
  <si>
    <t>SBJ_10</t>
  </si>
  <si>
    <t>other_11</t>
  </si>
  <si>
    <t>directly</t>
  </si>
  <si>
    <t>servers</t>
  </si>
  <si>
    <t># text = It doesn't mean that there's a group of company representatives sitting in a smoky room with the NSA palling around and making back-room deals about how they're going to give this stuff away.</t>
  </si>
  <si>
    <t>group</t>
  </si>
  <si>
    <t>company</t>
  </si>
  <si>
    <t>smoky</t>
  </si>
  <si>
    <t>room</t>
  </si>
  <si>
    <t>palling</t>
  </si>
  <si>
    <t>around</t>
  </si>
  <si>
    <t>making</t>
  </si>
  <si>
    <t>deals</t>
  </si>
  <si>
    <t>stuff</t>
  </si>
  <si>
    <t>away</t>
  </si>
  <si>
    <t># text = Now each company handles it different ways.</t>
  </si>
  <si>
    <t>each</t>
  </si>
  <si>
    <t>handles</t>
  </si>
  <si>
    <t>ways</t>
  </si>
  <si>
    <t># text = Some are responsible.</t>
  </si>
  <si>
    <t>Some</t>
  </si>
  <si>
    <t># text = Some are somewhat less responsible.</t>
  </si>
  <si>
    <t>somewhat</t>
  </si>
  <si>
    <t>less</t>
  </si>
  <si>
    <t># text = But the bottom line is, when we talk about how this information is given, it's coming from the companies themselves.</t>
  </si>
  <si>
    <t>bottom</t>
  </si>
  <si>
    <t>line</t>
  </si>
  <si>
    <t>given</t>
  </si>
  <si>
    <t>coming</t>
  </si>
  <si>
    <t>themselves</t>
  </si>
  <si>
    <t># text = It's not stolen from the lines.</t>
  </si>
  <si>
    <t>not</t>
  </si>
  <si>
    <t>stolen</t>
  </si>
  <si>
    <t>lines</t>
  </si>
  <si>
    <t># text = But there's an important thing to remember here: even though companies pushed back, even though companies demanded, hey, let's do this through a warrant process, let's do this where we actually have some sort of legal review, some sort of basis for handing over these users' data, we saw stories in the Washington Post last year that weren't as well reported as the PRISM story that said the NSA broke in to the data center communications between Google to itself and Yahoo to itself.</t>
  </si>
  <si>
    <t>important</t>
  </si>
  <si>
    <t>thing</t>
  </si>
  <si>
    <t>remember</t>
  </si>
  <si>
    <t>pushed</t>
  </si>
  <si>
    <t>demanded</t>
  </si>
  <si>
    <t>hey</t>
  </si>
  <si>
    <t>process</t>
  </si>
  <si>
    <t>actually</t>
  </si>
  <si>
    <t>review</t>
  </si>
  <si>
    <t>basis</t>
  </si>
  <si>
    <t>handing</t>
  </si>
  <si>
    <t>users</t>
  </si>
  <si>
    <t>'</t>
  </si>
  <si>
    <t>stories</t>
  </si>
  <si>
    <t>Washington</t>
  </si>
  <si>
    <t>Post</t>
  </si>
  <si>
    <t>well</t>
  </si>
  <si>
    <t>reported</t>
  </si>
  <si>
    <t>broke</t>
  </si>
  <si>
    <t>center</t>
  </si>
  <si>
    <t>communications</t>
  </si>
  <si>
    <t>Google</t>
  </si>
  <si>
    <t>itself</t>
  </si>
  <si>
    <t># text = So even these companies that are cooperating in at least a compelled but hopefully lawful manner with the NSA, the NSA isn't satisfied with that, and because of that, we need our companies to work very hard to guarantee that they're going to represent the interests of the user, and also advocate for the rights of the users.</t>
  </si>
  <si>
    <t>cooperating</t>
  </si>
  <si>
    <t>least</t>
  </si>
  <si>
    <t>compelled</t>
  </si>
  <si>
    <t>hopefully</t>
  </si>
  <si>
    <t>manner</t>
  </si>
  <si>
    <t>satisfied</t>
  </si>
  <si>
    <t>hard</t>
  </si>
  <si>
    <t>represent</t>
  </si>
  <si>
    <t>interests</t>
  </si>
  <si>
    <t>user</t>
  </si>
  <si>
    <t>advocate</t>
  </si>
  <si>
    <t># text = And I think over the last year, we've seen the companies that are named on the PRISM slides take great strides to do that, and I encourage them to continue.</t>
  </si>
  <si>
    <t>named</t>
  </si>
  <si>
    <t>take</t>
  </si>
  <si>
    <t>great</t>
  </si>
  <si>
    <t>strides</t>
  </si>
  <si>
    <t>encourage</t>
  </si>
  <si>
    <t>continue</t>
  </si>
  <si>
    <t># text = CA: What more should they do?</t>
  </si>
  <si>
    <t>more</t>
  </si>
  <si>
    <t># text = ES: The biggest thing that an Internet company in America can do today, right now, without consulting with lawyers, to protect the rights of users worldwide, is to enable SSL web encryption on every page you visit.</t>
  </si>
  <si>
    <t>biggest</t>
  </si>
  <si>
    <t>today</t>
  </si>
  <si>
    <t>now</t>
  </si>
  <si>
    <t>consulting</t>
  </si>
  <si>
    <t>lawyers</t>
  </si>
  <si>
    <t>protect</t>
  </si>
  <si>
    <t>worldwide</t>
  </si>
  <si>
    <t>SSL</t>
  </si>
  <si>
    <t>web</t>
  </si>
  <si>
    <t>encryption</t>
  </si>
  <si>
    <t>every</t>
  </si>
  <si>
    <t>page</t>
  </si>
  <si>
    <t>visit</t>
  </si>
  <si>
    <t># text = The reason this matters is today, if you go to look at a copy of \"1984\" on Amazon.com, the NSA can see a record of that, the Russian intelligence service can see a record of that, the Chinese service can see a record of that, the French service, the German service, the services of Andorra.</t>
  </si>
  <si>
    <t>if</t>
  </si>
  <si>
    <t>copy</t>
  </si>
  <si>
    <t>1984</t>
  </si>
  <si>
    <t>Amazon.com</t>
  </si>
  <si>
    <t>record</t>
  </si>
  <si>
    <t>Russian</t>
  </si>
  <si>
    <t>service</t>
  </si>
  <si>
    <t>French</t>
  </si>
  <si>
    <t>German</t>
  </si>
  <si>
    <t>services</t>
  </si>
  <si>
    <t>Andorra</t>
  </si>
  <si>
    <t># text = They can all see it because it's unencrypted.</t>
  </si>
  <si>
    <t>unencrypted</t>
  </si>
  <si>
    <t># text = The world's library is Amazon.com, but not only do they not support encryption by default, you cannot choose to use encryption when browsing through books.</t>
  </si>
  <si>
    <t>library</t>
  </si>
  <si>
    <t>support</t>
  </si>
  <si>
    <t>default</t>
  </si>
  <si>
    <t>choose</t>
  </si>
  <si>
    <t>browsing</t>
  </si>
  <si>
    <t>books</t>
  </si>
  <si>
    <t># text = This is something that we need to change, not just for Amazon, I don't mean to single them out, but they're a great example.</t>
  </si>
  <si>
    <t>change</t>
  </si>
  <si>
    <t>Amazon</t>
  </si>
  <si>
    <t>example</t>
  </si>
  <si>
    <t># text = All companies need to move to an encrypted browsing habit by default for all users who haven't taken any action or picked any special methods on their own.</t>
  </si>
  <si>
    <t>All</t>
  </si>
  <si>
    <t>encrypted</t>
  </si>
  <si>
    <t>habit</t>
  </si>
  <si>
    <t>taken</t>
  </si>
  <si>
    <t>action</t>
  </si>
  <si>
    <t>or</t>
  </si>
  <si>
    <t>picked</t>
  </si>
  <si>
    <t>special</t>
  </si>
  <si>
    <t>methods</t>
  </si>
  <si>
    <t># text = That'll increase the privacy and the rights that people enjoy worldwide.</t>
  </si>
  <si>
    <t>'ll</t>
  </si>
  <si>
    <t>privacy</t>
  </si>
  <si>
    <t>enjoy</t>
  </si>
  <si>
    <t># text = CA: Ed, come with me to this part of the stage.</t>
  </si>
  <si>
    <t>part</t>
  </si>
  <si>
    <t># text = I want to show you the next slide here.</t>
  </si>
  <si>
    <t>next</t>
  </si>
  <si>
    <t># text = (Applause)</t>
  </si>
  <si>
    <t># text = This is a program called Boundless Informant.</t>
  </si>
  <si>
    <t>Boundless</t>
  </si>
  <si>
    <t>Informant</t>
  </si>
  <si>
    <t># text = What is that?</t>
  </si>
  <si>
    <t># text = ES: So, I've got to give credit to the NSA for using appropriate names on this.</t>
  </si>
  <si>
    <t>got</t>
  </si>
  <si>
    <t>credit</t>
  </si>
  <si>
    <t>using</t>
  </si>
  <si>
    <t>appropriate</t>
  </si>
  <si>
    <t>names</t>
  </si>
  <si>
    <t># text = This is one of my favorite NSA cryptonyms.</t>
  </si>
  <si>
    <t>favorite</t>
  </si>
  <si>
    <t>cryptonyms</t>
  </si>
  <si>
    <t># text = Boundless Informant is a program that the NSA hid from Congress.</t>
  </si>
  <si>
    <t>hid</t>
  </si>
  <si>
    <t># text = The NSA was previously asked by Congress, was there any ability that they had to even give a rough ballpark estimate of the amount of American communications that were being intercepted.</t>
  </si>
  <si>
    <t>previously</t>
  </si>
  <si>
    <t>asked</t>
  </si>
  <si>
    <t>ability</t>
  </si>
  <si>
    <t>rough</t>
  </si>
  <si>
    <t>ballpark</t>
  </si>
  <si>
    <t>estimate</t>
  </si>
  <si>
    <t>amount</t>
  </si>
  <si>
    <t>SBJ_8</t>
  </si>
  <si>
    <t>intercepted</t>
  </si>
  <si>
    <t># text = They said no.</t>
  </si>
  <si>
    <t># text = They said, we don't track those stats, and we can't track those stats.</t>
  </si>
  <si>
    <t>track</t>
  </si>
  <si>
    <t>stats</t>
  </si>
  <si>
    <t># text = We can't tell you how many communications we're intercepting around the world, because to tell you that would be to invade your privacy.</t>
  </si>
  <si>
    <t>intercepting</t>
  </si>
  <si>
    <t>invade</t>
  </si>
  <si>
    <t>your</t>
  </si>
  <si>
    <t># text = Now, I really appreciate that sentiment from them, but the reality, when you look at this slide is, not only do they have the capability, the capability already exists.</t>
  </si>
  <si>
    <t>sentiment</t>
  </si>
  <si>
    <t>reality</t>
  </si>
  <si>
    <t>capability</t>
  </si>
  <si>
    <t>already</t>
  </si>
  <si>
    <t>exists</t>
  </si>
  <si>
    <t># text = It's already in place.</t>
  </si>
  <si>
    <t>place</t>
  </si>
  <si>
    <t># text = The NSA has its own internal data format that tracks both ends of a communication, and if it says, this communication came from America, they can tell Congress how many of those communications they have today, right now.</t>
  </si>
  <si>
    <t>internal</t>
  </si>
  <si>
    <t>format</t>
  </si>
  <si>
    <t>tracks</t>
  </si>
  <si>
    <t>both</t>
  </si>
  <si>
    <t>ends</t>
  </si>
  <si>
    <t>def-np.quant</t>
  </si>
  <si>
    <t>communication</t>
  </si>
  <si>
    <t>says</t>
  </si>
  <si>
    <t># text = And what Boundless Informant tells us is more communications are being intercepted in America about Americans than there are in Russia about Russians.</t>
  </si>
  <si>
    <t>tells</t>
  </si>
  <si>
    <t>Americans</t>
  </si>
  <si>
    <t>Russians</t>
  </si>
  <si>
    <t># text = I'm not sure that's what an intelligence agency should be aiming for.</t>
  </si>
  <si>
    <t>sure</t>
  </si>
  <si>
    <t>agency</t>
  </si>
  <si>
    <t>aiming</t>
  </si>
  <si>
    <t># text = CA: Ed, there was a story broken in the Washington Post, again from your data.</t>
  </si>
  <si>
    <t>broken</t>
  </si>
  <si>
    <t>again</t>
  </si>
  <si>
    <t># text = The headline says, "NSA broke privacy rules thousands of times per year."</t>
  </si>
  <si>
    <t>headline</t>
  </si>
  <si>
    <t>rules</t>
  </si>
  <si>
    <t>thousands</t>
  </si>
  <si>
    <t>times</t>
  </si>
  <si>
    <t>per</t>
  </si>
  <si>
    <t># text = Tell us about that.</t>
  </si>
  <si>
    <t>Tell</t>
  </si>
  <si>
    <t># text = ES: We also heard in Congressional testimony last year, it was an amazing thing for someone like me who came from the NSA and who's seen the actual internal documents, knows what's in them, to see officials testifying under oath that there had been no abuses, that there had been no violations of the NSA's rules, when we knew this story was coming.</t>
  </si>
  <si>
    <t>heard</t>
  </si>
  <si>
    <t>Congressional</t>
  </si>
  <si>
    <t>testimony</t>
  </si>
  <si>
    <t>knows</t>
  </si>
  <si>
    <t>officials</t>
  </si>
  <si>
    <t>testifying</t>
  </si>
  <si>
    <t>under</t>
  </si>
  <si>
    <t>oath</t>
  </si>
  <si>
    <t>abuses</t>
  </si>
  <si>
    <t>violations</t>
  </si>
  <si>
    <t>knew</t>
  </si>
  <si>
    <t># text = But what's especially interesting about this, about the fact that the NSA has violated their own rules, their own laws thousands of times in a single year, including one event by itself, one event out of those 2,776, that affected more than 3,000 people.</t>
  </si>
  <si>
    <t>especially</t>
  </si>
  <si>
    <t>interesting</t>
  </si>
  <si>
    <t>violated</t>
  </si>
  <si>
    <t>including</t>
  </si>
  <si>
    <t>event</t>
  </si>
  <si>
    <t>2,776</t>
  </si>
  <si>
    <t>affected</t>
  </si>
  <si>
    <t>3,000</t>
  </si>
  <si>
    <t># text = In another event, they intercepted all the calls in Washington, D.C., by accident.</t>
  </si>
  <si>
    <t>In</t>
  </si>
  <si>
    <t>another</t>
  </si>
  <si>
    <t>calls</t>
  </si>
  <si>
    <t>D.C.</t>
  </si>
  <si>
    <t>accident</t>
  </si>
  <si>
    <t># text = What's amazing about this, this report, that didn't get that much attention, is the fact that not only were there 2,776 abuses, the chairman of the Senate Intelligence Committee, Dianne Feinstein, had not seen this report until the Washington Post contacted her asking for comment on the report.</t>
  </si>
  <si>
    <t>report</t>
  </si>
  <si>
    <t>much</t>
  </si>
  <si>
    <t>attention</t>
  </si>
  <si>
    <t>chairman</t>
  </si>
  <si>
    <t>Senate</t>
  </si>
  <si>
    <t>Intelligence</t>
  </si>
  <si>
    <t>Committee</t>
  </si>
  <si>
    <t>Dianne</t>
  </si>
  <si>
    <t>Feinstein</t>
  </si>
  <si>
    <t>until</t>
  </si>
  <si>
    <t>contacted</t>
  </si>
  <si>
    <t>her</t>
  </si>
  <si>
    <t>asking</t>
  </si>
  <si>
    <t>comment</t>
  </si>
  <si>
    <t># text = And she then requested a copy from the NSA and received it, but had never seen this before that.</t>
  </si>
  <si>
    <t>she</t>
  </si>
  <si>
    <t>then</t>
  </si>
  <si>
    <t>requested</t>
  </si>
  <si>
    <t>received</t>
  </si>
  <si>
    <t># text = What does that say about the state of oversight in American intelligence when the chairman of the Senate Intelligence Committee has no idea that the rules are being broken thousands of times every year?</t>
  </si>
  <si>
    <t>state</t>
  </si>
  <si>
    <t>oversight</t>
  </si>
  <si>
    <t>idea</t>
  </si>
  <si>
    <t># text = CA: Ed, one response to this whole debate is this:</t>
  </si>
  <si>
    <t>response</t>
  </si>
  <si>
    <t># text = Why should we care about all this surveillance, honestly?</t>
  </si>
  <si>
    <t>Why</t>
  </si>
  <si>
    <t>honestly</t>
  </si>
  <si>
    <t># text = I mean, look, if you've done nothing wrong, you've got nothing to worry about.</t>
  </si>
  <si>
    <t>nothing</t>
  </si>
  <si>
    <t>wrong</t>
  </si>
  <si>
    <t>worry</t>
  </si>
  <si>
    <t># text = What's wrong with that point of view?</t>
  </si>
  <si>
    <t># text = ES: Well, so the first thing is, you're giving up your rights.</t>
  </si>
  <si>
    <t>Well</t>
  </si>
  <si>
    <t># text = You're saying hey, you know, I don't think I'm going to need them, so I'm just going to trust that, you know, let's get rid of them, it doesn't really matter, these guys are going to do the right thing.</t>
  </si>
  <si>
    <t>saying</t>
  </si>
  <si>
    <t>trust</t>
  </si>
  <si>
    <t>rid</t>
  </si>
  <si>
    <t>guys</t>
  </si>
  <si>
    <t># text = Your rights matter because you never know when you're going to need them.</t>
  </si>
  <si>
    <t>Your</t>
  </si>
  <si>
    <t># text = Beyond that, it's a part of our cultural identity, not just in America, but in Western societies and in democratic societies around the world.</t>
  </si>
  <si>
    <t>Beyond</t>
  </si>
  <si>
    <t>cultural</t>
  </si>
  <si>
    <t>identity</t>
  </si>
  <si>
    <t>Western</t>
  </si>
  <si>
    <t>democratic</t>
  </si>
  <si>
    <t># text = People should be able to pick up the phone and to call their family, people should be able to send a text message to their loved ones, people should be able to buy a book online, they should be able to travel by train, they should be able to buy an airline ticket without wondering about how these events are going to look to an agent of the government, possibly not even your government years in the future, how they're going to be misinterpreted and what they're going to think your intentions were.</t>
  </si>
  <si>
    <t>People</t>
  </si>
  <si>
    <t>able</t>
  </si>
  <si>
    <t>pick</t>
  </si>
  <si>
    <t>family</t>
  </si>
  <si>
    <t>send</t>
  </si>
  <si>
    <t>text</t>
  </si>
  <si>
    <t>message</t>
  </si>
  <si>
    <t>loved</t>
  </si>
  <si>
    <t>ones</t>
  </si>
  <si>
    <t>buy</t>
  </si>
  <si>
    <t>book</t>
  </si>
  <si>
    <t>online</t>
  </si>
  <si>
    <t>travel</t>
  </si>
  <si>
    <t>train</t>
  </si>
  <si>
    <t>airline</t>
  </si>
  <si>
    <t>ticket</t>
  </si>
  <si>
    <t>wondering</t>
  </si>
  <si>
    <t>agent</t>
  </si>
  <si>
    <t>possibly</t>
  </si>
  <si>
    <t>misinterpreted</t>
  </si>
  <si>
    <t>intentions</t>
  </si>
  <si>
    <t># text = We have a right to privacy.</t>
  </si>
  <si>
    <t># text = We require warrants to be based on probable cause or some kind of individualized suspicion because we recognize that trusting anybody, any government authority, with the entirety of human communications in secret and without oversight is simply too great a temptation to be ignored.</t>
  </si>
  <si>
    <t>require</t>
  </si>
  <si>
    <t>warrants</t>
  </si>
  <si>
    <t>probable</t>
  </si>
  <si>
    <t>cause</t>
  </si>
  <si>
    <t>individualized</t>
  </si>
  <si>
    <t>suspicion</t>
  </si>
  <si>
    <t>recognize</t>
  </si>
  <si>
    <t>anybody</t>
  </si>
  <si>
    <t>entirety</t>
  </si>
  <si>
    <t>human</t>
  </si>
  <si>
    <t>simply</t>
  </si>
  <si>
    <t>temptation</t>
  </si>
  <si>
    <t>ignored</t>
  </si>
  <si>
    <t># text = Some people are furious at what you've done.</t>
  </si>
  <si>
    <t>furious</t>
  </si>
  <si>
    <t># text = I heard a quote recently from Dick Cheney who said that Julian Assange was a flea bite, Edward Snowden is the lion that bit the head off the dog.</t>
  </si>
  <si>
    <t>quote</t>
  </si>
  <si>
    <t>recently</t>
  </si>
  <si>
    <t>Dick</t>
  </si>
  <si>
    <t>Cheney</t>
  </si>
  <si>
    <t>Julian</t>
  </si>
  <si>
    <t>Assange</t>
  </si>
  <si>
    <t>flea</t>
  </si>
  <si>
    <t>bite</t>
  </si>
  <si>
    <t>lion</t>
  </si>
  <si>
    <t>head</t>
  </si>
  <si>
    <t>off</t>
  </si>
  <si>
    <t>dog</t>
  </si>
  <si>
    <t># text = He thinks you've committed one of the worst acts of betrayal in American history.</t>
  </si>
  <si>
    <t>He</t>
  </si>
  <si>
    <t>thinks</t>
  </si>
  <si>
    <t>committed</t>
  </si>
  <si>
    <t>acts</t>
  </si>
  <si>
    <t>betrayal</t>
  </si>
  <si>
    <t>history</t>
  </si>
  <si>
    <t># text = What would you say to people who think that?</t>
  </si>
  <si>
    <t># text = ES: Dick Cheney's really something else.</t>
  </si>
  <si>
    <t># text = (Laughter) (Applause)</t>
  </si>
  <si>
    <t># text = Thank you.</t>
  </si>
  <si>
    <t>Thank</t>
  </si>
  <si>
    <t># text = I think it's amazing, because at the time Julian Assange was doing some of his greatest work, Dick Cheney was saying he was going to end governments worldwide, the skies were going to ignite and the seas were going to boil off, and now he's saying it's a flea bite.</t>
  </si>
  <si>
    <t>doing</t>
  </si>
  <si>
    <t>greatest</t>
  </si>
  <si>
    <t>end</t>
  </si>
  <si>
    <t>governments</t>
  </si>
  <si>
    <t>skies</t>
  </si>
  <si>
    <t>ignite</t>
  </si>
  <si>
    <t>seas</t>
  </si>
  <si>
    <t>boil</t>
  </si>
  <si>
    <t># text = So we should be suspicious about the same sort of overblown claims of damage to national security from these kind of officials.</t>
  </si>
  <si>
    <t>suspicious</t>
  </si>
  <si>
    <t>same</t>
  </si>
  <si>
    <t>overblown</t>
  </si>
  <si>
    <t>claims</t>
  </si>
  <si>
    <t>damage</t>
  </si>
  <si>
    <t># text = But let's assume that these people really believe this.</t>
  </si>
  <si>
    <t>assume</t>
  </si>
  <si>
    <t># text = I would argue that they have kind of a narrow conception of national security.</t>
  </si>
  <si>
    <t>narrow</t>
  </si>
  <si>
    <t>conception</t>
  </si>
  <si>
    <t># text = The prerogatives of people like Dick Cheney do not keep the nation safe.</t>
  </si>
  <si>
    <t>prerogatives</t>
  </si>
  <si>
    <t>nation</t>
  </si>
  <si>
    <t>safe</t>
  </si>
  <si>
    <t># text = The public interest is not always the same as the national interest.</t>
  </si>
  <si>
    <t>interest</t>
  </si>
  <si>
    <t>always</t>
  </si>
  <si>
    <t># text = Going to war with people who are not our enemy in places that are not a threat doesn't make us safe, and that applies whether it's in Iraq or on the Internet.</t>
  </si>
  <si>
    <t>Going</t>
  </si>
  <si>
    <t>war</t>
  </si>
  <si>
    <t>enemy</t>
  </si>
  <si>
    <t>places</t>
  </si>
  <si>
    <t>threat</t>
  </si>
  <si>
    <t>applies</t>
  </si>
  <si>
    <t>Iraq</t>
  </si>
  <si>
    <t># text = The Internet is not the enemy.</t>
  </si>
  <si>
    <t># text = Our economy is not the enemy.</t>
  </si>
  <si>
    <t>Our</t>
  </si>
  <si>
    <t>economy</t>
  </si>
  <si>
    <t># text = American businesses, Chinese businesses, and any other company out there is a part of our society.</t>
  </si>
  <si>
    <t>businesses</t>
  </si>
  <si>
    <t>society</t>
  </si>
  <si>
    <t># text = It's a part of our interconnected world.</t>
  </si>
  <si>
    <t>interconnected</t>
  </si>
  <si>
    <t># text = There are ties of fraternity that bond us together, and if we destroy these bonds by undermining the standards, the security, the manner of behavior, that nations and citizens all around the world expect us to abide by.</t>
  </si>
  <si>
    <t>ties</t>
  </si>
  <si>
    <t>fraternity</t>
  </si>
  <si>
    <t>bond</t>
  </si>
  <si>
    <t>destroy</t>
  </si>
  <si>
    <t>bonds</t>
  </si>
  <si>
    <t>undermining</t>
  </si>
  <si>
    <t>standards</t>
  </si>
  <si>
    <t>behavior</t>
  </si>
  <si>
    <t>nations</t>
  </si>
  <si>
    <t>expect</t>
  </si>
  <si>
    <t>abide</t>
  </si>
  <si>
    <t># text = But it's alleged that you've stolen 1.7 million documents.</t>
  </si>
  <si>
    <t>1.7</t>
  </si>
  <si>
    <t>million</t>
  </si>
  <si>
    <t># text = It seems only a few hundred of them have been shared with journalists so far.</t>
  </si>
  <si>
    <t>seems</t>
  </si>
  <si>
    <t>hundred</t>
  </si>
  <si>
    <t>shared</t>
  </si>
  <si>
    <t># text = Are there more revelations to come?</t>
  </si>
  <si>
    <t>Are</t>
  </si>
  <si>
    <t># text = ES: There are absolutely more revelations to come.</t>
  </si>
  <si>
    <t>absolutely</t>
  </si>
  <si>
    <t># text = I don't think there's any question that some of the most important reporting to be done is yet to come.</t>
  </si>
  <si>
    <t>reporting</t>
  </si>
  <si>
    <t>yet</t>
  </si>
  <si>
    <t># text = CA: Come here, because I want to ask you about this particular revelation.</t>
  </si>
  <si>
    <t>Come</t>
  </si>
  <si>
    <t>particular</t>
  </si>
  <si>
    <t>revelation</t>
  </si>
  <si>
    <t># text = Come and take a look at this.</t>
  </si>
  <si>
    <t># text = I mean, this is a story which I think for a lot of the techies in this room is the single most shocking thing that they have heard in the last few months.</t>
  </si>
  <si>
    <t>techies</t>
  </si>
  <si>
    <t>shocking</t>
  </si>
  <si>
    <t># text = It's about a program called \"Bullrun.\"</t>
  </si>
  <si>
    <t>Bullrun</t>
  </si>
  <si>
    <t># text = Can you explain what that is?</t>
  </si>
  <si>
    <t>Can</t>
  </si>
  <si>
    <t># text = ES: So Bullrun, and this is again where we've got to thank the NSA for their candor, this is a program named after a Civil War battle.</t>
  </si>
  <si>
    <t>candor</t>
  </si>
  <si>
    <t>after</t>
  </si>
  <si>
    <t>Civil</t>
  </si>
  <si>
    <t>War</t>
  </si>
  <si>
    <t>battle</t>
  </si>
  <si>
    <t># text = The British counterpart is called Edgehill, which is a U.K. civil war battle.</t>
  </si>
  <si>
    <t>British</t>
  </si>
  <si>
    <t>counterpart</t>
  </si>
  <si>
    <t>Edgehill</t>
  </si>
  <si>
    <t>U.K.</t>
  </si>
  <si>
    <t>civil</t>
  </si>
  <si>
    <t># text = And the reason that I believe they're named this way is because they target our own infrastructure.</t>
  </si>
  <si>
    <t>target</t>
  </si>
  <si>
    <t>infrastructure</t>
  </si>
  <si>
    <t># text = They're programs through which the NSA intentionally misleads corporate partners.</t>
  </si>
  <si>
    <t>intentionally</t>
  </si>
  <si>
    <t>misleads</t>
  </si>
  <si>
    <t>partners</t>
  </si>
  <si>
    <t># text = They tell corporate partners that these are safe standards.</t>
  </si>
  <si>
    <t># text = They say hey, we need to work with you to secure your systems, but in reality, they're giving bad advice to these companies that makes them degrade the security of their services.</t>
  </si>
  <si>
    <t>secure</t>
  </si>
  <si>
    <t>bad</t>
  </si>
  <si>
    <t>advice</t>
  </si>
  <si>
    <t>makes</t>
  </si>
  <si>
    <t>degrade</t>
  </si>
  <si>
    <t># text = They're building in backdoors that not only the NSA can exploit, but anyone else who has time and money to research and find it can then use to let themselves in to the world's communications.</t>
  </si>
  <si>
    <t>building</t>
  </si>
  <si>
    <t>backdoors</t>
  </si>
  <si>
    <t>exploit</t>
  </si>
  <si>
    <t>anyone</t>
  </si>
  <si>
    <t>money</t>
  </si>
  <si>
    <t>research</t>
  </si>
  <si>
    <t>OBJ_8</t>
  </si>
  <si>
    <t>other_9</t>
  </si>
  <si>
    <t># text = And this is really dangerous, because if we lose a single standard, if we lose the trust of something like SSL, which was specifically targeted by the Bullrun program, we will live a less safe world overall.</t>
  </si>
  <si>
    <t>dangerous</t>
  </si>
  <si>
    <t>lose</t>
  </si>
  <si>
    <t>standard</t>
  </si>
  <si>
    <t>specifically</t>
  </si>
  <si>
    <t>targeted</t>
  </si>
  <si>
    <t>overall</t>
  </si>
  <si>
    <t># text = We won't be able to access our banks and we won't be able to access commerce without worrying about people monitoring those communications or subverting them for their own ends.</t>
  </si>
  <si>
    <t>wo</t>
  </si>
  <si>
    <t>banks</t>
  </si>
  <si>
    <t>commerce</t>
  </si>
  <si>
    <t>worrying</t>
  </si>
  <si>
    <t>monitoring</t>
  </si>
  <si>
    <t>subverting</t>
  </si>
  <si>
    <t># text = And do those same decisions also potentially open America up to cyberattacks from other sources?</t>
  </si>
  <si>
    <t>potentially</t>
  </si>
  <si>
    <t>cyberattacks</t>
  </si>
  <si>
    <t>sources</t>
  </si>
  <si>
    <t># text = ES: Absolutely.</t>
  </si>
  <si>
    <t>Absolutely</t>
  </si>
  <si>
    <t># text = One of the problems, one of the dangerous legacies that we've seen in the post-9/11 era, is that the NSA has traditionally worn two hats.</t>
  </si>
  <si>
    <t>One</t>
  </si>
  <si>
    <t>problems</t>
  </si>
  <si>
    <t>legacies</t>
  </si>
  <si>
    <t>post-9/11</t>
  </si>
  <si>
    <t>era</t>
  </si>
  <si>
    <t>traditionally</t>
  </si>
  <si>
    <t>worn</t>
  </si>
  <si>
    <t>two</t>
  </si>
  <si>
    <t>hats</t>
  </si>
  <si>
    <t># text = They've been in charge of offensive operations, that is hacking, but they've also been in charge of defensive operations, and traditionally they've always prioritized defense over offense based on the principle that American secrets are simply worth more.</t>
  </si>
  <si>
    <t>charge</t>
  </si>
  <si>
    <t>offensive</t>
  </si>
  <si>
    <t>operations</t>
  </si>
  <si>
    <t>hacking</t>
  </si>
  <si>
    <t>defensive</t>
  </si>
  <si>
    <t>prioritized</t>
  </si>
  <si>
    <t>defense</t>
  </si>
  <si>
    <t>offense</t>
  </si>
  <si>
    <t>principle</t>
  </si>
  <si>
    <t>secrets</t>
  </si>
  <si>
    <t>worth</t>
  </si>
  <si>
    <t># text = If we hack a Chinese business and steal their secrets, if we hack a government office in Berlin that has less value to the American people than making sure that the Chinese can't get access to our secrets.</t>
  </si>
  <si>
    <t>office</t>
  </si>
  <si>
    <t>Berlin</t>
  </si>
  <si>
    <t>value</t>
  </si>
  <si>
    <t># text = So by reducing the security of our communications, they're not only putting the world at risk, they're putting America at risk in a fundamental way, because intellectual property is the basis, the foundation of our economy, and if we put that at risk through weak security, we're going to be paying for it for years.</t>
  </si>
  <si>
    <t>reducing</t>
  </si>
  <si>
    <t>fundamental</t>
  </si>
  <si>
    <t>intellectual</t>
  </si>
  <si>
    <t>property</t>
  </si>
  <si>
    <t>foundation</t>
  </si>
  <si>
    <t>weak</t>
  </si>
  <si>
    <t>paying</t>
  </si>
  <si>
    <t># text = CA: But they've made a calculation that it was worth doing this as part of America's defense against terrorism.</t>
  </si>
  <si>
    <t>calculation</t>
  </si>
  <si>
    <t>against</t>
  </si>
  <si>
    <t>terrorism</t>
  </si>
  <si>
    <t># text = Surely that makes it a price worth paying.</t>
  </si>
  <si>
    <t>Surely</t>
  </si>
  <si>
    <t>price</t>
  </si>
  <si>
    <t># text = ES: Well, when you look at the results of these programs in stopping terrorism, you will see that that's unfounded, and you don't have to take my word for it, because we've had the first open court, the first federal court that's reviewed this, outside the secrecy arrangement, called these programs Orwellian and likely unconstitutional.</t>
  </si>
  <si>
    <t>results</t>
  </si>
  <si>
    <t>stopping</t>
  </si>
  <si>
    <t>unfounded</t>
  </si>
  <si>
    <t>word</t>
  </si>
  <si>
    <t>outside</t>
  </si>
  <si>
    <t>secrecy</t>
  </si>
  <si>
    <t>arrangement</t>
  </si>
  <si>
    <t>Orwellian</t>
  </si>
  <si>
    <t>likely</t>
  </si>
  <si>
    <t>unconstitutional</t>
  </si>
  <si>
    <t># text = Congress, who has access to be briefed on these things, and now has the desire to be, has produced bills to reform it, and two independent White House panels who reviewed all of the classified evidence said these programs have never stopped a single terrorist attack that was imminent in the United States.</t>
  </si>
  <si>
    <t>briefed</t>
  </si>
  <si>
    <t>desire</t>
  </si>
  <si>
    <t>produced</t>
  </si>
  <si>
    <t>bills</t>
  </si>
  <si>
    <t>reform</t>
  </si>
  <si>
    <t>independent</t>
  </si>
  <si>
    <t>White</t>
  </si>
  <si>
    <t>House</t>
  </si>
  <si>
    <t>panels</t>
  </si>
  <si>
    <t>stopped</t>
  </si>
  <si>
    <t>terrorist</t>
  </si>
  <si>
    <t>attack</t>
  </si>
  <si>
    <t>imminent</t>
  </si>
  <si>
    <t># text = So is it really terrorism that we're stopping?</t>
  </si>
  <si>
    <t># text = Do these programs have any value at all?</t>
  </si>
  <si>
    <t>Do</t>
  </si>
  <si>
    <t># text = I say no, and all three branches of the American government say no as well.</t>
  </si>
  <si>
    <t>three</t>
  </si>
  <si>
    <t>branches</t>
  </si>
  <si>
    <t># text = CA: I mean, do you think there's a deeper motivation for them than the war against terrorism?</t>
  </si>
  <si>
    <t>deeper</t>
  </si>
  <si>
    <t>motivation</t>
  </si>
  <si>
    <t># text = ES: I'm sorry, I couldn't hear you, say again?</t>
  </si>
  <si>
    <t>sorry</t>
  </si>
  <si>
    <t># text = CA: Sorry.</t>
  </si>
  <si>
    <t>Sorry</t>
  </si>
  <si>
    <t># text = Do you think there's a deeper motivation for them other than the war against terrorism?</t>
  </si>
  <si>
    <t># text = ES: Yeah.</t>
  </si>
  <si>
    <t>Yeah</t>
  </si>
  <si>
    <t># text = The bottom line is that terrorism has always been what we in the intelligence world would call a cover for action.</t>
  </si>
  <si>
    <t>cover</t>
  </si>
  <si>
    <t># text = Terrorism is something that provokes an emotional response that allows people to rationalize authorizing powers and programs that they wouldn't give otherwise.</t>
  </si>
  <si>
    <t>Terrorism</t>
  </si>
  <si>
    <t>provokes</t>
  </si>
  <si>
    <t>emotional</t>
  </si>
  <si>
    <t>rationalize</t>
  </si>
  <si>
    <t>authorizing</t>
  </si>
  <si>
    <t>powers</t>
  </si>
  <si>
    <t>otherwise</t>
  </si>
  <si>
    <t># text = The Bullrun and Edgehill-type programs, the NSA asked for these authorities back in the 1990s.</t>
  </si>
  <si>
    <t>type</t>
  </si>
  <si>
    <t>authorities</t>
  </si>
  <si>
    <t>1990s</t>
  </si>
  <si>
    <t># text = They asked the FBI to go to Congress and make the case.</t>
  </si>
  <si>
    <t>FBI</t>
  </si>
  <si>
    <t>case</t>
  </si>
  <si>
    <t># text = The FBI went to Congress and did make the case.</t>
  </si>
  <si>
    <t>went</t>
  </si>
  <si>
    <t># text = But Congress and the American people said no.</t>
  </si>
  <si>
    <t># text = They said, it's not worth the risk to our economy.</t>
  </si>
  <si>
    <t># text = They said it's worth too much damage to our society to justify the gains.</t>
  </si>
  <si>
    <t>justify</t>
  </si>
  <si>
    <t>gains</t>
  </si>
  <si>
    <t># text = But what we saw is, in the post-9/11 era, they used secrecy and they used the justification of terrorism to start these programs in secret without asking Congress, without asking the American people, and it's that kind of government behind closed doors that we need to guard ourselves against, because it makes us less safe, and it offers no value.</t>
  </si>
  <si>
    <t>used</t>
  </si>
  <si>
    <t>justification</t>
  </si>
  <si>
    <t>start</t>
  </si>
  <si>
    <t>closed</t>
  </si>
  <si>
    <t>doors</t>
  </si>
  <si>
    <t>guard</t>
  </si>
  <si>
    <t>ourselves</t>
  </si>
  <si>
    <t>offers</t>
  </si>
  <si>
    <t># text = CA: Okay, come with me here for a sec, because I've got a more personal question for you.</t>
  </si>
  <si>
    <t>Okay</t>
  </si>
  <si>
    <t>sec</t>
  </si>
  <si>
    <t>personal</t>
  </si>
  <si>
    <t># text = Speaking of terror, most people would find the situation you're in right now in Russia pretty terrifying.</t>
  </si>
  <si>
    <t>Speaking</t>
  </si>
  <si>
    <t>terror</t>
  </si>
  <si>
    <t>situation</t>
  </si>
  <si>
    <t>pretty</t>
  </si>
  <si>
    <t>terrifying</t>
  </si>
  <si>
    <t># text = You obviously heard what happened, what the treatment that Bradley Manning got, Chelsea Manning as now is, and there was a story in Buzzfeed saying that there are people in the intelligence community who want you dead.</t>
  </si>
  <si>
    <t>obviously</t>
  </si>
  <si>
    <t>happened</t>
  </si>
  <si>
    <t>treatment</t>
  </si>
  <si>
    <t>Bradley</t>
  </si>
  <si>
    <t>Manning</t>
  </si>
  <si>
    <t>Chelsea</t>
  </si>
  <si>
    <t>Buzzfeed</t>
  </si>
  <si>
    <t>dead</t>
  </si>
  <si>
    <t># text = How are you coping with this?</t>
  </si>
  <si>
    <t>coping</t>
  </si>
  <si>
    <t># text = How are you coping with the fear?</t>
  </si>
  <si>
    <t>fear</t>
  </si>
  <si>
    <t># text = ES: It's no mystery that there are governments out there that want to see me dead.</t>
  </si>
  <si>
    <t>mystery</t>
  </si>
  <si>
    <t># text = I've made clear again and again and again that I go to sleep every morning thinking about what I can do for the American people.</t>
  </si>
  <si>
    <t>clear</t>
  </si>
  <si>
    <t>sleep</t>
  </si>
  <si>
    <t>morning</t>
  </si>
  <si>
    <t>thinking</t>
  </si>
  <si>
    <t># text = I don't want to harm my government.</t>
  </si>
  <si>
    <t># text = I want to help my government, but the fact that they are willing to completely ignore due process, they're willing to declare guilt without ever seeing a trial, these are things that we need to work against as a society, and say hey, this is not appropriate.</t>
  </si>
  <si>
    <t>willing</t>
  </si>
  <si>
    <t>completely</t>
  </si>
  <si>
    <t>ignore</t>
  </si>
  <si>
    <t>due</t>
  </si>
  <si>
    <t>declare</t>
  </si>
  <si>
    <t>guilt</t>
  </si>
  <si>
    <t>ever</t>
  </si>
  <si>
    <t>seeing</t>
  </si>
  <si>
    <t>trial</t>
  </si>
  <si>
    <t># text = We shouldn't be threatening dissidents.</t>
  </si>
  <si>
    <t>threatening</t>
  </si>
  <si>
    <t>dissidents</t>
  </si>
  <si>
    <t># text = We shouldn't be criminalizing journalism.</t>
  </si>
  <si>
    <t>criminalizing</t>
  </si>
  <si>
    <t>journalism</t>
  </si>
  <si>
    <t># text = And whatever part I can do to see that end, I'm happy to do despite the risks.</t>
  </si>
  <si>
    <t>whatever</t>
  </si>
  <si>
    <t>happy</t>
  </si>
  <si>
    <t>despite</t>
  </si>
  <si>
    <t># text = CA: So I'd actually like to get some feedback from the audience here, because I know there's widely differing reactions to Edward Snowden.</t>
  </si>
  <si>
    <t>feedback</t>
  </si>
  <si>
    <t>widely</t>
  </si>
  <si>
    <t>differing</t>
  </si>
  <si>
    <t>reactions</t>
  </si>
  <si>
    <t># text = Suppose you had the following two choices, right?</t>
  </si>
  <si>
    <t>Suppose</t>
  </si>
  <si>
    <t>following</t>
  </si>
  <si>
    <t>choices</t>
  </si>
  <si>
    <t># text = You could view what he did as fundamentally a reckless act that has endangered America or you could view it as fundamentally a heroic act that will work towards America and the world's long-term good?</t>
  </si>
  <si>
    <t>fundamentally</t>
  </si>
  <si>
    <t>reckless</t>
  </si>
  <si>
    <t>act</t>
  </si>
  <si>
    <t>endangered</t>
  </si>
  <si>
    <t>heroic</t>
  </si>
  <si>
    <t>long</t>
  </si>
  <si>
    <t>term</t>
  </si>
  <si>
    <t># text = Those are the two choices I'll give you.</t>
  </si>
  <si>
    <t>Those</t>
  </si>
  <si>
    <t># text = I'm curious to see who's willing to vote with the first of those, that this was a reckless act?</t>
  </si>
  <si>
    <t>curious</t>
  </si>
  <si>
    <t>vote</t>
  </si>
  <si>
    <t># text = There are some hands going up.</t>
  </si>
  <si>
    <t>hands</t>
  </si>
  <si>
    <t># text = Some hands going up.</t>
  </si>
  <si>
    <t># text = It's hard to put your hand up when the man is standing right here, but I see them.</t>
  </si>
  <si>
    <t>hand</t>
  </si>
  <si>
    <t>standing</t>
  </si>
  <si>
    <t># text = ES: I can see you.</t>
  </si>
  <si>
    <t># text = CA: And who goes with the second choice, the fundamentally heroic act?</t>
  </si>
  <si>
    <t>goes</t>
  </si>
  <si>
    <t>second</t>
  </si>
  <si>
    <t>choice</t>
  </si>
  <si>
    <t># text = (Applause) (Cheers)</t>
  </si>
  <si>
    <t>Cheers</t>
  </si>
  <si>
    <t># text = And I think it's true to say that there are a lot of people who didn't show a hand and I think are still thinking this through, because it seems to me that the debate around you doesn't split along traditional political lines.</t>
  </si>
  <si>
    <t>true</t>
  </si>
  <si>
    <t>still</t>
  </si>
  <si>
    <t>OBJ_9</t>
  </si>
  <si>
    <t>SBJ_11</t>
  </si>
  <si>
    <t>other_12</t>
  </si>
  <si>
    <t>split</t>
  </si>
  <si>
    <t>traditional</t>
  </si>
  <si>
    <t>political</t>
  </si>
  <si>
    <t># text = It's not left or right, it's not really about pro-government, libertarian, or not just that.</t>
  </si>
  <si>
    <t>left</t>
  </si>
  <si>
    <t>pro-government</t>
  </si>
  <si>
    <t>libertarian</t>
  </si>
  <si>
    <t># text = Part of it is almost a generational issue.</t>
  </si>
  <si>
    <t>Part</t>
  </si>
  <si>
    <t>almost</t>
  </si>
  <si>
    <t>generational</t>
  </si>
  <si>
    <t>issue</t>
  </si>
  <si>
    <t># text = You're part of a generation that grew up with the Internet, and it seems as if you become offended at almost a visceral level when you see something done that you think will harm the Internet.</t>
  </si>
  <si>
    <t>generation</t>
  </si>
  <si>
    <t>grew</t>
  </si>
  <si>
    <t>become</t>
  </si>
  <si>
    <t>offended</t>
  </si>
  <si>
    <t>visceral</t>
  </si>
  <si>
    <t>level</t>
  </si>
  <si>
    <t># text = Is there some truth to that?</t>
  </si>
  <si>
    <t>Is</t>
  </si>
  <si>
    <t>truth</t>
  </si>
  <si>
    <t># text = ES: It is.</t>
  </si>
  <si>
    <t># text = I think it's very true.</t>
  </si>
  <si>
    <t># text = This is not a left or right issue.</t>
  </si>
  <si>
    <t># text = Our basic freedoms, and when I say our, I don't just mean Americans, I mean people around the world, it's not a partisan issue.</t>
  </si>
  <si>
    <t>basic</t>
  </si>
  <si>
    <t>freedoms</t>
  </si>
  <si>
    <t>partisan</t>
  </si>
  <si>
    <t># text = These are things that all people believe, and it's up to all of us to protect them, and to people who have seen and enjoyed a free and open Internet, it's up to us to preserve that liberty for the next generation to enjoy, and if we don't change things, if we don't stand up to make the changes we need to do to keep the Internet safe, not just for us but for everyone, we're going to lose that, and that would be a tremendous loss, not just for us, but for the world.</t>
  </si>
  <si>
    <t>enjoyed</t>
  </si>
  <si>
    <t>preserve</t>
  </si>
  <si>
    <t>liberty</t>
  </si>
  <si>
    <t>stand</t>
  </si>
  <si>
    <t>changes</t>
  </si>
  <si>
    <t>tremendous</t>
  </si>
  <si>
    <t>loss</t>
  </si>
  <si>
    <t># text = CA: Well, I have heard similar language recently from the founder of the world wide web, who I actually think is with us, Sir Tim Berners-Lee.</t>
  </si>
  <si>
    <t>similar</t>
  </si>
  <si>
    <t>language</t>
  </si>
  <si>
    <t>founder</t>
  </si>
  <si>
    <t>wide</t>
  </si>
  <si>
    <t>Sir</t>
  </si>
  <si>
    <t>Berners</t>
  </si>
  <si>
    <t>Lee</t>
  </si>
  <si>
    <t># text = Tim, actually, would you like to come up and say, do we have a microphone for Tim?</t>
  </si>
  <si>
    <t>microphone</t>
  </si>
  <si>
    <t># text = Tim, good to see you.</t>
  </si>
  <si>
    <t># text = Come up there.</t>
  </si>
  <si>
    <t># text = Which camp are you in, by the way, traitor, hero?</t>
  </si>
  <si>
    <t>Which</t>
  </si>
  <si>
    <t>camp</t>
  </si>
  <si>
    <t># text = I have a theory on this, but -- Tim Berners-Lee:</t>
  </si>
  <si>
    <t>theory</t>
  </si>
  <si>
    <t># text = I've given much longer answers to that question, but hero, if I have to make the choice between the two.</t>
  </si>
  <si>
    <t>longer</t>
  </si>
  <si>
    <t>answers</t>
  </si>
  <si>
    <t># text = CA: And Ed, I think you've read the proposal that Sir Tim has talked about about a new Magna Carta to take back the Internet.</t>
  </si>
  <si>
    <t>read</t>
  </si>
  <si>
    <t>proposal</t>
  </si>
  <si>
    <t>talked</t>
  </si>
  <si>
    <t>new</t>
  </si>
  <si>
    <t>Magna</t>
  </si>
  <si>
    <t>Carta</t>
  </si>
  <si>
    <t># text = Is that something that makes sense?</t>
  </si>
  <si>
    <t>sense</t>
  </si>
  <si>
    <t># text = I mean, my generation, I grew up not just thinking about the Internet, but I grew up in the Internet, and although I never expected to have the chance to defend it in such a direct and practical manner and to embody it in this unusual, almost avatar manner, I think there's something poetic about the fact that one of the sons of the Internet has actually become close to the Internet as a result of their political expression.</t>
  </si>
  <si>
    <t>although</t>
  </si>
  <si>
    <t>expected</t>
  </si>
  <si>
    <t>chance</t>
  </si>
  <si>
    <t>defend</t>
  </si>
  <si>
    <t>such</t>
  </si>
  <si>
    <t>practical</t>
  </si>
  <si>
    <t>embody</t>
  </si>
  <si>
    <t>unusual</t>
  </si>
  <si>
    <t>avatar</t>
  </si>
  <si>
    <t>poetic</t>
  </si>
  <si>
    <t>sons</t>
  </si>
  <si>
    <t>close</t>
  </si>
  <si>
    <t>result</t>
  </si>
  <si>
    <t>expression</t>
  </si>
  <si>
    <t># text = And I believe that a Magna Carta for the Internet is exactly what we need.</t>
  </si>
  <si>
    <t>exactly</t>
  </si>
  <si>
    <t># text = We need to encode our values not just in writing but in the structure of the Internet, and it's something that I hope, I invite everyone in the audience, not just here in Vancouver but around the world, to join and participate in.</t>
  </si>
  <si>
    <t>encode</t>
  </si>
  <si>
    <t>values</t>
  </si>
  <si>
    <t>writing</t>
  </si>
  <si>
    <t>structure</t>
  </si>
  <si>
    <t>hope</t>
  </si>
  <si>
    <t>invite</t>
  </si>
  <si>
    <t>Vancouver</t>
  </si>
  <si>
    <t>join</t>
  </si>
  <si>
    <t>participate</t>
  </si>
  <si>
    <t># text = CA: Do you have a question for Ed?</t>
  </si>
  <si>
    <t># text = TBL: Well, two questions, a general question — CA: Ed, can you still hear us?</t>
  </si>
  <si>
    <t>TBL</t>
  </si>
  <si>
    <t>general</t>
  </si>
  <si>
    <t># text = ES: Yes, I can hear you.</t>
  </si>
  <si>
    <t>Yes</t>
  </si>
  <si>
    <t># text = CA: Oh, he's back.</t>
  </si>
  <si>
    <t>Oh</t>
  </si>
  <si>
    <t># text = TBL: The wiretap on your line got a little interfered with for a moment.</t>
  </si>
  <si>
    <t>wiretap</t>
  </si>
  <si>
    <t>interfered</t>
  </si>
  <si>
    <t>moment</t>
  </si>
  <si>
    <t># text = ES: It's a little bit of an NSA problem.</t>
  </si>
  <si>
    <t>problem</t>
  </si>
  <si>
    <t># text = TBL: So, from the 25 years, stepping back and thinking, what would you think would be the best that we could achieve from all the discussions that we have about the web we want?</t>
  </si>
  <si>
    <t>stepping</t>
  </si>
  <si>
    <t>achieve</t>
  </si>
  <si>
    <t>discussions</t>
  </si>
  <si>
    <t>SBJ_9</t>
  </si>
  <si>
    <t># text = ES: When we think about in terms of how far we can go, I think that's a question that's really only limited by what we're willing to put into it.</t>
  </si>
  <si>
    <t>terms</t>
  </si>
  <si>
    <t>limited</t>
  </si>
  <si>
    <t>into</t>
  </si>
  <si>
    <t># text = I think the Internet that we've enjoyed in the past has been exactly what we as not just a nation but as a people around the world need, and by cooperating, by engaging not just the technical parts of society, but as you said, the users, the people around the world who contribute through the Internet, through social media, who just check the weather, who rely on it every day as a part of their life, to champion that.</t>
  </si>
  <si>
    <t>past</t>
  </si>
  <si>
    <t>engaging</t>
  </si>
  <si>
    <t>technical</t>
  </si>
  <si>
    <t>parts</t>
  </si>
  <si>
    <t>contribute</t>
  </si>
  <si>
    <t>social</t>
  </si>
  <si>
    <t>media</t>
  </si>
  <si>
    <t>check</t>
  </si>
  <si>
    <t>weather</t>
  </si>
  <si>
    <t>rely</t>
  </si>
  <si>
    <t>day</t>
  </si>
  <si>
    <t>other_13</t>
  </si>
  <si>
    <t>life</t>
  </si>
  <si>
    <t>champion</t>
  </si>
  <si>
    <t># text = We'll get not just the Internet we've had, but a better Internet, a better now, something that we can use to build a future that'll be better not just than what we hoped for but anything that we could have imagined.</t>
  </si>
  <si>
    <t>better</t>
  </si>
  <si>
    <t>hoped</t>
  </si>
  <si>
    <t>anything</t>
  </si>
  <si>
    <t>OBJ_11</t>
  </si>
  <si>
    <t>imagined</t>
  </si>
  <si>
    <t># text = It's 30 years ago that TED was founded, 1984.</t>
  </si>
  <si>
    <t>founded</t>
  </si>
  <si>
    <t># text = A lot of the conversation since then has been along the lines that actually George Orwell got it wrong.</t>
  </si>
  <si>
    <t>A</t>
  </si>
  <si>
    <t>conversation</t>
  </si>
  <si>
    <t>since</t>
  </si>
  <si>
    <t>George</t>
  </si>
  <si>
    <t>Orwell</t>
  </si>
  <si>
    <t># text = It's not Big Brother watching us.</t>
  </si>
  <si>
    <t>Big</t>
  </si>
  <si>
    <t>Brother</t>
  </si>
  <si>
    <t>watching</t>
  </si>
  <si>
    <t># text = We, through the power of the web, and transparency, are now watching Big Brother.</t>
  </si>
  <si>
    <t>power</t>
  </si>
  <si>
    <t>transparency</t>
  </si>
  <si>
    <t># text = Your revelations kind of drove a stake through the heart of that rather optimistic view, but you still believe there's a way of doing something about that.</t>
  </si>
  <si>
    <t>drove</t>
  </si>
  <si>
    <t>stake</t>
  </si>
  <si>
    <t>heart</t>
  </si>
  <si>
    <t>optimistic</t>
  </si>
  <si>
    <t># text = And you do too.</t>
  </si>
  <si>
    <t># text = ES: Right, so there is an argument to be made that the powers of Big Brother have increased enormously.</t>
  </si>
  <si>
    <t>argument</t>
  </si>
  <si>
    <t>increased</t>
  </si>
  <si>
    <t>enormously</t>
  </si>
  <si>
    <t># text = There was a recent legal article at Yale that established something called the Bankston-Soltani Principle, which is that our expectation of privacy is violated when the capabilities of government surveillance have become cheaper by an order of magnitude, and each time that occurs, we need to revisit and rebalance our privacy rights.</t>
  </si>
  <si>
    <t>recent</t>
  </si>
  <si>
    <t>article</t>
  </si>
  <si>
    <t>Yale</t>
  </si>
  <si>
    <t>established</t>
  </si>
  <si>
    <t>Bankston</t>
  </si>
  <si>
    <t>Soltani</t>
  </si>
  <si>
    <t>Principle</t>
  </si>
  <si>
    <t>expectation</t>
  </si>
  <si>
    <t>capabilities</t>
  </si>
  <si>
    <t>cheaper</t>
  </si>
  <si>
    <t>order</t>
  </si>
  <si>
    <t>magnitude</t>
  </si>
  <si>
    <t>occurs</t>
  </si>
  <si>
    <t>revisit</t>
  </si>
  <si>
    <t>rebalance</t>
  </si>
  <si>
    <t># text = Now, that hasn't happened since the government's surveillance powers have increased by several orders of magnitude, and that's why we're in the problem that we're in today, but there is still hope, because the power of individuals have also been increased by technology.</t>
  </si>
  <si>
    <t>several</t>
  </si>
  <si>
    <t>orders</t>
  </si>
  <si>
    <t>why</t>
  </si>
  <si>
    <t>individuals</t>
  </si>
  <si>
    <t># text = I am living proof that an individual can go head to head against the most powerful adversaries and the most powerful intelligence agencies around the world and win, and I think that's something that we need to take hope from, and we need to build on to make it accessible not just to technical experts but to ordinary citizens around the world.</t>
  </si>
  <si>
    <t>living</t>
  </si>
  <si>
    <t>proof</t>
  </si>
  <si>
    <t>individual</t>
  </si>
  <si>
    <t>powerful</t>
  </si>
  <si>
    <t>adversaries</t>
  </si>
  <si>
    <t>agencies</t>
  </si>
  <si>
    <t>win</t>
  </si>
  <si>
    <t>accessible</t>
  </si>
  <si>
    <t>experts</t>
  </si>
  <si>
    <t>ordinary</t>
  </si>
  <si>
    <t># text = Journalism is not a crime, communication is not a crime, and we should not be monitored in our everyday activities.</t>
  </si>
  <si>
    <t>Journalism</t>
  </si>
  <si>
    <t>crime</t>
  </si>
  <si>
    <t>monitored</t>
  </si>
  <si>
    <t>activities</t>
  </si>
  <si>
    <t># text = CA: I'm not quite sure how you shake the hand of a bot, but I imagine it's, this is the hand right here.</t>
  </si>
  <si>
    <t>quite</t>
  </si>
  <si>
    <t>shake</t>
  </si>
  <si>
    <t>imagine</t>
  </si>
  <si>
    <t># text = TBL: That'll come very soon.</t>
  </si>
  <si>
    <t>soon</t>
  </si>
  <si>
    <t># text = ES: Nice to meet you, and I hope my beam looks as nice as my view of you guys does.</t>
  </si>
  <si>
    <t>Nice</t>
  </si>
  <si>
    <t>meet</t>
  </si>
  <si>
    <t>beam</t>
  </si>
  <si>
    <t>looks</t>
  </si>
  <si>
    <t>nice</t>
  </si>
  <si>
    <t># text = CA: Thank you,</t>
  </si>
  <si>
    <t># text = Tim.</t>
  </si>
  <si>
    <t># text = I mean, The New York Times recently called for an amnesty for you.</t>
  </si>
  <si>
    <t>New</t>
  </si>
  <si>
    <t>York</t>
  </si>
  <si>
    <t>Times</t>
  </si>
  <si>
    <t>amnesty</t>
  </si>
  <si>
    <t># text = Would you welcome the chance to come back to America?</t>
  </si>
  <si>
    <t>Would</t>
  </si>
  <si>
    <t># text = There's really no question, the principles that have been the foundation of this project have been the public interest and the principles that underly the journalistic establishment in the United States and around the world, and I think if the press is now saying, we support this, this is something that needed to happen, that's a powerful argument, but it's not the final argument, that public should decide.</t>
  </si>
  <si>
    <t>principles</t>
  </si>
  <si>
    <t>project</t>
  </si>
  <si>
    <t>underly</t>
  </si>
  <si>
    <t>journalistic</t>
  </si>
  <si>
    <t>establishment</t>
  </si>
  <si>
    <t>needed</t>
  </si>
  <si>
    <t>final</t>
  </si>
  <si>
    <t>decide</t>
  </si>
  <si>
    <t># text = But at the same time, the government has hinted that they want some kind of deal, that they want me to compromise the journalists with which I've been working, to come back, and I want to make it very clear that I did not do this to be safe.</t>
  </si>
  <si>
    <t>hinted</t>
  </si>
  <si>
    <t>deal</t>
  </si>
  <si>
    <t>compromise</t>
  </si>
  <si>
    <t># text = I did this to do what was right, and I'm not going to stop my work in the public interest just to benefit myself.</t>
  </si>
  <si>
    <t>stop</t>
  </si>
  <si>
    <t># text = CA: In the meantime, courtesy of the Internet and this technology, you're here, back in North America, not quite the U.S., Canada, in this form.</t>
  </si>
  <si>
    <t>meantime</t>
  </si>
  <si>
    <t>courtesy</t>
  </si>
  <si>
    <t>North</t>
  </si>
  <si>
    <t>Canada</t>
  </si>
  <si>
    <t>form</t>
  </si>
  <si>
    <t># text = I'm curious, how does that feel?</t>
  </si>
  <si>
    <t>feel</t>
  </si>
  <si>
    <t># text = ES: Canada is different than what I expected.</t>
  </si>
  <si>
    <t># text = It's a lot warmer.</t>
  </si>
  <si>
    <t>warmer</t>
  </si>
  <si>
    <t># text = CA: At TED, the mission is "ideas worth spreading."</t>
  </si>
  <si>
    <t>At</t>
  </si>
  <si>
    <t>mission</t>
  </si>
  <si>
    <t>ideas</t>
  </si>
  <si>
    <t>spreading</t>
  </si>
  <si>
    <t># text = If you could encapsulate it in a single idea, what is your idea worth spreading right now at this moment?</t>
  </si>
  <si>
    <t>encapsulate</t>
  </si>
  <si>
    <t># text = ES: I would say the last year has been a reminder that democracy may die behind closed doors, but we as individuals are born behind those same closed doors, and we don't have to give up our privacy to have good government.</t>
  </si>
  <si>
    <t>reminder</t>
  </si>
  <si>
    <t>democracy</t>
  </si>
  <si>
    <t>may</t>
  </si>
  <si>
    <t>die</t>
  </si>
  <si>
    <t>born</t>
  </si>
  <si>
    <t># text = We don't have to give up our liberty to have security.</t>
  </si>
  <si>
    <t># text = And I think by working together we can have both open government and private lives, and I look forward to working with everyone around the world to see that happen.</t>
  </si>
  <si>
    <t>lives</t>
  </si>
  <si>
    <t>forward</t>
  </si>
  <si>
    <t># text = Thank you very much.</t>
  </si>
  <si>
    <t># text = CA: Ed,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</si>
</sst>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20</v>
      </c>
      <c r="C4" s="6" t="s">
        <v>21</v>
      </c>
      <c r="D4" s="7" t="s">
        <v>22</v>
      </c>
      <c r="E4" s="8" t="s">
        <v>23</v>
      </c>
      <c r="F4" s="6" t="s">
        <v>24</v>
      </c>
      <c r="G4" s="9">
        <f>IF(A4=1,"_",IF(C4="_","???",C4))</f>
        <v/>
      </c>
      <c r="H4" s="10" t="s">
        <v>11</v>
      </c>
      <c r="I4" s="11" t="s">
        <v>11</v>
      </c>
      <c r="J4" s="12"/>
    </row>
    <row r="5" spans="1:10" ht="60" customHeight="1">
      <c r="A5" s="6" t="s">
        <v>20</v>
      </c>
      <c r="B5" s="6" t="s">
        <v>25</v>
      </c>
      <c r="C5" s="6" t="s">
        <v>21</v>
      </c>
      <c r="D5" s="7" t="s">
        <v>26</v>
      </c>
      <c r="E5" s="8" t="s">
        <v>27</v>
      </c>
      <c r="F5" s="6" t="s">
        <v>28</v>
      </c>
      <c r="G5" s="9">
        <f>IF(A5=1,"_",IF(C5="_","???",C5))</f>
        <v/>
      </c>
      <c r="H5" s="10" t="s">
        <v>11</v>
      </c>
      <c r="I5" s="11" t="s">
        <v>11</v>
      </c>
      <c r="J5" s="12"/>
    </row>
    <row r="6" spans="1:10" ht="60" customHeight="1">
      <c r="A6" s="6" t="s">
        <v>25</v>
      </c>
      <c r="B6" s="6" t="s">
        <v>10</v>
      </c>
      <c r="C6" s="6" t="s">
        <v>11</v>
      </c>
      <c r="D6" s="7" t="s">
        <v>29</v>
      </c>
      <c r="E6" s="8" t="s">
        <v>30</v>
      </c>
      <c r="F6" s="6" t="s">
        <v>31</v>
      </c>
      <c r="G6" s="9">
        <f>IF(A6=1,"_",IF(C6="_","???",C6))</f>
        <v/>
      </c>
      <c r="H6" s="10" t="s">
        <v>11</v>
      </c>
      <c r="I6" s="11" t="s">
        <v>11</v>
      </c>
      <c r="J6" s="12"/>
    </row>
    <row r="7" spans="1:10" ht="60" customHeight="1">
      <c r="A7" s="6" t="s">
        <v>32</v>
      </c>
      <c r="B7" s="6" t="s">
        <v>20</v>
      </c>
      <c r="C7" s="6" t="s">
        <v>33</v>
      </c>
      <c r="D7" s="7" t="s">
        <v>34</v>
      </c>
      <c r="E7" s="8" t="s">
        <v>35</v>
      </c>
      <c r="F7" s="6" t="s">
        <v>36</v>
      </c>
      <c r="G7" s="9">
        <f>IF(A7=1,"_",IF(C7="_","???",C7))</f>
        <v/>
      </c>
      <c r="H7" s="10" t="s">
        <v>11</v>
      </c>
      <c r="I7" s="11" t="s">
        <v>11</v>
      </c>
      <c r="J7" s="12"/>
    </row>
    <row r="8" spans="1:10" ht="60" customHeight="1">
      <c r="A8" s="6" t="s">
        <v>37</v>
      </c>
      <c r="B8" s="6" t="s">
        <v>10</v>
      </c>
      <c r="C8" s="6" t="s">
        <v>11</v>
      </c>
      <c r="D8" s="7" t="s">
        <v>38</v>
      </c>
      <c r="E8" s="8" t="s">
        <v>39</v>
      </c>
      <c r="F8" s="6" t="s">
        <v>40</v>
      </c>
      <c r="G8" s="9">
        <f>IF(A8=1,"_",IF(C8="_","???",C8))</f>
        <v/>
      </c>
      <c r="H8" s="10" t="s">
        <v>11</v>
      </c>
      <c r="I8" s="11" t="s">
        <v>11</v>
      </c>
      <c r="J8" s="12"/>
    </row>
    <row r="9" spans="1:10" ht="60" customHeight="1">
      <c r="A9" s="6" t="s">
        <v>41</v>
      </c>
      <c r="B9" s="6" t="s">
        <v>25</v>
      </c>
      <c r="C9" s="6" t="s">
        <v>11</v>
      </c>
      <c r="D9" s="7" t="s">
        <v>34</v>
      </c>
      <c r="E9" s="8" t="s">
        <v>42</v>
      </c>
      <c r="F9" s="6" t="s">
        <v>43</v>
      </c>
      <c r="G9" s="9">
        <f>IF(A9=1,"_",IF(C9="_","???",C9))</f>
        <v/>
      </c>
      <c r="H9" s="10" t="s">
        <v>11</v>
      </c>
      <c r="I9" s="11" t="s">
        <v>11</v>
      </c>
      <c r="J9" s="12"/>
    </row>
    <row r="10" spans="1:10" ht="60" customHeight="1">
      <c r="A10" s="6" t="s">
        <v>44</v>
      </c>
      <c r="B10" s="6" t="s">
        <v>15</v>
      </c>
      <c r="C10" s="6" t="s">
        <v>11</v>
      </c>
      <c r="D10" s="7" t="s">
        <v>45</v>
      </c>
      <c r="E10" s="8" t="s">
        <v>46</v>
      </c>
      <c r="F10" s="6" t="s">
        <v>47</v>
      </c>
      <c r="G10" s="9">
        <f>IF(A10=1,"_",IF(C10="_","???",C10))</f>
        <v/>
      </c>
      <c r="H10" s="10" t="s">
        <v>11</v>
      </c>
      <c r="I10" s="11" t="s">
        <v>11</v>
      </c>
      <c r="J10" s="12"/>
    </row>
    <row r="11" spans="1:10" ht="60" customHeight="1">
      <c r="A11" s="6" t="s">
        <v>48</v>
      </c>
      <c r="B11" s="6" t="s">
        <v>15</v>
      </c>
      <c r="C11" s="6" t="s">
        <v>11</v>
      </c>
      <c r="D11" s="7" t="s">
        <v>49</v>
      </c>
      <c r="E11" s="8" t="s">
        <v>50</v>
      </c>
      <c r="F11" s="6" t="s">
        <v>51</v>
      </c>
      <c r="G11" s="9">
        <f>IF(A11=1,"_",IF(C11="_","???",C11))</f>
        <v/>
      </c>
      <c r="H11" s="10" t="s">
        <v>11</v>
      </c>
      <c r="I11" s="11" t="s">
        <v>11</v>
      </c>
      <c r="J11" s="12"/>
    </row>
    <row r="12" spans="1:10" ht="60" customHeight="1">
      <c r="A12" s="6" t="s">
        <v>52</v>
      </c>
      <c r="B12" s="6" t="s">
        <v>10</v>
      </c>
      <c r="C12" s="6" t="s">
        <v>11</v>
      </c>
      <c r="D12" s="7" t="s">
        <v>53</v>
      </c>
      <c r="E12" s="8" t="s">
        <v>54</v>
      </c>
      <c r="F12" s="6" t="s">
        <v>55</v>
      </c>
      <c r="G12" s="9">
        <f>IF(A12=1,"_",IF(C12="_","???",C12))</f>
        <v/>
      </c>
      <c r="H12" s="10" t="s">
        <v>11</v>
      </c>
      <c r="I12" s="11" t="s">
        <v>11</v>
      </c>
      <c r="J12" s="12"/>
    </row>
    <row r="13" spans="1:10" ht="60" customHeight="1">
      <c r="A13" s="6" t="s">
        <v>56</v>
      </c>
      <c r="B13" s="6" t="s">
        <v>20</v>
      </c>
      <c r="C13" s="6" t="s">
        <v>11</v>
      </c>
      <c r="D13" s="7" t="s">
        <v>57</v>
      </c>
      <c r="E13" s="8" t="s">
        <v>58</v>
      </c>
      <c r="F13" s="6" t="s">
        <v>59</v>
      </c>
      <c r="G13" s="9">
        <f>IF(A13=1,"_",IF(C13="_","???",C13))</f>
        <v/>
      </c>
      <c r="H13" s="10" t="s">
        <v>11</v>
      </c>
      <c r="I13" s="11" t="s">
        <v>11</v>
      </c>
      <c r="J13" s="12"/>
    </row>
    <row r="14" spans="1:10" ht="60" customHeight="1">
      <c r="A14" s="6" t="s">
        <v>60</v>
      </c>
      <c r="B14" s="6" t="s">
        <v>20</v>
      </c>
      <c r="C14" s="6" t="s">
        <v>11</v>
      </c>
      <c r="D14" s="7" t="s">
        <v>57</v>
      </c>
      <c r="E14" s="8" t="s">
        <v>61</v>
      </c>
      <c r="F14" s="6" t="s">
        <v>62</v>
      </c>
      <c r="G14" s="9">
        <f>IF(A14=1,"_",IF(C14="_","???",C14))</f>
        <v/>
      </c>
      <c r="H14" s="10" t="s">
        <v>11</v>
      </c>
      <c r="I14" s="11" t="s">
        <v>11</v>
      </c>
      <c r="J14" s="12"/>
    </row>
    <row r="15" spans="1:10" ht="60" customHeight="1">
      <c r="A15" s="6" t="s">
        <v>63</v>
      </c>
      <c r="B15" s="6" t="s">
        <v>37</v>
      </c>
      <c r="C15" s="6" t="s">
        <v>11</v>
      </c>
      <c r="D15" s="7" t="s">
        <v>64</v>
      </c>
      <c r="E15" s="8" t="s">
        <v>65</v>
      </c>
      <c r="F15" s="6" t="s">
        <v>66</v>
      </c>
      <c r="G15" s="9">
        <f>IF(A15=1,"_",IF(C15="_","???",C15))</f>
        <v/>
      </c>
      <c r="H15" s="10" t="s">
        <v>11</v>
      </c>
      <c r="I15" s="11" t="s">
        <v>11</v>
      </c>
      <c r="J15" s="12"/>
    </row>
    <row r="16" spans="1:10" ht="60" customHeight="1">
      <c r="A16" s="6" t="s">
        <v>67</v>
      </c>
      <c r="B16" s="6" t="s">
        <v>10</v>
      </c>
      <c r="C16" s="6" t="s">
        <v>11</v>
      </c>
      <c r="D16" s="7" t="s">
        <v>68</v>
      </c>
      <c r="E16" s="8" t="s">
        <v>69</v>
      </c>
      <c r="F16" s="6" t="s">
        <v>70</v>
      </c>
      <c r="G16" s="9">
        <f>IF(A16=1,"_",IF(C16="_","???",C16))</f>
        <v/>
      </c>
      <c r="H16" s="10" t="s">
        <v>11</v>
      </c>
      <c r="I16" s="11" t="s">
        <v>11</v>
      </c>
      <c r="J16" s="12"/>
    </row>
    <row r="17" spans="1:10" ht="60" customHeight="1">
      <c r="A17" s="6" t="s">
        <v>71</v>
      </c>
      <c r="B17" s="6" t="s">
        <v>20</v>
      </c>
      <c r="C17" s="6" t="s">
        <v>72</v>
      </c>
      <c r="D17" s="7" t="s">
        <v>73</v>
      </c>
      <c r="E17" s="8" t="s">
        <v>74</v>
      </c>
      <c r="F17" s="6" t="s">
        <v>75</v>
      </c>
      <c r="G17" s="9">
        <f>IF(A17=1,"_",IF(C17="_","???",C17))</f>
        <v/>
      </c>
      <c r="H17" s="10" t="s">
        <v>11</v>
      </c>
      <c r="I17" s="11" t="s">
        <v>11</v>
      </c>
      <c r="J17" s="12"/>
    </row>
    <row r="18" spans="1:10" ht="60" customHeight="1">
      <c r="A18" s="6" t="s">
        <v>76</v>
      </c>
      <c r="B18" s="6" t="s">
        <v>37</v>
      </c>
      <c r="C18" s="6" t="s">
        <v>11</v>
      </c>
      <c r="D18" s="7" t="s">
        <v>77</v>
      </c>
      <c r="E18" s="8" t="s">
        <v>78</v>
      </c>
      <c r="F18" s="6" t="s">
        <v>79</v>
      </c>
      <c r="G18" s="9">
        <f>IF(A18=1,"_",IF(C18="_","???",C18))</f>
        <v/>
      </c>
      <c r="H18" s="10" t="s">
        <v>11</v>
      </c>
      <c r="I18" s="11" t="s">
        <v>11</v>
      </c>
      <c r="J18" s="12"/>
    </row>
    <row r="19" spans="1:10" ht="60" customHeight="1">
      <c r="A19" s="6" t="s">
        <v>80</v>
      </c>
      <c r="B19" s="6" t="s">
        <v>60</v>
      </c>
      <c r="C19" s="6" t="s">
        <v>81</v>
      </c>
      <c r="D19" s="7" t="s">
        <v>82</v>
      </c>
      <c r="E19" s="8" t="s">
        <v>83</v>
      </c>
      <c r="F19" s="6" t="s">
        <v>84</v>
      </c>
      <c r="G19" s="9">
        <f>IF(A19=1,"_",IF(C19="_","???",C19))</f>
        <v/>
      </c>
      <c r="H19" s="10" t="s">
        <v>11</v>
      </c>
      <c r="I19" s="11" t="s">
        <v>11</v>
      </c>
      <c r="J19" s="12"/>
    </row>
    <row r="20" spans="1:10" ht="60" customHeight="1">
      <c r="A20" s="6" t="s">
        <v>85</v>
      </c>
      <c r="B20" s="6" t="s">
        <v>19</v>
      </c>
      <c r="C20" s="6" t="s">
        <v>11</v>
      </c>
      <c r="D20" s="7" t="s">
        <v>77</v>
      </c>
      <c r="E20" s="8" t="s">
        <v>86</v>
      </c>
      <c r="F20" s="6" t="s">
        <v>87</v>
      </c>
      <c r="G20" s="9">
        <f>IF(A20=1,"_",IF(C20="_","???",C20))</f>
        <v/>
      </c>
      <c r="H20" s="10" t="s">
        <v>11</v>
      </c>
      <c r="I20" s="11" t="s">
        <v>11</v>
      </c>
      <c r="J20" s="12"/>
    </row>
    <row r="21" spans="1:10" ht="60" customHeight="1">
      <c r="A21" s="6" t="s">
        <v>88</v>
      </c>
      <c r="B21" s="6" t="s">
        <v>25</v>
      </c>
      <c r="C21" s="6" t="s">
        <v>11</v>
      </c>
      <c r="D21" s="7" t="s">
        <v>89</v>
      </c>
      <c r="E21" s="8" t="s">
        <v>90</v>
      </c>
      <c r="F21" s="6" t="s">
        <v>91</v>
      </c>
      <c r="G21" s="9">
        <f>IF(A21=1,"_",IF(C21="_","???",C21))</f>
        <v/>
      </c>
      <c r="H21" s="10" t="s">
        <v>11</v>
      </c>
      <c r="I21" s="11" t="s">
        <v>11</v>
      </c>
      <c r="J21" s="12"/>
    </row>
    <row r="22" spans="1:10" ht="60" customHeight="1">
      <c r="A22" s="6" t="s">
        <v>92</v>
      </c>
      <c r="B22" s="6" t="s">
        <v>19</v>
      </c>
      <c r="C22" s="6" t="s">
        <v>81</v>
      </c>
      <c r="D22" s="7" t="s">
        <v>93</v>
      </c>
      <c r="E22" s="8" t="s">
        <v>94</v>
      </c>
      <c r="F22" s="6" t="s">
        <v>95</v>
      </c>
      <c r="G22" s="9">
        <f>IF(A22=1,"_",IF(C22="_","???",C22))</f>
        <v/>
      </c>
      <c r="H22" s="10" t="s">
        <v>11</v>
      </c>
      <c r="I22" s="11" t="s">
        <v>11</v>
      </c>
      <c r="J22" s="12"/>
    </row>
    <row r="23" spans="1:10" ht="60" customHeight="1">
      <c r="A23" s="6" t="s">
        <v>96</v>
      </c>
      <c r="B23" s="6" t="s">
        <v>52</v>
      </c>
      <c r="C23" s="6" t="s">
        <v>97</v>
      </c>
      <c r="D23" s="7" t="s">
        <v>98</v>
      </c>
      <c r="E23" s="8" t="s">
        <v>99</v>
      </c>
      <c r="F23" s="6" t="s">
        <v>100</v>
      </c>
      <c r="G23" s="9">
        <f>IF(A23=1,"_",IF(C23="_","???",C23))</f>
        <v/>
      </c>
      <c r="H23" s="10" t="s">
        <v>11</v>
      </c>
      <c r="I23" s="11" t="s">
        <v>11</v>
      </c>
      <c r="J23" s="12"/>
    </row>
    <row r="24" spans="1:10" ht="60" customHeight="1">
      <c r="A24" s="6" t="s">
        <v>101</v>
      </c>
      <c r="B24" s="6" t="s">
        <v>60</v>
      </c>
      <c r="C24" s="6" t="s">
        <v>81</v>
      </c>
      <c r="D24" s="7" t="s">
        <v>102</v>
      </c>
      <c r="E24" s="8" t="s">
        <v>103</v>
      </c>
      <c r="F24" s="6" t="s">
        <v>104</v>
      </c>
      <c r="G24" s="9">
        <f>IF(A24=1,"_",IF(C24="_","???",C24))</f>
        <v/>
      </c>
      <c r="H24" s="10" t="s">
        <v>11</v>
      </c>
      <c r="I24" s="11" t="s">
        <v>11</v>
      </c>
      <c r="J24" s="12"/>
    </row>
    <row r="25" spans="1:10" ht="60" customHeight="1">
      <c r="A25" s="6" t="s">
        <v>105</v>
      </c>
      <c r="B25" s="6" t="s">
        <v>19</v>
      </c>
      <c r="C25" s="6" t="s">
        <v>81</v>
      </c>
      <c r="D25" s="7" t="s">
        <v>106</v>
      </c>
      <c r="E25" s="8" t="s">
        <v>107</v>
      </c>
      <c r="F25" s="6" t="s">
        <v>108</v>
      </c>
      <c r="G25" s="9">
        <f>IF(A25=1,"_",IF(C25="_","???",C25))</f>
        <v/>
      </c>
      <c r="H25" s="10" t="s">
        <v>11</v>
      </c>
      <c r="I25" s="11" t="s">
        <v>11</v>
      </c>
      <c r="J25" s="12"/>
    </row>
    <row r="26" spans="1:10" ht="60" customHeight="1">
      <c r="A26" s="6" t="s">
        <v>109</v>
      </c>
      <c r="B26" s="6" t="s">
        <v>10</v>
      </c>
      <c r="C26" s="6" t="s">
        <v>11</v>
      </c>
      <c r="D26" s="7" t="s">
        <v>110</v>
      </c>
      <c r="E26" s="8" t="s">
        <v>111</v>
      </c>
      <c r="F26" s="6" t="s">
        <v>112</v>
      </c>
      <c r="G26" s="9">
        <f>IF(A26=1,"_",IF(C26="_","???",C26))</f>
        <v/>
      </c>
      <c r="H26" s="10" t="s">
        <v>11</v>
      </c>
      <c r="I26" s="11" t="s">
        <v>11</v>
      </c>
      <c r="J26" s="12"/>
    </row>
    <row r="27" spans="1:10" ht="60" customHeight="1">
      <c r="A27" s="6" t="s">
        <v>113</v>
      </c>
      <c r="B27" s="6" t="s">
        <v>20</v>
      </c>
      <c r="C27" s="6" t="s">
        <v>21</v>
      </c>
      <c r="D27" s="7" t="s">
        <v>114</v>
      </c>
      <c r="E27" s="8" t="s">
        <v>115</v>
      </c>
      <c r="F27" s="6" t="s">
        <v>116</v>
      </c>
      <c r="G27" s="9">
        <f>IF(A27=1,"_",IF(C27="_","???",C27))</f>
        <v/>
      </c>
      <c r="H27" s="10" t="s">
        <v>11</v>
      </c>
      <c r="I27" s="11" t="s">
        <v>11</v>
      </c>
      <c r="J27" s="12"/>
    </row>
    <row r="28" spans="1:10" ht="60" customHeight="1">
      <c r="A28" s="6" t="s">
        <v>117</v>
      </c>
      <c r="B28" s="6" t="s">
        <v>32</v>
      </c>
      <c r="C28" s="6" t="s">
        <v>81</v>
      </c>
      <c r="D28" s="7" t="s">
        <v>118</v>
      </c>
      <c r="E28" s="8" t="s">
        <v>119</v>
      </c>
      <c r="F28" s="6" t="s">
        <v>120</v>
      </c>
      <c r="G28" s="9">
        <f>IF(A28=1,"_",IF(C28="_","???",C28))</f>
        <v/>
      </c>
      <c r="H28" s="10" t="s">
        <v>11</v>
      </c>
      <c r="I28" s="11" t="s">
        <v>11</v>
      </c>
      <c r="J28" s="12"/>
    </row>
    <row r="29" spans="1:10" ht="60" customHeight="1">
      <c r="A29" s="6" t="s">
        <v>121</v>
      </c>
      <c r="B29" s="6" t="s">
        <v>20</v>
      </c>
      <c r="C29" s="6" t="s">
        <v>11</v>
      </c>
      <c r="D29" s="7" t="s">
        <v>122</v>
      </c>
      <c r="E29" s="8" t="s">
        <v>123</v>
      </c>
      <c r="F29" s="6" t="s">
        <v>124</v>
      </c>
      <c r="G29" s="9">
        <f>IF(A29=1,"_",IF(C29="_","???",C29))</f>
        <v/>
      </c>
      <c r="H29" s="10" t="s">
        <v>11</v>
      </c>
      <c r="I29" s="11" t="s">
        <v>11</v>
      </c>
      <c r="J29" s="12"/>
    </row>
    <row r="30" spans="1:10" ht="60" customHeight="1">
      <c r="A30" s="6" t="s">
        <v>125</v>
      </c>
      <c r="B30" s="6" t="s">
        <v>10</v>
      </c>
      <c r="C30" s="6" t="s">
        <v>72</v>
      </c>
      <c r="D30" s="7" t="s">
        <v>68</v>
      </c>
      <c r="E30" s="8" t="s">
        <v>126</v>
      </c>
      <c r="F30" s="6" t="s">
        <v>127</v>
      </c>
      <c r="G30" s="9">
        <f>IF(A30=1,"_",IF(C30="_","???",C30))</f>
        <v/>
      </c>
      <c r="H30" s="10" t="s">
        <v>11</v>
      </c>
      <c r="I30" s="11" t="s">
        <v>11</v>
      </c>
      <c r="J30" s="12"/>
    </row>
    <row r="31" spans="1:10" ht="60" customHeight="1">
      <c r="A31" s="6" t="s">
        <v>128</v>
      </c>
      <c r="B31" s="6" t="s">
        <v>15</v>
      </c>
      <c r="C31" s="6" t="s">
        <v>81</v>
      </c>
      <c r="D31" s="7" t="s">
        <v>129</v>
      </c>
      <c r="E31" s="8" t="s">
        <v>130</v>
      </c>
      <c r="F31" s="6" t="s">
        <v>131</v>
      </c>
      <c r="G31" s="9">
        <f>IF(A31=1,"_",IF(C31="_","???",C31))</f>
        <v/>
      </c>
      <c r="H31" s="10" t="s">
        <v>11</v>
      </c>
      <c r="I31" s="11" t="s">
        <v>11</v>
      </c>
      <c r="J31" s="12"/>
    </row>
    <row r="32" spans="1:10" ht="60" customHeight="1">
      <c r="A32" s="6" t="s">
        <v>132</v>
      </c>
      <c r="B32" s="6" t="s">
        <v>19</v>
      </c>
      <c r="C32" s="6" t="s">
        <v>133</v>
      </c>
      <c r="D32" s="7" t="s">
        <v>134</v>
      </c>
      <c r="E32" s="8" t="s">
        <v>135</v>
      </c>
      <c r="F32" s="6" t="s">
        <v>136</v>
      </c>
      <c r="G32" s="9">
        <f>IF(A32=1,"_",IF(C32="_","???",C32))</f>
        <v/>
      </c>
      <c r="H32" s="10" t="s">
        <v>11</v>
      </c>
      <c r="I32" s="11" t="s">
        <v>11</v>
      </c>
      <c r="J32" s="12"/>
    </row>
    <row r="33" spans="1:10" ht="60" customHeight="1">
      <c r="A33" s="6" t="s">
        <v>137</v>
      </c>
      <c r="B33" s="6" t="s">
        <v>15</v>
      </c>
      <c r="C33" s="6" t="s">
        <v>81</v>
      </c>
      <c r="D33" s="7" t="s">
        <v>134</v>
      </c>
      <c r="E33" s="8" t="s">
        <v>138</v>
      </c>
      <c r="F33" s="6" t="s">
        <v>139</v>
      </c>
      <c r="G33" s="9">
        <f>IF(A33=1,"_",IF(C33="_","???",C33))</f>
        <v/>
      </c>
      <c r="H33" s="10" t="s">
        <v>11</v>
      </c>
      <c r="I33" s="11" t="s">
        <v>11</v>
      </c>
      <c r="J33" s="12"/>
    </row>
    <row r="34" spans="1:10" ht="60" customHeight="1">
      <c r="A34" s="6" t="s">
        <v>140</v>
      </c>
      <c r="B34" s="6" t="s">
        <v>56</v>
      </c>
      <c r="C34" s="6" t="s">
        <v>72</v>
      </c>
      <c r="D34" s="7" t="s">
        <v>141</v>
      </c>
      <c r="E34" s="8" t="s">
        <v>142</v>
      </c>
      <c r="F34" s="6" t="s">
        <v>143</v>
      </c>
      <c r="G34" s="9">
        <f>IF(A34=1,"_",IF(C34="_","???",C34))</f>
        <v/>
      </c>
      <c r="H34" s="10" t="s">
        <v>11</v>
      </c>
      <c r="I34" s="11" t="s">
        <v>11</v>
      </c>
      <c r="J34" s="12"/>
    </row>
    <row r="35" spans="1:10" ht="60" customHeight="1">
      <c r="A35" s="6" t="s">
        <v>144</v>
      </c>
      <c r="B35" s="6" t="s">
        <v>117</v>
      </c>
      <c r="C35" s="6" t="s">
        <v>81</v>
      </c>
      <c r="D35" s="7" t="s">
        <v>134</v>
      </c>
      <c r="E35" s="8" t="s">
        <v>145</v>
      </c>
      <c r="F35" s="6" t="s">
        <v>146</v>
      </c>
      <c r="G35" s="9">
        <f>IF(A35=1,"_",IF(C35="_","???",C35))</f>
        <v/>
      </c>
      <c r="H35" s="10" t="s">
        <v>11</v>
      </c>
      <c r="I35" s="11" t="s">
        <v>11</v>
      </c>
      <c r="J35" s="12"/>
    </row>
    <row r="36" spans="1:10" ht="60" customHeight="1">
      <c r="A36" s="6" t="s">
        <v>147</v>
      </c>
      <c r="B36" s="6" t="s">
        <v>48</v>
      </c>
      <c r="C36" s="6" t="s">
        <v>133</v>
      </c>
      <c r="D36" s="7" t="s">
        <v>148</v>
      </c>
      <c r="E36" s="8" t="s">
        <v>149</v>
      </c>
      <c r="F36" s="6" t="s">
        <v>150</v>
      </c>
      <c r="G36" s="9">
        <f>IF(A36=1,"_",IF(C36="_","???",C36))</f>
        <v/>
      </c>
      <c r="H36" s="10" t="s">
        <v>11</v>
      </c>
      <c r="I36" s="11" t="s">
        <v>11</v>
      </c>
      <c r="J36" s="12"/>
    </row>
    <row r="37" spans="1:10" ht="60" customHeight="1">
      <c r="A37" s="6" t="s">
        <v>151</v>
      </c>
      <c r="B37" s="6" t="s">
        <v>137</v>
      </c>
      <c r="C37" s="6" t="s">
        <v>152</v>
      </c>
      <c r="D37" s="7" t="s">
        <v>118</v>
      </c>
      <c r="E37" s="8" t="s">
        <v>153</v>
      </c>
      <c r="F37" s="6" t="s">
        <v>154</v>
      </c>
      <c r="G37" s="9">
        <f>IF(A37=1,"_",IF(C37="_","???",C37))</f>
        <v/>
      </c>
      <c r="H37" s="10" t="s">
        <v>11</v>
      </c>
      <c r="I37" s="11" t="s">
        <v>11</v>
      </c>
      <c r="J37" s="12"/>
    </row>
    <row r="38" spans="1:10" ht="60" customHeight="1">
      <c r="A38" s="6" t="s">
        <v>155</v>
      </c>
      <c r="B38" s="6" t="s">
        <v>92</v>
      </c>
      <c r="C38" s="6" t="s">
        <v>81</v>
      </c>
      <c r="D38" s="7" t="s">
        <v>156</v>
      </c>
      <c r="E38" s="8" t="s">
        <v>157</v>
      </c>
      <c r="F38" s="6" t="s">
        <v>158</v>
      </c>
      <c r="G38" s="9">
        <f>IF(A38=1,"_",IF(C38="_","???",C38))</f>
        <v/>
      </c>
      <c r="H38" s="10" t="s">
        <v>11</v>
      </c>
      <c r="I38" s="11" t="s">
        <v>11</v>
      </c>
      <c r="J38" s="12"/>
    </row>
    <row r="39" spans="1:10" ht="60" customHeight="1">
      <c r="A39" s="6" t="s">
        <v>159</v>
      </c>
      <c r="B39" s="6" t="s">
        <v>20</v>
      </c>
      <c r="C39" s="6" t="s">
        <v>81</v>
      </c>
      <c r="D39" s="7" t="s">
        <v>34</v>
      </c>
      <c r="E39" s="8" t="s">
        <v>160</v>
      </c>
      <c r="F39" s="6" t="s">
        <v>161</v>
      </c>
      <c r="G39" s="9">
        <f>IF(A39=1,"_",IF(C39="_","???",C39))</f>
        <v/>
      </c>
      <c r="H39" s="10" t="s">
        <v>11</v>
      </c>
      <c r="I39" s="11" t="s">
        <v>11</v>
      </c>
      <c r="J39" s="12"/>
    </row>
    <row r="40" spans="1:10" ht="60" customHeight="1">
      <c r="A40" s="6" t="s">
        <v>162</v>
      </c>
      <c r="B40" s="6" t="s">
        <v>10</v>
      </c>
      <c r="C40" s="6" t="s">
        <v>11</v>
      </c>
      <c r="D40" s="7" t="s">
        <v>110</v>
      </c>
      <c r="E40" s="8" t="s">
        <v>111</v>
      </c>
      <c r="F40" s="6" t="s">
        <v>163</v>
      </c>
      <c r="G40" s="9">
        <f>IF(A40=1,"_",IF(C40="_","???",C40))</f>
        <v/>
      </c>
      <c r="H40" s="10" t="s">
        <v>11</v>
      </c>
      <c r="I40" s="11" t="s">
        <v>11</v>
      </c>
      <c r="J40" s="12"/>
    </row>
    <row r="41" spans="1:10" ht="60" customHeight="1">
      <c r="A41" s="6" t="s">
        <v>164</v>
      </c>
      <c r="B41" s="6" t="s">
        <v>15</v>
      </c>
      <c r="C41" s="6" t="s">
        <v>21</v>
      </c>
      <c r="D41" s="7" t="s">
        <v>165</v>
      </c>
      <c r="E41" s="8" t="s">
        <v>166</v>
      </c>
      <c r="F41" s="6" t="s">
        <v>167</v>
      </c>
      <c r="G41" s="9">
        <f>IF(A41=1,"_",IF(C41="_","???",C41))</f>
        <v/>
      </c>
      <c r="H41" s="10" t="s">
        <v>11</v>
      </c>
      <c r="I41" s="11" t="s">
        <v>11</v>
      </c>
      <c r="J41" s="12"/>
    </row>
    <row r="42" spans="1:10" ht="60" customHeight="1">
      <c r="A42" s="6" t="s">
        <v>168</v>
      </c>
      <c r="B42" s="6" t="s">
        <v>101</v>
      </c>
      <c r="C42" s="6" t="s">
        <v>97</v>
      </c>
      <c r="D42" s="7" t="s">
        <v>169</v>
      </c>
      <c r="E42" s="8" t="s">
        <v>170</v>
      </c>
      <c r="F42" s="6" t="s">
        <v>171</v>
      </c>
      <c r="G42" s="9">
        <f>IF(A42=1,"_",IF(C42="_","???",C42))</f>
        <v/>
      </c>
      <c r="H42" s="10" t="s">
        <v>11</v>
      </c>
      <c r="I42" s="11" t="s">
        <v>11</v>
      </c>
      <c r="J42" s="12"/>
    </row>
    <row r="43" spans="1:10" ht="60" customHeight="1">
      <c r="A43" s="6" t="s">
        <v>172</v>
      </c>
      <c r="B43" s="6" t="s">
        <v>15</v>
      </c>
      <c r="C43" s="6" t="s">
        <v>81</v>
      </c>
      <c r="D43" s="7" t="s">
        <v>173</v>
      </c>
      <c r="E43" s="8" t="s">
        <v>174</v>
      </c>
      <c r="F43" s="6" t="s">
        <v>175</v>
      </c>
      <c r="G43" s="9">
        <f>IF(A43=1,"_",IF(C43="_","???",C43))</f>
        <v/>
      </c>
      <c r="H43" s="10" t="s">
        <v>11</v>
      </c>
      <c r="I43" s="11" t="s">
        <v>11</v>
      </c>
      <c r="J43" s="12"/>
    </row>
    <row r="44" spans="1:10" ht="60" customHeight="1">
      <c r="A44" s="6" t="s">
        <v>176</v>
      </c>
      <c r="B44" s="6" t="s">
        <v>10</v>
      </c>
      <c r="C44" s="6" t="s">
        <v>177</v>
      </c>
      <c r="D44" s="7" t="s">
        <v>68</v>
      </c>
      <c r="E44" s="8" t="s">
        <v>178</v>
      </c>
      <c r="F44" s="6" t="s">
        <v>179</v>
      </c>
      <c r="G44" s="9">
        <f>IF(A44=1,"_",IF(C44="_","???",C44))</f>
        <v/>
      </c>
      <c r="H44" s="10" t="s">
        <v>11</v>
      </c>
      <c r="I44" s="11" t="s">
        <v>11</v>
      </c>
      <c r="J44" s="12"/>
    </row>
    <row r="45" spans="1:10" ht="60" customHeight="1">
      <c r="A45" s="6" t="s">
        <v>180</v>
      </c>
      <c r="B45" s="6" t="s">
        <v>44</v>
      </c>
      <c r="C45" s="6" t="s">
        <v>11</v>
      </c>
      <c r="D45" s="7" t="s">
        <v>181</v>
      </c>
      <c r="E45" s="8" t="s">
        <v>182</v>
      </c>
      <c r="F45" s="6" t="s">
        <v>183</v>
      </c>
      <c r="G45" s="9">
        <f>IF(A45=1,"_",IF(C45="_","???",C45))</f>
        <v/>
      </c>
      <c r="H45" s="10" t="s">
        <v>11</v>
      </c>
      <c r="I45" s="11" t="s">
        <v>11</v>
      </c>
      <c r="J45" s="12"/>
    </row>
    <row r="46" spans="1:10" ht="60" customHeight="1">
      <c r="A46" s="6" t="s">
        <v>184</v>
      </c>
      <c r="B46" s="6" t="s">
        <v>76</v>
      </c>
      <c r="C46" s="6" t="s">
        <v>81</v>
      </c>
      <c r="D46" s="7" t="s">
        <v>185</v>
      </c>
      <c r="E46" s="8" t="s">
        <v>186</v>
      </c>
      <c r="F46" s="6" t="s">
        <v>187</v>
      </c>
      <c r="G46" s="9">
        <f>IF(A46=1,"_",IF(C46="_","???",C46))</f>
        <v/>
      </c>
      <c r="H46" s="10" t="s">
        <v>11</v>
      </c>
      <c r="I46" s="11" t="s">
        <v>11</v>
      </c>
      <c r="J46" s="12"/>
    </row>
    <row r="47" spans="1:10" ht="60" customHeight="1">
      <c r="A47" s="6" t="s">
        <v>188</v>
      </c>
      <c r="B47" s="6" t="s">
        <v>15</v>
      </c>
      <c r="C47" s="6" t="s">
        <v>11</v>
      </c>
      <c r="D47" s="7" t="s">
        <v>189</v>
      </c>
      <c r="E47" s="8" t="s">
        <v>190</v>
      </c>
      <c r="F47" s="6" t="s">
        <v>191</v>
      </c>
      <c r="G47" s="9">
        <f>IF(A47=1,"_",IF(C47="_","???",C47))</f>
        <v/>
      </c>
      <c r="H47" s="10" t="s">
        <v>11</v>
      </c>
      <c r="I47" s="11" t="s">
        <v>11</v>
      </c>
      <c r="J47" s="12"/>
    </row>
    <row r="48" spans="1:10" ht="60" customHeight="1">
      <c r="A48" s="6" t="s">
        <v>192</v>
      </c>
      <c r="B48" s="6" t="s">
        <v>15</v>
      </c>
      <c r="C48" s="6" t="s">
        <v>11</v>
      </c>
      <c r="D48" s="7" t="s">
        <v>193</v>
      </c>
      <c r="E48" s="8" t="s">
        <v>194</v>
      </c>
      <c r="F48" s="6" t="s">
        <v>195</v>
      </c>
      <c r="G48" s="9">
        <f>IF(A48=1,"_",IF(C48="_","???",C48))</f>
        <v/>
      </c>
      <c r="H48" s="10" t="s">
        <v>11</v>
      </c>
      <c r="I48" s="11" t="s">
        <v>11</v>
      </c>
      <c r="J48" s="12"/>
    </row>
    <row r="49" spans="1:10" ht="60" customHeight="1">
      <c r="A49" s="6" t="s">
        <v>196</v>
      </c>
      <c r="B49" s="6" t="s">
        <v>15</v>
      </c>
      <c r="C49" s="6" t="s">
        <v>11</v>
      </c>
      <c r="D49" s="7" t="s">
        <v>197</v>
      </c>
      <c r="E49" s="8" t="s">
        <v>198</v>
      </c>
      <c r="F49" s="6" t="s">
        <v>199</v>
      </c>
      <c r="G49" s="9">
        <f>IF(A49=1,"_",IF(C49="_","???",C49))</f>
        <v/>
      </c>
      <c r="H49" s="10" t="s">
        <v>11</v>
      </c>
      <c r="I49" s="11" t="s">
        <v>11</v>
      </c>
      <c r="J49" s="12"/>
    </row>
    <row r="50" spans="1:10" ht="60" customHeight="1">
      <c r="A50" s="6" t="s">
        <v>200</v>
      </c>
      <c r="B50" s="6" t="s">
        <v>15</v>
      </c>
      <c r="C50" s="6" t="s">
        <v>11</v>
      </c>
      <c r="D50" s="7" t="s">
        <v>201</v>
      </c>
      <c r="E50" s="8" t="s">
        <v>202</v>
      </c>
      <c r="F50" s="6" t="s">
        <v>203</v>
      </c>
      <c r="G50" s="9">
        <f>IF(A50=1,"_",IF(C50="_","???",C50))</f>
        <v/>
      </c>
      <c r="H50" s="10" t="s">
        <v>11</v>
      </c>
      <c r="I50" s="11" t="s">
        <v>11</v>
      </c>
      <c r="J50" s="12"/>
    </row>
    <row r="51" spans="1:10" ht="60" customHeight="1">
      <c r="A51" s="6" t="s">
        <v>204</v>
      </c>
      <c r="B51" s="6" t="s">
        <v>44</v>
      </c>
      <c r="C51" s="6" t="s">
        <v>205</v>
      </c>
      <c r="D51" s="7" t="s">
        <v>206</v>
      </c>
      <c r="E51" s="8" t="s">
        <v>207</v>
      </c>
      <c r="F51" s="6" t="s">
        <v>208</v>
      </c>
      <c r="G51" s="9">
        <f>IF(A51=1,"_",IF(C51="_","???",C51))</f>
        <v/>
      </c>
      <c r="H51" s="10" t="s">
        <v>11</v>
      </c>
      <c r="I51" s="11" t="s">
        <v>11</v>
      </c>
      <c r="J51" s="12"/>
    </row>
    <row r="52" spans="1:10" ht="60" customHeight="1">
      <c r="A52" s="6" t="s">
        <v>209</v>
      </c>
      <c r="B52" s="6" t="s">
        <v>20</v>
      </c>
      <c r="C52" s="6" t="s">
        <v>11</v>
      </c>
      <c r="D52" s="7" t="s">
        <v>210</v>
      </c>
      <c r="E52" s="8" t="s">
        <v>211</v>
      </c>
      <c r="F52" s="6" t="s">
        <v>212</v>
      </c>
      <c r="G52" s="9">
        <f>IF(A52=1,"_",IF(C52="_","???",C52))</f>
        <v/>
      </c>
      <c r="H52" s="10" t="s">
        <v>11</v>
      </c>
      <c r="I52" s="11" t="s">
        <v>11</v>
      </c>
      <c r="J52" s="12"/>
    </row>
    <row r="53" spans="1:10" ht="60" customHeight="1">
      <c r="A53" s="6" t="s">
        <v>213</v>
      </c>
      <c r="B53" s="6" t="s">
        <v>15</v>
      </c>
      <c r="C53" s="6" t="s">
        <v>81</v>
      </c>
      <c r="D53" s="7" t="s">
        <v>214</v>
      </c>
      <c r="E53" s="8" t="s">
        <v>215</v>
      </c>
      <c r="F53" s="6" t="s">
        <v>216</v>
      </c>
      <c r="G53" s="9">
        <f>IF(A53=1,"_",IF(C53="_","???",C53))</f>
        <v/>
      </c>
      <c r="H53" s="10" t="s">
        <v>11</v>
      </c>
      <c r="I53" s="11" t="s">
        <v>11</v>
      </c>
      <c r="J53" s="12"/>
    </row>
    <row r="54" spans="1:10" ht="60" customHeight="1">
      <c r="A54" s="6" t="s">
        <v>217</v>
      </c>
      <c r="B54" s="6" t="s">
        <v>15</v>
      </c>
      <c r="C54" s="6" t="s">
        <v>11</v>
      </c>
      <c r="D54" s="7" t="s">
        <v>218</v>
      </c>
      <c r="E54" s="8" t="s">
        <v>219</v>
      </c>
      <c r="F54" s="6" t="s">
        <v>220</v>
      </c>
      <c r="G54" s="9">
        <f>IF(A54=1,"_",IF(C54="_","???",C54))</f>
        <v/>
      </c>
      <c r="H54" s="10" t="s">
        <v>11</v>
      </c>
      <c r="I54" s="11" t="s">
        <v>11</v>
      </c>
      <c r="J54" s="12"/>
    </row>
    <row r="55" spans="1:10" ht="60" customHeight="1">
      <c r="A55" s="6" t="s">
        <v>221</v>
      </c>
      <c r="B55" s="6" t="s">
        <v>56</v>
      </c>
      <c r="C55" s="6" t="s">
        <v>81</v>
      </c>
      <c r="D55" s="7" t="s">
        <v>222</v>
      </c>
      <c r="E55" s="8" t="s">
        <v>223</v>
      </c>
      <c r="F55" s="6" t="s">
        <v>224</v>
      </c>
      <c r="G55" s="9">
        <f>IF(A55=1,"_",IF(C55="_","???",C55))</f>
        <v/>
      </c>
      <c r="H55" s="10" t="s">
        <v>11</v>
      </c>
      <c r="I55" s="11" t="s">
        <v>11</v>
      </c>
      <c r="J55" s="12"/>
    </row>
    <row r="56" spans="1:10" ht="60" customHeight="1">
      <c r="A56" s="6" t="s">
        <v>225</v>
      </c>
      <c r="B56" s="6" t="s">
        <v>25</v>
      </c>
      <c r="C56" s="6" t="s">
        <v>11</v>
      </c>
      <c r="D56" s="7" t="s">
        <v>226</v>
      </c>
      <c r="E56" s="8" t="s">
        <v>227</v>
      </c>
      <c r="F56" s="6" t="s">
        <v>228</v>
      </c>
      <c r="G56" s="9">
        <f>IF(A56=1,"_",IF(C56="_","???",C56))</f>
        <v/>
      </c>
      <c r="H56" s="10" t="s">
        <v>11</v>
      </c>
      <c r="I56" s="11" t="s">
        <v>11</v>
      </c>
      <c r="J56" s="12"/>
    </row>
    <row r="57" spans="1:10" ht="60" customHeight="1">
      <c r="A57" s="6" t="s">
        <v>229</v>
      </c>
      <c r="B57" s="6" t="s">
        <v>15</v>
      </c>
      <c r="C57" s="6" t="s">
        <v>11</v>
      </c>
      <c r="D57" s="7" t="s">
        <v>230</v>
      </c>
      <c r="E57" s="8" t="s">
        <v>231</v>
      </c>
      <c r="F57" s="6" t="s">
        <v>232</v>
      </c>
      <c r="G57" s="9">
        <f>IF(A57=1,"_",IF(C57="_","???",C57))</f>
        <v/>
      </c>
      <c r="H57" s="10" t="s">
        <v>11</v>
      </c>
      <c r="I57" s="11" t="s">
        <v>11</v>
      </c>
      <c r="J57" s="12"/>
    </row>
    <row r="58" spans="1:10" ht="60" customHeight="1">
      <c r="A58" s="6" t="s">
        <v>233</v>
      </c>
      <c r="B58" s="6" t="s">
        <v>10</v>
      </c>
      <c r="C58" s="6" t="s">
        <v>11</v>
      </c>
      <c r="D58" s="7" t="s">
        <v>68</v>
      </c>
      <c r="E58" s="8" t="s">
        <v>234</v>
      </c>
      <c r="F58" s="6" t="s">
        <v>235</v>
      </c>
      <c r="G58" s="9">
        <f>IF(A58=1,"_",IF(C58="_","???",C58))</f>
        <v/>
      </c>
      <c r="H58" s="10" t="s">
        <v>11</v>
      </c>
      <c r="I58" s="11" t="s">
        <v>11</v>
      </c>
      <c r="J58" s="12"/>
    </row>
    <row r="59" spans="1:10" ht="60" customHeight="1">
      <c r="A59" s="6" t="s">
        <v>236</v>
      </c>
      <c r="B59" s="6" t="s">
        <v>37</v>
      </c>
      <c r="C59" s="6" t="s">
        <v>21</v>
      </c>
      <c r="D59" s="7" t="s">
        <v>237</v>
      </c>
      <c r="E59" s="8" t="s">
        <v>238</v>
      </c>
      <c r="F59" s="6" t="s">
        <v>239</v>
      </c>
      <c r="G59" s="9">
        <f>IF(A59=1,"_",IF(C59="_","???",C59))</f>
        <v/>
      </c>
      <c r="H59" s="10" t="s">
        <v>11</v>
      </c>
      <c r="I59" s="11" t="s">
        <v>11</v>
      </c>
      <c r="J59" s="12"/>
    </row>
    <row r="60" spans="1:10" ht="60" customHeight="1">
      <c r="A60" s="6" t="s">
        <v>240</v>
      </c>
      <c r="B60" s="6" t="s">
        <v>10</v>
      </c>
      <c r="C60" s="6" t="s">
        <v>11</v>
      </c>
      <c r="D60" s="7" t="s">
        <v>241</v>
      </c>
      <c r="E60" s="8" t="s">
        <v>242</v>
      </c>
      <c r="F60" s="6" t="s">
        <v>243</v>
      </c>
      <c r="G60" s="9">
        <f>IF(A60=1,"_",IF(C60="_","???",C60))</f>
        <v/>
      </c>
      <c r="H60" s="10" t="s">
        <v>11</v>
      </c>
      <c r="I60" s="11" t="s">
        <v>11</v>
      </c>
      <c r="J60" s="12"/>
    </row>
    <row r="61" spans="1:10" ht="60" customHeight="1">
      <c r="A61" s="6" t="s">
        <v>244</v>
      </c>
      <c r="B61" s="6" t="s">
        <v>20</v>
      </c>
      <c r="C61" s="6" t="s">
        <v>11</v>
      </c>
      <c r="D61" s="7" t="s">
        <v>245</v>
      </c>
      <c r="E61" s="8" t="s">
        <v>246</v>
      </c>
      <c r="F61" s="6" t="s">
        <v>247</v>
      </c>
      <c r="G61" s="9">
        <f>IF(A61=1,"_",IF(C61="_","???",C61))</f>
        <v/>
      </c>
      <c r="H61" s="10" t="s">
        <v>11</v>
      </c>
      <c r="I61" s="11" t="s">
        <v>11</v>
      </c>
      <c r="J61" s="12"/>
    </row>
    <row r="62" spans="1:10" ht="60" customHeight="1">
      <c r="A62" s="6" t="s">
        <v>248</v>
      </c>
      <c r="B62" s="6" t="s">
        <v>20</v>
      </c>
      <c r="C62" s="6" t="s">
        <v>11</v>
      </c>
      <c r="D62" s="7" t="s">
        <v>249</v>
      </c>
      <c r="E62" s="8" t="s">
        <v>250</v>
      </c>
      <c r="F62" s="6" t="s">
        <v>251</v>
      </c>
      <c r="G62" s="9">
        <f>IF(A62=1,"_",IF(C62="_","???",C62))</f>
        <v/>
      </c>
      <c r="H62" s="10" t="s">
        <v>11</v>
      </c>
      <c r="I62" s="11" t="s">
        <v>11</v>
      </c>
      <c r="J62" s="12"/>
    </row>
    <row r="63" spans="1:10" ht="60" customHeight="1">
      <c r="A63" s="6" t="s">
        <v>252</v>
      </c>
      <c r="B63" s="6" t="s">
        <v>15</v>
      </c>
      <c r="C63" s="6" t="s">
        <v>11</v>
      </c>
      <c r="D63" s="7" t="s">
        <v>253</v>
      </c>
      <c r="E63" s="8" t="s">
        <v>254</v>
      </c>
      <c r="F63" s="6" t="s">
        <v>255</v>
      </c>
      <c r="G63" s="9">
        <f>IF(A63=1,"_",IF(C63="_","???",C63))</f>
        <v/>
      </c>
      <c r="H63" s="10" t="s">
        <v>11</v>
      </c>
      <c r="I63" s="11" t="s">
        <v>11</v>
      </c>
      <c r="J63" s="12"/>
    </row>
    <row r="64" spans="1:10" ht="60" customHeight="1">
      <c r="A64" s="6" t="s">
        <v>256</v>
      </c>
      <c r="B64" s="6" t="s">
        <v>15</v>
      </c>
      <c r="C64" s="6" t="s">
        <v>11</v>
      </c>
      <c r="D64" s="7" t="s">
        <v>253</v>
      </c>
      <c r="E64" s="8" t="s">
        <v>257</v>
      </c>
      <c r="F64" s="6" t="s">
        <v>258</v>
      </c>
      <c r="G64" s="9">
        <f>IF(A64=1,"_",IF(C64="_","???",C64))</f>
        <v/>
      </c>
      <c r="H64" s="10" t="s">
        <v>11</v>
      </c>
      <c r="I64" s="11" t="s">
        <v>11</v>
      </c>
      <c r="J64" s="12"/>
    </row>
    <row r="65" spans="1:10" ht="60" customHeight="1">
      <c r="A65" s="6" t="s">
        <v>259</v>
      </c>
      <c r="B65" s="6" t="s">
        <v>25</v>
      </c>
      <c r="C65" s="6" t="s">
        <v>260</v>
      </c>
      <c r="D65" s="7" t="s">
        <v>134</v>
      </c>
      <c r="E65" s="8" t="s">
        <v>261</v>
      </c>
      <c r="F65" s="6" t="s">
        <v>262</v>
      </c>
      <c r="G65" s="9">
        <f>IF(A65=1,"_",IF(C65="_","???",C65))</f>
        <v/>
      </c>
      <c r="H65" s="10" t="s">
        <v>11</v>
      </c>
      <c r="I65" s="11" t="s">
        <v>11</v>
      </c>
      <c r="J65" s="12"/>
    </row>
    <row r="66" spans="1:10" ht="60" customHeight="1">
      <c r="A66" s="6" t="s">
        <v>263</v>
      </c>
      <c r="B66" s="6" t="s">
        <v>20</v>
      </c>
      <c r="C66" s="6" t="s">
        <v>11</v>
      </c>
      <c r="D66" s="7" t="s">
        <v>264</v>
      </c>
      <c r="E66" s="8" t="s">
        <v>265</v>
      </c>
      <c r="F66" s="6" t="s">
        <v>266</v>
      </c>
      <c r="G66" s="9">
        <f>IF(A66=1,"_",IF(C66="_","???",C66))</f>
        <v/>
      </c>
      <c r="H66" s="10" t="s">
        <v>11</v>
      </c>
      <c r="I66" s="11" t="s">
        <v>11</v>
      </c>
      <c r="J66" s="12"/>
    </row>
    <row r="67" spans="1:10" ht="60" customHeight="1">
      <c r="A67" s="6" t="s">
        <v>267</v>
      </c>
      <c r="B67" s="6" t="s">
        <v>19</v>
      </c>
      <c r="C67" s="6" t="s">
        <v>268</v>
      </c>
      <c r="D67" s="7" t="s">
        <v>134</v>
      </c>
      <c r="E67" s="8" t="s">
        <v>269</v>
      </c>
      <c r="F67" s="6" t="s">
        <v>270</v>
      </c>
      <c r="G67" s="9">
        <f>IF(A67=1,"_",IF(C67="_","???",C67))</f>
        <v/>
      </c>
      <c r="H67" s="10" t="s">
        <v>11</v>
      </c>
      <c r="I67" s="11" t="s">
        <v>11</v>
      </c>
      <c r="J67" s="12"/>
    </row>
    <row r="68" spans="1:10" ht="60" customHeight="1">
      <c r="A68" s="6" t="s">
        <v>271</v>
      </c>
      <c r="B68" s="6" t="s">
        <v>101</v>
      </c>
      <c r="C68" s="6" t="s">
        <v>133</v>
      </c>
      <c r="D68" s="7" t="s">
        <v>272</v>
      </c>
      <c r="E68" s="8" t="s">
        <v>273</v>
      </c>
      <c r="F68" s="6" t="s">
        <v>274</v>
      </c>
      <c r="G68" s="9">
        <f>IF(A68=1,"_",IF(C68="_","???",C68))</f>
        <v/>
      </c>
      <c r="H68" s="10" t="s">
        <v>11</v>
      </c>
      <c r="I68" s="11" t="s">
        <v>11</v>
      </c>
      <c r="J68" s="12"/>
    </row>
    <row r="69" spans="1:10" ht="60" customHeight="1">
      <c r="A69" s="6" t="s">
        <v>275</v>
      </c>
      <c r="B69" s="6" t="s">
        <v>52</v>
      </c>
      <c r="C69" s="6" t="s">
        <v>81</v>
      </c>
      <c r="D69" s="7" t="s">
        <v>276</v>
      </c>
      <c r="E69" s="8" t="s">
        <v>277</v>
      </c>
      <c r="F69" s="6" t="s">
        <v>278</v>
      </c>
      <c r="G69" s="9">
        <f>IF(A69=1,"_",IF(C69="_","???",C69))</f>
        <v/>
      </c>
      <c r="H69" s="10" t="s">
        <v>11</v>
      </c>
      <c r="I69" s="11" t="s">
        <v>11</v>
      </c>
      <c r="J69" s="12"/>
    </row>
    <row r="70" spans="1:10" ht="60" customHeight="1">
      <c r="A70" s="6" t="s">
        <v>279</v>
      </c>
      <c r="B70" s="6" t="s">
        <v>10</v>
      </c>
      <c r="C70" s="6" t="s">
        <v>11</v>
      </c>
      <c r="D70" s="7" t="s">
        <v>53</v>
      </c>
      <c r="E70" s="8" t="s">
        <v>280</v>
      </c>
      <c r="F70" s="6" t="s">
        <v>281</v>
      </c>
      <c r="G70" s="9">
        <f>IF(A70=1,"_",IF(C70="_","???",C70))</f>
        <v/>
      </c>
      <c r="H70" s="10" t="s">
        <v>11</v>
      </c>
      <c r="I70" s="11" t="s">
        <v>11</v>
      </c>
      <c r="J70" s="12"/>
    </row>
    <row r="71" spans="1:10" ht="60" customHeight="1">
      <c r="A71" s="6" t="s">
        <v>282</v>
      </c>
      <c r="B71" s="6" t="s">
        <v>137</v>
      </c>
      <c r="C71" s="6" t="s">
        <v>11</v>
      </c>
      <c r="D71" s="7" t="s">
        <v>134</v>
      </c>
      <c r="E71" s="8" t="s">
        <v>283</v>
      </c>
      <c r="F71" s="6" t="s">
        <v>284</v>
      </c>
      <c r="G71" s="9">
        <f>IF(A71=1,"_",IF(C71="_","???",C71))</f>
        <v/>
      </c>
      <c r="H71" s="10" t="s">
        <v>11</v>
      </c>
      <c r="I71" s="11" t="s">
        <v>11</v>
      </c>
      <c r="J71" s="12"/>
    </row>
    <row r="72" spans="1:10" ht="60" customHeight="1">
      <c r="A72" s="6" t="s">
        <v>285</v>
      </c>
      <c r="B72" s="6" t="s">
        <v>25</v>
      </c>
      <c r="C72" s="6" t="s">
        <v>11</v>
      </c>
      <c r="D72" s="7" t="s">
        <v>286</v>
      </c>
      <c r="E72" s="8" t="s">
        <v>287</v>
      </c>
      <c r="F72" s="6" t="s">
        <v>288</v>
      </c>
      <c r="G72" s="9">
        <f>IF(A72=1,"_",IF(C72="_","???",C72))</f>
        <v/>
      </c>
      <c r="H72" s="10" t="s">
        <v>11</v>
      </c>
      <c r="I72" s="11" t="s">
        <v>11</v>
      </c>
      <c r="J72" s="12"/>
    </row>
    <row r="73" spans="1:10" ht="60" customHeight="1">
      <c r="A73" s="6" t="s">
        <v>289</v>
      </c>
      <c r="B73" s="6" t="s">
        <v>20</v>
      </c>
      <c r="C73" s="6" t="s">
        <v>177</v>
      </c>
      <c r="D73" s="7" t="s">
        <v>34</v>
      </c>
      <c r="E73" s="8" t="s">
        <v>290</v>
      </c>
      <c r="F73" s="6" t="s">
        <v>291</v>
      </c>
      <c r="G73" s="9">
        <f>IF(A73=1,"_",IF(C73="_","???",C73))</f>
        <v/>
      </c>
      <c r="H73" s="10" t="s">
        <v>11</v>
      </c>
      <c r="I73" s="11" t="s">
        <v>11</v>
      </c>
      <c r="J73" s="12"/>
    </row>
    <row r="74" spans="1:10" ht="60" customHeight="1">
      <c r="A74" s="6" t="s">
        <v>292</v>
      </c>
      <c r="B74" s="6" t="s">
        <v>25</v>
      </c>
      <c r="C74" s="6" t="s">
        <v>260</v>
      </c>
      <c r="D74" s="7" t="s">
        <v>293</v>
      </c>
      <c r="E74" s="8" t="s">
        <v>294</v>
      </c>
      <c r="F74" s="6" t="s">
        <v>295</v>
      </c>
      <c r="G74" s="9">
        <f>IF(A74=1,"_",IF(C74="_","???",C74))</f>
        <v/>
      </c>
      <c r="H74" s="10" t="s">
        <v>11</v>
      </c>
      <c r="I74" s="11" t="s">
        <v>11</v>
      </c>
      <c r="J74" s="12"/>
    </row>
    <row r="75" spans="1:10" ht="60" customHeight="1">
      <c r="A75" s="6" t="s">
        <v>296</v>
      </c>
      <c r="B75" s="6" t="s">
        <v>15</v>
      </c>
      <c r="C75" s="6" t="s">
        <v>260</v>
      </c>
      <c r="D75" s="7" t="s">
        <v>297</v>
      </c>
      <c r="E75" s="8" t="s">
        <v>298</v>
      </c>
      <c r="F75" s="6" t="s">
        <v>299</v>
      </c>
      <c r="G75" s="9">
        <f>IF(A75=1,"_",IF(C75="_","???",C75))</f>
        <v/>
      </c>
      <c r="H75" s="10" t="s">
        <v>11</v>
      </c>
      <c r="I75" s="11" t="s">
        <v>11</v>
      </c>
      <c r="J75" s="12"/>
    </row>
    <row r="76" spans="1:10" ht="60" customHeight="1">
      <c r="A76" s="6" t="s">
        <v>300</v>
      </c>
      <c r="B76" s="6" t="s">
        <v>19</v>
      </c>
      <c r="C76" s="6" t="s">
        <v>11</v>
      </c>
      <c r="D76" s="7" t="s">
        <v>301</v>
      </c>
      <c r="E76" s="8" t="s">
        <v>302</v>
      </c>
      <c r="F76" s="6" t="s">
        <v>303</v>
      </c>
      <c r="G76" s="9">
        <f>IF(A76=1,"_",IF(C76="_","???",C76))</f>
        <v/>
      </c>
      <c r="H76" s="10" t="s">
        <v>11</v>
      </c>
      <c r="I76" s="11" t="s">
        <v>11</v>
      </c>
      <c r="J76" s="12"/>
    </row>
    <row r="77" spans="1:10" ht="60" customHeight="1">
      <c r="A77" s="6" t="s">
        <v>304</v>
      </c>
      <c r="B77" s="6" t="s">
        <v>19</v>
      </c>
      <c r="C77" s="6" t="s">
        <v>11</v>
      </c>
      <c r="D77" s="7" t="s">
        <v>305</v>
      </c>
      <c r="E77" s="8" t="s">
        <v>306</v>
      </c>
      <c r="F77" s="6" t="s">
        <v>307</v>
      </c>
      <c r="G77" s="9">
        <f>IF(A77=1,"_",IF(C77="_","???",C77))</f>
        <v/>
      </c>
      <c r="H77" s="10" t="s">
        <v>11</v>
      </c>
      <c r="I77" s="11" t="s">
        <v>11</v>
      </c>
      <c r="J77" s="12"/>
    </row>
    <row r="78" spans="1:10" ht="60" customHeight="1">
      <c r="A78" s="6" t="s">
        <v>308</v>
      </c>
      <c r="B78" s="6" t="s">
        <v>10</v>
      </c>
      <c r="C78" s="6" t="s">
        <v>11</v>
      </c>
      <c r="D78" s="7" t="s">
        <v>53</v>
      </c>
      <c r="E78" s="8" t="s">
        <v>309</v>
      </c>
      <c r="F78" s="6" t="s">
        <v>310</v>
      </c>
      <c r="G78" s="9">
        <f>IF(A78=1,"_",IF(C78="_","???",C78))</f>
        <v/>
      </c>
      <c r="H78" s="10" t="s">
        <v>11</v>
      </c>
      <c r="I78" s="11" t="s">
        <v>11</v>
      </c>
      <c r="J78" s="12"/>
    </row>
    <row r="79" spans="1:10" ht="60" customHeight="1">
      <c r="A79" s="6" t="s">
        <v>311</v>
      </c>
      <c r="B79" s="6" t="s">
        <v>20</v>
      </c>
      <c r="C79" s="6" t="s">
        <v>11</v>
      </c>
      <c r="D79" s="7" t="s">
        <v>312</v>
      </c>
      <c r="E79" s="8" t="s">
        <v>313</v>
      </c>
      <c r="F79" s="6" t="s">
        <v>314</v>
      </c>
      <c r="G79" s="9">
        <f>IF(A79=1,"_",IF(C79="_","???",C79))</f>
        <v/>
      </c>
      <c r="H79" s="10" t="s">
        <v>11</v>
      </c>
      <c r="I79" s="11" t="s">
        <v>11</v>
      </c>
      <c r="J79" s="12"/>
    </row>
    <row r="80" spans="1:10" ht="60" customHeight="1">
      <c r="A80" s="6" t="s">
        <v>315</v>
      </c>
      <c r="B80" s="6" t="s">
        <v>15</v>
      </c>
      <c r="C80" s="6" t="s">
        <v>11</v>
      </c>
      <c r="D80" s="7" t="s">
        <v>316</v>
      </c>
      <c r="E80" s="8" t="s">
        <v>317</v>
      </c>
      <c r="F80" s="6" t="s">
        <v>318</v>
      </c>
      <c r="G80" s="9">
        <f>IF(A80=1,"_",IF(C80="_","???",C80))</f>
        <v/>
      </c>
      <c r="H80" s="10" t="s">
        <v>11</v>
      </c>
      <c r="I80" s="11" t="s">
        <v>11</v>
      </c>
      <c r="J80" s="12"/>
    </row>
    <row r="81" spans="1:10" ht="60" customHeight="1">
      <c r="A81" s="6" t="s">
        <v>319</v>
      </c>
      <c r="B81" s="6" t="s">
        <v>15</v>
      </c>
      <c r="C81" s="6" t="s">
        <v>11</v>
      </c>
      <c r="D81" s="7" t="s">
        <v>201</v>
      </c>
      <c r="E81" s="8" t="s">
        <v>320</v>
      </c>
      <c r="F81" s="6" t="s">
        <v>321</v>
      </c>
      <c r="G81" s="9">
        <f>IF(A81=1,"_",IF(C81="_","???",C81))</f>
        <v/>
      </c>
      <c r="H81" s="10" t="s">
        <v>11</v>
      </c>
      <c r="I81" s="11" t="s">
        <v>11</v>
      </c>
      <c r="J81" s="12"/>
    </row>
    <row r="82" spans="1:10" ht="60" customHeight="1">
      <c r="A82" s="6" t="s">
        <v>322</v>
      </c>
      <c r="B82" s="6" t="s">
        <v>15</v>
      </c>
      <c r="C82" s="6" t="s">
        <v>11</v>
      </c>
      <c r="D82" s="7" t="s">
        <v>93</v>
      </c>
      <c r="E82" s="8" t="s">
        <v>323</v>
      </c>
      <c r="F82" s="6" t="s">
        <v>324</v>
      </c>
      <c r="G82" s="9">
        <f>IF(A82=1,"_",IF(C82="_","???",C82))</f>
        <v/>
      </c>
      <c r="H82" s="10" t="s">
        <v>11</v>
      </c>
      <c r="I82" s="11" t="s">
        <v>11</v>
      </c>
      <c r="J82" s="12"/>
    </row>
    <row r="83" spans="1:10" ht="60" customHeight="1">
      <c r="A83" s="6" t="s">
        <v>325</v>
      </c>
      <c r="B83" s="6" t="s">
        <v>10</v>
      </c>
      <c r="C83" s="6" t="s">
        <v>21</v>
      </c>
      <c r="D83" s="7" t="s">
        <v>68</v>
      </c>
      <c r="E83" s="8" t="s">
        <v>326</v>
      </c>
      <c r="F83" s="6" t="s">
        <v>327</v>
      </c>
      <c r="G83" s="9">
        <f>IF(A83=1,"_",IF(C83="_","???",C83))</f>
        <v/>
      </c>
      <c r="H83" s="10" t="s">
        <v>11</v>
      </c>
      <c r="I83" s="11" t="s">
        <v>11</v>
      </c>
      <c r="J83" s="12"/>
    </row>
    <row r="84" spans="1:10" ht="60" customHeight="1">
      <c r="A84" s="6" t="s">
        <v>328</v>
      </c>
      <c r="B84" s="6" t="s">
        <v>15</v>
      </c>
      <c r="C84" s="6" t="s">
        <v>11</v>
      </c>
      <c r="D84" s="7" t="s">
        <v>329</v>
      </c>
      <c r="E84" s="8" t="s">
        <v>330</v>
      </c>
      <c r="F84" s="6" t="s">
        <v>331</v>
      </c>
      <c r="G84" s="9">
        <f>IF(A84=1,"_",IF(C84="_","???",C84))</f>
        <v/>
      </c>
      <c r="H84" s="10" t="s">
        <v>11</v>
      </c>
      <c r="I84" s="11" t="s">
        <v>11</v>
      </c>
      <c r="J84" s="12"/>
    </row>
    <row r="85" spans="1:10" ht="60" customHeight="1">
      <c r="A85" s="6" t="s">
        <v>332</v>
      </c>
      <c r="B85" s="6" t="s">
        <v>19</v>
      </c>
      <c r="C85" s="6" t="s">
        <v>11</v>
      </c>
      <c r="D85" s="7" t="s">
        <v>201</v>
      </c>
      <c r="E85" s="8" t="s">
        <v>333</v>
      </c>
      <c r="F85" s="6" t="s">
        <v>334</v>
      </c>
      <c r="G85" s="9">
        <f>IF(A85=1,"_",IF(C85="_","???",C85))</f>
        <v/>
      </c>
      <c r="H85" s="10" t="s">
        <v>11</v>
      </c>
      <c r="I85" s="11" t="s">
        <v>11</v>
      </c>
      <c r="J85" s="12"/>
    </row>
    <row r="86" spans="1:10" ht="60" customHeight="1">
      <c r="A86" s="6" t="s">
        <v>335</v>
      </c>
      <c r="B86" s="6" t="s">
        <v>25</v>
      </c>
      <c r="C86" s="6" t="s">
        <v>336</v>
      </c>
      <c r="D86" s="7" t="s">
        <v>337</v>
      </c>
      <c r="E86" s="8" t="s">
        <v>338</v>
      </c>
      <c r="F86" s="6" t="s">
        <v>339</v>
      </c>
      <c r="G86" s="9">
        <f>IF(A86=1,"_",IF(C86="_","???",C86))</f>
        <v/>
      </c>
      <c r="H86" s="10" t="s">
        <v>11</v>
      </c>
      <c r="I86" s="11" t="s">
        <v>11</v>
      </c>
      <c r="J86" s="12"/>
    </row>
    <row r="87" spans="1:10" ht="60" customHeight="1">
      <c r="A87" s="6" t="s">
        <v>340</v>
      </c>
      <c r="B87" s="6" t="s">
        <v>15</v>
      </c>
      <c r="C87" s="6" t="s">
        <v>11</v>
      </c>
      <c r="D87" s="7" t="s">
        <v>106</v>
      </c>
      <c r="E87" s="8" t="s">
        <v>341</v>
      </c>
      <c r="F87" s="6" t="s">
        <v>342</v>
      </c>
      <c r="G87" s="9">
        <f>IF(A87=1,"_",IF(C87="_","???",C87))</f>
        <v/>
      </c>
      <c r="H87" s="10" t="s">
        <v>11</v>
      </c>
      <c r="I87" s="11" t="s">
        <v>11</v>
      </c>
      <c r="J87" s="12"/>
    </row>
    <row r="88" spans="1:10" ht="60" customHeight="1">
      <c r="A88" s="6" t="s">
        <v>343</v>
      </c>
      <c r="B88" s="6" t="s">
        <v>15</v>
      </c>
      <c r="C88" s="6" t="s">
        <v>81</v>
      </c>
      <c r="D88" s="7" t="s">
        <v>106</v>
      </c>
      <c r="E88" s="8" t="s">
        <v>344</v>
      </c>
      <c r="F88" s="6" t="s">
        <v>345</v>
      </c>
      <c r="G88" s="9">
        <f>IF(A88=1,"_",IF(C88="_","???",C88))</f>
        <v/>
      </c>
      <c r="H88" s="10" t="s">
        <v>11</v>
      </c>
      <c r="I88" s="11" t="s">
        <v>11</v>
      </c>
      <c r="J88" s="12"/>
    </row>
    <row r="89" spans="1:10" ht="60" customHeight="1">
      <c r="A89" s="6" t="s">
        <v>346</v>
      </c>
      <c r="B89" s="6" t="s">
        <v>80</v>
      </c>
      <c r="C89" s="6" t="s">
        <v>177</v>
      </c>
      <c r="D89" s="7" t="s">
        <v>347</v>
      </c>
      <c r="E89" s="8" t="s">
        <v>348</v>
      </c>
      <c r="F89" s="6" t="s">
        <v>349</v>
      </c>
      <c r="G89" s="9">
        <f>IF(A89=1,"_",IF(C89="_","???",C89))</f>
        <v/>
      </c>
      <c r="H89" s="10" t="s">
        <v>11</v>
      </c>
      <c r="I89" s="11" t="s">
        <v>11</v>
      </c>
      <c r="J89" s="12"/>
    </row>
    <row r="90" spans="1:10" ht="60" customHeight="1">
      <c r="A90" s="6" t="s">
        <v>350</v>
      </c>
      <c r="B90" s="6" t="s">
        <v>25</v>
      </c>
      <c r="C90" s="6" t="s">
        <v>260</v>
      </c>
      <c r="D90" s="7" t="s">
        <v>351</v>
      </c>
      <c r="E90" s="8" t="s">
        <v>352</v>
      </c>
      <c r="F90" s="6" t="s">
        <v>353</v>
      </c>
      <c r="G90" s="9">
        <f>IF(A90=1,"_",IF(C90="_","???",C90))</f>
        <v/>
      </c>
      <c r="H90" s="10" t="s">
        <v>11</v>
      </c>
      <c r="I90" s="11" t="s">
        <v>11</v>
      </c>
      <c r="J90" s="12"/>
    </row>
    <row r="91" spans="1:10" ht="60" customHeight="1">
      <c r="A91" s="6" t="s">
        <v>354</v>
      </c>
      <c r="B91" s="6" t="s">
        <v>15</v>
      </c>
      <c r="C91" s="6" t="s">
        <v>11</v>
      </c>
      <c r="D91" s="7" t="s">
        <v>355</v>
      </c>
      <c r="E91" s="8" t="s">
        <v>356</v>
      </c>
      <c r="F91" s="6" t="s">
        <v>357</v>
      </c>
      <c r="G91" s="9">
        <f>IF(A91=1,"_",IF(C91="_","???",C91))</f>
        <v/>
      </c>
      <c r="H91" s="10" t="s">
        <v>11</v>
      </c>
      <c r="I91" s="11" t="s">
        <v>11</v>
      </c>
      <c r="J91" s="12"/>
    </row>
    <row r="92" spans="1:10" ht="60" customHeight="1">
      <c r="A92" s="6" t="s">
        <v>358</v>
      </c>
      <c r="B92" s="6" t="s">
        <v>19</v>
      </c>
      <c r="C92" s="6" t="s">
        <v>11</v>
      </c>
      <c r="D92" s="7" t="s">
        <v>118</v>
      </c>
      <c r="E92" s="8" t="s">
        <v>359</v>
      </c>
      <c r="F92" s="6" t="s">
        <v>360</v>
      </c>
      <c r="G92" s="9">
        <f>IF(A92=1,"_",IF(C92="_","???",C92))</f>
        <v/>
      </c>
      <c r="H92" s="10" t="s">
        <v>11</v>
      </c>
      <c r="I92" s="11" t="s">
        <v>11</v>
      </c>
      <c r="J92" s="12"/>
    </row>
    <row r="93" spans="1:10" ht="60" customHeight="1">
      <c r="A93" s="6" t="s">
        <v>361</v>
      </c>
      <c r="B93" s="6" t="s">
        <v>56</v>
      </c>
      <c r="C93" s="6" t="s">
        <v>81</v>
      </c>
      <c r="D93" s="7" t="s">
        <v>362</v>
      </c>
      <c r="E93" s="8" t="s">
        <v>363</v>
      </c>
      <c r="F93" s="6" t="s">
        <v>364</v>
      </c>
      <c r="G93" s="9">
        <f>IF(A93=1,"_",IF(C93="_","???",C93))</f>
        <v/>
      </c>
      <c r="H93" s="10" t="s">
        <v>11</v>
      </c>
      <c r="I93" s="11" t="s">
        <v>11</v>
      </c>
      <c r="J93" s="12"/>
    </row>
    <row r="94" spans="1:10" ht="60" customHeight="1">
      <c r="A94" s="6" t="s">
        <v>365</v>
      </c>
      <c r="B94" s="6" t="s">
        <v>15</v>
      </c>
      <c r="C94" s="6" t="s">
        <v>366</v>
      </c>
      <c r="D94" s="7" t="s">
        <v>367</v>
      </c>
      <c r="E94" s="8" t="s">
        <v>368</v>
      </c>
      <c r="F94" s="6" t="s">
        <v>369</v>
      </c>
      <c r="G94" s="9">
        <f>IF(A94=1,"_",IF(C94="_","???",C94))</f>
        <v/>
      </c>
      <c r="H94" s="10" t="s">
        <v>11</v>
      </c>
      <c r="I94" s="11" t="s">
        <v>11</v>
      </c>
      <c r="J94" s="12"/>
    </row>
    <row r="95" spans="1:10" ht="60" customHeight="1">
      <c r="A95" s="6" t="s">
        <v>370</v>
      </c>
      <c r="B95" s="6" t="s">
        <v>32</v>
      </c>
      <c r="C95" s="6" t="s">
        <v>11</v>
      </c>
      <c r="D95" s="7" t="s">
        <v>134</v>
      </c>
      <c r="E95" s="8" t="s">
        <v>371</v>
      </c>
      <c r="F95" s="6" t="s">
        <v>372</v>
      </c>
      <c r="G95" s="9">
        <f>IF(A95=1,"_",IF(C95="_","???",C95))</f>
        <v/>
      </c>
      <c r="H95" s="10" t="s">
        <v>11</v>
      </c>
      <c r="I95" s="11" t="s">
        <v>11</v>
      </c>
      <c r="J95" s="12"/>
    </row>
    <row r="96" spans="1:10" ht="60" customHeight="1">
      <c r="A96" s="6" t="s">
        <v>373</v>
      </c>
      <c r="B96" s="6" t="s">
        <v>19</v>
      </c>
      <c r="C96" s="6" t="s">
        <v>11</v>
      </c>
      <c r="D96" s="7" t="s">
        <v>106</v>
      </c>
      <c r="E96" s="8" t="s">
        <v>374</v>
      </c>
      <c r="F96" s="6" t="s">
        <v>375</v>
      </c>
      <c r="G96" s="9">
        <f>IF(A96=1,"_",IF(C96="_","???",C96))</f>
        <v/>
      </c>
      <c r="H96" s="10" t="s">
        <v>11</v>
      </c>
      <c r="I96" s="11" t="s">
        <v>11</v>
      </c>
      <c r="J96" s="12"/>
    </row>
    <row r="97" spans="1:10" ht="60" customHeight="1">
      <c r="A97" s="6" t="s">
        <v>376</v>
      </c>
      <c r="B97" s="6" t="s">
        <v>10</v>
      </c>
      <c r="C97" s="6" t="s">
        <v>11</v>
      </c>
      <c r="D97" s="7" t="s">
        <v>377</v>
      </c>
      <c r="E97" s="8" t="s">
        <v>378</v>
      </c>
      <c r="F97" s="6" t="s">
        <v>379</v>
      </c>
      <c r="G97" s="9">
        <f>IF(A97=1,"_",IF(C97="_","???",C97))</f>
        <v/>
      </c>
      <c r="H97" s="10" t="s">
        <v>11</v>
      </c>
      <c r="I97" s="11" t="s">
        <v>11</v>
      </c>
      <c r="J97" s="12"/>
    </row>
    <row r="98" spans="1:10" ht="60" customHeight="1">
      <c r="A98" s="6" t="s">
        <v>380</v>
      </c>
      <c r="B98" s="6" t="s">
        <v>10</v>
      </c>
      <c r="C98" s="6" t="s">
        <v>133</v>
      </c>
      <c r="D98" s="7" t="s">
        <v>68</v>
      </c>
      <c r="E98" s="8" t="s">
        <v>381</v>
      </c>
      <c r="F98" s="6" t="s">
        <v>382</v>
      </c>
      <c r="G98" s="9">
        <f>IF(A98=1,"_",IF(C98="_","???",C98))</f>
        <v/>
      </c>
      <c r="H98" s="10" t="s">
        <v>11</v>
      </c>
      <c r="I98" s="11" t="s">
        <v>11</v>
      </c>
      <c r="J98" s="12"/>
    </row>
    <row r="99" spans="1:10" ht="60" customHeight="1">
      <c r="A99" s="6" t="s">
        <v>383</v>
      </c>
      <c r="B99" s="6" t="s">
        <v>19</v>
      </c>
      <c r="C99" s="6" t="s">
        <v>260</v>
      </c>
      <c r="D99" s="7" t="s">
        <v>384</v>
      </c>
      <c r="E99" s="8" t="s">
        <v>385</v>
      </c>
      <c r="F99" s="6" t="s">
        <v>386</v>
      </c>
      <c r="G99" s="9">
        <f>IF(A99=1,"_",IF(C99="_","???",C99))</f>
        <v/>
      </c>
      <c r="H99" s="10" t="s">
        <v>11</v>
      </c>
      <c r="I99" s="11" t="s">
        <v>11</v>
      </c>
      <c r="J99" s="12"/>
    </row>
    <row r="100" spans="1:10" ht="60" customHeight="1">
      <c r="A100" s="6" t="s">
        <v>387</v>
      </c>
      <c r="B100" s="6" t="s">
        <v>32</v>
      </c>
      <c r="C100" s="6" t="s">
        <v>11</v>
      </c>
      <c r="D100" s="7" t="s">
        <v>362</v>
      </c>
      <c r="E100" s="8" t="s">
        <v>388</v>
      </c>
      <c r="F100" s="6" t="s">
        <v>389</v>
      </c>
      <c r="G100" s="9">
        <f>IF(A100=1,"_",IF(C100="_","???",C100))</f>
        <v/>
      </c>
      <c r="H100" s="10" t="s">
        <v>11</v>
      </c>
      <c r="I100" s="11" t="s">
        <v>11</v>
      </c>
      <c r="J100" s="12"/>
    </row>
    <row r="101" spans="1:10" ht="60" customHeight="1">
      <c r="A101" s="6" t="s">
        <v>390</v>
      </c>
      <c r="B101" s="6" t="s">
        <v>15</v>
      </c>
      <c r="C101" s="6" t="s">
        <v>11</v>
      </c>
      <c r="D101" s="7" t="s">
        <v>45</v>
      </c>
      <c r="E101" s="8" t="s">
        <v>391</v>
      </c>
      <c r="F101" s="6" t="s">
        <v>392</v>
      </c>
      <c r="G101" s="9">
        <f>IF(A101=1,"_",IF(C101="_","???",C101))</f>
        <v/>
      </c>
      <c r="H101" s="10" t="s">
        <v>11</v>
      </c>
      <c r="I101" s="11" t="s">
        <v>11</v>
      </c>
      <c r="J101" s="12"/>
    </row>
    <row r="102" spans="1:10" ht="60" customHeight="1">
      <c r="A102" s="6" t="s">
        <v>393</v>
      </c>
      <c r="B102" s="6" t="s">
        <v>76</v>
      </c>
      <c r="C102" s="6" t="s">
        <v>394</v>
      </c>
      <c r="D102" s="7" t="s">
        <v>395</v>
      </c>
      <c r="E102" s="8" t="s">
        <v>396</v>
      </c>
      <c r="F102" s="6" t="s">
        <v>397</v>
      </c>
      <c r="G102" s="9">
        <f>IF(A102=1,"_",IF(C102="_","???",C102))</f>
        <v/>
      </c>
      <c r="H102" s="10" t="s">
        <v>11</v>
      </c>
      <c r="I102" s="11" t="s">
        <v>11</v>
      </c>
      <c r="J102" s="12"/>
    </row>
    <row r="103" spans="1:10" ht="60" customHeight="1">
      <c r="A103" s="6" t="s">
        <v>398</v>
      </c>
      <c r="B103" s="6" t="s">
        <v>37</v>
      </c>
      <c r="C103" s="6" t="s">
        <v>72</v>
      </c>
      <c r="D103" s="7" t="s">
        <v>399</v>
      </c>
      <c r="E103" s="8" t="s">
        <v>400</v>
      </c>
      <c r="F103" s="6" t="s">
        <v>401</v>
      </c>
      <c r="G103" s="9">
        <f>IF(A103=1,"_",IF(C103="_","???",C103))</f>
        <v/>
      </c>
      <c r="H103" s="10" t="s">
        <v>11</v>
      </c>
      <c r="I103" s="11" t="s">
        <v>11</v>
      </c>
      <c r="J103" s="12"/>
    </row>
    <row r="104" spans="1:10" ht="60" customHeight="1">
      <c r="A104" s="6" t="s">
        <v>402</v>
      </c>
      <c r="B104" s="6" t="s">
        <v>10</v>
      </c>
      <c r="C104" s="6" t="s">
        <v>11</v>
      </c>
      <c r="D104" s="7" t="s">
        <v>53</v>
      </c>
      <c r="E104" s="8" t="s">
        <v>403</v>
      </c>
      <c r="F104" s="6" t="s">
        <v>404</v>
      </c>
      <c r="G104" s="9">
        <f>IF(A104=1,"_",IF(C104="_","???",C104))</f>
        <v/>
      </c>
      <c r="H104" s="10" t="s">
        <v>11</v>
      </c>
      <c r="I104" s="11" t="s">
        <v>11</v>
      </c>
      <c r="J104" s="12"/>
    </row>
    <row r="105" spans="1:10" ht="60" customHeight="1">
      <c r="A105" s="6" t="s">
        <v>405</v>
      </c>
      <c r="B105" s="6" t="s">
        <v>20</v>
      </c>
      <c r="C105" s="6" t="s">
        <v>11</v>
      </c>
      <c r="D105" s="7" t="s">
        <v>406</v>
      </c>
      <c r="E105" s="8" t="s">
        <v>407</v>
      </c>
      <c r="F105" s="6" t="s">
        <v>408</v>
      </c>
      <c r="G105" s="9">
        <f>IF(A105=1,"_",IF(C105="_","???",C105))</f>
        <v/>
      </c>
      <c r="H105" s="10" t="s">
        <v>11</v>
      </c>
      <c r="I105" s="11" t="s">
        <v>11</v>
      </c>
      <c r="J105" s="12"/>
    </row>
    <row r="106" spans="1:10" ht="60" customHeight="1">
      <c r="A106" s="6" t="s">
        <v>409</v>
      </c>
      <c r="B106" s="6" t="s">
        <v>20</v>
      </c>
      <c r="C106" s="6" t="s">
        <v>97</v>
      </c>
      <c r="D106" s="7" t="s">
        <v>410</v>
      </c>
      <c r="E106" s="8" t="s">
        <v>411</v>
      </c>
      <c r="F106" s="6" t="s">
        <v>412</v>
      </c>
      <c r="G106" s="9">
        <f>IF(A106=1,"_",IF(C106="_","???",C106))</f>
        <v/>
      </c>
      <c r="H106" s="10" t="s">
        <v>11</v>
      </c>
      <c r="I106" s="11" t="s">
        <v>11</v>
      </c>
      <c r="J106" s="12"/>
    </row>
    <row r="107" spans="1:10" ht="60" customHeight="1">
      <c r="A107" s="6" t="s">
        <v>413</v>
      </c>
      <c r="B107" s="6" t="s">
        <v>15</v>
      </c>
      <c r="C107" s="6" t="s">
        <v>11</v>
      </c>
      <c r="D107" s="7" t="s">
        <v>414</v>
      </c>
      <c r="E107" s="8" t="s">
        <v>415</v>
      </c>
      <c r="F107" s="6" t="s">
        <v>416</v>
      </c>
      <c r="G107" s="9">
        <f>IF(A107=1,"_",IF(C107="_","???",C107))</f>
        <v/>
      </c>
      <c r="H107" s="10" t="s">
        <v>11</v>
      </c>
      <c r="I107" s="11" t="s">
        <v>11</v>
      </c>
      <c r="J107" s="12"/>
    </row>
    <row r="108" spans="1:10" ht="60" customHeight="1">
      <c r="A108" s="6" t="s">
        <v>417</v>
      </c>
      <c r="B108" s="6" t="s">
        <v>10</v>
      </c>
      <c r="C108" s="6" t="s">
        <v>21</v>
      </c>
      <c r="D108" s="7" t="s">
        <v>68</v>
      </c>
      <c r="E108" s="8" t="s">
        <v>418</v>
      </c>
      <c r="F108" s="6" t="s">
        <v>419</v>
      </c>
      <c r="G108" s="9">
        <f>IF(A108=1,"_",IF(C108="_","???",C108))</f>
        <v/>
      </c>
      <c r="H108" s="10" t="s">
        <v>11</v>
      </c>
      <c r="I108" s="11" t="s">
        <v>11</v>
      </c>
      <c r="J108" s="12"/>
    </row>
    <row r="109" spans="1:10" ht="60" customHeight="1">
      <c r="A109" s="6" t="s">
        <v>420</v>
      </c>
      <c r="B109" s="6" t="s">
        <v>56</v>
      </c>
      <c r="C109" s="6" t="s">
        <v>21</v>
      </c>
      <c r="D109" s="7" t="s">
        <v>421</v>
      </c>
      <c r="E109" s="8" t="s">
        <v>422</v>
      </c>
      <c r="F109" s="6" t="s">
        <v>423</v>
      </c>
      <c r="G109" s="9">
        <f>IF(A109=1,"_",IF(C109="_","???",C109))</f>
        <v/>
      </c>
      <c r="H109" s="10" t="s">
        <v>11</v>
      </c>
      <c r="I109" s="11" t="s">
        <v>11</v>
      </c>
      <c r="J109" s="12"/>
    </row>
    <row r="110" spans="1:10" ht="60" customHeight="1">
      <c r="A110" s="6" t="s">
        <v>424</v>
      </c>
      <c r="B110" s="6" t="s">
        <v>37</v>
      </c>
      <c r="C110" s="6" t="s">
        <v>177</v>
      </c>
      <c r="D110" s="7" t="s">
        <v>425</v>
      </c>
      <c r="E110" s="8" t="s">
        <v>426</v>
      </c>
      <c r="F110" s="6" t="s">
        <v>427</v>
      </c>
      <c r="G110" s="9">
        <f>IF(A110=1,"_",IF(C110="_","???",C110))</f>
        <v/>
      </c>
      <c r="H110" s="10" t="s">
        <v>11</v>
      </c>
      <c r="I110" s="11" t="s">
        <v>11</v>
      </c>
      <c r="J110" s="12"/>
    </row>
    <row r="111" spans="1:10" ht="60" customHeight="1">
      <c r="A111" s="6" t="s">
        <v>428</v>
      </c>
      <c r="B111" s="6" t="s">
        <v>25</v>
      </c>
      <c r="C111" s="6" t="s">
        <v>260</v>
      </c>
      <c r="D111" s="7" t="s">
        <v>429</v>
      </c>
      <c r="E111" s="8" t="s">
        <v>430</v>
      </c>
      <c r="F111" s="6" t="s">
        <v>431</v>
      </c>
      <c r="G111" s="9">
        <f>IF(A111=1,"_",IF(C111="_","???",C111))</f>
        <v/>
      </c>
      <c r="H111" s="10" t="s">
        <v>11</v>
      </c>
      <c r="I111" s="11" t="s">
        <v>11</v>
      </c>
      <c r="J111" s="12"/>
    </row>
    <row r="112" spans="1:10" ht="60" customHeight="1">
      <c r="A112" s="6" t="s">
        <v>432</v>
      </c>
      <c r="B112" s="6" t="s">
        <v>19</v>
      </c>
      <c r="C112" s="6" t="s">
        <v>81</v>
      </c>
      <c r="D112" s="7" t="s">
        <v>433</v>
      </c>
      <c r="E112" s="8" t="s">
        <v>434</v>
      </c>
      <c r="F112" s="6" t="s">
        <v>435</v>
      </c>
      <c r="G112" s="9">
        <f>IF(A112=1,"_",IF(C112="_","???",C112))</f>
        <v/>
      </c>
      <c r="H112" s="10" t="s">
        <v>11</v>
      </c>
      <c r="I112" s="11" t="s">
        <v>11</v>
      </c>
      <c r="J112" s="12"/>
    </row>
    <row r="113" spans="1:10" ht="60" customHeight="1">
      <c r="A113" s="6" t="s">
        <v>436</v>
      </c>
      <c r="B113" s="6" t="s">
        <v>15</v>
      </c>
      <c r="C113" s="6" t="s">
        <v>11</v>
      </c>
      <c r="D113" s="7" t="s">
        <v>118</v>
      </c>
      <c r="E113" s="8" t="s">
        <v>437</v>
      </c>
      <c r="F113" s="6" t="s">
        <v>438</v>
      </c>
      <c r="G113" s="9">
        <f>IF(A113=1,"_",IF(C113="_","???",C113))</f>
        <v/>
      </c>
      <c r="H113" s="10" t="s">
        <v>11</v>
      </c>
      <c r="I113" s="11" t="s">
        <v>11</v>
      </c>
      <c r="J113" s="12"/>
    </row>
    <row r="114" spans="1:10" ht="60" customHeight="1">
      <c r="A114" s="6" t="s">
        <v>439</v>
      </c>
      <c r="B114" s="6" t="s">
        <v>80</v>
      </c>
      <c r="C114" s="6" t="s">
        <v>177</v>
      </c>
      <c r="D114" s="7" t="s">
        <v>440</v>
      </c>
      <c r="E114" s="8" t="s">
        <v>441</v>
      </c>
      <c r="F114" s="6" t="s">
        <v>442</v>
      </c>
      <c r="G114" s="9">
        <f>IF(A114=1,"_",IF(C114="_","???",C114))</f>
        <v/>
      </c>
      <c r="H114" s="10" t="s">
        <v>11</v>
      </c>
      <c r="I114" s="11" t="s">
        <v>11</v>
      </c>
      <c r="J114" s="12"/>
    </row>
    <row r="115" spans="1:10" ht="60" customHeight="1">
      <c r="A115" s="6" t="s">
        <v>443</v>
      </c>
      <c r="B115" s="6" t="s">
        <v>10</v>
      </c>
      <c r="C115" s="6" t="s">
        <v>11</v>
      </c>
      <c r="D115" s="7" t="s">
        <v>110</v>
      </c>
      <c r="E115" s="8" t="s">
        <v>111</v>
      </c>
      <c r="F115" s="6" t="s">
        <v>444</v>
      </c>
      <c r="G115" s="9">
        <f>IF(A115=1,"_",IF(C115="_","???",C115))</f>
        <v/>
      </c>
      <c r="H115" s="10" t="s">
        <v>11</v>
      </c>
      <c r="I115" s="11" t="s">
        <v>11</v>
      </c>
      <c r="J115" s="12"/>
    </row>
    <row r="116" spans="1:10" ht="60" customHeight="1">
      <c r="A116" s="6" t="s">
        <v>445</v>
      </c>
      <c r="B116" s="6" t="s">
        <v>19</v>
      </c>
      <c r="C116" s="6" t="s">
        <v>11</v>
      </c>
      <c r="D116" s="7" t="s">
        <v>446</v>
      </c>
      <c r="E116" s="8" t="s">
        <v>447</v>
      </c>
      <c r="F116" s="6" t="s">
        <v>448</v>
      </c>
      <c r="G116" s="9">
        <f>IF(A116=1,"_",IF(C116="_","???",C116))</f>
        <v/>
      </c>
      <c r="H116" s="10" t="s">
        <v>11</v>
      </c>
      <c r="I116" s="11" t="s">
        <v>11</v>
      </c>
      <c r="J116" s="12"/>
    </row>
    <row r="117" spans="1:10" ht="60" customHeight="1">
      <c r="A117" s="6" t="s">
        <v>449</v>
      </c>
      <c r="B117" s="6" t="s">
        <v>48</v>
      </c>
      <c r="C117" s="6" t="s">
        <v>11</v>
      </c>
      <c r="D117" s="7" t="s">
        <v>450</v>
      </c>
      <c r="E117" s="8" t="s">
        <v>451</v>
      </c>
      <c r="F117" s="6" t="s">
        <v>452</v>
      </c>
      <c r="G117" s="9">
        <f>IF(A117=1,"_",IF(C117="_","???",C117))</f>
        <v/>
      </c>
      <c r="H117" s="10" t="s">
        <v>11</v>
      </c>
      <c r="I117" s="11" t="s">
        <v>11</v>
      </c>
      <c r="J117" s="12"/>
    </row>
    <row r="118" spans="1:10" ht="60" customHeight="1">
      <c r="A118" s="6" t="s">
        <v>453</v>
      </c>
      <c r="B118" s="6" t="s">
        <v>15</v>
      </c>
      <c r="C118" s="6" t="s">
        <v>11</v>
      </c>
      <c r="D118" s="7" t="s">
        <v>141</v>
      </c>
      <c r="E118" s="8" t="s">
        <v>454</v>
      </c>
      <c r="F118" s="6" t="s">
        <v>455</v>
      </c>
      <c r="G118" s="9">
        <f>IF(A118=1,"_",IF(C118="_","???",C118))</f>
        <v/>
      </c>
      <c r="H118" s="10" t="s">
        <v>11</v>
      </c>
      <c r="I118" s="11" t="s">
        <v>11</v>
      </c>
      <c r="J118" s="12"/>
    </row>
    <row r="119" spans="1:10" ht="60" customHeight="1">
      <c r="A119" s="6" t="s">
        <v>456</v>
      </c>
      <c r="B119" s="6" t="s">
        <v>20</v>
      </c>
      <c r="C119" s="6" t="s">
        <v>11</v>
      </c>
      <c r="D119" s="7" t="s">
        <v>106</v>
      </c>
      <c r="E119" s="8" t="s">
        <v>457</v>
      </c>
      <c r="F119" s="6" t="s">
        <v>458</v>
      </c>
      <c r="G119" s="9">
        <f>IF(A119=1,"_",IF(C119="_","???",C119))</f>
        <v/>
      </c>
      <c r="H119" s="10" t="s">
        <v>11</v>
      </c>
      <c r="I119" s="11" t="s">
        <v>11</v>
      </c>
      <c r="J119" s="12"/>
    </row>
    <row r="120" spans="1:10" ht="60" customHeight="1">
      <c r="A120" s="6" t="s">
        <v>459</v>
      </c>
      <c r="B120" s="6" t="s">
        <v>10</v>
      </c>
      <c r="C120" s="6" t="s">
        <v>460</v>
      </c>
      <c r="D120" s="7" t="s">
        <v>68</v>
      </c>
      <c r="E120" s="8" t="s">
        <v>461</v>
      </c>
      <c r="F120" s="6" t="s">
        <v>462</v>
      </c>
      <c r="G120" s="9">
        <f>IF(A120=1,"_",IF(C120="_","???",C120))</f>
        <v/>
      </c>
      <c r="H120" s="10" t="s">
        <v>11</v>
      </c>
      <c r="I120" s="11" t="s">
        <v>11</v>
      </c>
      <c r="J120" s="12"/>
    </row>
    <row r="121" spans="1:10" ht="60" customHeight="1">
      <c r="A121" s="6" t="s">
        <v>463</v>
      </c>
      <c r="B121" s="6" t="s">
        <v>15</v>
      </c>
      <c r="C121" s="6" t="s">
        <v>11</v>
      </c>
      <c r="D121" s="7" t="s">
        <v>49</v>
      </c>
      <c r="E121" s="8" t="s">
        <v>464</v>
      </c>
      <c r="F121" s="6" t="s">
        <v>465</v>
      </c>
      <c r="G121" s="9">
        <f>IF(A121=1,"_",IF(C121="_","???",C121))</f>
        <v/>
      </c>
      <c r="H121" s="10" t="s">
        <v>11</v>
      </c>
      <c r="I121" s="11" t="s">
        <v>11</v>
      </c>
      <c r="J121" s="12"/>
    </row>
    <row r="122" spans="1:10" ht="60" customHeight="1">
      <c r="A122" s="6" t="s">
        <v>466</v>
      </c>
      <c r="B122" s="6" t="s">
        <v>10</v>
      </c>
      <c r="C122" s="6" t="s">
        <v>11</v>
      </c>
      <c r="D122" s="7" t="s">
        <v>467</v>
      </c>
      <c r="E122" s="8" t="s">
        <v>468</v>
      </c>
      <c r="F122" s="6" t="s">
        <v>469</v>
      </c>
      <c r="G122" s="9">
        <f>IF(A122=1,"_",IF(C122="_","???",C122))</f>
        <v/>
      </c>
      <c r="H122" s="10" t="s">
        <v>11</v>
      </c>
      <c r="I122" s="11" t="s">
        <v>11</v>
      </c>
      <c r="J122" s="12"/>
    </row>
    <row r="123" spans="1:10" ht="60" customHeight="1">
      <c r="A123" s="6" t="s">
        <v>470</v>
      </c>
      <c r="B123" s="6" t="s">
        <v>15</v>
      </c>
      <c r="C123" s="6" t="s">
        <v>11</v>
      </c>
      <c r="D123" s="7" t="s">
        <v>49</v>
      </c>
      <c r="E123" s="8" t="s">
        <v>50</v>
      </c>
      <c r="F123" s="6" t="s">
        <v>471</v>
      </c>
      <c r="G123" s="9">
        <f>IF(A123=1,"_",IF(C123="_","???",C123))</f>
        <v/>
      </c>
      <c r="H123" s="10" t="s">
        <v>11</v>
      </c>
      <c r="I123" s="11" t="s">
        <v>11</v>
      </c>
      <c r="J123" s="12"/>
    </row>
    <row r="124" spans="1:10" ht="60" customHeight="1">
      <c r="A124" s="6" t="s">
        <v>472</v>
      </c>
      <c r="B124" s="6" t="s">
        <v>15</v>
      </c>
      <c r="C124" s="6" t="s">
        <v>11</v>
      </c>
      <c r="D124" s="7" t="s">
        <v>141</v>
      </c>
      <c r="E124" s="8" t="s">
        <v>473</v>
      </c>
      <c r="F124" s="6" t="s">
        <v>474</v>
      </c>
      <c r="G124" s="9">
        <f>IF(A124=1,"_",IF(C124="_","???",C124))</f>
        <v/>
      </c>
      <c r="H124" s="10" t="s">
        <v>11</v>
      </c>
      <c r="I124" s="11" t="s">
        <v>11</v>
      </c>
      <c r="J124" s="12"/>
    </row>
    <row r="125" spans="1:10" ht="60" customHeight="1">
      <c r="A125" s="6" t="s">
        <v>475</v>
      </c>
      <c r="B125" s="6" t="s">
        <v>20</v>
      </c>
      <c r="C125" s="6" t="s">
        <v>21</v>
      </c>
      <c r="D125" s="7" t="s">
        <v>476</v>
      </c>
      <c r="E125" s="8" t="s">
        <v>477</v>
      </c>
      <c r="F125" s="6" t="s">
        <v>478</v>
      </c>
      <c r="G125" s="9">
        <f>IF(A125=1,"_",IF(C125="_","???",C125))</f>
        <v/>
      </c>
      <c r="H125" s="10" t="s">
        <v>11</v>
      </c>
      <c r="I125" s="11" t="s">
        <v>11</v>
      </c>
      <c r="J125" s="12"/>
    </row>
    <row r="126" spans="1:10" ht="60" customHeight="1">
      <c r="A126" s="6" t="s">
        <v>479</v>
      </c>
      <c r="B126" s="6" t="s">
        <v>15</v>
      </c>
      <c r="C126" s="6" t="s">
        <v>260</v>
      </c>
      <c r="D126" s="7" t="s">
        <v>165</v>
      </c>
      <c r="E126" s="8" t="s">
        <v>480</v>
      </c>
      <c r="F126" s="6" t="s">
        <v>481</v>
      </c>
      <c r="G126" s="9">
        <f>IF(A126=1,"_",IF(C126="_","???",C126))</f>
        <v/>
      </c>
      <c r="H126" s="10" t="s">
        <v>11</v>
      </c>
      <c r="I126" s="11" t="s">
        <v>11</v>
      </c>
      <c r="J126" s="12"/>
    </row>
    <row r="127" spans="1:10" ht="60" customHeight="1">
      <c r="A127" s="6" t="s">
        <v>482</v>
      </c>
      <c r="B127" s="6" t="s">
        <v>19</v>
      </c>
      <c r="C127" s="6" t="s">
        <v>11</v>
      </c>
      <c r="D127" s="7" t="s">
        <v>483</v>
      </c>
      <c r="E127" s="8" t="s">
        <v>484</v>
      </c>
      <c r="F127" s="6" t="s">
        <v>485</v>
      </c>
      <c r="G127" s="9">
        <f>IF(A127=1,"_",IF(C127="_","???",C127))</f>
        <v/>
      </c>
      <c r="H127" s="10" t="s">
        <v>11</v>
      </c>
      <c r="I127" s="11" t="s">
        <v>11</v>
      </c>
      <c r="J127" s="12"/>
    </row>
    <row r="128" spans="1:10" ht="60" customHeight="1">
      <c r="A128" s="6" t="s">
        <v>486</v>
      </c>
      <c r="B128" s="6" t="s">
        <v>48</v>
      </c>
      <c r="C128" s="6" t="s">
        <v>11</v>
      </c>
      <c r="D128" s="7" t="s">
        <v>487</v>
      </c>
      <c r="E128" s="8" t="s">
        <v>488</v>
      </c>
      <c r="F128" s="6" t="s">
        <v>489</v>
      </c>
      <c r="G128" s="9">
        <f>IF(A128=1,"_",IF(C128="_","???",C128))</f>
        <v/>
      </c>
      <c r="H128" s="10" t="s">
        <v>11</v>
      </c>
      <c r="I128" s="11" t="s">
        <v>11</v>
      </c>
      <c r="J128" s="12"/>
    </row>
    <row r="129" spans="1:10" ht="60" customHeight="1">
      <c r="A129" s="6" t="s">
        <v>490</v>
      </c>
      <c r="B129" s="6" t="s">
        <v>20</v>
      </c>
      <c r="C129" s="6" t="s">
        <v>33</v>
      </c>
      <c r="D129" s="7" t="s">
        <v>491</v>
      </c>
      <c r="E129" s="8" t="s">
        <v>492</v>
      </c>
      <c r="F129" s="6" t="s">
        <v>493</v>
      </c>
      <c r="G129" s="9">
        <f>IF(A129=1,"_",IF(C129="_","???",C129))</f>
        <v/>
      </c>
      <c r="H129" s="10" t="s">
        <v>11</v>
      </c>
      <c r="I129" s="11" t="s">
        <v>11</v>
      </c>
      <c r="J129" s="12"/>
    </row>
    <row r="130" spans="1:10" ht="60" customHeight="1">
      <c r="A130" s="6" t="s">
        <v>494</v>
      </c>
      <c r="B130" s="6" t="s">
        <v>88</v>
      </c>
      <c r="C130" s="6" t="s">
        <v>81</v>
      </c>
      <c r="D130" s="7" t="s">
        <v>495</v>
      </c>
      <c r="E130" s="8" t="s">
        <v>496</v>
      </c>
      <c r="F130" s="6" t="s">
        <v>497</v>
      </c>
      <c r="G130" s="9">
        <f>IF(A130=1,"_",IF(C130="_","???",C130))</f>
        <v/>
      </c>
      <c r="H130" s="10" t="s">
        <v>11</v>
      </c>
      <c r="I130" s="11" t="s">
        <v>11</v>
      </c>
      <c r="J130" s="12"/>
    </row>
    <row r="131" spans="1:10" ht="60" customHeight="1">
      <c r="A131" s="6" t="s">
        <v>498</v>
      </c>
      <c r="B131" s="6" t="s">
        <v>19</v>
      </c>
      <c r="C131" s="6" t="s">
        <v>11</v>
      </c>
      <c r="D131" s="7" t="s">
        <v>499</v>
      </c>
      <c r="E131" s="8" t="s">
        <v>500</v>
      </c>
      <c r="F131" s="6" t="s">
        <v>501</v>
      </c>
      <c r="G131" s="9">
        <f>IF(A131=1,"_",IF(C131="_","???",C131))</f>
        <v/>
      </c>
      <c r="H131" s="10" t="s">
        <v>11</v>
      </c>
      <c r="I131" s="11" t="s">
        <v>11</v>
      </c>
      <c r="J131" s="12"/>
    </row>
    <row r="132" spans="1:10" ht="60" customHeight="1">
      <c r="A132" s="6" t="s">
        <v>502</v>
      </c>
      <c r="B132" s="6" t="s">
        <v>19</v>
      </c>
      <c r="C132" s="6" t="s">
        <v>11</v>
      </c>
      <c r="D132" s="7" t="s">
        <v>499</v>
      </c>
      <c r="E132" s="8" t="s">
        <v>503</v>
      </c>
      <c r="F132" s="6" t="s">
        <v>504</v>
      </c>
      <c r="G132" s="9">
        <f>IF(A132=1,"_",IF(C132="_","???",C132))</f>
        <v/>
      </c>
      <c r="H132" s="10" t="s">
        <v>11</v>
      </c>
      <c r="I132" s="11" t="s">
        <v>11</v>
      </c>
      <c r="J132" s="12"/>
    </row>
    <row r="133" spans="1:10" ht="60" customHeight="1">
      <c r="A133" s="6" t="s">
        <v>505</v>
      </c>
      <c r="B133" s="6" t="s">
        <v>15</v>
      </c>
      <c r="C133" s="6" t="s">
        <v>81</v>
      </c>
      <c r="D133" s="7" t="s">
        <v>506</v>
      </c>
      <c r="E133" s="8" t="s">
        <v>507</v>
      </c>
      <c r="F133" s="6" t="s">
        <v>508</v>
      </c>
      <c r="G133" s="9">
        <f>IF(A133=1,"_",IF(C133="_","???",C133))</f>
        <v/>
      </c>
      <c r="H133" s="10" t="s">
        <v>11</v>
      </c>
      <c r="I133" s="11" t="s">
        <v>11</v>
      </c>
      <c r="J133" s="12"/>
    </row>
    <row r="134" spans="1:10" ht="60" customHeight="1">
      <c r="A134" s="6" t="s">
        <v>509</v>
      </c>
      <c r="B134" s="6" t="s">
        <v>15</v>
      </c>
      <c r="C134" s="6" t="s">
        <v>11</v>
      </c>
      <c r="D134" s="7" t="s">
        <v>429</v>
      </c>
      <c r="E134" s="8" t="s">
        <v>510</v>
      </c>
      <c r="F134" s="6" t="s">
        <v>511</v>
      </c>
      <c r="G134" s="9">
        <f>IF(A134=1,"_",IF(C134="_","???",C134))</f>
        <v/>
      </c>
      <c r="H134" s="10" t="s">
        <v>11</v>
      </c>
      <c r="I134" s="11" t="s">
        <v>11</v>
      </c>
      <c r="J134" s="12"/>
    </row>
    <row r="135" spans="1:10" ht="60" customHeight="1">
      <c r="A135" s="6" t="s">
        <v>512</v>
      </c>
      <c r="B135" s="6" t="s">
        <v>15</v>
      </c>
      <c r="C135" s="6" t="s">
        <v>81</v>
      </c>
      <c r="D135" s="7" t="s">
        <v>134</v>
      </c>
      <c r="E135" s="8" t="s">
        <v>513</v>
      </c>
      <c r="F135" s="6" t="s">
        <v>514</v>
      </c>
      <c r="G135" s="9">
        <f>IF(A135=1,"_",IF(C135="_","???",C135))</f>
        <v/>
      </c>
      <c r="H135" s="10" t="s">
        <v>11</v>
      </c>
      <c r="I135" s="11" t="s">
        <v>11</v>
      </c>
      <c r="J135" s="12"/>
    </row>
    <row r="136" spans="1:10" ht="60" customHeight="1">
      <c r="A136" s="6" t="s">
        <v>515</v>
      </c>
      <c r="B136" s="6" t="s">
        <v>10</v>
      </c>
      <c r="C136" s="6" t="s">
        <v>11</v>
      </c>
      <c r="D136" s="7" t="s">
        <v>110</v>
      </c>
      <c r="E136" s="8" t="s">
        <v>111</v>
      </c>
      <c r="F136" s="6" t="s">
        <v>516</v>
      </c>
      <c r="G136" s="9">
        <f>IF(A136=1,"_",IF(C136="_","???",C136))</f>
        <v/>
      </c>
      <c r="H136" s="10" t="s">
        <v>11</v>
      </c>
      <c r="I136" s="11" t="s">
        <v>11</v>
      </c>
      <c r="J136" s="12"/>
    </row>
    <row r="137" spans="1:10" ht="60" customHeight="1">
      <c r="A137" s="6" t="s">
        <v>517</v>
      </c>
      <c r="B137" s="6" t="s">
        <v>20</v>
      </c>
      <c r="C137" s="6" t="s">
        <v>260</v>
      </c>
      <c r="D137" s="7" t="s">
        <v>518</v>
      </c>
      <c r="E137" s="8" t="s">
        <v>519</v>
      </c>
      <c r="F137" s="6" t="s">
        <v>520</v>
      </c>
      <c r="G137" s="9">
        <f>IF(A137=1,"_",IF(C137="_","???",C137))</f>
        <v/>
      </c>
      <c r="H137" s="10" t="s">
        <v>11</v>
      </c>
      <c r="I137" s="11" t="s">
        <v>11</v>
      </c>
      <c r="J137" s="12"/>
    </row>
    <row r="138" spans="1:10" ht="60" customHeight="1">
      <c r="A138" s="6" t="s">
        <v>521</v>
      </c>
      <c r="B138" s="6" t="s">
        <v>15</v>
      </c>
      <c r="C138" s="6" t="s">
        <v>11</v>
      </c>
      <c r="D138" s="7" t="s">
        <v>522</v>
      </c>
      <c r="E138" s="8" t="s">
        <v>523</v>
      </c>
      <c r="F138" s="6" t="s">
        <v>524</v>
      </c>
      <c r="G138" s="9">
        <f>IF(A138=1,"_",IF(C138="_","???",C138))</f>
        <v/>
      </c>
      <c r="H138" s="10" t="s">
        <v>11</v>
      </c>
      <c r="I138" s="11" t="s">
        <v>11</v>
      </c>
      <c r="J138" s="12"/>
    </row>
    <row r="139" spans="1:10" ht="60" customHeight="1">
      <c r="A139" s="6" t="s">
        <v>525</v>
      </c>
      <c r="B139" s="6" t="s">
        <v>10</v>
      </c>
      <c r="C139" s="6" t="s">
        <v>11</v>
      </c>
      <c r="D139" s="7" t="s">
        <v>134</v>
      </c>
      <c r="E139" s="8" t="s">
        <v>526</v>
      </c>
      <c r="F139" s="6" t="s">
        <v>527</v>
      </c>
      <c r="G139" s="9">
        <f>IF(A139=1,"_",IF(C139="_","???",C139))</f>
        <v/>
      </c>
      <c r="H139" s="10" t="s">
        <v>11</v>
      </c>
      <c r="I139" s="11" t="s">
        <v>11</v>
      </c>
      <c r="J139" s="12"/>
    </row>
    <row r="140" spans="1:10" ht="60" customHeight="1">
      <c r="A140" s="6" t="s">
        <v>528</v>
      </c>
      <c r="B140" s="6" t="s">
        <v>20</v>
      </c>
      <c r="C140" s="6" t="s">
        <v>11</v>
      </c>
      <c r="D140" s="7" t="s">
        <v>134</v>
      </c>
      <c r="E140" s="8" t="s">
        <v>529</v>
      </c>
      <c r="F140" s="6" t="s">
        <v>530</v>
      </c>
      <c r="G140" s="9">
        <f>IF(A140=1,"_",IF(C140="_","???",C140))</f>
        <v/>
      </c>
      <c r="H140" s="10" t="s">
        <v>11</v>
      </c>
      <c r="I140" s="11" t="s">
        <v>11</v>
      </c>
      <c r="J140" s="12"/>
    </row>
    <row r="141" spans="1:10" ht="60" customHeight="1">
      <c r="A141" s="6" t="s">
        <v>531</v>
      </c>
      <c r="B141" s="6" t="s">
        <v>20</v>
      </c>
      <c r="C141" s="6" t="s">
        <v>11</v>
      </c>
      <c r="D141" s="7" t="s">
        <v>141</v>
      </c>
      <c r="E141" s="8" t="s">
        <v>532</v>
      </c>
      <c r="F141" s="6" t="s">
        <v>533</v>
      </c>
      <c r="G141" s="9">
        <f>IF(A141=1,"_",IF(C141="_","???",C141))</f>
        <v/>
      </c>
      <c r="H141" s="10" t="s">
        <v>11</v>
      </c>
      <c r="I141" s="11" t="s">
        <v>11</v>
      </c>
      <c r="J141" s="12"/>
    </row>
    <row r="142" spans="1:10" ht="60" customHeight="1">
      <c r="A142" s="6" t="s">
        <v>534</v>
      </c>
      <c r="B142" s="6" t="s">
        <v>10</v>
      </c>
      <c r="C142" s="6" t="s">
        <v>177</v>
      </c>
      <c r="D142" s="7" t="s">
        <v>53</v>
      </c>
      <c r="E142" s="8" t="s">
        <v>535</v>
      </c>
      <c r="F142" s="6" t="s">
        <v>536</v>
      </c>
      <c r="G142" s="9">
        <f>IF(A142=1,"_",IF(C142="_","???",C142))</f>
        <v/>
      </c>
      <c r="H142" s="10" t="s">
        <v>11</v>
      </c>
      <c r="I142" s="11" t="s">
        <v>11</v>
      </c>
      <c r="J142" s="12"/>
    </row>
    <row r="143" spans="1:10" ht="60" customHeight="1">
      <c r="A143" s="6" t="s">
        <v>537</v>
      </c>
      <c r="B143" s="6" t="s">
        <v>10</v>
      </c>
      <c r="C143" s="6" t="s">
        <v>81</v>
      </c>
      <c r="D143" s="7" t="s">
        <v>538</v>
      </c>
      <c r="E143" s="8" t="s">
        <v>539</v>
      </c>
      <c r="F143" s="6" t="s">
        <v>540</v>
      </c>
      <c r="G143" s="9">
        <f>IF(A143=1,"_",IF(C143="_","???",C143))</f>
        <v/>
      </c>
      <c r="H143" s="10" t="s">
        <v>11</v>
      </c>
      <c r="I143" s="11" t="s">
        <v>11</v>
      </c>
      <c r="J143" s="12"/>
    </row>
    <row r="144" spans="1:10" ht="60" customHeight="1">
      <c r="A144" s="6" t="s">
        <v>541</v>
      </c>
      <c r="B144" s="6" t="s">
        <v>88</v>
      </c>
      <c r="C144" s="6" t="s">
        <v>11</v>
      </c>
      <c r="D144" s="7" t="s">
        <v>542</v>
      </c>
      <c r="E144" s="8" t="s">
        <v>543</v>
      </c>
      <c r="F144" s="6" t="s">
        <v>544</v>
      </c>
      <c r="G144" s="9">
        <f>IF(A144=1,"_",IF(C144="_","???",C144))</f>
        <v/>
      </c>
      <c r="H144" s="10" t="s">
        <v>11</v>
      </c>
      <c r="I144" s="11" t="s">
        <v>11</v>
      </c>
      <c r="J144" s="12"/>
    </row>
    <row r="145" spans="1:10" ht="60" customHeight="1">
      <c r="A145" s="6" t="s">
        <v>545</v>
      </c>
      <c r="B145" s="6" t="s">
        <v>15</v>
      </c>
      <c r="C145" s="6" t="s">
        <v>11</v>
      </c>
      <c r="D145" s="7" t="s">
        <v>201</v>
      </c>
      <c r="E145" s="8" t="s">
        <v>546</v>
      </c>
      <c r="F145" s="6" t="s">
        <v>547</v>
      </c>
      <c r="G145" s="9">
        <f>IF(A145=1,"_",IF(C145="_","???",C145))</f>
        <v/>
      </c>
      <c r="H145" s="10" t="s">
        <v>11</v>
      </c>
      <c r="I145" s="11" t="s">
        <v>11</v>
      </c>
      <c r="J145" s="12"/>
    </row>
    <row r="146" spans="1:10" ht="60" customHeight="1">
      <c r="A146" s="6" t="s">
        <v>548</v>
      </c>
      <c r="B146" s="6" t="s">
        <v>19</v>
      </c>
      <c r="C146" s="6" t="s">
        <v>11</v>
      </c>
      <c r="D146" s="7" t="s">
        <v>549</v>
      </c>
      <c r="E146" s="8" t="s">
        <v>550</v>
      </c>
      <c r="F146" s="6" t="s">
        <v>551</v>
      </c>
      <c r="G146" s="9">
        <f>IF(A146=1,"_",IF(C146="_","???",C146))</f>
        <v/>
      </c>
      <c r="H146" s="10" t="s">
        <v>11</v>
      </c>
      <c r="I146" s="11" t="s">
        <v>11</v>
      </c>
      <c r="J146" s="12"/>
    </row>
    <row r="147" spans="1:10" ht="60" customHeight="1">
      <c r="A147" s="6" t="s">
        <v>552</v>
      </c>
      <c r="B147" s="6" t="s">
        <v>101</v>
      </c>
      <c r="C147" s="6" t="s">
        <v>11</v>
      </c>
      <c r="D147" s="7" t="s">
        <v>201</v>
      </c>
      <c r="E147" s="8" t="s">
        <v>553</v>
      </c>
      <c r="F147" s="6" t="s">
        <v>554</v>
      </c>
      <c r="G147" s="9">
        <f>IF(A147=1,"_",IF(C147="_","???",C147))</f>
        <v/>
      </c>
      <c r="H147" s="10" t="s">
        <v>11</v>
      </c>
      <c r="I147" s="11" t="s">
        <v>11</v>
      </c>
      <c r="J147" s="12"/>
    </row>
    <row r="148" spans="1:10" ht="60" customHeight="1">
      <c r="A148" s="6" t="s">
        <v>555</v>
      </c>
      <c r="B148" s="6" t="s">
        <v>25</v>
      </c>
      <c r="C148" s="6" t="s">
        <v>11</v>
      </c>
      <c r="D148" s="7" t="s">
        <v>57</v>
      </c>
      <c r="E148" s="8" t="s">
        <v>556</v>
      </c>
      <c r="F148" s="6" t="s">
        <v>557</v>
      </c>
      <c r="G148" s="9">
        <f>IF(A148=1,"_",IF(C148="_","???",C148))</f>
        <v/>
      </c>
      <c r="H148" s="10" t="s">
        <v>11</v>
      </c>
      <c r="I148" s="11" t="s">
        <v>11</v>
      </c>
      <c r="J148" s="12"/>
    </row>
    <row r="149" spans="1:10" ht="60" customHeight="1">
      <c r="A149" s="6" t="s">
        <v>558</v>
      </c>
      <c r="B149" s="6" t="s">
        <v>56</v>
      </c>
      <c r="C149" s="6" t="s">
        <v>177</v>
      </c>
      <c r="D149" s="7" t="s">
        <v>134</v>
      </c>
      <c r="E149" s="8" t="s">
        <v>559</v>
      </c>
      <c r="F149" s="6" t="s">
        <v>560</v>
      </c>
      <c r="G149" s="9">
        <f>IF(A149=1,"_",IF(C149="_","???",C149))</f>
        <v/>
      </c>
      <c r="H149" s="10" t="s">
        <v>11</v>
      </c>
      <c r="I149" s="11" t="s">
        <v>11</v>
      </c>
      <c r="J149" s="12"/>
    </row>
    <row r="150" spans="1:10" ht="60" customHeight="1">
      <c r="A150" s="6" t="s">
        <v>561</v>
      </c>
      <c r="B150" s="6" t="s">
        <v>15</v>
      </c>
      <c r="C150" s="6" t="s">
        <v>11</v>
      </c>
      <c r="D150" s="7" t="s">
        <v>201</v>
      </c>
      <c r="E150" s="8" t="s">
        <v>562</v>
      </c>
      <c r="F150" s="6" t="s">
        <v>563</v>
      </c>
      <c r="G150" s="9">
        <f>IF(A150=1,"_",IF(C150="_","???",C150))</f>
        <v/>
      </c>
      <c r="H150" s="10" t="s">
        <v>11</v>
      </c>
      <c r="I150" s="11" t="s">
        <v>11</v>
      </c>
      <c r="J150" s="12"/>
    </row>
    <row r="151" spans="1:10" ht="60" customHeight="1">
      <c r="A151" s="6" t="s">
        <v>564</v>
      </c>
      <c r="B151" s="6" t="s">
        <v>15</v>
      </c>
      <c r="C151" s="6" t="s">
        <v>11</v>
      </c>
      <c r="D151" s="7" t="s">
        <v>377</v>
      </c>
      <c r="E151" s="8" t="s">
        <v>565</v>
      </c>
      <c r="F151" s="6" t="s">
        <v>566</v>
      </c>
      <c r="G151" s="9">
        <f>IF(A151=1,"_",IF(C151="_","???",C151))</f>
        <v/>
      </c>
      <c r="H151" s="10" t="s">
        <v>11</v>
      </c>
      <c r="I151" s="11" t="s">
        <v>11</v>
      </c>
      <c r="J151" s="12"/>
    </row>
    <row r="152" spans="1:10" ht="60" customHeight="1">
      <c r="A152" s="6" t="s">
        <v>567</v>
      </c>
      <c r="B152" s="6" t="s">
        <v>15</v>
      </c>
      <c r="C152" s="6" t="s">
        <v>260</v>
      </c>
      <c r="D152" s="7" t="s">
        <v>106</v>
      </c>
      <c r="E152" s="8" t="s">
        <v>568</v>
      </c>
      <c r="F152" s="6" t="s">
        <v>569</v>
      </c>
      <c r="G152" s="9">
        <f>IF(A152=1,"_",IF(C152="_","???",C152))</f>
        <v/>
      </c>
      <c r="H152" s="10" t="s">
        <v>11</v>
      </c>
      <c r="I152" s="11" t="s">
        <v>11</v>
      </c>
      <c r="J152" s="12"/>
    </row>
    <row r="153" spans="1:10" ht="60" customHeight="1">
      <c r="A153" s="6" t="s">
        <v>570</v>
      </c>
      <c r="B153" s="6" t="s">
        <v>19</v>
      </c>
      <c r="C153" s="6" t="s">
        <v>460</v>
      </c>
      <c r="D153" s="7" t="s">
        <v>571</v>
      </c>
      <c r="E153" s="8" t="s">
        <v>572</v>
      </c>
      <c r="F153" s="6" t="s">
        <v>573</v>
      </c>
      <c r="G153" s="9">
        <f>IF(A153=1,"_",IF(C153="_","???",C153))</f>
        <v/>
      </c>
      <c r="H153" s="10" t="s">
        <v>11</v>
      </c>
      <c r="I153" s="11" t="s">
        <v>11</v>
      </c>
      <c r="J153" s="12"/>
    </row>
    <row r="154" spans="1:10" ht="60" customHeight="1">
      <c r="A154" s="6" t="s">
        <v>574</v>
      </c>
      <c r="B154" s="6" t="s">
        <v>19</v>
      </c>
      <c r="C154" s="6" t="s">
        <v>177</v>
      </c>
      <c r="D154" s="7" t="s">
        <v>575</v>
      </c>
      <c r="E154" s="8" t="s">
        <v>576</v>
      </c>
      <c r="F154" s="6" t="s">
        <v>577</v>
      </c>
      <c r="G154" s="9">
        <f>IF(A154=1,"_",IF(C154="_","???",C154))</f>
        <v/>
      </c>
      <c r="H154" s="10" t="s">
        <v>11</v>
      </c>
      <c r="I154" s="11" t="s">
        <v>11</v>
      </c>
      <c r="J154" s="12"/>
    </row>
    <row r="155" spans="1:10" ht="60" customHeight="1">
      <c r="A155" s="6" t="s">
        <v>578</v>
      </c>
      <c r="B155" s="6" t="s">
        <v>20</v>
      </c>
      <c r="C155" s="6" t="s">
        <v>81</v>
      </c>
      <c r="D155" s="7" t="s">
        <v>433</v>
      </c>
      <c r="E155" s="8" t="s">
        <v>579</v>
      </c>
      <c r="F155" s="6" t="s">
        <v>580</v>
      </c>
      <c r="G155" s="9">
        <f>IF(A155=1,"_",IF(C155="_","???",C155))</f>
        <v/>
      </c>
      <c r="H155" s="10" t="s">
        <v>11</v>
      </c>
      <c r="I155" s="11" t="s">
        <v>11</v>
      </c>
      <c r="J155" s="12"/>
    </row>
    <row r="156" spans="1:10" ht="60" customHeight="1">
      <c r="A156" s="6" t="s">
        <v>581</v>
      </c>
      <c r="B156" s="6" t="s">
        <v>10</v>
      </c>
      <c r="C156" s="6" t="s">
        <v>11</v>
      </c>
      <c r="D156" s="7" t="s">
        <v>110</v>
      </c>
      <c r="E156" s="8" t="s">
        <v>111</v>
      </c>
      <c r="F156" s="6" t="s">
        <v>582</v>
      </c>
      <c r="G156" s="9">
        <f>IF(A156=1,"_",IF(C156="_","???",C156))</f>
        <v/>
      </c>
      <c r="H156" s="10" t="s">
        <v>11</v>
      </c>
      <c r="I156" s="11" t="s">
        <v>11</v>
      </c>
      <c r="J156" s="12"/>
    </row>
    <row r="157" spans="1:10" ht="60" customHeight="1">
      <c r="A157" s="6" t="s">
        <v>583</v>
      </c>
      <c r="B157" s="6" t="s">
        <v>41</v>
      </c>
      <c r="C157" s="6" t="s">
        <v>133</v>
      </c>
      <c r="D157" s="7" t="s">
        <v>584</v>
      </c>
      <c r="E157" s="8" t="s">
        <v>585</v>
      </c>
      <c r="F157" s="6" t="s">
        <v>586</v>
      </c>
      <c r="G157" s="9">
        <f>IF(A157=1,"_",IF(C157="_","???",C157))</f>
        <v/>
      </c>
      <c r="H157" s="10" t="s">
        <v>11</v>
      </c>
      <c r="I157" s="11" t="s">
        <v>11</v>
      </c>
      <c r="J157" s="12"/>
    </row>
    <row r="158" spans="1:10" ht="60" customHeight="1">
      <c r="A158" s="6" t="s">
        <v>587</v>
      </c>
      <c r="B158" s="6" t="s">
        <v>10</v>
      </c>
      <c r="C158" s="6" t="s">
        <v>11</v>
      </c>
      <c r="D158" s="7" t="s">
        <v>588</v>
      </c>
      <c r="E158" s="8" t="s">
        <v>589</v>
      </c>
      <c r="F158" s="6" t="s">
        <v>590</v>
      </c>
      <c r="G158" s="9">
        <f>IF(A158=1,"_",IF(C158="_","???",C158))</f>
        <v/>
      </c>
      <c r="H158" s="10" t="s">
        <v>11</v>
      </c>
      <c r="I158" s="11" t="s">
        <v>11</v>
      </c>
      <c r="J158" s="12"/>
    </row>
    <row r="159" spans="1:10" ht="60" customHeight="1">
      <c r="A159" s="6" t="s">
        <v>591</v>
      </c>
      <c r="B159" s="6" t="s">
        <v>88</v>
      </c>
      <c r="C159" s="6" t="s">
        <v>11</v>
      </c>
      <c r="D159" s="7" t="s">
        <v>134</v>
      </c>
      <c r="E159" s="8" t="s">
        <v>592</v>
      </c>
      <c r="F159" s="6" t="s">
        <v>593</v>
      </c>
      <c r="G159" s="9">
        <f>IF(A159=1,"_",IF(C159="_","???",C159))</f>
        <v/>
      </c>
      <c r="H159" s="10" t="s">
        <v>11</v>
      </c>
      <c r="I159" s="11" t="s">
        <v>11</v>
      </c>
      <c r="J159" s="12"/>
    </row>
    <row r="160" spans="1:10" ht="60" customHeight="1">
      <c r="A160" s="6" t="s">
        <v>594</v>
      </c>
      <c r="B160" s="6" t="s">
        <v>80</v>
      </c>
      <c r="C160" s="6" t="s">
        <v>133</v>
      </c>
      <c r="D160" s="7" t="s">
        <v>595</v>
      </c>
      <c r="E160" s="8" t="s">
        <v>596</v>
      </c>
      <c r="F160" s="6" t="s">
        <v>597</v>
      </c>
      <c r="G160" s="9">
        <f>IF(A160=1,"_",IF(C160="_","???",C160))</f>
        <v/>
      </c>
      <c r="H160" s="10" t="s">
        <v>11</v>
      </c>
      <c r="I160" s="11" t="s">
        <v>11</v>
      </c>
      <c r="J160" s="12"/>
    </row>
    <row r="161" spans="1:10" ht="60" customHeight="1">
      <c r="A161" s="6" t="s">
        <v>598</v>
      </c>
      <c r="B161" s="6" t="s">
        <v>63</v>
      </c>
      <c r="C161" s="6" t="s">
        <v>97</v>
      </c>
      <c r="D161" s="7" t="s">
        <v>599</v>
      </c>
      <c r="E161" s="8" t="s">
        <v>600</v>
      </c>
      <c r="F161" s="6" t="s">
        <v>601</v>
      </c>
      <c r="G161" s="9">
        <f>IF(A161=1,"_",IF(C161="_","???",C161))</f>
        <v/>
      </c>
      <c r="H161" s="10" t="s">
        <v>11</v>
      </c>
      <c r="I161" s="11" t="s">
        <v>11</v>
      </c>
      <c r="J161" s="12"/>
    </row>
    <row r="162" spans="1:10" ht="60" customHeight="1">
      <c r="A162" s="6" t="s">
        <v>602</v>
      </c>
      <c r="B162" s="6" t="s">
        <v>63</v>
      </c>
      <c r="C162" s="6" t="s">
        <v>21</v>
      </c>
      <c r="D162" s="7" t="s">
        <v>603</v>
      </c>
      <c r="E162" s="8" t="s">
        <v>604</v>
      </c>
      <c r="F162" s="6" t="s">
        <v>605</v>
      </c>
      <c r="G162" s="9">
        <f>IF(A162=1,"_",IF(C162="_","???",C162))</f>
        <v/>
      </c>
      <c r="H162" s="10" t="s">
        <v>11</v>
      </c>
      <c r="I162" s="11" t="s">
        <v>11</v>
      </c>
      <c r="J162" s="12"/>
    </row>
    <row r="163" spans="1:10" ht="60" customHeight="1">
      <c r="A163" s="6" t="s">
        <v>606</v>
      </c>
      <c r="B163" s="6" t="s">
        <v>10</v>
      </c>
      <c r="C163" s="6" t="s">
        <v>260</v>
      </c>
      <c r="D163" s="7" t="s">
        <v>53</v>
      </c>
      <c r="E163" s="8" t="s">
        <v>607</v>
      </c>
      <c r="F163" s="6" t="s">
        <v>608</v>
      </c>
      <c r="G163" s="9">
        <f>IF(A163=1,"_",IF(C163="_","???",C163))</f>
        <v/>
      </c>
      <c r="H163" s="10" t="s">
        <v>11</v>
      </c>
      <c r="I163" s="11" t="s">
        <v>11</v>
      </c>
      <c r="J163" s="12"/>
    </row>
    <row r="164" spans="1:10" ht="60" customHeight="1">
      <c r="A164" s="6" t="s">
        <v>609</v>
      </c>
      <c r="B164" s="6" t="s">
        <v>19</v>
      </c>
      <c r="C164" s="6" t="s">
        <v>11</v>
      </c>
      <c r="D164" s="7" t="s">
        <v>495</v>
      </c>
      <c r="E164" s="8" t="s">
        <v>610</v>
      </c>
      <c r="F164" s="6" t="s">
        <v>611</v>
      </c>
      <c r="G164" s="9">
        <f>IF(A164=1,"_",IF(C164="_","???",C164))</f>
        <v/>
      </c>
      <c r="H164" s="10" t="s">
        <v>11</v>
      </c>
      <c r="I164" s="11" t="s">
        <v>11</v>
      </c>
      <c r="J164" s="12"/>
    </row>
    <row r="165" spans="1:10" ht="60" customHeight="1">
      <c r="A165" s="6" t="s">
        <v>612</v>
      </c>
      <c r="B165" s="6" t="s">
        <v>10</v>
      </c>
      <c r="C165" s="6" t="s">
        <v>11</v>
      </c>
      <c r="D165" s="7" t="s">
        <v>68</v>
      </c>
      <c r="E165" s="8" t="s">
        <v>613</v>
      </c>
      <c r="F165" s="6" t="s">
        <v>614</v>
      </c>
      <c r="G165" s="9">
        <f>IF(A165=1,"_",IF(C165="_","???",C165))</f>
        <v/>
      </c>
      <c r="H165" s="10" t="s">
        <v>11</v>
      </c>
      <c r="I165" s="11" t="s">
        <v>11</v>
      </c>
      <c r="J165" s="12"/>
    </row>
    <row r="166" spans="1:10" ht="60" customHeight="1">
      <c r="A166" s="6" t="s">
        <v>615</v>
      </c>
      <c r="B166" s="6" t="s">
        <v>67</v>
      </c>
      <c r="C166" s="6" t="s">
        <v>81</v>
      </c>
      <c r="D166" s="7" t="s">
        <v>118</v>
      </c>
      <c r="E166" s="8" t="s">
        <v>616</v>
      </c>
      <c r="F166" s="6" t="s">
        <v>617</v>
      </c>
      <c r="G166" s="9">
        <f>IF(A166=1,"_",IF(C166="_","???",C166))</f>
        <v/>
      </c>
      <c r="H166" s="10" t="s">
        <v>11</v>
      </c>
      <c r="I166" s="11" t="s">
        <v>11</v>
      </c>
      <c r="J166" s="12"/>
    </row>
    <row r="167" spans="1:10" ht="60" customHeight="1">
      <c r="A167" s="6" t="s">
        <v>618</v>
      </c>
      <c r="B167" s="6" t="s">
        <v>15</v>
      </c>
      <c r="C167" s="6" t="s">
        <v>21</v>
      </c>
      <c r="D167" s="7" t="s">
        <v>619</v>
      </c>
      <c r="E167" s="8" t="s">
        <v>620</v>
      </c>
      <c r="F167" s="6" t="s">
        <v>621</v>
      </c>
      <c r="G167" s="9">
        <f>IF(A167=1,"_",IF(C167="_","???",C167))</f>
        <v/>
      </c>
      <c r="H167" s="10" t="s">
        <v>11</v>
      </c>
      <c r="I167" s="11" t="s">
        <v>11</v>
      </c>
      <c r="J167" s="12"/>
    </row>
    <row r="168" spans="1:10" ht="60" customHeight="1">
      <c r="A168" s="6" t="s">
        <v>622</v>
      </c>
      <c r="B168" s="6" t="s">
        <v>10</v>
      </c>
      <c r="C168" s="6" t="s">
        <v>11</v>
      </c>
      <c r="D168" s="7" t="s">
        <v>129</v>
      </c>
      <c r="E168" s="8" t="s">
        <v>623</v>
      </c>
      <c r="F168" s="6" t="s">
        <v>624</v>
      </c>
      <c r="G168" s="9">
        <f>IF(A168=1,"_",IF(C168="_","???",C168))</f>
        <v/>
      </c>
      <c r="H168" s="10" t="s">
        <v>11</v>
      </c>
      <c r="I168" s="11" t="s">
        <v>11</v>
      </c>
      <c r="J168" s="12"/>
    </row>
    <row r="169" spans="1:10" ht="60" customHeight="1">
      <c r="A169" s="6" t="s">
        <v>625</v>
      </c>
      <c r="B169" s="6" t="s">
        <v>60</v>
      </c>
      <c r="C169" s="6" t="s">
        <v>268</v>
      </c>
      <c r="D169" s="7" t="s">
        <v>626</v>
      </c>
      <c r="E169" s="8" t="s">
        <v>627</v>
      </c>
      <c r="F169" s="6" t="s">
        <v>628</v>
      </c>
      <c r="G169" s="9">
        <f>IF(A169=1,"_",IF(C169="_","???",C169))</f>
        <v/>
      </c>
      <c r="H169" s="10" t="s">
        <v>11</v>
      </c>
      <c r="I169" s="11" t="s">
        <v>11</v>
      </c>
      <c r="J169" s="12"/>
    </row>
    <row r="170" spans="1:10" ht="60" customHeight="1">
      <c r="A170" s="6" t="s">
        <v>629</v>
      </c>
      <c r="B170" s="6" t="s">
        <v>10</v>
      </c>
      <c r="C170" s="6" t="s">
        <v>11</v>
      </c>
      <c r="D170" s="7" t="s">
        <v>53</v>
      </c>
      <c r="E170" s="8" t="s">
        <v>630</v>
      </c>
      <c r="F170" s="6" t="s">
        <v>631</v>
      </c>
      <c r="G170" s="9">
        <f>IF(A170=1,"_",IF(C170="_","???",C170))</f>
        <v/>
      </c>
      <c r="H170" s="10" t="s">
        <v>11</v>
      </c>
      <c r="I170" s="11" t="s">
        <v>11</v>
      </c>
      <c r="J170" s="12"/>
    </row>
    <row r="171" spans="1:10" ht="60" customHeight="1">
      <c r="A171" s="6" t="s">
        <v>632</v>
      </c>
      <c r="B171" s="6" t="s">
        <v>20</v>
      </c>
      <c r="C171" s="6" t="s">
        <v>11</v>
      </c>
      <c r="D171" s="7" t="s">
        <v>633</v>
      </c>
      <c r="E171" s="8" t="s">
        <v>634</v>
      </c>
      <c r="F171" s="6" t="s">
        <v>635</v>
      </c>
      <c r="G171" s="9">
        <f>IF(A171=1,"_",IF(C171="_","???",C171))</f>
        <v/>
      </c>
      <c r="H171" s="10" t="s">
        <v>11</v>
      </c>
      <c r="I171" s="11" t="s">
        <v>11</v>
      </c>
      <c r="J171" s="12"/>
    </row>
    <row r="172" spans="1:10" ht="60" customHeight="1">
      <c r="A172" s="6" t="s">
        <v>636</v>
      </c>
      <c r="B172" s="6" t="s">
        <v>10</v>
      </c>
      <c r="C172" s="6" t="s">
        <v>11</v>
      </c>
      <c r="D172" s="7" t="s">
        <v>53</v>
      </c>
      <c r="E172" s="8" t="s">
        <v>637</v>
      </c>
      <c r="F172" s="6" t="s">
        <v>638</v>
      </c>
      <c r="G172" s="9">
        <f>IF(A172=1,"_",IF(C172="_","???",C172))</f>
        <v/>
      </c>
      <c r="H172" s="10" t="s">
        <v>11</v>
      </c>
      <c r="I172" s="11" t="s">
        <v>11</v>
      </c>
      <c r="J172" s="12"/>
    </row>
    <row r="173" spans="1:10" ht="60" customHeight="1">
      <c r="A173" s="6" t="s">
        <v>639</v>
      </c>
      <c r="B173" s="6" t="s">
        <v>19</v>
      </c>
      <c r="C173" s="6" t="s">
        <v>11</v>
      </c>
      <c r="D173" s="7" t="s">
        <v>141</v>
      </c>
      <c r="E173" s="8" t="s">
        <v>640</v>
      </c>
      <c r="F173" s="6" t="s">
        <v>641</v>
      </c>
      <c r="G173" s="9">
        <f>IF(A173=1,"_",IF(C173="_","???",C173))</f>
        <v/>
      </c>
      <c r="H173" s="10" t="s">
        <v>11</v>
      </c>
      <c r="I173" s="11" t="s">
        <v>11</v>
      </c>
      <c r="J173" s="12"/>
    </row>
    <row r="174" spans="1:10" ht="60" customHeight="1">
      <c r="A174" s="6" t="s">
        <v>642</v>
      </c>
      <c r="B174" s="6" t="s">
        <v>10</v>
      </c>
      <c r="C174" s="6" t="s">
        <v>11</v>
      </c>
      <c r="D174" s="7" t="s">
        <v>68</v>
      </c>
      <c r="E174" s="8" t="s">
        <v>643</v>
      </c>
      <c r="F174" s="6" t="s">
        <v>644</v>
      </c>
      <c r="G174" s="9">
        <f>IF(A174=1,"_",IF(C174="_","???",C174))</f>
        <v/>
      </c>
      <c r="H174" s="10" t="s">
        <v>11</v>
      </c>
      <c r="I174" s="11" t="s">
        <v>11</v>
      </c>
      <c r="J174" s="12"/>
    </row>
    <row r="175" spans="1:10" ht="60" customHeight="1">
      <c r="A175" s="6" t="s">
        <v>645</v>
      </c>
      <c r="B175" s="6" t="s">
        <v>20</v>
      </c>
      <c r="C175" s="6" t="s">
        <v>11</v>
      </c>
      <c r="D175" s="7" t="s">
        <v>134</v>
      </c>
      <c r="E175" s="8" t="s">
        <v>646</v>
      </c>
      <c r="F175" s="6" t="s">
        <v>647</v>
      </c>
      <c r="G175" s="9">
        <f>IF(A175=1,"_",IF(C175="_","???",C175))</f>
        <v/>
      </c>
      <c r="H175" s="10" t="s">
        <v>11</v>
      </c>
      <c r="I175" s="11" t="s">
        <v>11</v>
      </c>
      <c r="J175" s="12"/>
    </row>
    <row r="176" spans="1:10" ht="60" customHeight="1">
      <c r="A176" s="6" t="s">
        <v>648</v>
      </c>
      <c r="B176" s="6" t="s">
        <v>15</v>
      </c>
      <c r="C176" s="6" t="s">
        <v>11</v>
      </c>
      <c r="D176" s="7" t="s">
        <v>297</v>
      </c>
      <c r="E176" s="8" t="s">
        <v>649</v>
      </c>
      <c r="F176" s="6" t="s">
        <v>650</v>
      </c>
      <c r="G176" s="9">
        <f>IF(A176=1,"_",IF(C176="_","???",C176))</f>
        <v/>
      </c>
      <c r="H176" s="10" t="s">
        <v>11</v>
      </c>
      <c r="I176" s="11" t="s">
        <v>11</v>
      </c>
      <c r="J176" s="12"/>
    </row>
    <row r="177" spans="1:10" ht="60" customHeight="1">
      <c r="A177" s="6" t="s">
        <v>651</v>
      </c>
      <c r="B177" s="6" t="s">
        <v>52</v>
      </c>
      <c r="C177" s="6" t="s">
        <v>366</v>
      </c>
      <c r="D177" s="7" t="s">
        <v>337</v>
      </c>
      <c r="E177" s="8" t="s">
        <v>652</v>
      </c>
      <c r="F177" s="6" t="s">
        <v>653</v>
      </c>
      <c r="G177" s="9">
        <f>IF(A177=1,"_",IF(C177="_","???",C177))</f>
        <v/>
      </c>
      <c r="H177" s="10" t="s">
        <v>11</v>
      </c>
      <c r="I177" s="11" t="s">
        <v>11</v>
      </c>
      <c r="J177" s="12"/>
    </row>
    <row r="178" spans="1:10" ht="60" customHeight="1">
      <c r="A178" s="6" t="s">
        <v>654</v>
      </c>
      <c r="B178" s="6" t="s">
        <v>15</v>
      </c>
      <c r="C178" s="6" t="s">
        <v>11</v>
      </c>
      <c r="D178" s="7" t="s">
        <v>337</v>
      </c>
      <c r="E178" s="8" t="s">
        <v>655</v>
      </c>
      <c r="F178" s="6" t="s">
        <v>656</v>
      </c>
      <c r="G178" s="9">
        <f>IF(A178=1,"_",IF(C178="_","???",C178))</f>
        <v/>
      </c>
      <c r="H178" s="10" t="s">
        <v>11</v>
      </c>
      <c r="I178" s="11" t="s">
        <v>11</v>
      </c>
      <c r="J178" s="12"/>
    </row>
    <row r="179" spans="1:10" ht="60" customHeight="1">
      <c r="A179" s="6" t="s">
        <v>657</v>
      </c>
      <c r="B179" s="6" t="s">
        <v>19</v>
      </c>
      <c r="C179" s="6" t="s">
        <v>81</v>
      </c>
      <c r="D179" s="7" t="s">
        <v>658</v>
      </c>
      <c r="E179" s="8" t="s">
        <v>659</v>
      </c>
      <c r="F179" s="6" t="s">
        <v>660</v>
      </c>
      <c r="G179" s="9">
        <f>IF(A179=1,"_",IF(C179="_","???",C179))</f>
        <v/>
      </c>
      <c r="H179" s="10" t="s">
        <v>11</v>
      </c>
      <c r="I179" s="11" t="s">
        <v>11</v>
      </c>
      <c r="J179" s="12"/>
    </row>
    <row r="180" spans="1:10" ht="60" customHeight="1">
      <c r="A180" s="6" t="s">
        <v>661</v>
      </c>
      <c r="B180" s="6" t="s">
        <v>37</v>
      </c>
      <c r="C180" s="6" t="s">
        <v>260</v>
      </c>
      <c r="D180" s="7" t="s">
        <v>106</v>
      </c>
      <c r="E180" s="8" t="s">
        <v>662</v>
      </c>
      <c r="F180" s="6" t="s">
        <v>663</v>
      </c>
      <c r="G180" s="9">
        <f>IF(A180=1,"_",IF(C180="_","???",C180))</f>
        <v/>
      </c>
      <c r="H180" s="10" t="s">
        <v>11</v>
      </c>
      <c r="I180" s="11" t="s">
        <v>11</v>
      </c>
      <c r="J180" s="12"/>
    </row>
    <row r="181" spans="1:10" ht="60" customHeight="1">
      <c r="A181" s="6" t="s">
        <v>664</v>
      </c>
      <c r="B181" s="6" t="s">
        <v>15</v>
      </c>
      <c r="C181" s="6" t="s">
        <v>11</v>
      </c>
      <c r="D181" s="7" t="s">
        <v>106</v>
      </c>
      <c r="E181" s="8" t="s">
        <v>665</v>
      </c>
      <c r="F181" s="6" t="s">
        <v>666</v>
      </c>
      <c r="G181" s="9">
        <f>IF(A181=1,"_",IF(C181="_","???",C181))</f>
        <v/>
      </c>
      <c r="H181" s="10" t="s">
        <v>11</v>
      </c>
      <c r="I181" s="11" t="s">
        <v>11</v>
      </c>
      <c r="J181" s="12"/>
    </row>
    <row r="182" spans="1:10" ht="60" customHeight="1">
      <c r="A182" s="6" t="s">
        <v>667</v>
      </c>
      <c r="B182" s="6" t="s">
        <v>15</v>
      </c>
      <c r="C182" s="6" t="s">
        <v>11</v>
      </c>
      <c r="D182" s="7" t="s">
        <v>106</v>
      </c>
      <c r="E182" s="8" t="s">
        <v>668</v>
      </c>
      <c r="F182" s="6" t="s">
        <v>669</v>
      </c>
      <c r="G182" s="9">
        <f>IF(A182=1,"_",IF(C182="_","???",C182))</f>
        <v/>
      </c>
      <c r="H182" s="10" t="s">
        <v>11</v>
      </c>
      <c r="I182" s="11" t="s">
        <v>11</v>
      </c>
      <c r="J182" s="12"/>
    </row>
    <row r="183" spans="1:10" ht="60" customHeight="1">
      <c r="A183" s="6" t="s">
        <v>670</v>
      </c>
      <c r="B183" s="6" t="s">
        <v>76</v>
      </c>
      <c r="C183" s="6" t="s">
        <v>177</v>
      </c>
      <c r="D183" s="7" t="s">
        <v>102</v>
      </c>
      <c r="E183" s="8" t="s">
        <v>671</v>
      </c>
      <c r="F183" s="6" t="s">
        <v>672</v>
      </c>
      <c r="G183" s="9">
        <f>IF(A183=1,"_",IF(C183="_","???",C183))</f>
        <v/>
      </c>
      <c r="H183" s="10" t="s">
        <v>11</v>
      </c>
      <c r="I183" s="11" t="s">
        <v>11</v>
      </c>
      <c r="J183" s="12"/>
    </row>
    <row r="184" spans="1:10" ht="60" customHeight="1">
      <c r="A184" s="6" t="s">
        <v>673</v>
      </c>
      <c r="B184" s="6" t="s">
        <v>10</v>
      </c>
      <c r="C184" s="6" t="s">
        <v>11</v>
      </c>
      <c r="D184" s="7" t="s">
        <v>53</v>
      </c>
      <c r="E184" s="8" t="s">
        <v>674</v>
      </c>
      <c r="F184" s="6" t="s">
        <v>675</v>
      </c>
      <c r="G184" s="9">
        <f>IF(A184=1,"_",IF(C184="_","???",C184))</f>
        <v/>
      </c>
      <c r="H184" s="10" t="s">
        <v>11</v>
      </c>
      <c r="I184" s="11" t="s">
        <v>11</v>
      </c>
      <c r="J184" s="12"/>
    </row>
    <row r="185" spans="1:10" ht="60" customHeight="1">
      <c r="A185" s="6" t="s">
        <v>676</v>
      </c>
      <c r="B185" s="6" t="s">
        <v>41</v>
      </c>
      <c r="C185" s="6" t="s">
        <v>11</v>
      </c>
      <c r="D185" s="7" t="s">
        <v>677</v>
      </c>
      <c r="E185" s="8" t="s">
        <v>678</v>
      </c>
      <c r="F185" s="6" t="s">
        <v>679</v>
      </c>
      <c r="G185" s="9">
        <f>IF(A185=1,"_",IF(C185="_","???",C185))</f>
        <v/>
      </c>
      <c r="H185" s="10" t="s">
        <v>11</v>
      </c>
      <c r="I185" s="11" t="s">
        <v>11</v>
      </c>
      <c r="J185" s="12"/>
    </row>
    <row r="186" spans="1:10" ht="60" customHeight="1">
      <c r="A186" s="6" t="s">
        <v>680</v>
      </c>
      <c r="B186" s="6" t="s">
        <v>19</v>
      </c>
      <c r="C186" s="6" t="s">
        <v>11</v>
      </c>
      <c r="D186" s="7" t="s">
        <v>681</v>
      </c>
      <c r="E186" s="8" t="s">
        <v>682</v>
      </c>
      <c r="F186" s="6" t="s">
        <v>683</v>
      </c>
      <c r="G186" s="9">
        <f>IF(A186=1,"_",IF(C186="_","???",C186))</f>
        <v/>
      </c>
      <c r="H186" s="10" t="s">
        <v>11</v>
      </c>
      <c r="I186" s="11" t="s">
        <v>11</v>
      </c>
      <c r="J186" s="12"/>
    </row>
    <row r="187" spans="1:10" ht="60" customHeight="1">
      <c r="A187" s="6" t="s">
        <v>684</v>
      </c>
      <c r="B187" s="6" t="s">
        <v>20</v>
      </c>
      <c r="C187" s="6" t="s">
        <v>11</v>
      </c>
      <c r="D187" s="7" t="s">
        <v>685</v>
      </c>
      <c r="E187" s="8" t="s">
        <v>686</v>
      </c>
      <c r="F187" s="6" t="s">
        <v>687</v>
      </c>
      <c r="G187" s="9">
        <f>IF(A187=1,"_",IF(C187="_","???",C187))</f>
        <v/>
      </c>
      <c r="H187" s="10" t="s">
        <v>11</v>
      </c>
      <c r="I187" s="11" t="s">
        <v>11</v>
      </c>
      <c r="J187" s="12"/>
    </row>
    <row r="188" spans="1:10" ht="60" customHeight="1">
      <c r="A188" s="6" t="s">
        <v>688</v>
      </c>
      <c r="B188" s="6" t="s">
        <v>20</v>
      </c>
      <c r="C188" s="6" t="s">
        <v>11</v>
      </c>
      <c r="D188" s="7" t="s">
        <v>685</v>
      </c>
      <c r="E188" s="8" t="s">
        <v>689</v>
      </c>
      <c r="F188" s="6" t="s">
        <v>690</v>
      </c>
      <c r="G188" s="9">
        <f>IF(A188=1,"_",IF(C188="_","???",C188))</f>
        <v/>
      </c>
      <c r="H188" s="10" t="s">
        <v>11</v>
      </c>
      <c r="I188" s="11" t="s">
        <v>11</v>
      </c>
      <c r="J188" s="12"/>
    </row>
    <row r="189" spans="1:10" ht="60" customHeight="1">
      <c r="A189" s="6" t="s">
        <v>691</v>
      </c>
      <c r="B189" s="6" t="s">
        <v>20</v>
      </c>
      <c r="C189" s="6" t="s">
        <v>11</v>
      </c>
      <c r="D189" s="7" t="s">
        <v>692</v>
      </c>
      <c r="E189" s="8" t="s">
        <v>693</v>
      </c>
      <c r="F189" s="6" t="s">
        <v>694</v>
      </c>
      <c r="G189" s="9">
        <f>IF(A189=1,"_",IF(C189="_","???",C189))</f>
        <v/>
      </c>
      <c r="H189" s="10" t="s">
        <v>11</v>
      </c>
      <c r="I189" s="11" t="s">
        <v>11</v>
      </c>
      <c r="J189" s="12"/>
    </row>
    <row r="190" spans="1:10" ht="60" customHeight="1">
      <c r="A190" s="6" t="s">
        <v>695</v>
      </c>
      <c r="B190" s="6" t="s">
        <v>19</v>
      </c>
      <c r="C190" s="6" t="s">
        <v>81</v>
      </c>
      <c r="D190" s="7" t="s">
        <v>495</v>
      </c>
      <c r="E190" s="8" t="s">
        <v>696</v>
      </c>
      <c r="F190" s="6" t="s">
        <v>697</v>
      </c>
      <c r="G190" s="9">
        <f>IF(A190=1,"_",IF(C190="_","???",C190))</f>
        <v/>
      </c>
      <c r="H190" s="10" t="s">
        <v>11</v>
      </c>
      <c r="I190" s="11" t="s">
        <v>11</v>
      </c>
      <c r="J190" s="12"/>
    </row>
    <row r="191" spans="1:10" ht="60" customHeight="1">
      <c r="A191" s="6" t="s">
        <v>698</v>
      </c>
      <c r="B191" s="6" t="s">
        <v>20</v>
      </c>
      <c r="C191" s="6" t="s">
        <v>11</v>
      </c>
      <c r="D191" s="7" t="s">
        <v>699</v>
      </c>
      <c r="E191" s="8" t="s">
        <v>700</v>
      </c>
      <c r="F191" s="6" t="s">
        <v>701</v>
      </c>
      <c r="G191" s="9">
        <f>IF(A191=1,"_",IF(C191="_","???",C191))</f>
        <v/>
      </c>
      <c r="H191" s="10" t="s">
        <v>11</v>
      </c>
      <c r="I191" s="11" t="s">
        <v>11</v>
      </c>
      <c r="J191" s="12"/>
    </row>
    <row r="192" spans="1:10" ht="60" customHeight="1">
      <c r="A192" s="6" t="s">
        <v>702</v>
      </c>
      <c r="B192" s="6" t="s">
        <v>20</v>
      </c>
      <c r="C192" s="6" t="s">
        <v>260</v>
      </c>
      <c r="D192" s="7" t="s">
        <v>703</v>
      </c>
      <c r="E192" s="8" t="s">
        <v>704</v>
      </c>
      <c r="F192" s="6" t="s">
        <v>705</v>
      </c>
      <c r="G192" s="9">
        <f>IF(A192=1,"_",IF(C192="_","???",C192))</f>
        <v/>
      </c>
      <c r="H192" s="10" t="s">
        <v>11</v>
      </c>
      <c r="I192" s="11" t="s">
        <v>11</v>
      </c>
      <c r="J192" s="12"/>
    </row>
    <row r="193" spans="1:10" ht="60" customHeight="1">
      <c r="A193" s="6" t="s">
        <v>706</v>
      </c>
      <c r="B193" s="6" t="s">
        <v>25</v>
      </c>
      <c r="C193" s="6" t="s">
        <v>11</v>
      </c>
      <c r="D193" s="7" t="s">
        <v>707</v>
      </c>
      <c r="E193" s="8" t="s">
        <v>708</v>
      </c>
      <c r="F193" s="6" t="s">
        <v>709</v>
      </c>
      <c r="G193" s="9">
        <f>IF(A193=1,"_",IF(C193="_","???",C193))</f>
        <v/>
      </c>
      <c r="H193" s="10" t="s">
        <v>11</v>
      </c>
      <c r="I193" s="11" t="s">
        <v>11</v>
      </c>
      <c r="J193" s="12"/>
    </row>
    <row r="194" spans="1:10" ht="60" customHeight="1">
      <c r="A194" s="6" t="s">
        <v>710</v>
      </c>
      <c r="B194" s="6" t="s">
        <v>25</v>
      </c>
      <c r="C194" s="6" t="s">
        <v>11</v>
      </c>
      <c r="D194" s="7" t="s">
        <v>711</v>
      </c>
      <c r="E194" s="8" t="s">
        <v>712</v>
      </c>
      <c r="F194" s="6" t="s">
        <v>713</v>
      </c>
      <c r="G194" s="9">
        <f>IF(A194=1,"_",IF(C194="_","???",C194))</f>
        <v/>
      </c>
      <c r="H194" s="10" t="s">
        <v>11</v>
      </c>
      <c r="I194" s="11" t="s">
        <v>11</v>
      </c>
      <c r="J194" s="12"/>
    </row>
    <row r="195" spans="1:10" ht="60" customHeight="1">
      <c r="A195" s="6" t="s">
        <v>714</v>
      </c>
      <c r="B195" s="6" t="s">
        <v>60</v>
      </c>
      <c r="C195" s="6" t="s">
        <v>81</v>
      </c>
      <c r="D195" s="7" t="s">
        <v>715</v>
      </c>
      <c r="E195" s="8" t="s">
        <v>716</v>
      </c>
      <c r="F195" s="6" t="s">
        <v>717</v>
      </c>
      <c r="G195" s="9">
        <f>IF(A195=1,"_",IF(C195="_","???",C195))</f>
        <v/>
      </c>
      <c r="H195" s="10" t="s">
        <v>11</v>
      </c>
      <c r="I195" s="11" t="s">
        <v>11</v>
      </c>
      <c r="J195" s="12"/>
    </row>
    <row r="196" spans="1:10" ht="60" customHeight="1">
      <c r="A196" s="6" t="s">
        <v>718</v>
      </c>
      <c r="B196" s="6" t="s">
        <v>10</v>
      </c>
      <c r="C196" s="6" t="s">
        <v>177</v>
      </c>
      <c r="D196" s="7" t="s">
        <v>719</v>
      </c>
      <c r="E196" s="8" t="s">
        <v>720</v>
      </c>
      <c r="F196" s="6" t="s">
        <v>721</v>
      </c>
      <c r="G196" s="9">
        <f>IF(A196=1,"_",IF(C196="_","???",C196))</f>
        <v/>
      </c>
      <c r="H196" s="10" t="s">
        <v>11</v>
      </c>
      <c r="I196" s="11" t="s">
        <v>11</v>
      </c>
      <c r="J196" s="12"/>
    </row>
    <row r="197" spans="1:10" ht="60" customHeight="1">
      <c r="A197" s="6" t="s">
        <v>722</v>
      </c>
      <c r="B197" s="6" t="s">
        <v>10</v>
      </c>
      <c r="C197" s="6" t="s">
        <v>11</v>
      </c>
      <c r="D197" s="7" t="s">
        <v>723</v>
      </c>
      <c r="E197" s="8" t="s">
        <v>724</v>
      </c>
      <c r="F197" s="6" t="s">
        <v>725</v>
      </c>
      <c r="G197" s="9">
        <f>IF(A197=1,"_",IF(C197="_","???",C197))</f>
        <v/>
      </c>
      <c r="H197" s="10" t="s">
        <v>11</v>
      </c>
      <c r="I197" s="11" t="s">
        <v>11</v>
      </c>
      <c r="J197" s="12"/>
    </row>
    <row r="198" spans="1:10" ht="60" customHeight="1">
      <c r="A198" s="6" t="s">
        <v>726</v>
      </c>
      <c r="B198" s="6" t="s">
        <v>19</v>
      </c>
      <c r="C198" s="6" t="s">
        <v>11</v>
      </c>
      <c r="D198" s="7" t="s">
        <v>727</v>
      </c>
      <c r="E198" s="8" t="s">
        <v>728</v>
      </c>
      <c r="F198" s="6" t="s">
        <v>729</v>
      </c>
      <c r="G198" s="9">
        <f>IF(A198=1,"_",IF(C198="_","???",C198))</f>
        <v/>
      </c>
      <c r="H198" s="10" t="s">
        <v>11</v>
      </c>
      <c r="I198" s="11" t="s">
        <v>11</v>
      </c>
      <c r="J198" s="12"/>
    </row>
    <row r="199" spans="1:10" ht="60" customHeight="1">
      <c r="A199" s="6" t="s">
        <v>730</v>
      </c>
      <c r="B199" s="6" t="s">
        <v>15</v>
      </c>
      <c r="C199" s="6" t="s">
        <v>11</v>
      </c>
      <c r="D199" s="7" t="s">
        <v>731</v>
      </c>
      <c r="E199" s="8" t="s">
        <v>732</v>
      </c>
      <c r="F199" s="6" t="s">
        <v>733</v>
      </c>
      <c r="G199" s="9">
        <f>IF(A199=1,"_",IF(C199="_","???",C199))</f>
        <v/>
      </c>
      <c r="H199" s="10" t="s">
        <v>11</v>
      </c>
      <c r="I199" s="11" t="s">
        <v>11</v>
      </c>
      <c r="J199" s="12"/>
    </row>
    <row r="200" spans="1:10" ht="60" customHeight="1">
      <c r="A200" s="6" t="s">
        <v>734</v>
      </c>
      <c r="B200" s="6" t="s">
        <v>15</v>
      </c>
      <c r="C200" s="6" t="s">
        <v>11</v>
      </c>
      <c r="D200" s="7" t="s">
        <v>735</v>
      </c>
      <c r="E200" s="8" t="s">
        <v>736</v>
      </c>
      <c r="F200" s="6" t="s">
        <v>737</v>
      </c>
      <c r="G200" s="9">
        <f>IF(A200=1,"_",IF(C200="_","???",C200))</f>
        <v/>
      </c>
      <c r="H200" s="10" t="s">
        <v>11</v>
      </c>
      <c r="I200" s="11" t="s">
        <v>11</v>
      </c>
      <c r="J200" s="12"/>
    </row>
    <row r="201" spans="1:10" ht="60" customHeight="1">
      <c r="A201" s="6" t="s">
        <v>738</v>
      </c>
      <c r="B201" s="6" t="s">
        <v>15</v>
      </c>
      <c r="C201" s="6" t="s">
        <v>11</v>
      </c>
      <c r="D201" s="7" t="s">
        <v>134</v>
      </c>
      <c r="E201" s="8" t="s">
        <v>739</v>
      </c>
      <c r="F201" s="6" t="s">
        <v>740</v>
      </c>
      <c r="G201" s="9">
        <f>IF(A201=1,"_",IF(C201="_","???",C201))</f>
        <v/>
      </c>
      <c r="H201" s="10" t="s">
        <v>11</v>
      </c>
      <c r="I201" s="11" t="s">
        <v>11</v>
      </c>
      <c r="J201" s="12"/>
    </row>
    <row r="202" spans="1:10" ht="60" customHeight="1">
      <c r="A202" s="6" t="s">
        <v>741</v>
      </c>
      <c r="B202" s="6" t="s">
        <v>19</v>
      </c>
      <c r="C202" s="6" t="s">
        <v>11</v>
      </c>
      <c r="D202" s="7" t="s">
        <v>658</v>
      </c>
      <c r="E202" s="8" t="s">
        <v>742</v>
      </c>
      <c r="F202" s="6" t="s">
        <v>743</v>
      </c>
      <c r="G202" s="9">
        <f>IF(A202=1,"_",IF(C202="_","???",C202))</f>
        <v/>
      </c>
      <c r="H202" s="10" t="s">
        <v>11</v>
      </c>
      <c r="I202" s="11" t="s">
        <v>11</v>
      </c>
      <c r="J202" s="12"/>
    </row>
    <row r="203" spans="1:10" ht="60" customHeight="1">
      <c r="A203" s="6" t="s">
        <v>744</v>
      </c>
      <c r="B203" s="6" t="s">
        <v>15</v>
      </c>
      <c r="C203" s="6" t="s">
        <v>260</v>
      </c>
      <c r="D203" s="7" t="s">
        <v>745</v>
      </c>
      <c r="E203" s="8" t="s">
        <v>746</v>
      </c>
      <c r="F203" s="6" t="s">
        <v>747</v>
      </c>
      <c r="G203" s="9">
        <f>IF(A203=1,"_",IF(C203="_","???",C203))</f>
        <v/>
      </c>
      <c r="H203" s="10" t="s">
        <v>11</v>
      </c>
      <c r="I203" s="11" t="s">
        <v>11</v>
      </c>
      <c r="J203" s="12"/>
    </row>
    <row r="204" spans="1:10" ht="60" customHeight="1">
      <c r="A204" s="6" t="s">
        <v>748</v>
      </c>
      <c r="B204" s="6" t="s">
        <v>25</v>
      </c>
      <c r="C204" s="6" t="s">
        <v>11</v>
      </c>
      <c r="D204" s="7" t="s">
        <v>34</v>
      </c>
      <c r="E204" s="8" t="s">
        <v>749</v>
      </c>
      <c r="F204" s="6" t="s">
        <v>750</v>
      </c>
      <c r="G204" s="9">
        <f>IF(A204=1,"_",IF(C204="_","???",C204))</f>
        <v/>
      </c>
      <c r="H204" s="10" t="s">
        <v>11</v>
      </c>
      <c r="I204" s="11" t="s">
        <v>11</v>
      </c>
      <c r="J204" s="12"/>
    </row>
    <row r="205" spans="1:10" ht="60" customHeight="1">
      <c r="A205" s="6" t="s">
        <v>751</v>
      </c>
      <c r="B205" s="6" t="s">
        <v>15</v>
      </c>
      <c r="C205" s="6" t="s">
        <v>11</v>
      </c>
      <c r="D205" s="7" t="s">
        <v>49</v>
      </c>
      <c r="E205" s="8" t="s">
        <v>50</v>
      </c>
      <c r="F205" s="6" t="s">
        <v>752</v>
      </c>
      <c r="G205" s="9">
        <f>IF(A205=1,"_",IF(C205="_","???",C205))</f>
        <v/>
      </c>
      <c r="H205" s="10" t="s">
        <v>11</v>
      </c>
      <c r="I205" s="11" t="s">
        <v>11</v>
      </c>
      <c r="J205" s="12"/>
    </row>
    <row r="206" spans="1:10" ht="60" customHeight="1">
      <c r="A206" s="6" t="s">
        <v>753</v>
      </c>
      <c r="B206" s="6" t="s">
        <v>10</v>
      </c>
      <c r="C206" s="6" t="s">
        <v>11</v>
      </c>
      <c r="D206" s="7" t="s">
        <v>53</v>
      </c>
      <c r="E206" s="8" t="s">
        <v>754</v>
      </c>
      <c r="F206" s="6" t="s">
        <v>755</v>
      </c>
      <c r="G206" s="9">
        <f>IF(A206=1,"_",IF(C206="_","???",C206))</f>
        <v/>
      </c>
      <c r="H206" s="10" t="s">
        <v>11</v>
      </c>
      <c r="I206" s="11" t="s">
        <v>11</v>
      </c>
      <c r="J206" s="12"/>
    </row>
    <row r="207" spans="1:10" ht="60" customHeight="1">
      <c r="A207" s="6" t="s">
        <v>756</v>
      </c>
      <c r="B207" s="6" t="s">
        <v>15</v>
      </c>
      <c r="C207" s="6" t="s">
        <v>11</v>
      </c>
      <c r="D207" s="7" t="s">
        <v>316</v>
      </c>
      <c r="E207" s="8" t="s">
        <v>757</v>
      </c>
      <c r="F207" s="6" t="s">
        <v>758</v>
      </c>
      <c r="G207" s="9">
        <f>IF(A207=1,"_",IF(C207="_","???",C207))</f>
        <v/>
      </c>
      <c r="H207" s="10" t="s">
        <v>11</v>
      </c>
      <c r="I207" s="11" t="s">
        <v>11</v>
      </c>
      <c r="J207" s="12"/>
    </row>
    <row r="208" spans="1:10" ht="60" customHeight="1">
      <c r="A208" s="6" t="s">
        <v>759</v>
      </c>
      <c r="B208" s="6" t="s">
        <v>19</v>
      </c>
      <c r="C208" s="6" t="s">
        <v>81</v>
      </c>
      <c r="D208" s="7" t="s">
        <v>141</v>
      </c>
      <c r="E208" s="8" t="s">
        <v>760</v>
      </c>
      <c r="F208" s="6" t="s">
        <v>761</v>
      </c>
      <c r="G208" s="9">
        <f>IF(A208=1,"_",IF(C208="_","???",C208))</f>
        <v/>
      </c>
      <c r="H208" s="10" t="s">
        <v>11</v>
      </c>
      <c r="I208" s="11" t="s">
        <v>11</v>
      </c>
      <c r="J208" s="12"/>
    </row>
    <row r="209" spans="1:10" ht="60" customHeight="1">
      <c r="A209" s="6" t="s">
        <v>762</v>
      </c>
      <c r="B209" s="6" t="s">
        <v>20</v>
      </c>
      <c r="C209" s="6" t="s">
        <v>763</v>
      </c>
      <c r="D209" s="7" t="s">
        <v>764</v>
      </c>
      <c r="E209" s="8" t="s">
        <v>765</v>
      </c>
      <c r="F209" s="6" t="s">
        <v>766</v>
      </c>
      <c r="G209" s="9">
        <f>IF(A209=1,"_",IF(C209="_","???",C209))</f>
        <v/>
      </c>
      <c r="H209" s="10" t="s">
        <v>11</v>
      </c>
      <c r="I209" s="11" t="s">
        <v>11</v>
      </c>
      <c r="J209" s="12"/>
    </row>
    <row r="210" spans="1:10" ht="60" customHeight="1">
      <c r="A210" s="6" t="s">
        <v>767</v>
      </c>
      <c r="B210" s="6" t="s">
        <v>20</v>
      </c>
      <c r="C210" s="6" t="s">
        <v>11</v>
      </c>
      <c r="D210" s="7" t="s">
        <v>768</v>
      </c>
      <c r="E210" s="8" t="s">
        <v>769</v>
      </c>
      <c r="F210" s="6" t="s">
        <v>770</v>
      </c>
      <c r="G210" s="9">
        <f>IF(A210=1,"_",IF(C210="_","???",C210))</f>
        <v/>
      </c>
      <c r="H210" s="10" t="s">
        <v>11</v>
      </c>
      <c r="I210" s="11" t="s">
        <v>11</v>
      </c>
      <c r="J210" s="12"/>
    </row>
    <row r="211" spans="1:10" ht="60" customHeight="1">
      <c r="A211" s="6" t="s">
        <v>771</v>
      </c>
      <c r="B211" s="6" t="s">
        <v>15</v>
      </c>
      <c r="C211" s="6" t="s">
        <v>81</v>
      </c>
      <c r="D211" s="7" t="s">
        <v>429</v>
      </c>
      <c r="E211" s="8" t="s">
        <v>772</v>
      </c>
      <c r="F211" s="6" t="s">
        <v>773</v>
      </c>
      <c r="G211" s="9">
        <f>IF(A211=1,"_",IF(C211="_","???",C211))</f>
        <v/>
      </c>
      <c r="H211" s="10" t="s">
        <v>11</v>
      </c>
      <c r="I211" s="11" t="s">
        <v>11</v>
      </c>
      <c r="J211" s="12"/>
    </row>
    <row r="212" spans="1:10" ht="60" customHeight="1">
      <c r="A212" s="6" t="s">
        <v>774</v>
      </c>
      <c r="B212" s="6" t="s">
        <v>10</v>
      </c>
      <c r="C212" s="6" t="s">
        <v>11</v>
      </c>
      <c r="D212" s="7" t="s">
        <v>134</v>
      </c>
      <c r="E212" s="8" t="s">
        <v>775</v>
      </c>
      <c r="F212" s="6" t="s">
        <v>776</v>
      </c>
      <c r="G212" s="9">
        <f>IF(A212=1,"_",IF(C212="_","???",C212))</f>
        <v/>
      </c>
      <c r="H212" s="10" t="s">
        <v>11</v>
      </c>
      <c r="I212" s="11" t="s">
        <v>11</v>
      </c>
      <c r="J212" s="12"/>
    </row>
    <row r="213" spans="1:10" ht="60" customHeight="1">
      <c r="A213" s="6" t="s">
        <v>777</v>
      </c>
      <c r="B213" s="6" t="s">
        <v>20</v>
      </c>
      <c r="C213" s="6" t="s">
        <v>11</v>
      </c>
      <c r="D213" s="7" t="s">
        <v>134</v>
      </c>
      <c r="E213" s="8" t="s">
        <v>778</v>
      </c>
      <c r="F213" s="6" t="s">
        <v>779</v>
      </c>
      <c r="G213" s="9">
        <f>IF(A213=1,"_",IF(C213="_","???",C213))</f>
        <v/>
      </c>
      <c r="H213" s="10" t="s">
        <v>11</v>
      </c>
      <c r="I213" s="11" t="s">
        <v>11</v>
      </c>
      <c r="J213" s="12"/>
    </row>
    <row r="214" spans="1:10" ht="60" customHeight="1">
      <c r="A214" s="6" t="s">
        <v>780</v>
      </c>
      <c r="B214" s="6" t="s">
        <v>15</v>
      </c>
      <c r="C214" s="6" t="s">
        <v>11</v>
      </c>
      <c r="D214" s="7" t="s">
        <v>141</v>
      </c>
      <c r="E214" s="8" t="s">
        <v>781</v>
      </c>
      <c r="F214" s="6" t="s">
        <v>782</v>
      </c>
      <c r="G214" s="9">
        <f>IF(A214=1,"_",IF(C214="_","???",C214))</f>
        <v/>
      </c>
      <c r="H214" s="10" t="s">
        <v>11</v>
      </c>
      <c r="I214" s="11" t="s">
        <v>11</v>
      </c>
      <c r="J214" s="12"/>
    </row>
    <row r="215" spans="1:10" ht="60" customHeight="1">
      <c r="A215" s="6" t="s">
        <v>783</v>
      </c>
      <c r="B215" s="6" t="s">
        <v>15</v>
      </c>
      <c r="C215" s="6" t="s">
        <v>11</v>
      </c>
      <c r="D215" s="7" t="s">
        <v>768</v>
      </c>
      <c r="E215" s="8" t="s">
        <v>784</v>
      </c>
      <c r="F215" s="6" t="s">
        <v>785</v>
      </c>
      <c r="G215" s="9">
        <f>IF(A215=1,"_",IF(C215="_","???",C215))</f>
        <v/>
      </c>
      <c r="H215" s="10" t="s">
        <v>11</v>
      </c>
      <c r="I215" s="11" t="s">
        <v>11</v>
      </c>
      <c r="J215" s="12"/>
    </row>
    <row r="216" spans="1:10" ht="60" customHeight="1">
      <c r="A216" s="6" t="s">
        <v>786</v>
      </c>
      <c r="B216" s="6" t="s">
        <v>67</v>
      </c>
      <c r="C216" s="6" t="s">
        <v>72</v>
      </c>
      <c r="D216" s="7" t="s">
        <v>245</v>
      </c>
      <c r="E216" s="8" t="s">
        <v>787</v>
      </c>
      <c r="F216" s="6" t="s">
        <v>788</v>
      </c>
      <c r="G216" s="9">
        <f>IF(A216=1,"_",IF(C216="_","???",C216))</f>
        <v/>
      </c>
      <c r="H216" s="10" t="s">
        <v>11</v>
      </c>
      <c r="I216" s="11" t="s">
        <v>11</v>
      </c>
      <c r="J216" s="12"/>
    </row>
    <row r="217" spans="1:10" ht="60" customHeight="1">
      <c r="A217" s="6" t="s">
        <v>789</v>
      </c>
      <c r="B217" s="6" t="s">
        <v>15</v>
      </c>
      <c r="C217" s="6" t="s">
        <v>366</v>
      </c>
      <c r="D217" s="7" t="s">
        <v>542</v>
      </c>
      <c r="E217" s="8" t="s">
        <v>790</v>
      </c>
      <c r="F217" s="6" t="s">
        <v>791</v>
      </c>
      <c r="G217" s="9">
        <f>IF(A217=1,"_",IF(C217="_","???",C217))</f>
        <v/>
      </c>
      <c r="H217" s="10" t="s">
        <v>11</v>
      </c>
      <c r="I217" s="11" t="s">
        <v>11</v>
      </c>
      <c r="J217" s="12"/>
    </row>
    <row r="218" spans="1:10" ht="60" customHeight="1">
      <c r="A218" s="6" t="s">
        <v>792</v>
      </c>
      <c r="B218" s="6" t="s">
        <v>10</v>
      </c>
      <c r="C218" s="6" t="s">
        <v>11</v>
      </c>
      <c r="D218" s="7" t="s">
        <v>53</v>
      </c>
      <c r="E218" s="8" t="s">
        <v>793</v>
      </c>
      <c r="F218" s="6" t="s">
        <v>794</v>
      </c>
      <c r="G218" s="9">
        <f>IF(A218=1,"_",IF(C218="_","???",C218))</f>
        <v/>
      </c>
      <c r="H218" s="10" t="s">
        <v>11</v>
      </c>
      <c r="I218" s="11" t="s">
        <v>11</v>
      </c>
      <c r="J218" s="12"/>
    </row>
    <row r="219" spans="1:10" ht="60" customHeight="1">
      <c r="A219" s="6" t="s">
        <v>795</v>
      </c>
      <c r="B219" s="6" t="s">
        <v>37</v>
      </c>
      <c r="C219" s="6" t="s">
        <v>11</v>
      </c>
      <c r="D219" s="7" t="s">
        <v>22</v>
      </c>
      <c r="E219" s="8" t="s">
        <v>796</v>
      </c>
      <c r="F219" s="6" t="s">
        <v>797</v>
      </c>
      <c r="G219" s="9">
        <f>IF(A219=1,"_",IF(C219="_","???",C219))</f>
        <v/>
      </c>
      <c r="H219" s="10" t="s">
        <v>11</v>
      </c>
      <c r="I219" s="11" t="s">
        <v>11</v>
      </c>
      <c r="J219" s="12"/>
    </row>
    <row r="220" spans="1:10" ht="60" customHeight="1">
      <c r="A220" s="6" t="s">
        <v>798</v>
      </c>
      <c r="B220" s="6" t="s">
        <v>19</v>
      </c>
      <c r="C220" s="6" t="s">
        <v>11</v>
      </c>
      <c r="D220" s="7" t="s">
        <v>799</v>
      </c>
      <c r="E220" s="8" t="s">
        <v>800</v>
      </c>
      <c r="F220" s="6" t="s">
        <v>801</v>
      </c>
      <c r="G220" s="9">
        <f>IF(A220=1,"_",IF(C220="_","???",C220))</f>
        <v/>
      </c>
      <c r="H220" s="10" t="s">
        <v>11</v>
      </c>
      <c r="I220" s="11" t="s">
        <v>11</v>
      </c>
      <c r="J220" s="12"/>
    </row>
    <row r="221" spans="1:10" ht="60" customHeight="1">
      <c r="A221" s="6" t="s">
        <v>802</v>
      </c>
      <c r="B221" s="6" t="s">
        <v>10</v>
      </c>
      <c r="C221" s="6" t="s">
        <v>11</v>
      </c>
      <c r="D221" s="7" t="s">
        <v>538</v>
      </c>
      <c r="E221" s="8" t="s">
        <v>803</v>
      </c>
      <c r="F221" s="6" t="s">
        <v>804</v>
      </c>
      <c r="G221" s="9">
        <f>IF(A221=1,"_",IF(C221="_","???",C221))</f>
        <v/>
      </c>
      <c r="H221" s="10" t="s">
        <v>11</v>
      </c>
      <c r="I221" s="11" t="s">
        <v>11</v>
      </c>
      <c r="J221" s="12"/>
    </row>
    <row r="222" spans="1:10" ht="60" customHeight="1">
      <c r="A222" s="6" t="s">
        <v>805</v>
      </c>
      <c r="B222" s="6" t="s">
        <v>44</v>
      </c>
      <c r="C222" s="6" t="s">
        <v>11</v>
      </c>
      <c r="D222" s="7" t="s">
        <v>806</v>
      </c>
      <c r="E222" s="8" t="s">
        <v>807</v>
      </c>
      <c r="F222" s="6" t="s">
        <v>808</v>
      </c>
      <c r="G222" s="9">
        <f>IF(A222=1,"_",IF(C222="_","???",C222))</f>
        <v/>
      </c>
      <c r="H222" s="10" t="s">
        <v>11</v>
      </c>
      <c r="I222" s="11" t="s">
        <v>11</v>
      </c>
      <c r="J222" s="12"/>
    </row>
    <row r="223" spans="1:10" ht="60" customHeight="1">
      <c r="A223" s="6" t="s">
        <v>809</v>
      </c>
      <c r="B223" s="6" t="s">
        <v>15</v>
      </c>
      <c r="C223" s="6" t="s">
        <v>260</v>
      </c>
      <c r="D223" s="7" t="s">
        <v>118</v>
      </c>
      <c r="E223" s="8" t="s">
        <v>810</v>
      </c>
      <c r="F223" s="6" t="s">
        <v>811</v>
      </c>
      <c r="G223" s="9">
        <f>IF(A223=1,"_",IF(C223="_","???",C223))</f>
        <v/>
      </c>
      <c r="H223" s="10" t="s">
        <v>11</v>
      </c>
      <c r="I223" s="11" t="s">
        <v>11</v>
      </c>
      <c r="J223" s="12"/>
    </row>
    <row r="224" spans="1:10" ht="60" customHeight="1">
      <c r="A224" s="6" t="s">
        <v>812</v>
      </c>
      <c r="B224" s="6" t="s">
        <v>19</v>
      </c>
      <c r="C224" s="6" t="s">
        <v>260</v>
      </c>
      <c r="D224" s="7" t="s">
        <v>114</v>
      </c>
      <c r="E224" s="8" t="s">
        <v>813</v>
      </c>
      <c r="F224" s="6" t="s">
        <v>814</v>
      </c>
      <c r="G224" s="9">
        <f>IF(A224=1,"_",IF(C224="_","???",C224))</f>
        <v/>
      </c>
      <c r="H224" s="10" t="s">
        <v>11</v>
      </c>
      <c r="I224" s="11" t="s">
        <v>11</v>
      </c>
      <c r="J224" s="12"/>
    </row>
    <row r="225" spans="1:10" ht="60" customHeight="1">
      <c r="A225" s="6" t="s">
        <v>815</v>
      </c>
      <c r="B225" s="6" t="s">
        <v>10</v>
      </c>
      <c r="C225" s="6" t="s">
        <v>81</v>
      </c>
      <c r="D225" s="7" t="s">
        <v>53</v>
      </c>
      <c r="E225" s="8" t="s">
        <v>816</v>
      </c>
      <c r="F225" s="6" t="s">
        <v>817</v>
      </c>
      <c r="G225" s="9">
        <f>IF(A225=1,"_",IF(C225="_","???",C225))</f>
        <v/>
      </c>
      <c r="H225" s="10" t="s">
        <v>11</v>
      </c>
      <c r="I225" s="11" t="s">
        <v>11</v>
      </c>
      <c r="J225" s="12"/>
    </row>
    <row r="226" spans="1:10" ht="60" customHeight="1">
      <c r="A226" s="6" t="s">
        <v>818</v>
      </c>
      <c r="B226" s="6" t="s">
        <v>10</v>
      </c>
      <c r="C226" s="6" t="s">
        <v>11</v>
      </c>
      <c r="D226" s="7" t="s">
        <v>297</v>
      </c>
      <c r="E226" s="8" t="s">
        <v>819</v>
      </c>
      <c r="F226" s="6" t="s">
        <v>820</v>
      </c>
      <c r="G226" s="9">
        <f>IF(A226=1,"_",IF(C226="_","???",C226))</f>
        <v/>
      </c>
      <c r="H226" s="10" t="s">
        <v>11</v>
      </c>
      <c r="I226" s="11" t="s">
        <v>11</v>
      </c>
      <c r="J226" s="12"/>
    </row>
    <row r="227" spans="1:10" ht="60" customHeight="1">
      <c r="A227" s="6" t="s">
        <v>821</v>
      </c>
      <c r="B227" s="6" t="s">
        <v>10</v>
      </c>
      <c r="C227" s="6" t="s">
        <v>11</v>
      </c>
      <c r="D227" s="7" t="s">
        <v>588</v>
      </c>
      <c r="E227" s="8" t="s">
        <v>589</v>
      </c>
      <c r="F227" s="6" t="s">
        <v>822</v>
      </c>
      <c r="G227" s="9">
        <f>IF(A227=1,"_",IF(C227="_","???",C227))</f>
        <v/>
      </c>
      <c r="H227" s="10" t="s">
        <v>11</v>
      </c>
      <c r="I227" s="11" t="s">
        <v>11</v>
      </c>
      <c r="J227" s="12"/>
    </row>
    <row r="228" spans="1:10" ht="60" customHeight="1">
      <c r="A228" s="6" t="s">
        <v>823</v>
      </c>
      <c r="B228" s="6" t="s">
        <v>15</v>
      </c>
      <c r="C228" s="6" t="s">
        <v>824</v>
      </c>
      <c r="D228" s="7" t="s">
        <v>245</v>
      </c>
      <c r="E228" s="8" t="s">
        <v>825</v>
      </c>
      <c r="F228" s="6" t="s">
        <v>826</v>
      </c>
      <c r="G228" s="9">
        <f>IF(A228=1,"_",IF(C228="_","???",C228))</f>
        <v/>
      </c>
      <c r="H228" s="10" t="s">
        <v>11</v>
      </c>
      <c r="I228" s="11" t="s">
        <v>11</v>
      </c>
      <c r="J228" s="12"/>
    </row>
    <row r="229" spans="1:10" ht="60" customHeight="1">
      <c r="A229" s="6" t="s">
        <v>827</v>
      </c>
      <c r="B229" s="6" t="s">
        <v>19</v>
      </c>
      <c r="C229" s="6" t="s">
        <v>81</v>
      </c>
      <c r="D229" s="7" t="s">
        <v>828</v>
      </c>
      <c r="E229" s="8" t="s">
        <v>829</v>
      </c>
      <c r="F229" s="6" t="s">
        <v>830</v>
      </c>
      <c r="G229" s="9">
        <f>IF(A229=1,"_",IF(C229="_","???",C229))</f>
        <v/>
      </c>
      <c r="H229" s="10" t="s">
        <v>11</v>
      </c>
      <c r="I229" s="11" t="s">
        <v>11</v>
      </c>
      <c r="J229" s="12"/>
    </row>
    <row r="230" spans="1:10" ht="60" customHeight="1">
      <c r="A230" s="6" t="s">
        <v>831</v>
      </c>
      <c r="B230" s="6" t="s">
        <v>15</v>
      </c>
      <c r="C230" s="6" t="s">
        <v>260</v>
      </c>
      <c r="D230" s="7" t="s">
        <v>301</v>
      </c>
      <c r="E230" s="8" t="s">
        <v>832</v>
      </c>
      <c r="F230" s="6" t="s">
        <v>833</v>
      </c>
      <c r="G230" s="9">
        <f>IF(A230=1,"_",IF(C230="_","???",C230))</f>
        <v/>
      </c>
      <c r="H230" s="10" t="s">
        <v>11</v>
      </c>
      <c r="I230" s="11" t="s">
        <v>11</v>
      </c>
      <c r="J230" s="12"/>
    </row>
    <row r="231" spans="1:10" ht="60" customHeight="1">
      <c r="A231" s="6" t="s">
        <v>834</v>
      </c>
      <c r="B231" s="6" t="s">
        <v>10</v>
      </c>
      <c r="C231" s="6" t="s">
        <v>11</v>
      </c>
      <c r="D231" s="7" t="s">
        <v>53</v>
      </c>
      <c r="E231" s="8" t="s">
        <v>835</v>
      </c>
      <c r="F231" s="6" t="s">
        <v>836</v>
      </c>
      <c r="G231" s="9">
        <f>IF(A231=1,"_",IF(C231="_","???",C231))</f>
        <v/>
      </c>
      <c r="H231" s="10" t="s">
        <v>11</v>
      </c>
      <c r="I231" s="11" t="s">
        <v>11</v>
      </c>
      <c r="J231" s="12"/>
    </row>
    <row r="232" spans="1:10" ht="60" customHeight="1">
      <c r="A232" s="6" t="s">
        <v>837</v>
      </c>
      <c r="B232" s="6" t="s">
        <v>10</v>
      </c>
      <c r="C232" s="6" t="s">
        <v>11</v>
      </c>
      <c r="D232" s="7" t="s">
        <v>838</v>
      </c>
      <c r="E232" s="8" t="s">
        <v>839</v>
      </c>
      <c r="F232" s="6" t="s">
        <v>840</v>
      </c>
      <c r="G232" s="9">
        <f>IF(A232=1,"_",IF(C232="_","???",C232))</f>
        <v/>
      </c>
      <c r="H232" s="10" t="s">
        <v>11</v>
      </c>
      <c r="I232" s="11" t="s">
        <v>11</v>
      </c>
      <c r="J232" s="12"/>
    </row>
    <row r="233" spans="1:10" ht="60" customHeight="1">
      <c r="A233" s="6" t="s">
        <v>841</v>
      </c>
      <c r="B233" s="6" t="s">
        <v>10</v>
      </c>
      <c r="C233" s="6" t="s">
        <v>11</v>
      </c>
      <c r="D233" s="7" t="s">
        <v>68</v>
      </c>
      <c r="E233" s="8" t="s">
        <v>842</v>
      </c>
      <c r="F233" s="6" t="s">
        <v>843</v>
      </c>
      <c r="G233" s="9">
        <f>IF(A233=1,"_",IF(C233="_","???",C233))</f>
        <v/>
      </c>
      <c r="H233" s="10" t="s">
        <v>11</v>
      </c>
      <c r="I233" s="11" t="s">
        <v>11</v>
      </c>
      <c r="J233" s="12"/>
    </row>
    <row r="234" spans="1:10" ht="60" customHeight="1">
      <c r="A234" s="6" t="s">
        <v>844</v>
      </c>
      <c r="B234" s="6" t="s">
        <v>10</v>
      </c>
      <c r="C234" s="6" t="s">
        <v>11</v>
      </c>
      <c r="D234" s="7" t="s">
        <v>53</v>
      </c>
      <c r="E234" s="8" t="s">
        <v>845</v>
      </c>
      <c r="F234" s="6" t="s">
        <v>846</v>
      </c>
      <c r="G234" s="9">
        <f>IF(A234=1,"_",IF(C234="_","???",C234))</f>
        <v/>
      </c>
      <c r="H234" s="10" t="s">
        <v>11</v>
      </c>
      <c r="I234" s="11" t="s">
        <v>11</v>
      </c>
      <c r="J234" s="12"/>
    </row>
    <row r="235" spans="1:10" ht="60" customHeight="1">
      <c r="A235" s="6" t="s">
        <v>847</v>
      </c>
      <c r="B235" s="6" t="s">
        <v>10</v>
      </c>
      <c r="C235" s="6" t="s">
        <v>11</v>
      </c>
      <c r="D235" s="7" t="s">
        <v>838</v>
      </c>
      <c r="E235" s="8" t="s">
        <v>848</v>
      </c>
      <c r="F235" s="6" t="s">
        <v>849</v>
      </c>
      <c r="G235" s="9">
        <f>IF(A235=1,"_",IF(C235="_","???",C235))</f>
        <v/>
      </c>
      <c r="H235" s="10" t="s">
        <v>11</v>
      </c>
      <c r="I235" s="11" t="s">
        <v>11</v>
      </c>
      <c r="J235" s="12"/>
    </row>
    <row r="236" spans="1:10" ht="60" customHeight="1">
      <c r="A236" s="6" t="s">
        <v>850</v>
      </c>
      <c r="B236" s="6" t="s">
        <v>20</v>
      </c>
      <c r="C236" s="6" t="s">
        <v>11</v>
      </c>
      <c r="D236" s="7" t="s">
        <v>851</v>
      </c>
      <c r="E236" s="8" t="s">
        <v>852</v>
      </c>
      <c r="F236" s="6" t="s">
        <v>853</v>
      </c>
      <c r="G236" s="9">
        <f>IF(A236=1,"_",IF(C236="_","???",C236))</f>
        <v/>
      </c>
      <c r="H236" s="10" t="s">
        <v>11</v>
      </c>
      <c r="I236" s="11" t="s">
        <v>11</v>
      </c>
      <c r="J236" s="12"/>
    </row>
    <row r="237" spans="1:10" ht="60" customHeight="1">
      <c r="A237" s="6" t="s">
        <v>854</v>
      </c>
      <c r="B237" s="6" t="s">
        <v>10</v>
      </c>
      <c r="C237" s="6" t="s">
        <v>21</v>
      </c>
      <c r="D237" s="7" t="s">
        <v>838</v>
      </c>
      <c r="E237" s="8" t="s">
        <v>855</v>
      </c>
      <c r="F237" s="6" t="s">
        <v>856</v>
      </c>
      <c r="G237" s="9">
        <f>IF(A237=1,"_",IF(C237="_","???",C237))</f>
        <v/>
      </c>
      <c r="H237" s="10" t="s">
        <v>11</v>
      </c>
      <c r="I237" s="11" t="s">
        <v>11</v>
      </c>
      <c r="J237" s="12"/>
    </row>
    <row r="238" spans="1:10" ht="60" customHeight="1">
      <c r="A238" s="6" t="s">
        <v>857</v>
      </c>
      <c r="B238" s="6" t="s">
        <v>10</v>
      </c>
      <c r="C238" s="6" t="s">
        <v>11</v>
      </c>
      <c r="D238" s="7" t="s">
        <v>68</v>
      </c>
      <c r="E238" s="8" t="s">
        <v>858</v>
      </c>
      <c r="F238" s="6" t="s">
        <v>859</v>
      </c>
      <c r="G238" s="9">
        <f>IF(A238=1,"_",IF(C238="_","???",C238))</f>
        <v/>
      </c>
      <c r="H238" s="10" t="s">
        <v>11</v>
      </c>
      <c r="I238" s="11" t="s">
        <v>11</v>
      </c>
      <c r="J238" s="12"/>
    </row>
    <row r="239" spans="1:10" ht="60" customHeight="1">
      <c r="A239" s="6" t="s">
        <v>860</v>
      </c>
      <c r="B239" s="6" t="s">
        <v>15</v>
      </c>
      <c r="C239" s="6" t="s">
        <v>11</v>
      </c>
      <c r="D239" s="7" t="s">
        <v>141</v>
      </c>
      <c r="E239" s="8" t="s">
        <v>861</v>
      </c>
      <c r="F239" s="6" t="s">
        <v>862</v>
      </c>
      <c r="G239" s="9">
        <f>IF(A239=1,"_",IF(C239="_","???",C239))</f>
        <v/>
      </c>
      <c r="H239" s="10" t="s">
        <v>11</v>
      </c>
      <c r="I239" s="11" t="s">
        <v>11</v>
      </c>
      <c r="J239" s="12"/>
    </row>
    <row r="240" spans="1:10" ht="60" customHeight="1">
      <c r="A240" s="6" t="s">
        <v>863</v>
      </c>
      <c r="B240" s="6" t="s">
        <v>19</v>
      </c>
      <c r="C240" s="6" t="s">
        <v>260</v>
      </c>
      <c r="D240" s="7" t="s">
        <v>864</v>
      </c>
      <c r="E240" s="8" t="s">
        <v>865</v>
      </c>
      <c r="F240" s="6" t="s">
        <v>866</v>
      </c>
      <c r="G240" s="9">
        <f>IF(A240=1,"_",IF(C240="_","???",C240))</f>
        <v/>
      </c>
      <c r="H240" s="10" t="s">
        <v>11</v>
      </c>
      <c r="I240" s="11" t="s">
        <v>11</v>
      </c>
      <c r="J240" s="12"/>
    </row>
    <row r="241" spans="1:10" ht="60" customHeight="1">
      <c r="A241" s="6" t="s">
        <v>867</v>
      </c>
      <c r="B241" s="6" t="s">
        <v>10</v>
      </c>
      <c r="C241" s="6" t="s">
        <v>11</v>
      </c>
      <c r="D241" s="7" t="s">
        <v>110</v>
      </c>
      <c r="E241" s="8" t="s">
        <v>111</v>
      </c>
      <c r="F241" s="6" t="s">
        <v>868</v>
      </c>
      <c r="G241" s="9">
        <f>IF(A241=1,"_",IF(C241="_","???",C241))</f>
        <v/>
      </c>
      <c r="H241" s="10" t="s">
        <v>11</v>
      </c>
      <c r="I241" s="11" t="s">
        <v>11</v>
      </c>
      <c r="J241" s="12"/>
    </row>
    <row r="242" spans="1:10" ht="60" customHeight="1">
      <c r="A242" s="6" t="s">
        <v>869</v>
      </c>
      <c r="B242" s="6" t="s">
        <v>15</v>
      </c>
      <c r="C242" s="6" t="s">
        <v>11</v>
      </c>
      <c r="D242" s="7" t="s">
        <v>870</v>
      </c>
      <c r="E242" s="8" t="s">
        <v>871</v>
      </c>
      <c r="F242" s="6" t="s">
        <v>872</v>
      </c>
      <c r="G242" s="9">
        <f>IF(A242=1,"_",IF(C242="_","???",C242))</f>
        <v/>
      </c>
      <c r="H242" s="10" t="s">
        <v>11</v>
      </c>
      <c r="I242" s="11" t="s">
        <v>11</v>
      </c>
      <c r="J242" s="12"/>
    </row>
    <row r="243" spans="1:10" ht="60" customHeight="1">
      <c r="A243" s="6" t="s">
        <v>873</v>
      </c>
      <c r="B243" s="6" t="s">
        <v>44</v>
      </c>
      <c r="C243" s="6" t="s">
        <v>874</v>
      </c>
      <c r="D243" s="7" t="s">
        <v>875</v>
      </c>
      <c r="E243" s="8" t="s">
        <v>876</v>
      </c>
      <c r="F243" s="6" t="s">
        <v>877</v>
      </c>
      <c r="G243" s="9">
        <f>IF(A243=1,"_",IF(C243="_","???",C243))</f>
        <v/>
      </c>
      <c r="H243" s="10" t="s">
        <v>11</v>
      </c>
      <c r="I243" s="11" t="s">
        <v>11</v>
      </c>
      <c r="J243" s="12"/>
    </row>
    <row r="244" spans="1:10" ht="60" customHeight="1">
      <c r="A244" s="6" t="s">
        <v>878</v>
      </c>
      <c r="B244" s="6" t="s">
        <v>15</v>
      </c>
      <c r="C244" s="6" t="s">
        <v>11</v>
      </c>
      <c r="D244" s="7" t="s">
        <v>879</v>
      </c>
      <c r="E244" s="8" t="s">
        <v>880</v>
      </c>
      <c r="F244" s="6" t="s">
        <v>881</v>
      </c>
      <c r="G244" s="9">
        <f>IF(A244=1,"_",IF(C244="_","???",C244))</f>
        <v/>
      </c>
      <c r="H244" s="10" t="s">
        <v>11</v>
      </c>
      <c r="I244" s="11" t="s">
        <v>11</v>
      </c>
      <c r="J244" s="12"/>
    </row>
    <row r="245" spans="1:10" ht="60" customHeight="1">
      <c r="A245" s="6" t="s">
        <v>882</v>
      </c>
      <c r="B245" s="6" t="s">
        <v>67</v>
      </c>
      <c r="C245" s="6" t="s">
        <v>11</v>
      </c>
      <c r="D245" s="7" t="s">
        <v>883</v>
      </c>
      <c r="E245" s="8" t="s">
        <v>884</v>
      </c>
      <c r="F245" s="6" t="s">
        <v>885</v>
      </c>
      <c r="G245" s="9">
        <f>IF(A245=1,"_",IF(C245="_","???",C245))</f>
        <v/>
      </c>
      <c r="H245" s="10" t="s">
        <v>11</v>
      </c>
      <c r="I245" s="11" t="s">
        <v>11</v>
      </c>
      <c r="J245" s="12"/>
    </row>
    <row r="246" spans="1:10" ht="60" customHeight="1">
      <c r="A246" s="6" t="s">
        <v>886</v>
      </c>
      <c r="B246" s="6" t="s">
        <v>25</v>
      </c>
      <c r="C246" s="6" t="s">
        <v>887</v>
      </c>
      <c r="D246" s="7" t="s">
        <v>888</v>
      </c>
      <c r="E246" s="8" t="s">
        <v>889</v>
      </c>
      <c r="F246" s="6" t="s">
        <v>890</v>
      </c>
      <c r="G246" s="9">
        <f>IF(A246=1,"_",IF(C246="_","???",C246))</f>
        <v/>
      </c>
      <c r="H246" s="10" t="s">
        <v>11</v>
      </c>
      <c r="I246" s="11" t="s">
        <v>11</v>
      </c>
      <c r="J246" s="12"/>
    </row>
    <row r="247" spans="1:10" ht="60" customHeight="1">
      <c r="A247" s="6" t="s">
        <v>891</v>
      </c>
      <c r="B247" s="6" t="s">
        <v>19</v>
      </c>
      <c r="C247" s="6" t="s">
        <v>81</v>
      </c>
      <c r="D247" s="7" t="s">
        <v>129</v>
      </c>
      <c r="E247" s="8" t="s">
        <v>892</v>
      </c>
      <c r="F247" s="6" t="s">
        <v>893</v>
      </c>
      <c r="G247" s="9">
        <f>IF(A247=1,"_",IF(C247="_","???",C247))</f>
        <v/>
      </c>
      <c r="H247" s="10" t="s">
        <v>11</v>
      </c>
      <c r="I247" s="11" t="s">
        <v>11</v>
      </c>
      <c r="J247" s="12"/>
    </row>
    <row r="248" spans="1:10" ht="60" customHeight="1">
      <c r="A248" s="6" t="s">
        <v>894</v>
      </c>
      <c r="B248" s="6" t="s">
        <v>10</v>
      </c>
      <c r="C248" s="6" t="s">
        <v>21</v>
      </c>
      <c r="D248" s="7" t="s">
        <v>68</v>
      </c>
      <c r="E248" s="8" t="s">
        <v>895</v>
      </c>
      <c r="F248" s="6" t="s">
        <v>896</v>
      </c>
      <c r="G248" s="9">
        <f>IF(A248=1,"_",IF(C248="_","???",C248))</f>
        <v/>
      </c>
      <c r="H248" s="10" t="s">
        <v>11</v>
      </c>
      <c r="I248" s="11" t="s">
        <v>11</v>
      </c>
      <c r="J248" s="12"/>
    </row>
    <row r="249" spans="1:10" ht="60" customHeight="1">
      <c r="A249" s="6" t="s">
        <v>897</v>
      </c>
      <c r="B249" s="6" t="s">
        <v>15</v>
      </c>
      <c r="C249" s="6" t="s">
        <v>11</v>
      </c>
      <c r="D249" s="7" t="s">
        <v>134</v>
      </c>
      <c r="E249" s="8" t="s">
        <v>898</v>
      </c>
      <c r="F249" s="6" t="s">
        <v>899</v>
      </c>
      <c r="G249" s="9">
        <f>IF(A249=1,"_",IF(C249="_","???",C249))</f>
        <v/>
      </c>
      <c r="H249" s="10" t="s">
        <v>11</v>
      </c>
      <c r="I249" s="11" t="s">
        <v>11</v>
      </c>
      <c r="J249" s="12"/>
    </row>
    <row r="250" spans="1:10" ht="60" customHeight="1">
      <c r="A250" s="6" t="s">
        <v>900</v>
      </c>
      <c r="B250" s="6" t="s">
        <v>32</v>
      </c>
      <c r="C250" s="6" t="s">
        <v>874</v>
      </c>
      <c r="D250" s="7" t="s">
        <v>901</v>
      </c>
      <c r="E250" s="8" t="s">
        <v>902</v>
      </c>
      <c r="F250" s="6" t="s">
        <v>903</v>
      </c>
      <c r="G250" s="9">
        <f>IF(A250=1,"_",IF(C250="_","???",C250))</f>
        <v/>
      </c>
      <c r="H250" s="10" t="s">
        <v>11</v>
      </c>
      <c r="I250" s="11" t="s">
        <v>11</v>
      </c>
      <c r="J250" s="12"/>
    </row>
    <row r="251" spans="1:10" ht="60" customHeight="1">
      <c r="A251" s="6" t="s">
        <v>904</v>
      </c>
      <c r="B251" s="6" t="s">
        <v>19</v>
      </c>
      <c r="C251" s="6" t="s">
        <v>81</v>
      </c>
      <c r="D251" s="7" t="s">
        <v>905</v>
      </c>
      <c r="E251" s="8" t="s">
        <v>906</v>
      </c>
      <c r="F251" s="6" t="s">
        <v>907</v>
      </c>
      <c r="G251" s="9">
        <f>IF(A251=1,"_",IF(C251="_","???",C251))</f>
        <v/>
      </c>
      <c r="H251" s="10" t="s">
        <v>11</v>
      </c>
      <c r="I251" s="11" t="s">
        <v>11</v>
      </c>
      <c r="J251" s="12"/>
    </row>
    <row r="252" spans="1:10" ht="60" customHeight="1">
      <c r="A252" s="6" t="s">
        <v>908</v>
      </c>
      <c r="B252" s="6" t="s">
        <v>15</v>
      </c>
      <c r="C252" s="6" t="s">
        <v>81</v>
      </c>
      <c r="D252" s="7" t="s">
        <v>909</v>
      </c>
      <c r="E252" s="8" t="s">
        <v>910</v>
      </c>
      <c r="F252" s="6" t="s">
        <v>911</v>
      </c>
      <c r="G252" s="9">
        <f>IF(A252=1,"_",IF(C252="_","???",C252))</f>
        <v/>
      </c>
      <c r="H252" s="10" t="s">
        <v>11</v>
      </c>
      <c r="I252" s="11" t="s">
        <v>11</v>
      </c>
      <c r="J252" s="12"/>
    </row>
    <row r="253" spans="1:10" ht="60" customHeight="1">
      <c r="A253" s="6" t="s">
        <v>912</v>
      </c>
      <c r="B253" s="6" t="s">
        <v>10</v>
      </c>
      <c r="C253" s="6" t="s">
        <v>260</v>
      </c>
      <c r="D253" s="7" t="s">
        <v>53</v>
      </c>
      <c r="E253" s="8" t="s">
        <v>913</v>
      </c>
      <c r="F253" s="6" t="s">
        <v>914</v>
      </c>
      <c r="G253" s="9">
        <f>IF(A253=1,"_",IF(C253="_","???",C253))</f>
        <v/>
      </c>
      <c r="H253" s="10" t="s">
        <v>11</v>
      </c>
      <c r="I253" s="11" t="s">
        <v>11</v>
      </c>
      <c r="J253" s="12"/>
    </row>
    <row r="254" spans="1:10" ht="60" customHeight="1">
      <c r="A254" s="6" t="s">
        <v>915</v>
      </c>
      <c r="B254" s="6" t="s">
        <v>10</v>
      </c>
      <c r="C254" s="6" t="s">
        <v>11</v>
      </c>
      <c r="D254" s="7" t="s">
        <v>838</v>
      </c>
      <c r="E254" s="8" t="s">
        <v>916</v>
      </c>
      <c r="F254" s="6" t="s">
        <v>917</v>
      </c>
      <c r="G254" s="9">
        <f>IF(A254=1,"_",IF(C254="_","???",C254))</f>
        <v/>
      </c>
      <c r="H254" s="10" t="s">
        <v>11</v>
      </c>
      <c r="I254" s="11" t="s">
        <v>11</v>
      </c>
      <c r="J254" s="12"/>
    </row>
    <row r="255" spans="1:10" ht="60" customHeight="1">
      <c r="A255" s="6" t="s">
        <v>918</v>
      </c>
      <c r="B255" s="6" t="s">
        <v>10</v>
      </c>
      <c r="C255" s="6" t="s">
        <v>81</v>
      </c>
      <c r="D255" s="7" t="s">
        <v>68</v>
      </c>
      <c r="E255" s="8" t="s">
        <v>919</v>
      </c>
      <c r="F255" s="6" t="s">
        <v>920</v>
      </c>
      <c r="G255" s="9">
        <f>IF(A255=1,"_",IF(C255="_","???",C255))</f>
        <v/>
      </c>
      <c r="H255" s="10" t="s">
        <v>11</v>
      </c>
      <c r="I255" s="11" t="s">
        <v>11</v>
      </c>
      <c r="J255" s="12"/>
    </row>
    <row r="256" spans="1:10" ht="60" customHeight="1">
      <c r="A256" s="6" t="s">
        <v>921</v>
      </c>
      <c r="B256" s="6" t="s">
        <v>10</v>
      </c>
      <c r="C256" s="6" t="s">
        <v>11</v>
      </c>
      <c r="D256" s="7" t="s">
        <v>53</v>
      </c>
      <c r="E256" s="8" t="s">
        <v>922</v>
      </c>
      <c r="F256" s="6" t="s">
        <v>923</v>
      </c>
      <c r="G256" s="9">
        <f>IF(A256=1,"_",IF(C256="_","???",C256))</f>
        <v/>
      </c>
      <c r="H256" s="10" t="s">
        <v>11</v>
      </c>
      <c r="I256" s="11" t="s">
        <v>11</v>
      </c>
      <c r="J256" s="12"/>
    </row>
    <row r="257" spans="1:10" ht="60" customHeight="1">
      <c r="A257" s="6" t="s">
        <v>924</v>
      </c>
      <c r="B257" s="6" t="s">
        <v>10</v>
      </c>
      <c r="C257" s="6" t="s">
        <v>11</v>
      </c>
      <c r="D257" s="7" t="s">
        <v>925</v>
      </c>
      <c r="E257" s="8" t="s">
        <v>926</v>
      </c>
      <c r="F257" s="6" t="s">
        <v>927</v>
      </c>
      <c r="G257" s="9">
        <f>IF(A257=1,"_",IF(C257="_","???",C257))</f>
        <v/>
      </c>
      <c r="H257" s="10" t="s">
        <v>11</v>
      </c>
      <c r="I257" s="11" t="s">
        <v>11</v>
      </c>
      <c r="J257" s="12"/>
    </row>
    <row r="258" spans="1:10" ht="60" customHeight="1">
      <c r="A258" s="6" t="s">
        <v>928</v>
      </c>
      <c r="B258" s="6" t="s">
        <v>15</v>
      </c>
      <c r="C258" s="6" t="s">
        <v>11</v>
      </c>
      <c r="D258" s="7" t="s">
        <v>245</v>
      </c>
      <c r="E258" s="8" t="s">
        <v>929</v>
      </c>
      <c r="F258" s="6" t="s">
        <v>930</v>
      </c>
      <c r="G258" s="9">
        <f>IF(A258=1,"_",IF(C258="_","???",C258))</f>
        <v/>
      </c>
      <c r="H258" s="10" t="s">
        <v>11</v>
      </c>
      <c r="I258" s="11" t="s">
        <v>11</v>
      </c>
      <c r="J258" s="12"/>
    </row>
    <row r="259" spans="1:10" ht="60" customHeight="1">
      <c r="A259" s="6" t="s">
        <v>931</v>
      </c>
      <c r="B259" s="6" t="s">
        <v>19</v>
      </c>
      <c r="C259" s="6" t="s">
        <v>11</v>
      </c>
      <c r="D259" s="7" t="s">
        <v>932</v>
      </c>
      <c r="E259" s="8" t="s">
        <v>933</v>
      </c>
      <c r="F259" s="6" t="s">
        <v>934</v>
      </c>
      <c r="G259" s="9">
        <f>IF(A259=1,"_",IF(C259="_","???",C259))</f>
        <v/>
      </c>
      <c r="H259" s="10" t="s">
        <v>11</v>
      </c>
      <c r="I259" s="11" t="s">
        <v>11</v>
      </c>
      <c r="J259" s="12"/>
    </row>
    <row r="260" spans="1:10" ht="60" customHeight="1">
      <c r="A260" s="6" t="s">
        <v>935</v>
      </c>
      <c r="B260" s="6" t="s">
        <v>10</v>
      </c>
      <c r="C260" s="6" t="s">
        <v>11</v>
      </c>
      <c r="D260" s="7" t="s">
        <v>588</v>
      </c>
      <c r="E260" s="8" t="s">
        <v>589</v>
      </c>
      <c r="F260" s="6" t="s">
        <v>936</v>
      </c>
      <c r="G260" s="9">
        <f>IF(A260=1,"_",IF(C260="_","???",C260))</f>
        <v/>
      </c>
      <c r="H260" s="10" t="s">
        <v>11</v>
      </c>
      <c r="I260" s="11" t="s">
        <v>11</v>
      </c>
      <c r="J260" s="12"/>
    </row>
    <row r="261" spans="1:10" ht="60" customHeight="1">
      <c r="A261" s="6" t="s">
        <v>937</v>
      </c>
      <c r="B261" s="6" t="s">
        <v>15</v>
      </c>
      <c r="C261" s="6" t="s">
        <v>260</v>
      </c>
      <c r="D261" s="7" t="s">
        <v>134</v>
      </c>
      <c r="E261" s="8" t="s">
        <v>938</v>
      </c>
      <c r="F261" s="6" t="s">
        <v>939</v>
      </c>
      <c r="G261" s="9">
        <f>IF(A261=1,"_",IF(C261="_","???",C261))</f>
        <v/>
      </c>
      <c r="H261" s="10" t="s">
        <v>11</v>
      </c>
      <c r="I261" s="11" t="s">
        <v>11</v>
      </c>
      <c r="J261" s="12"/>
    </row>
    <row r="262" spans="1:10" ht="60" customHeight="1">
      <c r="A262" s="6" t="s">
        <v>940</v>
      </c>
      <c r="B262" s="6" t="s">
        <v>48</v>
      </c>
      <c r="C262" s="6" t="s">
        <v>260</v>
      </c>
      <c r="D262" s="7" t="s">
        <v>941</v>
      </c>
      <c r="E262" s="8" t="s">
        <v>942</v>
      </c>
      <c r="F262" s="6" t="s">
        <v>943</v>
      </c>
      <c r="G262" s="9">
        <f>IF(A262=1,"_",IF(C262="_","???",C262))</f>
        <v/>
      </c>
      <c r="H262" s="10" t="s">
        <v>11</v>
      </c>
      <c r="I262" s="11" t="s">
        <v>11</v>
      </c>
      <c r="J262" s="12"/>
    </row>
    <row r="263" spans="1:10" ht="60" customHeight="1">
      <c r="A263" s="6" t="s">
        <v>944</v>
      </c>
      <c r="B263" s="6" t="s">
        <v>15</v>
      </c>
      <c r="C263" s="6" t="s">
        <v>81</v>
      </c>
      <c r="D263" s="7" t="s">
        <v>129</v>
      </c>
      <c r="E263" s="8" t="s">
        <v>945</v>
      </c>
      <c r="F263" s="6" t="s">
        <v>946</v>
      </c>
      <c r="G263" s="9">
        <f>IF(A263=1,"_",IF(C263="_","???",C263))</f>
        <v/>
      </c>
      <c r="H263" s="10" t="s">
        <v>11</v>
      </c>
      <c r="I263" s="11" t="s">
        <v>11</v>
      </c>
      <c r="J263" s="12"/>
    </row>
    <row r="264" spans="1:10" ht="60" customHeight="1">
      <c r="A264" s="6" t="s">
        <v>947</v>
      </c>
      <c r="B264" s="6" t="s">
        <v>10</v>
      </c>
      <c r="C264" s="6" t="s">
        <v>948</v>
      </c>
      <c r="D264" s="7" t="s">
        <v>53</v>
      </c>
      <c r="E264" s="8" t="s">
        <v>949</v>
      </c>
      <c r="F264" s="6" t="s">
        <v>950</v>
      </c>
      <c r="G264" s="9">
        <f>IF(A264=1,"_",IF(C264="_","???",C264))</f>
        <v/>
      </c>
      <c r="H264" s="10" t="s">
        <v>11</v>
      </c>
      <c r="I264" s="11" t="s">
        <v>11</v>
      </c>
      <c r="J264" s="12"/>
    </row>
    <row r="265" spans="1:10" ht="60" customHeight="1">
      <c r="A265" s="6" t="s">
        <v>951</v>
      </c>
      <c r="B265" s="6" t="s">
        <v>15</v>
      </c>
      <c r="C265" s="6" t="s">
        <v>11</v>
      </c>
      <c r="D265" s="7" t="s">
        <v>735</v>
      </c>
      <c r="E265" s="8" t="s">
        <v>952</v>
      </c>
      <c r="F265" s="6" t="s">
        <v>953</v>
      </c>
      <c r="G265" s="9">
        <f>IF(A265=1,"_",IF(C265="_","???",C265))</f>
        <v/>
      </c>
      <c r="H265" s="10" t="s">
        <v>11</v>
      </c>
      <c r="I265" s="11" t="s">
        <v>11</v>
      </c>
      <c r="J265" s="12"/>
    </row>
    <row r="266" spans="1:10" ht="60" customHeight="1">
      <c r="A266" s="6" t="s">
        <v>954</v>
      </c>
      <c r="B266" s="6" t="s">
        <v>10</v>
      </c>
      <c r="C266" s="6" t="s">
        <v>11</v>
      </c>
      <c r="D266" s="7" t="s">
        <v>68</v>
      </c>
      <c r="E266" s="8" t="s">
        <v>955</v>
      </c>
      <c r="F266" s="6" t="s">
        <v>956</v>
      </c>
      <c r="G266" s="9">
        <f>IF(A266=1,"_",IF(C266="_","???",C266))</f>
        <v/>
      </c>
      <c r="H266" s="10" t="s">
        <v>11</v>
      </c>
      <c r="I266" s="11" t="s">
        <v>11</v>
      </c>
      <c r="J266" s="12"/>
    </row>
    <row r="267" spans="1:10" ht="60" customHeight="1">
      <c r="A267" s="6" t="s">
        <v>957</v>
      </c>
      <c r="B267" s="6" t="s">
        <v>15</v>
      </c>
      <c r="C267" s="6" t="s">
        <v>11</v>
      </c>
      <c r="D267" s="7" t="s">
        <v>958</v>
      </c>
      <c r="E267" s="8" t="s">
        <v>959</v>
      </c>
      <c r="F267" s="6" t="s">
        <v>960</v>
      </c>
      <c r="G267" s="9">
        <f>IF(A267=1,"_",IF(C267="_","???",C267))</f>
        <v/>
      </c>
      <c r="H267" s="10" t="s">
        <v>11</v>
      </c>
      <c r="I267" s="11" t="s">
        <v>11</v>
      </c>
      <c r="J267" s="12"/>
    </row>
    <row r="268" spans="1:10" ht="60" customHeight="1">
      <c r="A268" s="6" t="s">
        <v>961</v>
      </c>
      <c r="B268" s="6" t="s">
        <v>10</v>
      </c>
      <c r="C268" s="6" t="s">
        <v>11</v>
      </c>
      <c r="D268" s="7" t="s">
        <v>53</v>
      </c>
      <c r="E268" s="8" t="s">
        <v>962</v>
      </c>
      <c r="F268" s="6" t="s">
        <v>963</v>
      </c>
      <c r="G268" s="9">
        <f>IF(A268=1,"_",IF(C268="_","???",C268))</f>
        <v/>
      </c>
      <c r="H268" s="10" t="s">
        <v>11</v>
      </c>
      <c r="I268" s="11" t="s">
        <v>11</v>
      </c>
      <c r="J268" s="12"/>
    </row>
    <row r="269" spans="1:10" ht="60" customHeight="1">
      <c r="A269" s="6" t="s">
        <v>964</v>
      </c>
      <c r="B269" s="6" t="s">
        <v>56</v>
      </c>
      <c r="C269" s="6" t="s">
        <v>97</v>
      </c>
      <c r="D269" s="7" t="s">
        <v>93</v>
      </c>
      <c r="E269" s="8" t="s">
        <v>965</v>
      </c>
      <c r="F269" s="6" t="s">
        <v>966</v>
      </c>
      <c r="G269" s="9">
        <f>IF(A269=1,"_",IF(C269="_","???",C269))</f>
        <v/>
      </c>
      <c r="H269" s="10" t="s">
        <v>11</v>
      </c>
      <c r="I269" s="11" t="s">
        <v>11</v>
      </c>
      <c r="J269" s="12"/>
    </row>
    <row r="270" spans="1:10" ht="60" customHeight="1">
      <c r="A270" s="6" t="s">
        <v>967</v>
      </c>
      <c r="B270" s="6" t="s">
        <v>10</v>
      </c>
      <c r="C270" s="6" t="s">
        <v>260</v>
      </c>
      <c r="D270" s="7" t="s">
        <v>68</v>
      </c>
      <c r="E270" s="8" t="s">
        <v>968</v>
      </c>
      <c r="F270" s="6" t="s">
        <v>969</v>
      </c>
      <c r="G270" s="9">
        <f>IF(A270=1,"_",IF(C270="_","???",C270))</f>
        <v/>
      </c>
      <c r="H270" s="10" t="s">
        <v>11</v>
      </c>
      <c r="I270" s="11" t="s">
        <v>11</v>
      </c>
      <c r="J270" s="12"/>
    </row>
    <row r="271" spans="1:10" ht="60" customHeight="1">
      <c r="A271" s="6" t="s">
        <v>970</v>
      </c>
      <c r="B271" s="6" t="s">
        <v>20</v>
      </c>
      <c r="C271" s="6" t="s">
        <v>11</v>
      </c>
      <c r="D271" s="7" t="s">
        <v>118</v>
      </c>
      <c r="E271" s="8" t="s">
        <v>971</v>
      </c>
      <c r="F271" s="6" t="s">
        <v>972</v>
      </c>
      <c r="G271" s="9">
        <f>IF(A271=1,"_",IF(C271="_","???",C271))</f>
        <v/>
      </c>
      <c r="H271" s="10" t="s">
        <v>11</v>
      </c>
      <c r="I271" s="11" t="s">
        <v>11</v>
      </c>
      <c r="J271" s="12"/>
    </row>
    <row r="272" spans="1:10" ht="60" customHeight="1">
      <c r="A272" s="6" t="s">
        <v>973</v>
      </c>
      <c r="B272" s="6" t="s">
        <v>19</v>
      </c>
      <c r="C272" s="6" t="s">
        <v>81</v>
      </c>
      <c r="D272" s="7" t="s">
        <v>141</v>
      </c>
      <c r="E272" s="8" t="s">
        <v>974</v>
      </c>
      <c r="F272" s="6" t="s">
        <v>975</v>
      </c>
      <c r="G272" s="9">
        <f>IF(A272=1,"_",IF(C272="_","???",C272))</f>
        <v/>
      </c>
      <c r="H272" s="10" t="s">
        <v>11</v>
      </c>
      <c r="I272" s="11" t="s">
        <v>11</v>
      </c>
      <c r="J272" s="12"/>
    </row>
    <row r="273" spans="1:10" ht="60" customHeight="1">
      <c r="A273" s="6" t="s">
        <v>976</v>
      </c>
      <c r="B273" s="6" t="s">
        <v>10</v>
      </c>
      <c r="C273" s="6" t="s">
        <v>11</v>
      </c>
      <c r="D273" s="7" t="s">
        <v>467</v>
      </c>
      <c r="E273" s="8" t="s">
        <v>977</v>
      </c>
      <c r="F273" s="6" t="s">
        <v>978</v>
      </c>
      <c r="G273" s="9">
        <f>IF(A273=1,"_",IF(C273="_","???",C273))</f>
        <v/>
      </c>
      <c r="H273" s="10" t="s">
        <v>11</v>
      </c>
      <c r="I273" s="11" t="s">
        <v>11</v>
      </c>
      <c r="J273" s="12"/>
    </row>
    <row r="274" spans="1:10" ht="60" customHeight="1">
      <c r="A274" s="6" t="s">
        <v>979</v>
      </c>
      <c r="B274" s="6" t="s">
        <v>10</v>
      </c>
      <c r="C274" s="6" t="s">
        <v>11</v>
      </c>
      <c r="D274" s="7" t="s">
        <v>53</v>
      </c>
      <c r="E274" s="8" t="s">
        <v>980</v>
      </c>
      <c r="F274" s="6" t="s">
        <v>981</v>
      </c>
      <c r="G274" s="9">
        <f>IF(A274=1,"_",IF(C274="_","???",C274))</f>
        <v/>
      </c>
      <c r="H274" s="10" t="s">
        <v>11</v>
      </c>
      <c r="I274" s="11" t="s">
        <v>11</v>
      </c>
      <c r="J2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7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982</v>
      </c>
      <c r="B1" s="13" t="s">
        <v>983</v>
      </c>
      <c r="C1" s="13" t="s">
        <v>984</v>
      </c>
      <c r="D1" s="13" t="s">
        <v>985</v>
      </c>
      <c r="E1" s="14" t="s">
        <v>986</v>
      </c>
      <c r="F1" s="15" t="s">
        <v>987</v>
      </c>
      <c r="G1" s="16" t="s">
        <v>988</v>
      </c>
      <c r="H1" s="17" t="s">
        <v>989</v>
      </c>
      <c r="I1" s="18" t="s">
        <v>990</v>
      </c>
      <c r="J1" s="18" t="s">
        <v>991</v>
      </c>
      <c r="K1" s="18" t="s">
        <v>992</v>
      </c>
      <c r="L1" s="19" t="s">
        <v>9</v>
      </c>
    </row>
    <row r="2" spans="1:12">
      <c r="A2" s="20" t="s">
        <v>993</v>
      </c>
    </row>
    <row r="3" spans="1:12">
      <c r="A3" s="20" t="s">
        <v>12</v>
      </c>
      <c r="B3" s="21" t="s">
        <v>994</v>
      </c>
      <c r="C3" s="21" t="s">
        <v>995</v>
      </c>
      <c r="D3" s="21" t="s">
        <v>996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999</v>
      </c>
    </row>
    <row r="8" spans="1:12">
      <c r="A8" s="20" t="s">
        <v>1000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1001</v>
      </c>
      <c r="B9" s="21" t="s">
        <v>994</v>
      </c>
      <c r="C9" s="21" t="s">
        <v>1002</v>
      </c>
      <c r="D9" s="21" t="s">
        <v>996</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1003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1004</v>
      </c>
      <c r="B11" s="21" t="s">
        <v>994</v>
      </c>
      <c r="C11" s="21" t="s">
        <v>1005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1007</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1008</v>
      </c>
      <c r="B14" s="21" t="s">
        <v>994</v>
      </c>
      <c r="C14" s="21" t="s">
        <v>1002</v>
      </c>
      <c r="D14" s="21" t="s">
        <v>996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1003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1007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1009</v>
      </c>
      <c r="B17" s="21" t="s">
        <v>1010</v>
      </c>
      <c r="C17" s="21" t="s">
        <v>1002</v>
      </c>
      <c r="D17" s="21" t="s">
        <v>996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1011</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1012</v>
      </c>
    </row>
    <row r="21" spans="1:12">
      <c r="A21" s="20" t="s">
        <v>1013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1014</v>
      </c>
      <c r="B22" s="21" t="s">
        <v>1015</v>
      </c>
      <c r="C22" s="21" t="s">
        <v>1016</v>
      </c>
      <c r="D22" s="21" t="s">
        <v>996</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1017</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1018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932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1018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1007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1019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1020</v>
      </c>
      <c r="B30" s="21" t="s">
        <v>1010</v>
      </c>
      <c r="C30" s="21" t="s">
        <v>1002</v>
      </c>
      <c r="D30" s="21" t="s">
        <v>996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1007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1021</v>
      </c>
      <c r="B32" s="21" t="s">
        <v>1022</v>
      </c>
      <c r="C32" s="21" t="s">
        <v>1002</v>
      </c>
      <c r="D32" s="21" t="s">
        <v>996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1023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1024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1025</v>
      </c>
      <c r="B35" s="21" t="s">
        <v>1026</v>
      </c>
      <c r="C35" s="21" t="s">
        <v>1027</v>
      </c>
      <c r="D35" s="21" t="s">
        <v>996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1006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29</v>
      </c>
      <c r="B37" s="21" t="s">
        <v>994</v>
      </c>
      <c r="C37" s="21" t="s">
        <v>995</v>
      </c>
      <c r="D37" s="21" t="s">
        <v>996</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1028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1011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1029</v>
      </c>
    </row>
    <row r="42" spans="1:12">
      <c r="A42" s="20" t="s">
        <v>1030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316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1031</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29</v>
      </c>
      <c r="B45" s="21" t="s">
        <v>1015</v>
      </c>
      <c r="C45" s="21" t="s">
        <v>995</v>
      </c>
      <c r="D45" s="21" t="s">
        <v>996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1032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1033</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1034</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1035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1036</v>
      </c>
      <c r="B50" s="21" t="s">
        <v>994</v>
      </c>
      <c r="C50" s="21" t="s">
        <v>1037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1038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1033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1039</v>
      </c>
      <c r="B53" s="21" t="s">
        <v>994</v>
      </c>
      <c r="C53" s="21" t="s">
        <v>995</v>
      </c>
      <c r="D53" s="21" t="s">
        <v>996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1040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1041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1042</v>
      </c>
      <c r="B56" s="21" t="s">
        <v>1022</v>
      </c>
      <c r="C56" s="21" t="s">
        <v>1027</v>
      </c>
      <c r="D56" s="21" t="s">
        <v>996</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1043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1044</v>
      </c>
      <c r="B58" s="21" t="s">
        <v>1026</v>
      </c>
      <c r="C58" s="21" t="s">
        <v>1045</v>
      </c>
      <c r="D58" s="21" t="s">
        <v>996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1046</v>
      </c>
      <c r="B59" s="21" t="s">
        <v>1010</v>
      </c>
      <c r="C59" s="21" t="s">
        <v>1047</v>
      </c>
      <c r="D59" s="21" t="s">
        <v>996</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1048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1049</v>
      </c>
      <c r="B62" s="21" t="s">
        <v>1050</v>
      </c>
      <c r="C62" s="21" t="s">
        <v>1016</v>
      </c>
      <c r="D62" s="21" t="s">
        <v>996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719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241</v>
      </c>
      <c r="B65" s="21" t="s">
        <v>1051</v>
      </c>
      <c r="C65" s="21" t="s">
        <v>1052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1007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1042</v>
      </c>
      <c r="B67" s="21" t="s">
        <v>1053</v>
      </c>
      <c r="C67" s="21" t="s">
        <v>1002</v>
      </c>
      <c r="D67" s="21" t="s">
        <v>996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719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1011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row>
    <row r="72" spans="1:12">
      <c r="A72" s="20" t="s">
        <v>1054</v>
      </c>
    </row>
    <row r="73" spans="1:12">
      <c r="A73" s="20" t="s">
        <v>29</v>
      </c>
      <c r="B73" s="21" t="s">
        <v>994</v>
      </c>
      <c r="C73" s="21" t="s">
        <v>995</v>
      </c>
      <c r="D73" s="21" t="s">
        <v>996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1006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932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1018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1007</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1019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1020</v>
      </c>
      <c r="B79" s="21" t="s">
        <v>1010</v>
      </c>
      <c r="C79" s="21" t="s">
        <v>1002</v>
      </c>
      <c r="D79" s="21" t="s">
        <v>996</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1011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row>
    <row r="82" spans="1:12">
      <c r="A82" s="20" t="s">
        <v>1055</v>
      </c>
    </row>
    <row r="83" spans="1:12">
      <c r="A83" s="20" t="s">
        <v>1056</v>
      </c>
      <c r="B83" s="21" t="s">
        <v>1057</v>
      </c>
      <c r="C83" s="21" t="s">
        <v>1052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719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1058</v>
      </c>
      <c r="B85" s="21" t="s">
        <v>1015</v>
      </c>
      <c r="C85" s="21" t="s">
        <v>1016</v>
      </c>
      <c r="D85" s="21" t="s">
        <v>996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1006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1059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1034</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77</v>
      </c>
      <c r="B90" s="21" t="s">
        <v>994</v>
      </c>
      <c r="C90" s="21" t="s">
        <v>1037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1003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1060</v>
      </c>
      <c r="B92" s="21" t="s">
        <v>1010</v>
      </c>
      <c r="C92" s="21" t="s">
        <v>1005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1061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row>
    <row r="95" spans="1:12">
      <c r="A95" s="20" t="s">
        <v>1062</v>
      </c>
    </row>
    <row r="96" spans="1:12">
      <c r="A96" s="20" t="s">
        <v>38</v>
      </c>
      <c r="B96" s="21" t="s">
        <v>994</v>
      </c>
      <c r="C96" s="21" t="s">
        <v>995</v>
      </c>
      <c r="D96" s="21" t="s">
        <v>996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1028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998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row>
    <row r="100" spans="1:12">
      <c r="A100" s="20" t="s">
        <v>1063</v>
      </c>
    </row>
    <row r="101" spans="1:12">
      <c r="A101" s="20" t="s">
        <v>1064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1006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1014</v>
      </c>
      <c r="B103" s="21" t="s">
        <v>1015</v>
      </c>
      <c r="C103" s="21" t="s">
        <v>1016</v>
      </c>
      <c r="D103" s="21" t="s">
        <v>996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719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34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1065</v>
      </c>
      <c r="B106" s="21" t="s">
        <v>1057</v>
      </c>
      <c r="C106" s="21" t="s">
        <v>1066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1011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1067</v>
      </c>
    </row>
    <row r="110" spans="1:12">
      <c r="A110" s="20" t="s">
        <v>1068</v>
      </c>
      <c r="B110" s="21" t="s">
        <v>1015</v>
      </c>
      <c r="C110" s="21" t="s">
        <v>1069</v>
      </c>
      <c r="D110" s="21" t="s">
        <v>996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1032</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1070</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1011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row>
    <row r="115" spans="1:12">
      <c r="A115" s="20" t="s">
        <v>1071</v>
      </c>
    </row>
    <row r="116" spans="1:12">
      <c r="A116" s="20" t="s">
        <v>1030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1072</v>
      </c>
      <c r="B117" s="21" t="s">
        <v>994</v>
      </c>
      <c r="C117" s="21" t="s">
        <v>995</v>
      </c>
      <c r="D117" s="21" t="s">
        <v>996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1031</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1073</v>
      </c>
    </row>
    <row r="121" spans="1:12">
      <c r="A121" s="20" t="s">
        <v>1074</v>
      </c>
      <c r="B121" s="21" t="s">
        <v>994</v>
      </c>
      <c r="C121" s="21" t="s">
        <v>1005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998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v>
      </c>
      <c r="B123" s="21" t="s">
        <v>994</v>
      </c>
      <c r="C123" s="21" t="s">
        <v>995</v>
      </c>
      <c r="D123" s="21" t="s">
        <v>996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1006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1075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1076</v>
      </c>
      <c r="B126" s="21" t="s">
        <v>1010</v>
      </c>
      <c r="C126" s="21" t="s">
        <v>1077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1078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1058</v>
      </c>
      <c r="B128" s="21" t="s">
        <v>1026</v>
      </c>
      <c r="C128" s="21" t="s">
        <v>1016</v>
      </c>
      <c r="D128" s="21" t="s">
        <v>996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1011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row>
    <row r="131" spans="1:12">
      <c r="A131" s="20" t="s">
        <v>1079</v>
      </c>
    </row>
    <row r="132" spans="1:12">
      <c r="A132" s="20" t="s">
        <v>1080</v>
      </c>
      <c r="B132" s="21" t="s">
        <v>1015</v>
      </c>
      <c r="C132" s="21" t="s">
        <v>1016</v>
      </c>
      <c r="D132" s="21" t="s">
        <v>996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1081</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1082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1083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1084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1085</v>
      </c>
      <c r="B137" s="21" t="s">
        <v>1057</v>
      </c>
      <c r="C137" s="21" t="s">
        <v>1077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1033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1086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1087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1088</v>
      </c>
      <c r="B142" s="21" t="s">
        <v>994</v>
      </c>
      <c r="C142" s="21" t="s">
        <v>1002</v>
      </c>
      <c r="D142" s="21" t="s">
        <v>996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1011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1089</v>
      </c>
    </row>
    <row r="146" spans="1:12">
      <c r="A146" s="20" t="s">
        <v>1080</v>
      </c>
      <c r="B146" s="21" t="s">
        <v>1015</v>
      </c>
      <c r="C146" s="21" t="s">
        <v>1016</v>
      </c>
      <c r="D146" s="21" t="s">
        <v>996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1081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1082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1083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1034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1090</v>
      </c>
      <c r="B151" s="21" t="s">
        <v>1057</v>
      </c>
      <c r="C151" s="21" t="s">
        <v>1037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1006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1034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1091</v>
      </c>
      <c r="B154" s="21" t="s">
        <v>1010</v>
      </c>
      <c r="C154" s="21" t="s">
        <v>1037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1006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1034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1092</v>
      </c>
      <c r="B157" s="21" t="s">
        <v>1010</v>
      </c>
      <c r="C157" s="21" t="s">
        <v>1037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1011</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row>
    <row r="160" spans="1:12">
      <c r="A160" s="20" t="s">
        <v>1093</v>
      </c>
    </row>
    <row r="161" spans="1:12">
      <c r="A161" s="20" t="s">
        <v>1056</v>
      </c>
      <c r="B161" s="21" t="s">
        <v>1010</v>
      </c>
      <c r="C161" s="21" t="s">
        <v>1052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1094</v>
      </c>
      <c r="B162" s="21" t="s">
        <v>1015</v>
      </c>
      <c r="C162" s="21" t="s">
        <v>1095</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1017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1058</v>
      </c>
      <c r="B164" s="21" t="s">
        <v>1015</v>
      </c>
      <c r="C164" s="21" t="s">
        <v>1016</v>
      </c>
      <c r="D164" s="21" t="s">
        <v>996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1096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1097</v>
      </c>
      <c r="B166" s="21" t="s">
        <v>1057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1098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1061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1099</v>
      </c>
    </row>
    <row r="171" spans="1:12">
      <c r="A171" s="20" t="s">
        <v>1100</v>
      </c>
      <c r="B171" s="21" t="s">
        <v>994</v>
      </c>
      <c r="C171" s="21" t="s">
        <v>1005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998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1080</v>
      </c>
      <c r="B173" s="21" t="s">
        <v>1050</v>
      </c>
      <c r="C173" s="21" t="s">
        <v>1016</v>
      </c>
      <c r="D173" s="21" t="s">
        <v>996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425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1006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1101</v>
      </c>
      <c r="B176" s="21" t="s">
        <v>1050</v>
      </c>
      <c r="C176" s="21" t="s">
        <v>1102</v>
      </c>
      <c r="D176" s="21" t="s">
        <v>996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1103</v>
      </c>
      <c r="B177" s="21" t="s">
        <v>1104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1032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1105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1098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1041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1106</v>
      </c>
      <c r="B182" s="21" t="s">
        <v>1107</v>
      </c>
      <c r="C182" s="21" t="s">
        <v>1027</v>
      </c>
      <c r="D182" s="21" t="s">
        <v>996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1108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1082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1109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1110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1111</v>
      </c>
      <c r="B187" s="21" t="s">
        <v>1010</v>
      </c>
      <c r="C187" s="21" t="s">
        <v>1016</v>
      </c>
      <c r="D187" s="21" t="s">
        <v>996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1113</v>
      </c>
      <c r="B189" s="21" t="s">
        <v>1107</v>
      </c>
      <c r="C189" s="21" t="s">
        <v>1045</v>
      </c>
      <c r="D189" s="21" t="s">
        <v>996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1114</v>
      </c>
      <c r="B190" s="21" t="s">
        <v>1026</v>
      </c>
      <c r="C190" s="21" t="s">
        <v>1047</v>
      </c>
      <c r="D190" s="21" t="s">
        <v>996</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1112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1115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1018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1096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1111</v>
      </c>
      <c r="B195" s="21" t="s">
        <v>1116</v>
      </c>
      <c r="C195" s="21" t="s">
        <v>1016</v>
      </c>
      <c r="D195" s="21" t="s">
        <v>996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1011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1117</v>
      </c>
    </row>
    <row r="199" spans="1:12">
      <c r="A199" s="20" t="s">
        <v>1118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1119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1014</v>
      </c>
      <c r="B201" s="21" t="s">
        <v>1050</v>
      </c>
      <c r="C201" s="21" t="s">
        <v>1016</v>
      </c>
      <c r="D201" s="21" t="s">
        <v>996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141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1120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1121</v>
      </c>
      <c r="B204" s="21" t="s">
        <v>1010</v>
      </c>
      <c r="C204" s="21" t="s">
        <v>1016</v>
      </c>
      <c r="D204" s="21" t="s">
        <v>996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1006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1041</v>
      </c>
      <c r="B206" s="21" t="s">
        <v>1015</v>
      </c>
      <c r="C206" s="21" t="s">
        <v>1069</v>
      </c>
      <c r="D206" s="21" t="s">
        <v>996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1122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1007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1123</v>
      </c>
      <c r="B210" s="21" t="s">
        <v>994</v>
      </c>
      <c r="C210" s="21" t="s">
        <v>1002</v>
      </c>
      <c r="D210" s="21" t="s">
        <v>996</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1124</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1125</v>
      </c>
      <c r="B212" s="21" t="s">
        <v>1050</v>
      </c>
      <c r="C212" s="21" t="s">
        <v>1016</v>
      </c>
      <c r="D212" s="21" t="s">
        <v>996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1126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134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1109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1098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1011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row>
    <row r="219" spans="1:12">
      <c r="A219" s="20" t="s">
        <v>1127</v>
      </c>
    </row>
    <row r="220" spans="1:12">
      <c r="A220" s="20" t="s">
        <v>1128</v>
      </c>
      <c r="B220" s="21" t="s">
        <v>1015</v>
      </c>
      <c r="C220" s="21" t="s">
        <v>1052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1014</v>
      </c>
      <c r="B221" s="21" t="s">
        <v>1050</v>
      </c>
      <c r="C221" s="21" t="s">
        <v>1016</v>
      </c>
      <c r="D221" s="21" t="s">
        <v>996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1129</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1130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1131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1122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77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1132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1133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1011</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row>
    <row r="231" spans="1:12">
      <c r="A231" s="20" t="s">
        <v>1134</v>
      </c>
    </row>
    <row r="232" spans="1:12">
      <c r="A232" s="20" t="s">
        <v>1135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1014</v>
      </c>
      <c r="B233" s="21" t="s">
        <v>1050</v>
      </c>
      <c r="C233" s="21" t="s">
        <v>1016</v>
      </c>
      <c r="D233" s="21" t="s">
        <v>996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1136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1007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1137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1138</v>
      </c>
      <c r="B237" s="21" t="s">
        <v>994</v>
      </c>
      <c r="C237" s="21" t="s">
        <v>1002</v>
      </c>
      <c r="D237" s="21" t="s">
        <v>996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1033</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1007</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1139</v>
      </c>
      <c r="B240" s="21" t="s">
        <v>1010</v>
      </c>
      <c r="C240" s="21" t="s">
        <v>1002</v>
      </c>
      <c r="D240" s="21" t="s">
        <v>996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1006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1058</v>
      </c>
      <c r="B242" s="21" t="s">
        <v>1015</v>
      </c>
      <c r="C242" s="21" t="s">
        <v>1016</v>
      </c>
      <c r="D242" s="21" t="s">
        <v>996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719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1111</v>
      </c>
      <c r="B245" s="21" t="s">
        <v>1057</v>
      </c>
      <c r="C245" s="21" t="s">
        <v>1016</v>
      </c>
      <c r="D245" s="21" t="s">
        <v>996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1112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1140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1141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1011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row>
    <row r="251" spans="1:12">
      <c r="A251" s="20" t="s">
        <v>1142</v>
      </c>
    </row>
    <row r="252" spans="1:12">
      <c r="A252" s="20" t="s">
        <v>1056</v>
      </c>
      <c r="B252" s="21" t="s">
        <v>1015</v>
      </c>
      <c r="C252" s="21" t="s">
        <v>1052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1130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1143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1144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1145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1007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1146</v>
      </c>
      <c r="B258" s="21" t="s">
        <v>1015</v>
      </c>
      <c r="C258" s="21" t="s">
        <v>1002</v>
      </c>
      <c r="D258" s="21" t="s">
        <v>996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1011</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1147</v>
      </c>
    </row>
    <row r="262" spans="1:12">
      <c r="A262" s="20" t="s">
        <v>1056</v>
      </c>
      <c r="B262" s="21" t="s">
        <v>1050</v>
      </c>
      <c r="C262" s="21" t="s">
        <v>1052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1130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1143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1144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1032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1007</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1148</v>
      </c>
      <c r="B268" s="21" t="s">
        <v>994</v>
      </c>
      <c r="C268" s="21" t="s">
        <v>1002</v>
      </c>
      <c r="D268" s="21" t="s">
        <v>996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1003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1149</v>
      </c>
      <c r="B270" s="21" t="s">
        <v>994</v>
      </c>
      <c r="C270" s="21" t="s">
        <v>1005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1125</v>
      </c>
      <c r="B271" s="21" t="s">
        <v>1050</v>
      </c>
      <c r="C271" s="21" t="s">
        <v>1016</v>
      </c>
      <c r="D271" s="21" t="s">
        <v>996</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699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1006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1148</v>
      </c>
      <c r="B275" s="21" t="s">
        <v>994</v>
      </c>
      <c r="C275" s="21" t="s">
        <v>1002</v>
      </c>
      <c r="D275" s="21" t="s">
        <v>996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1003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1009</v>
      </c>
      <c r="B277" s="21" t="s">
        <v>1010</v>
      </c>
      <c r="C277" s="21" t="s">
        <v>1005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1125</v>
      </c>
      <c r="B278" s="21" t="s">
        <v>1053</v>
      </c>
      <c r="C278" s="21" t="s">
        <v>1016</v>
      </c>
      <c r="D278" s="21" t="s">
        <v>996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699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1006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1007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1148</v>
      </c>
      <c r="B282" s="21" t="s">
        <v>994</v>
      </c>
      <c r="C282" s="21" t="s">
        <v>1002</v>
      </c>
      <c r="D282" s="21" t="s">
        <v>996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1150</v>
      </c>
      <c r="B284" s="21" t="s">
        <v>1010</v>
      </c>
      <c r="C284" s="21" t="s">
        <v>1005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1151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1152</v>
      </c>
      <c r="B286" s="21" t="s">
        <v>1026</v>
      </c>
      <c r="C286" s="21" t="s">
        <v>1005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1112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1153</v>
      </c>
      <c r="B288" s="21" t="s">
        <v>1107</v>
      </c>
      <c r="C288" s="21" t="s">
        <v>1005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1011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1154</v>
      </c>
    </row>
    <row r="292" spans="1:12">
      <c r="A292" s="20" t="s">
        <v>1155</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1124</v>
      </c>
      <c r="B293" s="21" t="s">
        <v>1015</v>
      </c>
      <c r="C293" s="21" t="s">
        <v>1069</v>
      </c>
      <c r="D293" s="21" t="s">
        <v>996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1156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241</v>
      </c>
      <c r="B295" s="21" t="s">
        <v>994</v>
      </c>
      <c r="C295" s="21" t="s">
        <v>1052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1014</v>
      </c>
      <c r="B296" s="21" t="s">
        <v>1050</v>
      </c>
      <c r="C296" s="21" t="s">
        <v>1016</v>
      </c>
      <c r="D296" s="21" t="s">
        <v>996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1136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1157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1007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1106</v>
      </c>
      <c r="B300" s="21" t="s">
        <v>1053</v>
      </c>
      <c r="C300" s="21" t="s">
        <v>1002</v>
      </c>
      <c r="D300" s="21" t="s">
        <v>996</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1158</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1140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1159</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1006</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1112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1125</v>
      </c>
      <c r="B306" s="21" t="s">
        <v>1050</v>
      </c>
      <c r="C306" s="21" t="s">
        <v>1016</v>
      </c>
      <c r="D306" s="21" t="s">
        <v>996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1081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1160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1124</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1161</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1110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1162</v>
      </c>
      <c r="B312" s="21" t="s">
        <v>1026</v>
      </c>
      <c r="C312" s="21" t="s">
        <v>1005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1011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1163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1164</v>
      </c>
    </row>
    <row r="317" spans="1:12">
      <c r="A317" s="20" t="s">
        <v>1135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1014</v>
      </c>
      <c r="B318" s="21" t="s">
        <v>1050</v>
      </c>
      <c r="C318" s="21" t="s">
        <v>1016</v>
      </c>
      <c r="D318" s="21" t="s">
        <v>996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1165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1018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1096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1166</v>
      </c>
      <c r="B322" s="21" t="s">
        <v>1051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1006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1014</v>
      </c>
      <c r="B324" s="21" t="s">
        <v>1015</v>
      </c>
      <c r="C324" s="21" t="s">
        <v>1016</v>
      </c>
      <c r="D324" s="21" t="s">
        <v>996</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1017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1122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1094</v>
      </c>
      <c r="B328" s="21" t="s">
        <v>1057</v>
      </c>
      <c r="C328" s="21" t="s">
        <v>1005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1167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1092</v>
      </c>
      <c r="B331" s="21" t="s">
        <v>994</v>
      </c>
      <c r="C331" s="21" t="s">
        <v>1005</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1011</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1167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row>
    <row r="335" spans="1:12">
      <c r="A335" s="20" t="s">
        <v>1163</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1168</v>
      </c>
    </row>
    <row r="337" spans="1:12">
      <c r="A337" s="20" t="s">
        <v>1014</v>
      </c>
      <c r="B337" s="21" t="s">
        <v>1015</v>
      </c>
      <c r="C337" s="21" t="s">
        <v>1016</v>
      </c>
      <c r="D337" s="21" t="s">
        <v>996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1017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1122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1167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1169</v>
      </c>
      <c r="B342" s="21" t="s">
        <v>1057</v>
      </c>
      <c r="C342" s="21" t="s">
        <v>1005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1006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1167</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1112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1014</v>
      </c>
      <c r="B346" s="21" t="s">
        <v>1050</v>
      </c>
      <c r="C346" s="21" t="s">
        <v>1016</v>
      </c>
      <c r="D346" s="21" t="s">
        <v>996</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1017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1122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98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1167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1091</v>
      </c>
      <c r="B351" s="21" t="s">
        <v>1022</v>
      </c>
      <c r="C351" s="21" t="s">
        <v>1005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1011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1167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row>
    <row r="355" spans="1:12">
      <c r="A355" s="20" t="s">
        <v>1170</v>
      </c>
    </row>
    <row r="356" spans="1:12">
      <c r="A356" s="20" t="s">
        <v>1014</v>
      </c>
      <c r="B356" s="21" t="s">
        <v>1015</v>
      </c>
      <c r="C356" s="21" t="s">
        <v>1016</v>
      </c>
      <c r="D356" s="21" t="s">
        <v>996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1171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1014</v>
      </c>
      <c r="B359" s="21" t="s">
        <v>1050</v>
      </c>
      <c r="C359" s="21" t="s">
        <v>1016</v>
      </c>
      <c r="D359" s="21" t="s">
        <v>996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1136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1172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1173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1112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1014</v>
      </c>
      <c r="B364" s="21" t="s">
        <v>1050</v>
      </c>
      <c r="C364" s="21" t="s">
        <v>1016</v>
      </c>
      <c r="D364" s="21" t="s">
        <v>996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1136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1034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1174</v>
      </c>
      <c r="B367" s="21" t="s">
        <v>994</v>
      </c>
      <c r="C367" s="21" t="s">
        <v>1037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1006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1175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1065</v>
      </c>
      <c r="B371" s="21" t="s">
        <v>1010</v>
      </c>
      <c r="C371" s="21" t="s">
        <v>1066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1176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1011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1177</v>
      </c>
    </row>
    <row r="376" spans="1:12">
      <c r="A376" s="20" t="s">
        <v>1074</v>
      </c>
      <c r="B376" s="21" t="s">
        <v>994</v>
      </c>
      <c r="C376" s="21" t="s">
        <v>1005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998</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1178</v>
      </c>
    </row>
    <row r="380" spans="1:12">
      <c r="A380" s="20" t="s">
        <v>1013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1175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1018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1075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1179</v>
      </c>
      <c r="B385" s="21" t="s">
        <v>1057</v>
      </c>
      <c r="C385" s="21" t="s">
        <v>1077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1078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1024</v>
      </c>
      <c r="B387" s="21" t="s">
        <v>1010</v>
      </c>
      <c r="C387" s="21" t="s">
        <v>1069</v>
      </c>
      <c r="D387" s="21" t="s">
        <v>996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1103</v>
      </c>
      <c r="B388" s="21" t="s">
        <v>1104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1122</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425</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1007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1180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1181</v>
      </c>
      <c r="B394" s="21" t="s">
        <v>1116</v>
      </c>
      <c r="C394" s="21" t="s">
        <v>1002</v>
      </c>
      <c r="D394" s="21" t="s">
        <v>996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11</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1030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316</v>
      </c>
      <c r="B397" s="21" t="s">
        <v>994</v>
      </c>
      <c r="C397" s="21" t="s">
        <v>995</v>
      </c>
      <c r="D397" s="21" t="s">
        <v>996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1031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1182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1041</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1162</v>
      </c>
      <c r="B401" s="21" t="s">
        <v>1057</v>
      </c>
      <c r="C401" s="21" t="s">
        <v>1027</v>
      </c>
      <c r="D401" s="21" t="s">
        <v>996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1034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1183</v>
      </c>
      <c r="B403" s="21" t="s">
        <v>1010</v>
      </c>
      <c r="C403" s="21" t="s">
        <v>1037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1184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1006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1058</v>
      </c>
      <c r="B406" s="21" t="s">
        <v>1050</v>
      </c>
      <c r="C406" s="21" t="s">
        <v>1016</v>
      </c>
      <c r="D406" s="21" t="s">
        <v>996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1185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1186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1033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1187</v>
      </c>
      <c r="B410" s="21" t="s">
        <v>1010</v>
      </c>
      <c r="C410" s="21" t="s">
        <v>995</v>
      </c>
      <c r="D410" s="21" t="s">
        <v>996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1188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1059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1034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1189</v>
      </c>
      <c r="B414" s="21" t="s">
        <v>1026</v>
      </c>
      <c r="C414" s="21" t="s">
        <v>1037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1018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1190</v>
      </c>
      <c r="B417" s="21" t="s">
        <v>1107</v>
      </c>
      <c r="C417" s="21" t="s">
        <v>995</v>
      </c>
      <c r="D417" s="21" t="s">
        <v>996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1011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1191</v>
      </c>
    </row>
    <row r="421" spans="1:12">
      <c r="A421" s="20" t="s">
        <v>1192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1034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1193</v>
      </c>
      <c r="B423" s="21" t="s">
        <v>994</v>
      </c>
      <c r="C423" s="21" t="s">
        <v>1037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1006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1058</v>
      </c>
      <c r="B425" s="21" t="s">
        <v>1015</v>
      </c>
      <c r="C425" s="21" t="s">
        <v>1016</v>
      </c>
      <c r="D425" s="21" t="s">
        <v>996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1165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1194</v>
      </c>
      <c r="B427" s="21" t="s">
        <v>1057</v>
      </c>
      <c r="C427" s="21" t="s">
        <v>1005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1018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1195</v>
      </c>
      <c r="B429" s="21" t="s">
        <v>1026</v>
      </c>
      <c r="C429" s="21" t="s">
        <v>1045</v>
      </c>
      <c r="D429" s="21" t="s">
        <v>996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1196</v>
      </c>
      <c r="B430" s="21" t="s">
        <v>1010</v>
      </c>
      <c r="C430" s="21" t="s">
        <v>1047</v>
      </c>
      <c r="D430" s="21" t="s">
        <v>996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1006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1112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1058</v>
      </c>
      <c r="B433" s="21" t="s">
        <v>1050</v>
      </c>
      <c r="C433" s="21" t="s">
        <v>1016</v>
      </c>
      <c r="D433" s="21" t="s">
        <v>996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1197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1198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1199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1200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1201</v>
      </c>
      <c r="B438" s="21" t="s">
        <v>1022</v>
      </c>
      <c r="C438" s="21" t="s">
        <v>1005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1018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1075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1202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1203</v>
      </c>
      <c r="B442" s="21" t="s">
        <v>1010</v>
      </c>
      <c r="C442" s="21" t="s">
        <v>1077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1204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1007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806</v>
      </c>
      <c r="B445" s="21" t="s">
        <v>1116</v>
      </c>
      <c r="C445" s="21" t="s">
        <v>1002</v>
      </c>
      <c r="D445" s="21" t="s">
        <v>996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1018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1205</v>
      </c>
      <c r="B447" s="21" t="s">
        <v>1206</v>
      </c>
      <c r="C447" s="21" t="s">
        <v>995</v>
      </c>
      <c r="D447" s="21" t="s">
        <v>996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1156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1025</v>
      </c>
      <c r="B449" s="21" t="s">
        <v>1107</v>
      </c>
      <c r="C449" s="21" t="s">
        <v>1047</v>
      </c>
      <c r="D449" s="21" t="s">
        <v>996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1011</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1207</v>
      </c>
    </row>
    <row r="453" spans="1:12">
      <c r="A453" s="20" t="s">
        <v>1208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1006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241</v>
      </c>
      <c r="B455" s="21" t="s">
        <v>1015</v>
      </c>
      <c r="C455" s="21" t="s">
        <v>1052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1209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1058</v>
      </c>
      <c r="B457" s="21" t="s">
        <v>1057</v>
      </c>
      <c r="C457" s="21" t="s">
        <v>1016</v>
      </c>
      <c r="D457" s="21" t="s">
        <v>996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1018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129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1041</v>
      </c>
      <c r="B460" s="21" t="s">
        <v>1022</v>
      </c>
      <c r="C460" s="21" t="s">
        <v>1069</v>
      </c>
      <c r="D460" s="21" t="s">
        <v>996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1210</v>
      </c>
    </row>
    <row r="464" spans="1:12">
      <c r="A464" s="20" t="s">
        <v>1100</v>
      </c>
      <c r="B464" s="21" t="s">
        <v>994</v>
      </c>
      <c r="C464" s="21" t="s">
        <v>1005</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998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1080</v>
      </c>
      <c r="B466" s="21" t="s">
        <v>1050</v>
      </c>
      <c r="C466" s="21" t="s">
        <v>1016</v>
      </c>
      <c r="D466" s="21" t="s">
        <v>996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425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1006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1119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1014</v>
      </c>
      <c r="B470" s="21" t="s">
        <v>1050</v>
      </c>
      <c r="C470" s="21" t="s">
        <v>1016</v>
      </c>
      <c r="D470" s="21" t="s">
        <v>996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1211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1212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1033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1187</v>
      </c>
      <c r="B474" s="21" t="s">
        <v>1010</v>
      </c>
      <c r="C474" s="21" t="s">
        <v>995</v>
      </c>
      <c r="D474" s="21" t="s">
        <v>996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1006</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1112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1007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1213</v>
      </c>
      <c r="B478" s="21" t="s">
        <v>1026</v>
      </c>
      <c r="C478" s="21" t="s">
        <v>1002</v>
      </c>
      <c r="D478" s="21" t="s">
        <v>996</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1214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1006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1119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1014</v>
      </c>
      <c r="B482" s="21" t="s">
        <v>1104</v>
      </c>
      <c r="C482" s="21" t="s">
        <v>1016</v>
      </c>
      <c r="D482" s="21" t="s">
        <v>996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1211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1188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1033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1007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1215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1216</v>
      </c>
      <c r="B488" s="21" t="s">
        <v>1107</v>
      </c>
      <c r="C488" s="21" t="s">
        <v>1002</v>
      </c>
      <c r="D488" s="21" t="s">
        <v>996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1006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1014</v>
      </c>
      <c r="B490" s="21" t="s">
        <v>1053</v>
      </c>
      <c r="C490" s="21" t="s">
        <v>1016</v>
      </c>
      <c r="D490" s="21" t="s">
        <v>996</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1217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1034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1218</v>
      </c>
      <c r="B493" s="21" t="s">
        <v>1051</v>
      </c>
      <c r="C493" s="21" t="s">
        <v>1037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1003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1085</v>
      </c>
      <c r="B495" s="21" t="s">
        <v>1107</v>
      </c>
      <c r="C495" s="21" t="s">
        <v>1005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1124</v>
      </c>
      <c r="B496" s="21" t="s">
        <v>1219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1165</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1220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1111</v>
      </c>
      <c r="B499" s="21" t="s">
        <v>1221</v>
      </c>
      <c r="C499" s="21" t="s">
        <v>1016</v>
      </c>
      <c r="D499" s="21" t="s">
        <v>996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1011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row>
    <row r="502" spans="1:12">
      <c r="A502" s="20" t="s">
        <v>1222</v>
      </c>
    </row>
    <row r="503" spans="1:12">
      <c r="A503" s="20" t="s">
        <v>1223</v>
      </c>
      <c r="B503" s="21" t="s">
        <v>1015</v>
      </c>
      <c r="C503" s="21" t="s">
        <v>1016</v>
      </c>
      <c r="D503" s="21" t="s">
        <v>996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1034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1218</v>
      </c>
      <c r="B506" s="21" t="s">
        <v>1057</v>
      </c>
      <c r="C506" s="21" t="s">
        <v>1037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1003</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799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1085</v>
      </c>
      <c r="B509" s="21" t="s">
        <v>1010</v>
      </c>
      <c r="C509" s="21" t="s">
        <v>1005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1033</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1007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1215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1216</v>
      </c>
      <c r="B513" s="21" t="s">
        <v>994</v>
      </c>
      <c r="C513" s="21" t="s">
        <v>1002</v>
      </c>
      <c r="D513" s="21" t="s">
        <v>996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1006</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1085</v>
      </c>
      <c r="B515" s="21" t="s">
        <v>1057</v>
      </c>
      <c r="C515" s="21" t="s">
        <v>1005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1124</v>
      </c>
      <c r="B516" s="21" t="s">
        <v>1053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301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1018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1224</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1006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1112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1085</v>
      </c>
      <c r="B523" s="21" t="s">
        <v>994</v>
      </c>
      <c r="C523" s="21" t="s">
        <v>1005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1124</v>
      </c>
      <c r="B524" s="21" t="s">
        <v>1053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1225</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1065</v>
      </c>
      <c r="B526" s="21" t="s">
        <v>1051</v>
      </c>
      <c r="C526" s="21" t="s">
        <v>1066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1011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1226</v>
      </c>
    </row>
    <row r="530" spans="1:12">
      <c r="A530" s="20" t="s">
        <v>1118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1227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1145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1228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1085</v>
      </c>
      <c r="B534" s="21" t="s">
        <v>1015</v>
      </c>
      <c r="C534" s="21" t="s">
        <v>1005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1124</v>
      </c>
      <c r="B535" s="21" t="s">
        <v>1053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658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1229</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1230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1011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1231</v>
      </c>
    </row>
    <row r="542" spans="1:12">
      <c r="A542" s="20" t="s">
        <v>1232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1145</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1085</v>
      </c>
      <c r="B544" s="21" t="s">
        <v>1015</v>
      </c>
      <c r="C544" s="21" t="s">
        <v>1005</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1124</v>
      </c>
      <c r="B545" s="21" t="s">
        <v>1053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1126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1122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134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1224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1006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1112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1233</v>
      </c>
      <c r="B552" s="21" t="s">
        <v>994</v>
      </c>
      <c r="C552" s="21" t="s">
        <v>1005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1124</v>
      </c>
      <c r="B553" s="21" t="s">
        <v>1053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1185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1234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1235</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1033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1236</v>
      </c>
      <c r="B558" s="21" t="s">
        <v>1026</v>
      </c>
      <c r="C558" s="21" t="s">
        <v>1005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1237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1007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1238</v>
      </c>
      <c r="B561" s="21" t="s">
        <v>1107</v>
      </c>
      <c r="C561" s="21" t="s">
        <v>1002</v>
      </c>
      <c r="D561" s="21" t="s">
        <v>996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1156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1239</v>
      </c>
      <c r="B563" s="21" t="s">
        <v>1026</v>
      </c>
      <c r="C563" s="21" t="s">
        <v>1047</v>
      </c>
      <c r="D563" s="21" t="s">
        <v>996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1006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1237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1007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1238</v>
      </c>
      <c r="B567" s="21" t="s">
        <v>1107</v>
      </c>
      <c r="C567" s="21" t="s">
        <v>1002</v>
      </c>
      <c r="D567" s="21" t="s">
        <v>996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1156</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1240</v>
      </c>
      <c r="B569" s="21" t="s">
        <v>1026</v>
      </c>
      <c r="C569" s="21" t="s">
        <v>1047</v>
      </c>
      <c r="D569" s="21" t="s">
        <v>996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1112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1237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1241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1242</v>
      </c>
      <c r="B574" s="21" t="s">
        <v>1206</v>
      </c>
      <c r="C574" s="21" t="s">
        <v>1045</v>
      </c>
      <c r="D574" s="21" t="s">
        <v>996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1243</v>
      </c>
      <c r="B575" s="21" t="s">
        <v>1104</v>
      </c>
      <c r="C575" s="21" t="s">
        <v>1047</v>
      </c>
      <c r="D575" s="21" t="s">
        <v>996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1033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1149</v>
      </c>
      <c r="B577" s="21" t="s">
        <v>1206</v>
      </c>
      <c r="C577" s="21" t="s">
        <v>1005</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1244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1245</v>
      </c>
      <c r="B579" s="21" t="s">
        <v>1116</v>
      </c>
      <c r="C579" s="21" t="s">
        <v>1047</v>
      </c>
      <c r="D579" s="21" t="s">
        <v>996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1003</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1246</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1247</v>
      </c>
      <c r="B582" s="21" t="s">
        <v>1206</v>
      </c>
      <c r="C582" s="21" t="s">
        <v>1027</v>
      </c>
      <c r="D582" s="21" t="s">
        <v>996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1011</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1248</v>
      </c>
    </row>
    <row r="586" spans="1:12">
      <c r="A586" s="20" t="s">
        <v>1249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1014</v>
      </c>
      <c r="B587" s="21" t="s">
        <v>1050</v>
      </c>
      <c r="C587" s="21" t="s">
        <v>1016</v>
      </c>
      <c r="D587" s="21" t="s">
        <v>996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1130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1250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1251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1098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1246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1146</v>
      </c>
      <c r="B594" s="21" t="s">
        <v>1026</v>
      </c>
      <c r="C594" s="21" t="s">
        <v>1027</v>
      </c>
      <c r="D594" s="21" t="s">
        <v>996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1006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1014</v>
      </c>
      <c r="B596" s="21" t="s">
        <v>1015</v>
      </c>
      <c r="C596" s="21" t="s">
        <v>1016</v>
      </c>
      <c r="D596" s="21" t="s">
        <v>996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1252</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1018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1166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1006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1115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719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1014</v>
      </c>
      <c r="B603" s="21" t="s">
        <v>1050</v>
      </c>
      <c r="C603" s="21" t="s">
        <v>1016</v>
      </c>
      <c r="D603" s="21" t="s">
        <v>996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129</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1041</v>
      </c>
      <c r="B605" s="21" t="s">
        <v>1022</v>
      </c>
      <c r="C605" s="21" t="s">
        <v>1069</v>
      </c>
      <c r="D605" s="21" t="s">
        <v>996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1033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1007</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1253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1254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806</v>
      </c>
      <c r="B610" s="21" t="s">
        <v>1010</v>
      </c>
      <c r="C610" s="21" t="s">
        <v>1002</v>
      </c>
      <c r="D610" s="21" t="s">
        <v>996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1006</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1124</v>
      </c>
      <c r="B612" s="21" t="s">
        <v>1050</v>
      </c>
      <c r="C612" s="21" t="s">
        <v>1069</v>
      </c>
      <c r="D612" s="21" t="s">
        <v>996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1255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1007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1238</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1256</v>
      </c>
      <c r="B616" s="21" t="s">
        <v>1022</v>
      </c>
      <c r="C616" s="21" t="s">
        <v>1002</v>
      </c>
      <c r="D616" s="21" t="s">
        <v>996</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1257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1258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1007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1259</v>
      </c>
      <c r="B620" s="21" t="s">
        <v>1051</v>
      </c>
      <c r="C620" s="21" t="s">
        <v>1002</v>
      </c>
      <c r="D620" s="21" t="s">
        <v>996</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1061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row>
    <row r="623" spans="1:12">
      <c r="A623" s="20" t="s">
        <v>1260</v>
      </c>
    </row>
    <row r="624" spans="1:12">
      <c r="A624" s="20" t="s">
        <v>1155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1261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1003</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1133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1007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1262</v>
      </c>
      <c r="B629" s="21" t="s">
        <v>994</v>
      </c>
      <c r="C629" s="21" t="s">
        <v>1002</v>
      </c>
      <c r="D629" s="21" t="s">
        <v>996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1124</v>
      </c>
      <c r="B630" s="21" t="s">
        <v>1051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1014</v>
      </c>
      <c r="B631" s="21" t="s">
        <v>1053</v>
      </c>
      <c r="C631" s="21" t="s">
        <v>1016</v>
      </c>
      <c r="D631" s="21" t="s">
        <v>996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1263</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538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1264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1098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1006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1261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1003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1265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1018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1266</v>
      </c>
      <c r="B641" s="21" t="s">
        <v>1026</v>
      </c>
      <c r="C641" s="21" t="s">
        <v>995</v>
      </c>
      <c r="D641" s="21" t="s">
        <v>996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1006</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1119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1227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1185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1267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1268</v>
      </c>
      <c r="B647" s="21" t="s">
        <v>1104</v>
      </c>
      <c r="C647" s="21" t="s">
        <v>1077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1006</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1227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1185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1267</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1269</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1270</v>
      </c>
      <c r="B653" s="21" t="s">
        <v>1015</v>
      </c>
      <c r="C653" s="21" t="s">
        <v>1077</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1078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1034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1271</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1272</v>
      </c>
      <c r="B657" s="21" t="s">
        <v>1010</v>
      </c>
      <c r="C657" s="21" t="s">
        <v>1037</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1006</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1034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1273</v>
      </c>
      <c r="B660" s="21" t="s">
        <v>994</v>
      </c>
      <c r="C660" s="21" t="s">
        <v>1037</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1033</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1215</v>
      </c>
      <c r="B662" s="21" t="s">
        <v>1010</v>
      </c>
      <c r="C662" s="21" t="s">
        <v>1005</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1166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1006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1227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1211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1034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1274</v>
      </c>
      <c r="B669" s="21" t="s">
        <v>1050</v>
      </c>
      <c r="C669" s="21" t="s">
        <v>1037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1124</v>
      </c>
      <c r="B670" s="21" t="s">
        <v>1116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1014</v>
      </c>
      <c r="B671" s="21" t="s">
        <v>1104</v>
      </c>
      <c r="C671" s="21" t="s">
        <v>1016</v>
      </c>
      <c r="D671" s="21" t="s">
        <v>996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1017</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134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1275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1276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1098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1007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1277</v>
      </c>
      <c r="B678" s="21" t="s">
        <v>1206</v>
      </c>
      <c r="C678" s="21" t="s">
        <v>1002</v>
      </c>
      <c r="D678" s="21" t="s">
        <v>996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1112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1007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1238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1017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1278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677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1261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1011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1279</v>
      </c>
    </row>
    <row r="689" spans="1:12">
      <c r="A689" s="20" t="s">
        <v>1118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1007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1280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1281</v>
      </c>
      <c r="B692" s="21" t="s">
        <v>1015</v>
      </c>
      <c r="C692" s="21" t="s">
        <v>1047</v>
      </c>
      <c r="D692" s="21" t="s">
        <v>996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1003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1007</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1282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1283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1284</v>
      </c>
      <c r="B697" s="21" t="s">
        <v>1010</v>
      </c>
      <c r="C697" s="21" t="s">
        <v>995</v>
      </c>
      <c r="D697" s="21" t="s">
        <v>996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1285</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1286</v>
      </c>
      <c r="B699" s="21" t="s">
        <v>1057</v>
      </c>
      <c r="C699" s="21" t="s">
        <v>1016</v>
      </c>
      <c r="D699" s="21" t="s">
        <v>996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1034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1287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1288</v>
      </c>
      <c r="B702" s="21" t="s">
        <v>1057</v>
      </c>
      <c r="C702" s="21" t="s">
        <v>1037</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1078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1034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1289</v>
      </c>
      <c r="B705" s="21" t="s">
        <v>1010</v>
      </c>
      <c r="C705" s="21" t="s">
        <v>1037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1006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1112</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1124</v>
      </c>
      <c r="B708" s="21" t="s">
        <v>1050</v>
      </c>
      <c r="C708" s="21" t="s">
        <v>1069</v>
      </c>
      <c r="D708" s="21" t="s">
        <v>996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1156</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1018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1290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1172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1291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1288</v>
      </c>
      <c r="B714" s="21" t="s">
        <v>1051</v>
      </c>
      <c r="C714" s="21" t="s">
        <v>1037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1006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1018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1292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1007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1149</v>
      </c>
      <c r="B719" s="21" t="s">
        <v>1116</v>
      </c>
      <c r="C719" s="21" t="s">
        <v>1002</v>
      </c>
      <c r="D719" s="21" t="s">
        <v>996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1006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1293</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1228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1018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1294</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1295</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1098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1007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1149</v>
      </c>
      <c r="B728" s="21" t="s">
        <v>1010</v>
      </c>
      <c r="C728" s="21" t="s">
        <v>1002</v>
      </c>
      <c r="D728" s="21" t="s">
        <v>996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1006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1018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1034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1296</v>
      </c>
      <c r="B733" s="21" t="s">
        <v>1051</v>
      </c>
      <c r="C733" s="21" t="s">
        <v>1037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1112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1106</v>
      </c>
      <c r="B735" s="21" t="s">
        <v>1107</v>
      </c>
      <c r="C735" s="21" t="s">
        <v>1005</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1120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1115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1125</v>
      </c>
      <c r="B738" s="21" t="s">
        <v>1297</v>
      </c>
      <c r="C738" s="21" t="s">
        <v>1016</v>
      </c>
      <c r="D738" s="21" t="s">
        <v>996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719</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1298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1007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1238</v>
      </c>
      <c r="B742" s="21" t="s">
        <v>1299</v>
      </c>
      <c r="C742" s="21" t="s">
        <v>1002</v>
      </c>
      <c r="D742" s="21" t="s">
        <v>996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1120</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1143</v>
      </c>
      <c r="B744" s="21" t="s">
        <v>1206</v>
      </c>
      <c r="C744" s="21" t="s">
        <v>1005</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1003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1300</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1301</v>
      </c>
      <c r="B747" s="21" t="s">
        <v>1302</v>
      </c>
      <c r="C747" s="21" t="s">
        <v>1005</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1237</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1303</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1242</v>
      </c>
      <c r="B750" s="21" t="s">
        <v>1304</v>
      </c>
      <c r="C750" s="21" t="s">
        <v>1045</v>
      </c>
      <c r="D750" s="21" t="s">
        <v>996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1305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1306</v>
      </c>
      <c r="B752" s="21" t="s">
        <v>1221</v>
      </c>
      <c r="C752" s="21" t="s">
        <v>1047</v>
      </c>
      <c r="D752" s="21" t="s">
        <v>996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1132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1274</v>
      </c>
      <c r="B754" s="21" t="s">
        <v>1302</v>
      </c>
      <c r="C754" s="21" t="s">
        <v>1005</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1011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row>
    <row r="757" spans="1:12">
      <c r="A757" s="20" t="s">
        <v>1307</v>
      </c>
    </row>
    <row r="758" spans="1:12">
      <c r="A758" s="20" t="s">
        <v>1155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1308</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1188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1098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1203</v>
      </c>
      <c r="B762" s="21" t="s">
        <v>1010</v>
      </c>
      <c r="C762" s="21" t="s">
        <v>1005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1006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1308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1309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1133</v>
      </c>
      <c r="B766" s="21" t="s">
        <v>1051</v>
      </c>
      <c r="C766" s="21" t="s">
        <v>1047</v>
      </c>
      <c r="D766" s="21" t="s">
        <v>996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1003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1113</v>
      </c>
      <c r="B768" s="21" t="s">
        <v>1206</v>
      </c>
      <c r="C768" s="21" t="s">
        <v>1045</v>
      </c>
      <c r="D768" s="21" t="s">
        <v>996</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1277</v>
      </c>
      <c r="B769" s="21" t="s">
        <v>1107</v>
      </c>
      <c r="C769" s="21" t="s">
        <v>1047</v>
      </c>
      <c r="D769" s="21" t="s">
        <v>996</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1310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1018</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1007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1173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1152</v>
      </c>
      <c r="B774" s="21" t="s">
        <v>1107</v>
      </c>
      <c r="C774" s="21" t="s">
        <v>1002</v>
      </c>
      <c r="D774" s="21" t="s">
        <v>996</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1006</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1311</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1312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1313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1166</v>
      </c>
      <c r="B779" s="21" t="s">
        <v>1022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1018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495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1007</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1233</v>
      </c>
      <c r="B783" s="21" t="s">
        <v>1051</v>
      </c>
      <c r="C783" s="21" t="s">
        <v>1002</v>
      </c>
      <c r="D783" s="21" t="s">
        <v>996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1120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1314</v>
      </c>
      <c r="B785" s="21" t="s">
        <v>1107</v>
      </c>
      <c r="C785" s="21" t="s">
        <v>1005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1006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1125</v>
      </c>
      <c r="B787" s="21" t="s">
        <v>1015</v>
      </c>
      <c r="C787" s="21" t="s">
        <v>1016</v>
      </c>
      <c r="D787" s="21" t="s">
        <v>996</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1081</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1165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1034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1315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1106</v>
      </c>
      <c r="B792" s="21" t="s">
        <v>1057</v>
      </c>
      <c r="C792" s="21" t="s">
        <v>1037</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1098</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1316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1317</v>
      </c>
      <c r="B796" s="21" t="s">
        <v>1010</v>
      </c>
      <c r="C796" s="21" t="s">
        <v>1037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1308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1007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1149</v>
      </c>
      <c r="B799" s="21" t="s">
        <v>1026</v>
      </c>
      <c r="C799" s="21" t="s">
        <v>1002</v>
      </c>
      <c r="D799" s="21" t="s">
        <v>996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1124</v>
      </c>
      <c r="B800" s="21" t="s">
        <v>1116</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1014</v>
      </c>
      <c r="B801" s="21" t="s">
        <v>1104</v>
      </c>
      <c r="C801" s="21" t="s">
        <v>1016</v>
      </c>
      <c r="D801" s="21" t="s">
        <v>996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141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1108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1318</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1033</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1034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1256</v>
      </c>
      <c r="B807" s="21" t="s">
        <v>1206</v>
      </c>
      <c r="C807" s="21" t="s">
        <v>1037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1078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1065</v>
      </c>
      <c r="B809" s="21" t="s">
        <v>1302</v>
      </c>
      <c r="C809" s="21" t="s">
        <v>1066</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1011</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1319</v>
      </c>
    </row>
    <row r="813" spans="1:12">
      <c r="A813" s="20" t="s">
        <v>1155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1007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1259</v>
      </c>
      <c r="B815" s="21" t="s">
        <v>1015</v>
      </c>
      <c r="C815" s="21" t="s">
        <v>1002</v>
      </c>
      <c r="D815" s="21" t="s">
        <v>996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1124</v>
      </c>
      <c r="B816" s="21" t="s">
        <v>1053</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118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1082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1320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1006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1007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1259</v>
      </c>
      <c r="B822" s="21" t="s">
        <v>1010</v>
      </c>
      <c r="C822" s="21" t="s">
        <v>1002</v>
      </c>
      <c r="D822" s="21" t="s">
        <v>996</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1124</v>
      </c>
      <c r="B823" s="21" t="s">
        <v>1104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1082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1321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1264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1308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1007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1149</v>
      </c>
      <c r="B830" s="21" t="s">
        <v>1107</v>
      </c>
      <c r="C830" s="21" t="s">
        <v>1002</v>
      </c>
      <c r="D830" s="21" t="s">
        <v>996</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118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1278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1322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1011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1323</v>
      </c>
    </row>
    <row r="837" spans="1:12">
      <c r="A837" s="20" t="s">
        <v>1223</v>
      </c>
      <c r="B837" s="21" t="s">
        <v>1015</v>
      </c>
      <c r="C837" s="21" t="s">
        <v>1016</v>
      </c>
      <c r="D837" s="21" t="s">
        <v>996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1081</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1278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1160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1324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1325</v>
      </c>
      <c r="B842" s="21" t="s">
        <v>1057</v>
      </c>
      <c r="C842" s="21" t="s">
        <v>1037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1003</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1241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1034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1326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1327</v>
      </c>
      <c r="B847" s="21" t="s">
        <v>1010</v>
      </c>
      <c r="C847" s="21" t="s">
        <v>1037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1003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1328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1329</v>
      </c>
      <c r="B850" s="21" t="s">
        <v>1026</v>
      </c>
      <c r="C850" s="21" t="s">
        <v>1005</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1006</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1112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1330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1003</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1124</v>
      </c>
      <c r="B855" s="21" t="s">
        <v>1010</v>
      </c>
      <c r="C855" s="21" t="s">
        <v>1069</v>
      </c>
      <c r="D855" s="21" t="s">
        <v>996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1006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1014</v>
      </c>
      <c r="B857" s="21" t="s">
        <v>1050</v>
      </c>
      <c r="C857" s="21" t="s">
        <v>1016</v>
      </c>
      <c r="D857" s="21" t="s">
        <v>996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1136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1331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1098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1007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1233</v>
      </c>
      <c r="B862" s="21" t="s">
        <v>1010</v>
      </c>
      <c r="C862" s="21" t="s">
        <v>1002</v>
      </c>
      <c r="D862" s="21" t="s">
        <v>996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1124</v>
      </c>
      <c r="B863" s="21" t="s">
        <v>1116</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1014</v>
      </c>
      <c r="B864" s="21" t="s">
        <v>1104</v>
      </c>
      <c r="C864" s="21" t="s">
        <v>1016</v>
      </c>
      <c r="D864" s="21" t="s">
        <v>996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1235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1011</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1177</v>
      </c>
    </row>
    <row r="869" spans="1:12">
      <c r="A869" s="20" t="s">
        <v>1074</v>
      </c>
      <c r="B869" s="21" t="s">
        <v>994</v>
      </c>
      <c r="C869" s="21" t="s">
        <v>1005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998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1332</v>
      </c>
    </row>
    <row r="873" spans="1:12">
      <c r="A873" s="20" t="s">
        <v>1013</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165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1111</v>
      </c>
      <c r="B875" s="21" t="s">
        <v>1057</v>
      </c>
      <c r="C875" s="21" t="s">
        <v>1016</v>
      </c>
      <c r="D875" s="21" t="s">
        <v>996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222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1007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1333</v>
      </c>
      <c r="B878" s="21" t="s">
        <v>1022</v>
      </c>
      <c r="C878" s="21" t="s">
        <v>1002</v>
      </c>
      <c r="D878" s="21" t="s">
        <v>996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1034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1334</v>
      </c>
      <c r="B880" s="21" t="s">
        <v>1026</v>
      </c>
      <c r="C880" s="21" t="s">
        <v>1037</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1003</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1335</v>
      </c>
      <c r="B882" s="21" t="s">
        <v>1107</v>
      </c>
      <c r="C882" s="21" t="s">
        <v>1005</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1003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241</v>
      </c>
      <c r="B884" s="21" t="s">
        <v>1206</v>
      </c>
      <c r="C884" s="21" t="s">
        <v>1052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1058</v>
      </c>
      <c r="B885" s="21" t="s">
        <v>1336</v>
      </c>
      <c r="C885" s="21" t="s">
        <v>1016</v>
      </c>
      <c r="D885" s="21" t="s">
        <v>996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1337</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1011</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1338</v>
      </c>
    </row>
    <row r="890" spans="1:12">
      <c r="A890" s="20" t="s">
        <v>1135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1125</v>
      </c>
      <c r="B891" s="21" t="s">
        <v>1050</v>
      </c>
      <c r="C891" s="21" t="s">
        <v>1016</v>
      </c>
      <c r="D891" s="21" t="s">
        <v>996</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1263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118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1034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1339</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1264</v>
      </c>
      <c r="B896" s="21" t="s">
        <v>1022</v>
      </c>
      <c r="C896" s="21" t="s">
        <v>1037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1006</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1112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29</v>
      </c>
      <c r="B899" s="21" t="s">
        <v>1026</v>
      </c>
      <c r="C899" s="21" t="s">
        <v>995</v>
      </c>
      <c r="D899" s="21" t="s">
        <v>996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1006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1014</v>
      </c>
      <c r="B901" s="21" t="s">
        <v>1053</v>
      </c>
      <c r="C901" s="21" t="s">
        <v>1016</v>
      </c>
      <c r="D901" s="21" t="s">
        <v>996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129</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1122</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425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1340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1058</v>
      </c>
      <c r="B906" s="21" t="s">
        <v>1104</v>
      </c>
      <c r="C906" s="21" t="s">
        <v>1016</v>
      </c>
      <c r="D906" s="21" t="s">
        <v>996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719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34</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1006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1007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1341</v>
      </c>
      <c r="B911" s="21" t="s">
        <v>1015</v>
      </c>
      <c r="C911" s="21" t="s">
        <v>1002</v>
      </c>
      <c r="D911" s="21" t="s">
        <v>996</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1145</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1144</v>
      </c>
      <c r="B913" s="21" t="s">
        <v>994</v>
      </c>
      <c r="C913" s="21" t="s">
        <v>1342</v>
      </c>
      <c r="D913" s="21" t="s">
        <v>996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1011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row>
    <row r="916" spans="1:12">
      <c r="A916" s="20" t="s">
        <v>1343</v>
      </c>
    </row>
    <row r="917" spans="1:12">
      <c r="A917" s="20" t="s">
        <v>1068</v>
      </c>
      <c r="B917" s="21" t="s">
        <v>1015</v>
      </c>
      <c r="C917" s="21" t="s">
        <v>1069</v>
      </c>
      <c r="D917" s="21" t="s">
        <v>996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1032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1034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1339</v>
      </c>
      <c r="B920" s="21" t="s">
        <v>994</v>
      </c>
      <c r="C920" s="21" t="s">
        <v>1037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1003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1007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1344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1345</v>
      </c>
      <c r="B924" s="21" t="s">
        <v>994</v>
      </c>
      <c r="C924" s="21" t="s">
        <v>1002</v>
      </c>
      <c r="D924" s="21" t="s">
        <v>996</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1006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1112</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1346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1058</v>
      </c>
      <c r="B928" s="21" t="s">
        <v>1050</v>
      </c>
      <c r="C928" s="21" t="s">
        <v>1016</v>
      </c>
      <c r="D928" s="21" t="s">
        <v>996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1263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377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1007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1333</v>
      </c>
      <c r="B932" s="21" t="s">
        <v>1022</v>
      </c>
      <c r="C932" s="21" t="s">
        <v>1002</v>
      </c>
      <c r="D932" s="21" t="s">
        <v>996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241</v>
      </c>
      <c r="B933" s="21" t="s">
        <v>1022</v>
      </c>
      <c r="C933" s="21" t="s">
        <v>1052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1124</v>
      </c>
      <c r="B934" s="21" t="s">
        <v>1104</v>
      </c>
      <c r="C934" s="21" t="s">
        <v>1069</v>
      </c>
      <c r="D934" s="21" t="s">
        <v>996</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1211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1124</v>
      </c>
      <c r="B936" s="21" t="s">
        <v>1297</v>
      </c>
      <c r="C936" s="21" t="s">
        <v>1069</v>
      </c>
      <c r="D936" s="21" t="s">
        <v>996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1211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1337</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1011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1347</v>
      </c>
    </row>
    <row r="942" spans="1:12">
      <c r="A942" s="20" t="s">
        <v>1100</v>
      </c>
      <c r="B942" s="21" t="s">
        <v>994</v>
      </c>
      <c r="C942" s="21" t="s">
        <v>1005</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998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1000</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1348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806</v>
      </c>
      <c r="B946" s="21" t="s">
        <v>994</v>
      </c>
      <c r="C946" s="21" t="s">
        <v>1002</v>
      </c>
      <c r="D946" s="21" t="s">
        <v>996</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1018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1349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1344</v>
      </c>
      <c r="B949" s="21" t="s">
        <v>1051</v>
      </c>
      <c r="C949" s="21" t="s">
        <v>1005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1006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1330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1227</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1156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1082</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1034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1350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1351</v>
      </c>
      <c r="B957" s="21" t="s">
        <v>1050</v>
      </c>
      <c r="C957" s="21" t="s">
        <v>1037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1003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1352</v>
      </c>
      <c r="B959" s="21" t="s">
        <v>1026</v>
      </c>
      <c r="C959" s="21" t="s">
        <v>1005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1006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1032</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1018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1353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1354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1120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241</v>
      </c>
      <c r="B966" s="21" t="s">
        <v>1026</v>
      </c>
      <c r="C966" s="21" t="s">
        <v>1052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1344</v>
      </c>
      <c r="B967" s="21" t="s">
        <v>1297</v>
      </c>
      <c r="C967" s="21" t="s">
        <v>995</v>
      </c>
      <c r="D967" s="21" t="s">
        <v>996</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1032</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1122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1011</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row>
    <row r="972" spans="1:12">
      <c r="A972" s="20" t="s">
        <v>1355</v>
      </c>
    </row>
    <row r="973" spans="1:12">
      <c r="A973" s="20" t="s">
        <v>1356</v>
      </c>
      <c r="B973" s="21" t="s">
        <v>1015</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1003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1007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1106</v>
      </c>
      <c r="B976" s="21" t="s">
        <v>1010</v>
      </c>
      <c r="C976" s="21" t="s">
        <v>1002</v>
      </c>
      <c r="D976" s="21" t="s">
        <v>996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1033</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1007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1357</v>
      </c>
      <c r="B979" s="21" t="s">
        <v>1026</v>
      </c>
      <c r="C979" s="21" t="s">
        <v>995</v>
      </c>
      <c r="D979" s="21" t="s">
        <v>996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1108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1082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1120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1358</v>
      </c>
      <c r="B983" s="21" t="s">
        <v>994</v>
      </c>
      <c r="C983" s="21" t="s">
        <v>1005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1011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row>
    <row r="986" spans="1:12">
      <c r="A986" s="20" t="s">
        <v>1359</v>
      </c>
    </row>
    <row r="987" spans="1:12">
      <c r="A987" s="20" t="s">
        <v>1360</v>
      </c>
      <c r="B987" s="21" t="s">
        <v>1015</v>
      </c>
      <c r="C987" s="21" t="s">
        <v>1016</v>
      </c>
      <c r="D987" s="21" t="s">
        <v>996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1081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1361</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1121</v>
      </c>
      <c r="B990" s="21" t="s">
        <v>1050</v>
      </c>
      <c r="C990" s="21" t="s">
        <v>1016</v>
      </c>
      <c r="D990" s="21" t="s">
        <v>996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1156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1175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1358</v>
      </c>
      <c r="B993" s="21" t="s">
        <v>994</v>
      </c>
      <c r="C993" s="21" t="s">
        <v>1005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1006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1121</v>
      </c>
      <c r="B995" s="21" t="s">
        <v>1050</v>
      </c>
      <c r="C995" s="21" t="s">
        <v>1016</v>
      </c>
      <c r="D995" s="21" t="s">
        <v>996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1156</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1175</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1358</v>
      </c>
      <c r="B998" s="21" t="s">
        <v>994</v>
      </c>
      <c r="C998" s="21" t="s">
        <v>1005</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1006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1112</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1362</v>
      </c>
      <c r="B1001" s="21" t="s">
        <v>1050</v>
      </c>
      <c r="C1001" s="21" t="s">
        <v>1016</v>
      </c>
      <c r="D1001" s="21" t="s">
        <v>996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1363</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1364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1120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1034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1328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1269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1365</v>
      </c>
      <c r="B1008" s="21" t="s">
        <v>1010</v>
      </c>
      <c r="C1008" s="21" t="s">
        <v>1037</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1083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1366</v>
      </c>
      <c r="B1010" s="21" t="s">
        <v>1116</v>
      </c>
      <c r="C1010" s="21" t="s">
        <v>1047</v>
      </c>
      <c r="D1010" s="21" t="s">
        <v>996</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786</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1003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1007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1367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1368</v>
      </c>
      <c r="B1015" s="21" t="s">
        <v>1206</v>
      </c>
      <c r="C1015" s="21" t="s">
        <v>995</v>
      </c>
      <c r="D1015" s="21" t="s">
        <v>996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1011</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1369</v>
      </c>
    </row>
    <row r="1019" spans="1:12">
      <c r="A1019" s="20" t="s">
        <v>1370</v>
      </c>
      <c r="B1019" s="21" t="s">
        <v>1015</v>
      </c>
      <c r="C1019" s="21" t="s">
        <v>1069</v>
      </c>
      <c r="D1019" s="21" t="s">
        <v>996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1371</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1372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1003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1034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1373</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1374</v>
      </c>
      <c r="B1025" s="21" t="s">
        <v>994</v>
      </c>
      <c r="C1025" s="21" t="s">
        <v>1037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1006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1375</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1376</v>
      </c>
      <c r="B1028" s="21" t="s">
        <v>1010</v>
      </c>
      <c r="C1028" s="21" t="s">
        <v>1047</v>
      </c>
      <c r="D1028" s="21" t="s">
        <v>996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1003</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1007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1377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1378</v>
      </c>
      <c r="B1032" s="21" t="s">
        <v>1107</v>
      </c>
      <c r="C1032" s="21" t="s">
        <v>1002</v>
      </c>
      <c r="D1032" s="21" t="s">
        <v>996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1156</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1379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1380</v>
      </c>
      <c r="B1035" s="21" t="s">
        <v>1026</v>
      </c>
      <c r="C1035" s="21" t="s">
        <v>1047</v>
      </c>
      <c r="D1035" s="21" t="s">
        <v>996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1006</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1085</v>
      </c>
      <c r="B1037" s="21" t="s">
        <v>1010</v>
      </c>
      <c r="C1037" s="21" t="s">
        <v>1005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1124</v>
      </c>
      <c r="B1039" s="21" t="s">
        <v>1026</v>
      </c>
      <c r="C1039" s="21" t="s">
        <v>1069</v>
      </c>
      <c r="D1039" s="21" t="s">
        <v>996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1103</v>
      </c>
      <c r="B1041" s="21" t="s">
        <v>1051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1058</v>
      </c>
      <c r="B1042" s="21" t="s">
        <v>1053</v>
      </c>
      <c r="C1042" s="21" t="s">
        <v>1016</v>
      </c>
      <c r="D1042" s="21" t="s">
        <v>996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1363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1364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1006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1119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1058</v>
      </c>
      <c r="B1048" s="21" t="s">
        <v>1104</v>
      </c>
      <c r="C1048" s="21" t="s">
        <v>1016</v>
      </c>
      <c r="D1048" s="21" t="s">
        <v>996</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1363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1364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1018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1381</v>
      </c>
      <c r="B1052" s="21" t="s">
        <v>1107</v>
      </c>
      <c r="C1052" s="21" t="s">
        <v>1016</v>
      </c>
      <c r="D1052" s="21" t="s">
        <v>996</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1006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1382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1058</v>
      </c>
      <c r="B1055" s="21" t="s">
        <v>1219</v>
      </c>
      <c r="C1055" s="21" t="s">
        <v>1016</v>
      </c>
      <c r="D1055" s="21" t="s">
        <v>996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1383</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1011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row>
    <row r="1059" spans="1:12">
      <c r="A1059" s="20" t="s">
        <v>1384</v>
      </c>
    </row>
    <row r="1060" spans="1:12">
      <c r="A1060" s="20" t="s">
        <v>1385</v>
      </c>
      <c r="B1060" s="21" t="s">
        <v>1015</v>
      </c>
      <c r="C1060" s="21" t="s">
        <v>1069</v>
      </c>
      <c r="D1060" s="21" t="s">
        <v>996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1145</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1133</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1358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1386</v>
      </c>
      <c r="B1064" s="21" t="s">
        <v>994</v>
      </c>
      <c r="C1064" s="21" t="s">
        <v>1037</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1011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row>
    <row r="1067" spans="1:12">
      <c r="A1067" s="20" t="s">
        <v>1387</v>
      </c>
    </row>
    <row r="1068" spans="1:12">
      <c r="A1068" s="20" t="s">
        <v>1344</v>
      </c>
      <c r="B1068" s="21" t="s">
        <v>1015</v>
      </c>
      <c r="C1068" s="21" t="s">
        <v>1005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1032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1120</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1388</v>
      </c>
      <c r="B1071" s="21" t="s">
        <v>994</v>
      </c>
      <c r="C1071" s="21" t="s">
        <v>1005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1011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row>
    <row r="1074" spans="1:12">
      <c r="A1074" s="20" t="s">
        <v>1389</v>
      </c>
    </row>
    <row r="1075" spans="1:12">
      <c r="A1075" s="20" t="s">
        <v>1390</v>
      </c>
      <c r="B1075" s="21" t="s">
        <v>1015</v>
      </c>
      <c r="C1075" s="21" t="s">
        <v>1016</v>
      </c>
      <c r="D1075" s="21" t="s">
        <v>996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1156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1034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1345</v>
      </c>
      <c r="B1078" s="21" t="s">
        <v>994</v>
      </c>
      <c r="C1078" s="21" t="s">
        <v>1037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1391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1392</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1007</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1149</v>
      </c>
      <c r="B1082" s="21" t="s">
        <v>1050</v>
      </c>
      <c r="C1082" s="21" t="s">
        <v>1002</v>
      </c>
      <c r="D1082" s="21" t="s">
        <v>996</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1263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1393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1394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1395</v>
      </c>
      <c r="B1086" s="21" t="s">
        <v>1022</v>
      </c>
      <c r="C1086" s="21" t="s">
        <v>995</v>
      </c>
      <c r="D1086" s="21" t="s">
        <v>996</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1006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1121</v>
      </c>
      <c r="B1088" s="21" t="s">
        <v>1050</v>
      </c>
      <c r="C1088" s="21" t="s">
        <v>1016</v>
      </c>
      <c r="D1088" s="21" t="s">
        <v>996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1263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1396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1394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1395</v>
      </c>
      <c r="B1092" s="21" t="s">
        <v>1022</v>
      </c>
      <c r="C1092" s="21" t="s">
        <v>995</v>
      </c>
      <c r="D1092" s="21" t="s">
        <v>996</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1018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129</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1397</v>
      </c>
      <c r="B1095" s="21" t="s">
        <v>1107</v>
      </c>
      <c r="C1095" s="21" t="s">
        <v>1045</v>
      </c>
      <c r="D1095" s="21" t="s">
        <v>996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1398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1294</v>
      </c>
      <c r="B1097" s="21" t="s">
        <v>1051</v>
      </c>
      <c r="C1097" s="21" t="s">
        <v>1047</v>
      </c>
      <c r="D1097" s="21" t="s">
        <v>996</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1078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1007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1190</v>
      </c>
      <c r="B1100" s="21" t="s">
        <v>1026</v>
      </c>
      <c r="C1100" s="21" t="s">
        <v>1002</v>
      </c>
      <c r="D1100" s="21" t="s">
        <v>996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1011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row>
    <row r="1103" spans="1:12">
      <c r="A1103" s="20" t="s">
        <v>1399</v>
      </c>
    </row>
    <row r="1104" spans="1:12">
      <c r="A1104" s="20" t="s">
        <v>1155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1241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1400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1075</v>
      </c>
      <c r="B1107" s="21" t="s">
        <v>1015</v>
      </c>
      <c r="C1107" s="21" t="s">
        <v>1047</v>
      </c>
      <c r="D1107" s="21" t="s">
        <v>996</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1003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1246</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1401</v>
      </c>
      <c r="B1110" s="21" t="s">
        <v>1010</v>
      </c>
      <c r="C1110" s="21" t="s">
        <v>1027</v>
      </c>
      <c r="D1110" s="21" t="s">
        <v>996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1402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206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1006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1241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1400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1075</v>
      </c>
      <c r="B1116" s="21" t="s">
        <v>1053</v>
      </c>
      <c r="C1116" s="21" t="s">
        <v>1047</v>
      </c>
      <c r="D1116" s="21" t="s">
        <v>996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1003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1381</v>
      </c>
      <c r="B1118" s="21" t="s">
        <v>1107</v>
      </c>
      <c r="C1118" s="21" t="s">
        <v>1016</v>
      </c>
      <c r="D1118" s="21" t="s">
        <v>996</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1014</v>
      </c>
      <c r="B1120" s="21" t="s">
        <v>1297</v>
      </c>
      <c r="C1120" s="21" t="s">
        <v>1016</v>
      </c>
      <c r="D1120" s="21" t="s">
        <v>996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828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1403</v>
      </c>
      <c r="B1122" s="21" t="s">
        <v>1299</v>
      </c>
      <c r="C1122" s="21" t="s">
        <v>995</v>
      </c>
      <c r="D1122" s="21" t="s">
        <v>996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1211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1404</v>
      </c>
      <c r="B1124" s="21" t="s">
        <v>1050</v>
      </c>
      <c r="C1124" s="21" t="s">
        <v>1047</v>
      </c>
      <c r="D1124" s="21" t="s">
        <v>996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1003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1381</v>
      </c>
      <c r="B1126" s="21" t="s">
        <v>1026</v>
      </c>
      <c r="C1126" s="21" t="s">
        <v>1016</v>
      </c>
      <c r="D1126" s="21" t="s">
        <v>996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1182</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1405</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1381</v>
      </c>
      <c r="B1129" s="21" t="s">
        <v>1022</v>
      </c>
      <c r="C1129" s="21" t="s">
        <v>1016</v>
      </c>
      <c r="D1129" s="21" t="s">
        <v>996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1033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1406</v>
      </c>
      <c r="B1131" s="21" t="s">
        <v>1010</v>
      </c>
      <c r="C1131" s="21" t="s">
        <v>1005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1006</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1362</v>
      </c>
      <c r="B1133" s="21" t="s">
        <v>1053</v>
      </c>
      <c r="C1133" s="21" t="s">
        <v>1016</v>
      </c>
      <c r="D1133" s="21" t="s">
        <v>996</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1133</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1407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1006</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1330</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1121</v>
      </c>
      <c r="B1138" s="21" t="s">
        <v>1104</v>
      </c>
      <c r="C1138" s="21" t="s">
        <v>1016</v>
      </c>
      <c r="D1138" s="21" t="s">
        <v>996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1211</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1278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1408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1308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1172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584</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1406</v>
      </c>
      <c r="B1145" s="21" t="s">
        <v>1107</v>
      </c>
      <c r="C1145" s="21" t="s">
        <v>1037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1011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row>
    <row r="1148" spans="1:12">
      <c r="A1148" s="20" t="s">
        <v>1409</v>
      </c>
    </row>
    <row r="1149" spans="1:12">
      <c r="A1149" s="20" t="s">
        <v>1360</v>
      </c>
      <c r="B1149" s="21" t="s">
        <v>1015</v>
      </c>
      <c r="C1149" s="21" t="s">
        <v>1016</v>
      </c>
      <c r="D1149" s="21" t="s">
        <v>996</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1185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1410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1408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1308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1034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1236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1406</v>
      </c>
      <c r="B1156" s="21" t="s">
        <v>994</v>
      </c>
      <c r="C1156" s="21" t="s">
        <v>1037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1011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row>
    <row r="1159" spans="1:12">
      <c r="A1159" s="20" t="s">
        <v>1411</v>
      </c>
    </row>
    <row r="1160" spans="1:12">
      <c r="A1160" s="20" t="s">
        <v>1155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214</v>
      </c>
      <c r="B1161" s="21" t="s">
        <v>994</v>
      </c>
      <c r="C1161" s="21" t="s">
        <v>1102</v>
      </c>
      <c r="D1161" s="21" t="s">
        <v>996</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1124</v>
      </c>
      <c r="B1162" s="21" t="s">
        <v>1022</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1125</v>
      </c>
      <c r="B1163" s="21" t="s">
        <v>1050</v>
      </c>
      <c r="C1163" s="21" t="s">
        <v>1016</v>
      </c>
      <c r="D1163" s="21" t="s">
        <v>996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1081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1160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1006</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214</v>
      </c>
      <c r="B1167" s="21" t="s">
        <v>1050</v>
      </c>
      <c r="C1167" s="21" t="s">
        <v>1102</v>
      </c>
      <c r="D1167" s="21" t="s">
        <v>996</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1120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1007</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1344</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1345</v>
      </c>
      <c r="B1171" s="21" t="s">
        <v>1026</v>
      </c>
      <c r="C1171" s="21" t="s">
        <v>1002</v>
      </c>
      <c r="D1171" s="21" t="s">
        <v>996</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1124</v>
      </c>
      <c r="B1172" s="21" t="s">
        <v>1297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1156</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1412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1413</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1018</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1111</v>
      </c>
      <c r="B1177" s="21" t="s">
        <v>1206</v>
      </c>
      <c r="C1177" s="21" t="s">
        <v>1016</v>
      </c>
      <c r="D1177" s="21" t="s">
        <v>996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1032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1006</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1227</v>
      </c>
      <c r="B1180" s="21" t="s">
        <v>1010</v>
      </c>
      <c r="C1180" s="21" t="s">
        <v>1045</v>
      </c>
      <c r="D1180" s="21" t="s">
        <v>996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1156</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1082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1034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1364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1414</v>
      </c>
      <c r="B1185" s="21" t="s">
        <v>994</v>
      </c>
      <c r="C1185" s="21" t="s">
        <v>1047</v>
      </c>
      <c r="D1185" s="21" t="s">
        <v>996</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1033</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1007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1357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1149</v>
      </c>
      <c r="B1189" s="21" t="s">
        <v>1010</v>
      </c>
      <c r="C1189" s="21" t="s">
        <v>1002</v>
      </c>
      <c r="D1189" s="21" t="s">
        <v>996</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1382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1362</v>
      </c>
      <c r="B1191" s="21" t="s">
        <v>1053</v>
      </c>
      <c r="C1191" s="21" t="s">
        <v>1016</v>
      </c>
      <c r="D1191" s="21" t="s">
        <v>996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1081</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1361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1415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1416</v>
      </c>
      <c r="B1196" s="21" t="s">
        <v>1104</v>
      </c>
      <c r="C1196" s="21" t="s">
        <v>1077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118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1417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1246</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1247</v>
      </c>
      <c r="B1200" s="21" t="s">
        <v>1116</v>
      </c>
      <c r="C1200" s="21" t="s">
        <v>1027</v>
      </c>
      <c r="D1200" s="21" t="s">
        <v>996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1112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1418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1381</v>
      </c>
      <c r="B1203" s="21" t="s">
        <v>1299</v>
      </c>
      <c r="C1203" s="21" t="s">
        <v>1016</v>
      </c>
      <c r="D1203" s="21" t="s">
        <v>996</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1018</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134</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1419</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1006</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1293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241</v>
      </c>
      <c r="B1209" s="21" t="s">
        <v>1051</v>
      </c>
      <c r="C1209" s="21" t="s">
        <v>1052</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1362</v>
      </c>
      <c r="B1210" s="21" t="s">
        <v>1053</v>
      </c>
      <c r="C1210" s="21" t="s">
        <v>1016</v>
      </c>
      <c r="D1210" s="21" t="s">
        <v>996</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129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1122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377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1058</v>
      </c>
      <c r="B1214" s="21" t="s">
        <v>1051</v>
      </c>
      <c r="C1214" s="21" t="s">
        <v>1016</v>
      </c>
      <c r="D1214" s="21" t="s">
        <v>996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1032</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1024</v>
      </c>
      <c r="B1216" s="21" t="s">
        <v>1104</v>
      </c>
      <c r="C1216" s="21" t="s">
        <v>1069</v>
      </c>
      <c r="D1216" s="21" t="s">
        <v>996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1145</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1236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1416</v>
      </c>
      <c r="B1219" s="21" t="s">
        <v>1026</v>
      </c>
      <c r="C1219" s="21" t="s">
        <v>1005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1033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1034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1236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1406</v>
      </c>
      <c r="B1223" s="21" t="s">
        <v>1107</v>
      </c>
      <c r="C1223" s="21" t="s">
        <v>1037</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1420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1141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1236</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1421</v>
      </c>
      <c r="B1227" s="21" t="s">
        <v>1206</v>
      </c>
      <c r="C1227" s="21" t="s">
        <v>1005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1003</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1422</v>
      </c>
      <c r="B1229" s="21" t="s">
        <v>1302</v>
      </c>
      <c r="C1229" s="21" t="s">
        <v>1005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1124</v>
      </c>
      <c r="B1230" s="21" t="s">
        <v>1336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1156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1423</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1424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1425</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1426</v>
      </c>
      <c r="B1235" s="21" t="s">
        <v>1302</v>
      </c>
      <c r="C1235" s="21" t="s">
        <v>1077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1110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1213</v>
      </c>
      <c r="B1238" s="21" t="s">
        <v>1304</v>
      </c>
      <c r="C1238" s="21" t="s">
        <v>1077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1006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1112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1033</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140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1213</v>
      </c>
      <c r="B1243" s="21" t="s">
        <v>1427</v>
      </c>
      <c r="C1243" s="21" t="s">
        <v>1077</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1410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1428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1149</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1426</v>
      </c>
      <c r="B1248" s="21" t="s">
        <v>1304</v>
      </c>
      <c r="C1248" s="21" t="s">
        <v>1077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1011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row>
    <row r="1251" spans="1:12">
      <c r="A1251" s="20" t="s">
        <v>1429</v>
      </c>
    </row>
    <row r="1252" spans="1:12">
      <c r="A1252" s="20" t="s">
        <v>1385</v>
      </c>
      <c r="B1252" s="21" t="s">
        <v>1015</v>
      </c>
      <c r="C1252" s="21" t="s">
        <v>1069</v>
      </c>
      <c r="D1252" s="21" t="s">
        <v>996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1145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1122</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1007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1152</v>
      </c>
      <c r="B1256" s="21" t="s">
        <v>994</v>
      </c>
      <c r="C1256" s="21" t="s">
        <v>1002</v>
      </c>
      <c r="D1256" s="21" t="s">
        <v>996</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1124</v>
      </c>
      <c r="B1257" s="21" t="s">
        <v>1022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1125</v>
      </c>
      <c r="B1258" s="21" t="s">
        <v>1050</v>
      </c>
      <c r="C1258" s="21" t="s">
        <v>1016</v>
      </c>
      <c r="D1258" s="21" t="s">
        <v>996</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699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1430</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241</v>
      </c>
      <c r="B1261" s="21" t="s">
        <v>1026</v>
      </c>
      <c r="C1261" s="21" t="s">
        <v>1052</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1007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1431</v>
      </c>
      <c r="B1263" s="21" t="s">
        <v>1297</v>
      </c>
      <c r="C1263" s="21" t="s">
        <v>1047</v>
      </c>
      <c r="D1263" s="21" t="s">
        <v>996</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1003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1394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1395</v>
      </c>
      <c r="B1266" s="21" t="s">
        <v>1302</v>
      </c>
      <c r="C1266" s="21" t="s">
        <v>995</v>
      </c>
      <c r="D1266" s="21" t="s">
        <v>996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1033</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1034</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1287</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1112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1009</v>
      </c>
      <c r="B1272" s="21" t="s">
        <v>1302</v>
      </c>
      <c r="C1272" s="21" t="s">
        <v>1037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1126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134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row>
    <row r="1277" spans="1:12">
      <c r="A1277" s="20" t="s">
        <v>1432</v>
      </c>
    </row>
    <row r="1278" spans="1:12">
      <c r="A1278" s="20" t="s">
        <v>1074</v>
      </c>
      <c r="B1278" s="21" t="s">
        <v>1015</v>
      </c>
      <c r="C1278" s="21" t="s">
        <v>1005</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998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1208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1006</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1041</v>
      </c>
      <c r="B1282" s="21" t="s">
        <v>1053</v>
      </c>
      <c r="C1282" s="21" t="s">
        <v>1069</v>
      </c>
      <c r="D1282" s="21" t="s">
        <v>996</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1339</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1124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1125</v>
      </c>
      <c r="B1285" s="21" t="s">
        <v>1104</v>
      </c>
      <c r="C1285" s="21" t="s">
        <v>1016</v>
      </c>
      <c r="D1285" s="21" t="s">
        <v>996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1363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1433</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1144</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1434</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1007</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1435</v>
      </c>
      <c r="B1291" s="21" t="s">
        <v>1057</v>
      </c>
      <c r="C1291" s="21" t="s">
        <v>1002</v>
      </c>
      <c r="D1291" s="21" t="s">
        <v>996</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1033</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1392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1436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1437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1401</v>
      </c>
      <c r="B1296" s="21" t="s">
        <v>1053</v>
      </c>
      <c r="C1296" s="21" t="s">
        <v>1005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1006</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1009</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1401</v>
      </c>
      <c r="B1299" s="21" t="s">
        <v>1107</v>
      </c>
      <c r="C1299" s="21" t="s">
        <v>1005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1006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1145</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1438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1018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118</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1439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1007</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1345</v>
      </c>
      <c r="B1307" s="21" t="s">
        <v>1116</v>
      </c>
      <c r="C1307" s="21" t="s">
        <v>1002</v>
      </c>
      <c r="D1307" s="21" t="s">
        <v>996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1006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1112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1382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1440</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1441</v>
      </c>
      <c r="B1312" s="21" t="s">
        <v>1050</v>
      </c>
      <c r="C1312" s="21" t="s">
        <v>1005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1197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1043</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1381</v>
      </c>
      <c r="B1315" s="21" t="s">
        <v>1010</v>
      </c>
      <c r="C1315" s="21" t="s">
        <v>1016</v>
      </c>
      <c r="D1315" s="21" t="s">
        <v>996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1011</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row>
    <row r="1318" spans="1:12">
      <c r="A1318" s="20" t="s">
        <v>1442</v>
      </c>
    </row>
    <row r="1319" spans="1:12">
      <c r="A1319" s="20" t="s">
        <v>1208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1006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1362</v>
      </c>
      <c r="B1321" s="21" t="s">
        <v>1015</v>
      </c>
      <c r="C1321" s="21" t="s">
        <v>1016</v>
      </c>
      <c r="D1321" s="21" t="s">
        <v>996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118</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1443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1444</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1098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1007</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1190</v>
      </c>
      <c r="B1327" s="21" t="s">
        <v>1010</v>
      </c>
      <c r="C1327" s="21" t="s">
        <v>1002</v>
      </c>
      <c r="D1327" s="21" t="s">
        <v>996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1011</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row>
    <row r="1330" spans="1:12">
      <c r="A1330" s="20" t="s">
        <v>1445</v>
      </c>
    </row>
    <row r="1331" spans="1:12">
      <c r="A1331" s="20" t="s">
        <v>1446</v>
      </c>
      <c r="B1331" s="21" t="s">
        <v>994</v>
      </c>
      <c r="C1331" s="21" t="s">
        <v>1052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1211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1124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1440</v>
      </c>
      <c r="B1334" s="21" t="s">
        <v>1015</v>
      </c>
      <c r="C1334" s="21" t="s">
        <v>1027</v>
      </c>
      <c r="D1334" s="21" t="s">
        <v>996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1447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1308</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1007</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1190</v>
      </c>
      <c r="B1338" s="21" t="s">
        <v>1026</v>
      </c>
      <c r="C1338" s="21" t="s">
        <v>995</v>
      </c>
      <c r="D1338" s="21" t="s">
        <v>996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1061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row>
    <row r="1341" spans="1:12">
      <c r="A1341" s="20" t="s">
        <v>1448</v>
      </c>
    </row>
    <row r="1342" spans="1:12">
      <c r="A1342" s="20" t="s">
        <v>1100</v>
      </c>
      <c r="B1342" s="21" t="s">
        <v>994</v>
      </c>
      <c r="C1342" s="21" t="s">
        <v>1005</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998</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1449</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1011</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row>
    <row r="1347" spans="1:12">
      <c r="A1347" s="20" t="s">
        <v>1450</v>
      </c>
    </row>
    <row r="1348" spans="1:12">
      <c r="A1348" s="20" t="s">
        <v>1013</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1007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1190</v>
      </c>
      <c r="B1350" s="21" t="s">
        <v>1010</v>
      </c>
      <c r="C1350" s="21" t="s">
        <v>995</v>
      </c>
      <c r="D1350" s="21" t="s">
        <v>996</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1156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1451</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1341</v>
      </c>
      <c r="B1353" s="21" t="s">
        <v>1015</v>
      </c>
      <c r="C1353" s="21" t="s">
        <v>1047</v>
      </c>
      <c r="D1353" s="21" t="s">
        <v>996</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237</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1018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1121</v>
      </c>
      <c r="B1356" s="21" t="s">
        <v>994</v>
      </c>
      <c r="C1356" s="21" t="s">
        <v>1016</v>
      </c>
      <c r="D1356" s="21" t="s">
        <v>996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1059</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1452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1194</v>
      </c>
      <c r="B1359" s="21" t="s">
        <v>994</v>
      </c>
      <c r="C1359" s="21" t="s">
        <v>1005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1011</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row>
    <row r="1362" spans="1:12">
      <c r="A1362" s="20" t="s">
        <v>1453</v>
      </c>
    </row>
    <row r="1363" spans="1:12">
      <c r="A1363" s="20" t="s">
        <v>1056</v>
      </c>
      <c r="B1363" s="21" t="s">
        <v>994</v>
      </c>
      <c r="C1363" s="21" t="s">
        <v>1052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1124</v>
      </c>
      <c r="B1364" s="21" t="s">
        <v>1050</v>
      </c>
      <c r="C1364" s="21" t="s">
        <v>1069</v>
      </c>
      <c r="D1364" s="21" t="s">
        <v>996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1454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1018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1172</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1455</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1190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1456</v>
      </c>
      <c r="B1370" s="21" t="s">
        <v>1010</v>
      </c>
      <c r="C1370" s="21" t="s">
        <v>1037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1006</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1457</v>
      </c>
      <c r="B1372" s="21" t="s">
        <v>1026</v>
      </c>
      <c r="C1372" s="21" t="s">
        <v>1066</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22</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1111</v>
      </c>
      <c r="B1374" s="21" t="s">
        <v>1107</v>
      </c>
      <c r="C1374" s="21" t="s">
        <v>1016</v>
      </c>
      <c r="D1374" s="21" t="s">
        <v>996</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1103</v>
      </c>
      <c r="B1375" s="21" t="s">
        <v>1297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1211</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1188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1059</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1172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1215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1456</v>
      </c>
      <c r="B1381" s="21" t="s">
        <v>1206</v>
      </c>
      <c r="C1381" s="21" t="s">
        <v>1037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1458</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1006</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1459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1460</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11</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1461</v>
      </c>
      <c r="B1387" s="21" t="s">
        <v>1462</v>
      </c>
      <c r="C1387" s="21" t="s">
        <v>1005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1006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1085</v>
      </c>
      <c r="B1389" s="21" t="s">
        <v>1427</v>
      </c>
      <c r="C1389" s="21" t="s">
        <v>1005</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22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1124</v>
      </c>
      <c r="B1391" s="21" t="s">
        <v>1463</v>
      </c>
      <c r="C1391" s="21" t="s">
        <v>1069</v>
      </c>
      <c r="D1391" s="21" t="s">
        <v>996</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1006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1033</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1187</v>
      </c>
      <c r="B1394" s="21" t="s">
        <v>1463</v>
      </c>
      <c r="C1394" s="21" t="s">
        <v>995</v>
      </c>
      <c r="D1394" s="21" t="s">
        <v>996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1006</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1032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1007</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1464</v>
      </c>
      <c r="B1398" s="21" t="s">
        <v>1465</v>
      </c>
      <c r="C1398" s="21" t="s">
        <v>1047</v>
      </c>
      <c r="D1398" s="21" t="s">
        <v>996</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1003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1124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1440</v>
      </c>
      <c r="B1401" s="21" t="s">
        <v>1466</v>
      </c>
      <c r="C1401" s="21" t="s">
        <v>1027</v>
      </c>
      <c r="D1401" s="21" t="s">
        <v>996</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1032</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1467</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1043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1195</v>
      </c>
      <c r="B1405" s="21" t="s">
        <v>1466</v>
      </c>
      <c r="C1405" s="21" t="s">
        <v>1045</v>
      </c>
      <c r="D1405" s="21" t="s">
        <v>996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1468</v>
      </c>
      <c r="B1406" s="21" t="s">
        <v>1463</v>
      </c>
      <c r="C1406" s="21" t="s">
        <v>1047</v>
      </c>
      <c r="D1406" s="21" t="s">
        <v>996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1011</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row>
    <row r="1409" spans="1:12">
      <c r="A1409" s="20" t="s">
        <v>1469</v>
      </c>
    </row>
    <row r="1410" spans="1:12">
      <c r="A1410" s="20" t="s">
        <v>1390</v>
      </c>
      <c r="B1410" s="21" t="s">
        <v>1015</v>
      </c>
      <c r="C1410" s="21" t="s">
        <v>1016</v>
      </c>
      <c r="D1410" s="21" t="s">
        <v>996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1131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1122</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245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1124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1227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1156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1034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1470</v>
      </c>
      <c r="B1418" s="21" t="s">
        <v>1050</v>
      </c>
      <c r="C1418" s="21" t="s">
        <v>1037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1003</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1471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1243</v>
      </c>
      <c r="B1421" s="21" t="s">
        <v>1026</v>
      </c>
      <c r="C1421" s="21" t="s">
        <v>1005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1212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1033</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1034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1472</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1473</v>
      </c>
      <c r="B1426" s="21" t="s">
        <v>1206</v>
      </c>
      <c r="C1426" s="21" t="s">
        <v>1037</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1098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1007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1190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1474</v>
      </c>
      <c r="B1430" s="21" t="s">
        <v>1206</v>
      </c>
      <c r="C1430" s="21" t="s">
        <v>1002</v>
      </c>
      <c r="D1430" s="21" t="s">
        <v>996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1475</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1112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1476</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1310</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1473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1477</v>
      </c>
      <c r="B1437" s="21" t="s">
        <v>1051</v>
      </c>
      <c r="C1437" s="21" t="s">
        <v>1005</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1120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1115</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1362</v>
      </c>
      <c r="B1440" s="21" t="s">
        <v>1297</v>
      </c>
      <c r="C1440" s="21" t="s">
        <v>1016</v>
      </c>
      <c r="D1440" s="21" t="s">
        <v>996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1363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1265</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1018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114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1041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1478</v>
      </c>
      <c r="B1446" s="21" t="s">
        <v>1221</v>
      </c>
      <c r="C1446" s="21" t="s">
        <v>1027</v>
      </c>
      <c r="D1446" s="21" t="s">
        <v>996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1479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1011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row>
    <row r="1450" spans="1:12">
      <c r="A1450" s="20" t="s">
        <v>1480</v>
      </c>
    </row>
    <row r="1451" spans="1:12">
      <c r="A1451" s="20" t="s">
        <v>1208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1481</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1471</v>
      </c>
      <c r="B1453" s="21" t="s">
        <v>1015</v>
      </c>
      <c r="C1453" s="21" t="s">
        <v>1095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1482</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1121</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1436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1483</v>
      </c>
      <c r="B1457" s="21" t="s">
        <v>1057</v>
      </c>
      <c r="C1457" s="21" t="s">
        <v>1005</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1011</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row>
    <row r="1460" spans="1:12">
      <c r="A1460" s="20" t="s">
        <v>1484</v>
      </c>
    </row>
    <row r="1461" spans="1:12">
      <c r="A1461" s="20" t="s">
        <v>1485</v>
      </c>
      <c r="B1461" s="21" t="s">
        <v>1015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1145</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1254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1011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row>
    <row r="1466" spans="1:12">
      <c r="A1466" s="20" t="s">
        <v>1486</v>
      </c>
    </row>
    <row r="1467" spans="1:12">
      <c r="A1467" s="20" t="s">
        <v>1485</v>
      </c>
      <c r="B1467" s="21" t="s">
        <v>1015</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1145</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1487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1488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1254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1011</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row>
    <row r="1474" spans="1:12">
      <c r="A1474" s="20" t="s">
        <v>1489</v>
      </c>
    </row>
    <row r="1475" spans="1:12">
      <c r="A1475" s="20" t="s">
        <v>1118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1007</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1490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1491</v>
      </c>
      <c r="B1478" s="21" t="s">
        <v>1015</v>
      </c>
      <c r="C1478" s="21" t="s">
        <v>1002</v>
      </c>
      <c r="D1478" s="21" t="s">
        <v>996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1032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1006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1119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1125</v>
      </c>
      <c r="B1482" s="21" t="s">
        <v>1053</v>
      </c>
      <c r="C1482" s="21" t="s">
        <v>1016</v>
      </c>
      <c r="D1482" s="21" t="s">
        <v>996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1354</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1120</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1115</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1041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1277</v>
      </c>
      <c r="B1487" s="21" t="s">
        <v>1104</v>
      </c>
      <c r="C1487" s="21" t="s">
        <v>1027</v>
      </c>
      <c r="D1487" s="21" t="s">
        <v>996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1032</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1492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1006</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1121</v>
      </c>
      <c r="B1491" s="21" t="s">
        <v>1050</v>
      </c>
      <c r="C1491" s="21" t="s">
        <v>1016</v>
      </c>
      <c r="D1491" s="21" t="s">
        <v>996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1156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1493</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1043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1007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1401</v>
      </c>
      <c r="B1496" s="21" t="s">
        <v>1010</v>
      </c>
      <c r="C1496" s="21" t="s">
        <v>1002</v>
      </c>
      <c r="D1496" s="21" t="s">
        <v>996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1494</v>
      </c>
      <c r="B1497" s="21" t="s">
        <v>1010</v>
      </c>
      <c r="C1497" s="21" t="s">
        <v>1016</v>
      </c>
      <c r="D1497" s="21" t="s">
        <v>996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1011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row>
    <row r="1500" spans="1:12">
      <c r="A1500" s="20" t="s">
        <v>1495</v>
      </c>
    </row>
    <row r="1501" spans="1:12">
      <c r="A1501" s="20" t="s">
        <v>1390</v>
      </c>
      <c r="B1501" s="21" t="s">
        <v>1015</v>
      </c>
      <c r="C1501" s="21" t="s">
        <v>1016</v>
      </c>
      <c r="D1501" s="21" t="s">
        <v>996</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1156</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1496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1497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1043</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1007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1498</v>
      </c>
      <c r="B1507" s="21" t="s">
        <v>994</v>
      </c>
      <c r="C1507" s="21" t="s">
        <v>1002</v>
      </c>
      <c r="D1507" s="21" t="s">
        <v>996</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1011</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row>
    <row r="1510" spans="1:12">
      <c r="A1510" s="20" t="s">
        <v>1499</v>
      </c>
    </row>
    <row r="1511" spans="1:12">
      <c r="A1511" s="20" t="s">
        <v>1118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1227</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1156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1172</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1500</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1501</v>
      </c>
      <c r="B1516" s="21" t="s">
        <v>1015</v>
      </c>
      <c r="C1516" s="21" t="s">
        <v>1037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1018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1502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1144</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998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1241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1400</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1401</v>
      </c>
      <c r="B1523" s="21" t="s">
        <v>1050</v>
      </c>
      <c r="C1523" s="21" t="s">
        <v>1005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1503</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1310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1006</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1241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1400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1401</v>
      </c>
      <c r="B1529" s="21" t="s">
        <v>1053</v>
      </c>
      <c r="C1529" s="21" t="s">
        <v>1005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1504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1006</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1505</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1006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165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1156</v>
      </c>
      <c r="B1535" s="21" t="s">
        <v>1022</v>
      </c>
      <c r="C1535" s="21" t="s">
        <v>1016</v>
      </c>
      <c r="D1535" s="21" t="s">
        <v>996</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129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1041</v>
      </c>
      <c r="B1537" s="21" t="s">
        <v>1051</v>
      </c>
      <c r="C1537" s="21" t="s">
        <v>1069</v>
      </c>
      <c r="D1537" s="21" t="s">
        <v>996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1391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1034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1425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1506</v>
      </c>
      <c r="B1541" s="21" t="s">
        <v>1026</v>
      </c>
      <c r="C1541" s="21" t="s">
        <v>1037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1006</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165</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1156</v>
      </c>
      <c r="B1544" s="21" t="s">
        <v>1022</v>
      </c>
      <c r="C1544" s="21" t="s">
        <v>1016</v>
      </c>
      <c r="D1544" s="21" t="s">
        <v>996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129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1041</v>
      </c>
      <c r="B1546" s="21" t="s">
        <v>1051</v>
      </c>
      <c r="C1546" s="21" t="s">
        <v>1069</v>
      </c>
      <c r="D1546" s="21" t="s">
        <v>996</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1382</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1125</v>
      </c>
      <c r="B1548" s="21" t="s">
        <v>1104</v>
      </c>
      <c r="C1548" s="21" t="s">
        <v>1016</v>
      </c>
      <c r="D1548" s="21" t="s">
        <v>996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1507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1075</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1372</v>
      </c>
      <c r="B1552" s="21" t="s">
        <v>1116</v>
      </c>
      <c r="C1552" s="21" t="s">
        <v>1077</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1003</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1269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1508</v>
      </c>
      <c r="B1555" s="21" t="s">
        <v>1206</v>
      </c>
      <c r="C1555" s="21" t="s">
        <v>1005</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1006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1075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1372</v>
      </c>
      <c r="B1558" s="21" t="s">
        <v>1116</v>
      </c>
      <c r="C1558" s="21" t="s">
        <v>1077</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1003</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1509</v>
      </c>
      <c r="B1560" s="21" t="s">
        <v>1206</v>
      </c>
      <c r="C1560" s="21" t="s">
        <v>1005</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1078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1510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1110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1246</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1511</v>
      </c>
      <c r="B1565" s="21" t="s">
        <v>1221</v>
      </c>
      <c r="C1565" s="21" t="s">
        <v>1027</v>
      </c>
      <c r="D1565" s="21" t="s">
        <v>996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1512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1440</v>
      </c>
      <c r="B1567" s="21" t="s">
        <v>1221</v>
      </c>
      <c r="C1567" s="21" t="s">
        <v>1005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1006</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1125</v>
      </c>
      <c r="B1569" s="21" t="s">
        <v>1050</v>
      </c>
      <c r="C1569" s="21" t="s">
        <v>1016</v>
      </c>
      <c r="D1569" s="21" t="s">
        <v>996</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1217</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1513</v>
      </c>
      <c r="B1571" s="21" t="s">
        <v>1022</v>
      </c>
      <c r="C1571" s="21" t="s">
        <v>1005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1033</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1007</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1514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1515</v>
      </c>
      <c r="B1575" s="21" t="s">
        <v>1026</v>
      </c>
      <c r="C1575" s="21" t="s">
        <v>995</v>
      </c>
      <c r="D1575" s="21" t="s">
        <v>996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1086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1183</v>
      </c>
      <c r="B1577" s="21" t="s">
        <v>1010</v>
      </c>
      <c r="C1577" s="21" t="s">
        <v>1005</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1124</v>
      </c>
      <c r="B1578" s="21" t="s">
        <v>1050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1185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1122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1059</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1516</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1517</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1059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1007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1344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1181</v>
      </c>
      <c r="B1587" s="21" t="s">
        <v>1010</v>
      </c>
      <c r="C1587" s="21" t="s">
        <v>1002</v>
      </c>
      <c r="D1587" s="21" t="s">
        <v>996</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1124</v>
      </c>
      <c r="B1588" s="21" t="s">
        <v>1104</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1361</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1007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1190</v>
      </c>
      <c r="B1591" s="21" t="s">
        <v>1297</v>
      </c>
      <c r="C1591" s="21" t="s">
        <v>995</v>
      </c>
      <c r="D1591" s="21" t="s">
        <v>996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1518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1033</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1018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1007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1440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1519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1520</v>
      </c>
      <c r="B1598" s="21" t="s">
        <v>1206</v>
      </c>
      <c r="C1598" s="21" t="s">
        <v>1002</v>
      </c>
      <c r="D1598" s="21" t="s">
        <v>996</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1151</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1521</v>
      </c>
      <c r="B1600" s="21" t="s">
        <v>1206</v>
      </c>
      <c r="C1600" s="21" t="s">
        <v>995</v>
      </c>
      <c r="D1600" s="21" t="s">
        <v>996</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1018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1522</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1112</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1403</v>
      </c>
      <c r="B1604" s="21" t="s">
        <v>1206</v>
      </c>
      <c r="C1604" s="21" t="s">
        <v>995</v>
      </c>
      <c r="D1604" s="21" t="s">
        <v>996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1018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1522</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1011</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row>
    <row r="1609" spans="1:12">
      <c r="A1609" s="20" t="s">
        <v>1523</v>
      </c>
    </row>
    <row r="1610" spans="1:12">
      <c r="A1610" s="20" t="s">
        <v>1013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1241</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1246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1401</v>
      </c>
      <c r="B1613" s="21" t="s">
        <v>994</v>
      </c>
      <c r="C1613" s="21" t="s">
        <v>1027</v>
      </c>
      <c r="D1613" s="21" t="s">
        <v>996</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1124</v>
      </c>
      <c r="B1614" s="21" t="s">
        <v>1053</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1145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1524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1033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1132</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1525</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1034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1526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1293</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1527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1419</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1528</v>
      </c>
      <c r="B1625" s="21" t="s">
        <v>1026</v>
      </c>
      <c r="C1625" s="21" t="s">
        <v>1037</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1098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1007</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1190</v>
      </c>
      <c r="B1628" s="21" t="s">
        <v>1026</v>
      </c>
      <c r="C1628" s="21" t="s">
        <v>995</v>
      </c>
      <c r="D1628" s="21" t="s">
        <v>996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1006</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1007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1190</v>
      </c>
      <c r="B1631" s="21" t="s">
        <v>1015</v>
      </c>
      <c r="C1631" s="21" t="s">
        <v>995</v>
      </c>
      <c r="D1631" s="21" t="s">
        <v>996</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1032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1122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1529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1098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1124</v>
      </c>
      <c r="B1636" s="21" t="s">
        <v>994</v>
      </c>
      <c r="C1636" s="21" t="s">
        <v>1069</v>
      </c>
      <c r="D1636" s="21" t="s">
        <v>996</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1006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1112</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1330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1003</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1124</v>
      </c>
      <c r="B1641" s="21" t="s">
        <v>1010</v>
      </c>
      <c r="C1641" s="21" t="s">
        <v>1069</v>
      </c>
      <c r="D1641" s="21" t="s">
        <v>996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1006</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1125</v>
      </c>
      <c r="B1643" s="21" t="s">
        <v>1050</v>
      </c>
      <c r="C1643" s="21" t="s">
        <v>1016</v>
      </c>
      <c r="D1643" s="21" t="s">
        <v>996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301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1242</v>
      </c>
      <c r="B1645" s="21" t="s">
        <v>1026</v>
      </c>
      <c r="C1645" s="21" t="s">
        <v>1045</v>
      </c>
      <c r="D1645" s="21" t="s">
        <v>996</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1401</v>
      </c>
      <c r="B1646" s="21" t="s">
        <v>1022</v>
      </c>
      <c r="C1646" s="21" t="s">
        <v>1047</v>
      </c>
      <c r="D1646" s="21" t="s">
        <v>996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1018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1294</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1412</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1530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1018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148</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1124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1362</v>
      </c>
      <c r="B1654" s="21" t="s">
        <v>1297</v>
      </c>
      <c r="C1654" s="21" t="s">
        <v>1016</v>
      </c>
      <c r="D1654" s="21" t="s">
        <v>996</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1363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1265</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1018</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1531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1007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1532</v>
      </c>
      <c r="B1660" s="21" t="s">
        <v>1221</v>
      </c>
      <c r="C1660" s="21" t="s">
        <v>1002</v>
      </c>
      <c r="D1660" s="21" t="s">
        <v>996</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1003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1007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1533</v>
      </c>
      <c r="B1663" s="21" t="s">
        <v>1304</v>
      </c>
      <c r="C1663" s="21" t="s">
        <v>1002</v>
      </c>
      <c r="D1663" s="21" t="s">
        <v>996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1006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1112</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1228</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1534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1078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1007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1001</v>
      </c>
      <c r="B1670" s="21" t="s">
        <v>1010</v>
      </c>
      <c r="C1670" s="21" t="s">
        <v>1002</v>
      </c>
      <c r="D1670" s="21" t="s">
        <v>996</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1003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1007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1511</v>
      </c>
      <c r="B1673" s="21" t="s">
        <v>1026</v>
      </c>
      <c r="C1673" s="21" t="s">
        <v>1002</v>
      </c>
      <c r="D1673" s="21" t="s">
        <v>996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1011</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row>
    <row r="1676" spans="1:12">
      <c r="A1676" s="20" t="s">
        <v>1535</v>
      </c>
    </row>
    <row r="1677" spans="1:12">
      <c r="A1677" s="20" t="s">
        <v>1155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1014</v>
      </c>
      <c r="B1678" s="21" t="s">
        <v>1015</v>
      </c>
      <c r="C1678" s="21" t="s">
        <v>1016</v>
      </c>
      <c r="D1678" s="21" t="s">
        <v>996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141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1110</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1007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1086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1183</v>
      </c>
      <c r="B1683" s="21" t="s">
        <v>994</v>
      </c>
      <c r="C1683" s="21" t="s">
        <v>1002</v>
      </c>
      <c r="D1683" s="21" t="s">
        <v>996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1006</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1125</v>
      </c>
      <c r="B1685" s="21" t="s">
        <v>1050</v>
      </c>
      <c r="C1685" s="21" t="s">
        <v>1016</v>
      </c>
      <c r="D1685" s="21" t="s">
        <v>996</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1081</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1160</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1007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1401</v>
      </c>
      <c r="B1689" s="21" t="s">
        <v>1053</v>
      </c>
      <c r="C1689" s="21" t="s">
        <v>1002</v>
      </c>
      <c r="D1689" s="21" t="s">
        <v>996</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1124</v>
      </c>
      <c r="B1690" s="21" t="s">
        <v>1297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1145</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1536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1141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1007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1344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1341</v>
      </c>
      <c r="B1696" s="21" t="s">
        <v>1206</v>
      </c>
      <c r="C1696" s="21" t="s">
        <v>1002</v>
      </c>
      <c r="D1696" s="21" t="s">
        <v>996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1537</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1538</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1539</v>
      </c>
      <c r="B1699" s="21" t="s">
        <v>1051</v>
      </c>
      <c r="C1699" s="21" t="s">
        <v>1005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1018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1124</v>
      </c>
      <c r="B1702" s="21" t="s">
        <v>1116</v>
      </c>
      <c r="C1702" s="21" t="s">
        <v>1069</v>
      </c>
      <c r="D1702" s="21" t="s">
        <v>996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1006</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1112</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1014</v>
      </c>
      <c r="B1705" s="21" t="s">
        <v>1050</v>
      </c>
      <c r="C1705" s="21" t="s">
        <v>1016</v>
      </c>
      <c r="D1705" s="21" t="s">
        <v>996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1540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1381</v>
      </c>
      <c r="B1707" s="21" t="s">
        <v>1022</v>
      </c>
      <c r="C1707" s="21" t="s">
        <v>1016</v>
      </c>
      <c r="D1707" s="21" t="s">
        <v>996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1018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1541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1011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row>
    <row r="1712" spans="1:12">
      <c r="A1712" s="20" t="s">
        <v>1542</v>
      </c>
    </row>
    <row r="1713" spans="1:12">
      <c r="A1713" s="20" t="s">
        <v>1074</v>
      </c>
      <c r="B1713" s="21" t="s">
        <v>994</v>
      </c>
      <c r="C1713" s="21" t="s">
        <v>1005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998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1056</v>
      </c>
      <c r="B1715" s="21" t="s">
        <v>1022</v>
      </c>
      <c r="C1715" s="21" t="s">
        <v>1052</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1543</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1126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1362</v>
      </c>
      <c r="B1718" s="21" t="s">
        <v>1050</v>
      </c>
      <c r="C1718" s="21" t="s">
        <v>1016</v>
      </c>
      <c r="D1718" s="21" t="s">
        <v>996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1061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1544</v>
      </c>
    </row>
    <row r="1723" spans="1:12">
      <c r="A1723" s="20" t="s">
        <v>1100</v>
      </c>
      <c r="B1723" s="21" t="s">
        <v>1015</v>
      </c>
      <c r="C1723" s="21" t="s">
        <v>1005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998</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1000</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1545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1501</v>
      </c>
      <c r="B1727" s="21" t="s">
        <v>1010</v>
      </c>
      <c r="C1727" s="21" t="s">
        <v>1002</v>
      </c>
      <c r="D1727" s="21" t="s">
        <v>996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1124</v>
      </c>
      <c r="B1728" s="21" t="s">
        <v>1116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1172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1009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1471</v>
      </c>
      <c r="B1731" s="21" t="s">
        <v>1104</v>
      </c>
      <c r="C1731" s="21" t="s">
        <v>1037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1033</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1395</v>
      </c>
      <c r="B1733" s="21" t="s">
        <v>1206</v>
      </c>
      <c r="C1733" s="21" t="s">
        <v>995</v>
      </c>
      <c r="D1733" s="21" t="s">
        <v>996</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719</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129</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1546</v>
      </c>
      <c r="B1736" s="21" t="s">
        <v>1107</v>
      </c>
      <c r="C1736" s="21" t="s">
        <v>1005</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1006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1547</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1006</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1237</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1548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1098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1549</v>
      </c>
      <c r="B1744" s="21" t="s">
        <v>1026</v>
      </c>
      <c r="C1744" s="21" t="s">
        <v>1005</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1006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1018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1550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1007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1001</v>
      </c>
      <c r="B1749" s="21" t="s">
        <v>1051</v>
      </c>
      <c r="C1749" s="21" t="s">
        <v>1002</v>
      </c>
      <c r="D1749" s="21" t="s">
        <v>996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1003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1511</v>
      </c>
      <c r="B1751" s="21" t="s">
        <v>1107</v>
      </c>
      <c r="C1751" s="21" t="s">
        <v>1005</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1551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1006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1032</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1018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1290</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1552</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1553</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1554</v>
      </c>
      <c r="B1759" s="21" t="s">
        <v>1022</v>
      </c>
      <c r="C1759" s="21" t="s">
        <v>1005</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1141</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1555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1556</v>
      </c>
      <c r="B1762" s="21" t="s">
        <v>1010</v>
      </c>
      <c r="C1762" s="21" t="s">
        <v>1095</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1058</v>
      </c>
      <c r="B1763" s="21" t="s">
        <v>1104</v>
      </c>
      <c r="C1763" s="21" t="s">
        <v>1016</v>
      </c>
      <c r="D1763" s="21" t="s">
        <v>996</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1557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1011</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row>
    <row r="1767" spans="1:12">
      <c r="A1767" s="20" t="s">
        <v>1163</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1558</v>
      </c>
    </row>
    <row r="1769" spans="1:12">
      <c r="A1769" s="20" t="s">
        <v>1000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1289</v>
      </c>
      <c r="B1770" s="21" t="s">
        <v>1015</v>
      </c>
      <c r="C1770" s="21" t="s">
        <v>1002</v>
      </c>
      <c r="D1770" s="21" t="s">
        <v>996</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1041</v>
      </c>
      <c r="B1771" s="21" t="s">
        <v>1053</v>
      </c>
      <c r="C1771" s="21" t="s">
        <v>1069</v>
      </c>
      <c r="D1771" s="21" t="s">
        <v>996</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1143</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1032</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1546</v>
      </c>
      <c r="B1774" s="21" t="s">
        <v>994</v>
      </c>
      <c r="C1774" s="21" t="s">
        <v>1005</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1006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1559</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1058</v>
      </c>
      <c r="B1777" s="21" t="s">
        <v>1053</v>
      </c>
      <c r="C1777" s="21" t="s">
        <v>1016</v>
      </c>
      <c r="D1777" s="21" t="s">
        <v>996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658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1018</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410</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1132</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1034</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1560</v>
      </c>
      <c r="B1783" s="21" t="s">
        <v>1107</v>
      </c>
      <c r="C1783" s="21" t="s">
        <v>1047</v>
      </c>
      <c r="D1783" s="21" t="s">
        <v>996</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1003</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1167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1561</v>
      </c>
      <c r="B1786" s="21" t="s">
        <v>1206</v>
      </c>
      <c r="C1786" s="21" t="s">
        <v>995</v>
      </c>
      <c r="D1786" s="21" t="s">
        <v>996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1167</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1141</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1562</v>
      </c>
      <c r="B1789" s="21" t="s">
        <v>1302</v>
      </c>
      <c r="C1789" s="21" t="s">
        <v>995</v>
      </c>
      <c r="D1789" s="21" t="s">
        <v>996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1006</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1007</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1190</v>
      </c>
      <c r="B1792" s="21" t="s">
        <v>1304</v>
      </c>
      <c r="C1792" s="21" t="s">
        <v>995</v>
      </c>
      <c r="D1792" s="21" t="s">
        <v>996</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719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34</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1034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1563</v>
      </c>
      <c r="B1796" s="21" t="s">
        <v>1051</v>
      </c>
      <c r="C1796" s="21" t="s">
        <v>1047</v>
      </c>
      <c r="D1796" s="21" t="s">
        <v>996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1003</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1124</v>
      </c>
      <c r="B1798" s="21" t="s">
        <v>1107</v>
      </c>
      <c r="C1798" s="21" t="s">
        <v>1069</v>
      </c>
      <c r="D1798" s="21" t="s">
        <v>996</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1006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1007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1564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1215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1565</v>
      </c>
      <c r="B1803" s="21" t="s">
        <v>1053</v>
      </c>
      <c r="C1803" s="21" t="s">
        <v>1002</v>
      </c>
      <c r="D1803" s="21" t="s">
        <v>996</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719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34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1034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1563</v>
      </c>
      <c r="B1807" s="21" t="s">
        <v>1051</v>
      </c>
      <c r="C1807" s="21" t="s">
        <v>1047</v>
      </c>
      <c r="D1807" s="21" t="s">
        <v>996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1003</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1124</v>
      </c>
      <c r="B1809" s="21" t="s">
        <v>1107</v>
      </c>
      <c r="C1809" s="21" t="s">
        <v>1069</v>
      </c>
      <c r="D1809" s="21" t="s">
        <v>996</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1006</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1007</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1459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1565</v>
      </c>
      <c r="B1813" s="21" t="s">
        <v>1104</v>
      </c>
      <c r="C1813" s="21" t="s">
        <v>1002</v>
      </c>
      <c r="D1813" s="21" t="s">
        <v>996</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719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34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1034</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1563</v>
      </c>
      <c r="B1817" s="21" t="s">
        <v>1116</v>
      </c>
      <c r="C1817" s="21" t="s">
        <v>1047</v>
      </c>
      <c r="D1817" s="21" t="s">
        <v>996</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1003</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1124</v>
      </c>
      <c r="B1819" s="21" t="s">
        <v>1206</v>
      </c>
      <c r="C1819" s="21" t="s">
        <v>1069</v>
      </c>
      <c r="D1819" s="21" t="s">
        <v>996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1006</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1007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1566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1565</v>
      </c>
      <c r="B1823" s="21" t="s">
        <v>1206</v>
      </c>
      <c r="C1823" s="21" t="s">
        <v>1002</v>
      </c>
      <c r="D1823" s="21" t="s">
        <v>996</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1006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1007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1567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1565</v>
      </c>
      <c r="B1827" s="21" t="s">
        <v>1116</v>
      </c>
      <c r="C1827" s="21" t="s">
        <v>1002</v>
      </c>
      <c r="D1827" s="21" t="s">
        <v>996</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1006</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1007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1568</v>
      </c>
      <c r="B1830" s="21" t="s">
        <v>1206</v>
      </c>
      <c r="C1830" s="21" t="s">
        <v>1047</v>
      </c>
      <c r="D1830" s="21" t="s">
        <v>996</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1003</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1569</v>
      </c>
      <c r="B1832" s="21" t="s">
        <v>1302</v>
      </c>
      <c r="C1832" s="21" t="s">
        <v>995</v>
      </c>
      <c r="D1832" s="21" t="s">
        <v>996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1011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row>
    <row r="1835" spans="1:12">
      <c r="A1835" s="20" t="s">
        <v>1570</v>
      </c>
    </row>
    <row r="1836" spans="1:12">
      <c r="A1836" s="20" t="s">
        <v>1360</v>
      </c>
      <c r="B1836" s="21" t="s">
        <v>1015</v>
      </c>
      <c r="C1836" s="21" t="s">
        <v>1016</v>
      </c>
      <c r="D1836" s="21" t="s">
        <v>996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719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1133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34</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1121</v>
      </c>
      <c r="B1840" s="21" t="s">
        <v>1057</v>
      </c>
      <c r="C1840" s="21" t="s">
        <v>1016</v>
      </c>
      <c r="D1840" s="21" t="s">
        <v>996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1330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1121</v>
      </c>
      <c r="B1842" s="21" t="s">
        <v>1050</v>
      </c>
      <c r="C1842" s="21" t="s">
        <v>1016</v>
      </c>
      <c r="D1842" s="21" t="s">
        <v>996</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1156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1571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1011</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row>
    <row r="1847" spans="1:12">
      <c r="A1847" s="20" t="s">
        <v>1572</v>
      </c>
    </row>
    <row r="1848" spans="1:12">
      <c r="A1848" s="20" t="s">
        <v>1000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1139</v>
      </c>
      <c r="B1849" s="21" t="s">
        <v>1010</v>
      </c>
      <c r="C1849" s="21" t="s">
        <v>1002</v>
      </c>
      <c r="D1849" s="21" t="s">
        <v>996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1156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1573</v>
      </c>
      <c r="B1851" s="21" t="s">
        <v>1015</v>
      </c>
      <c r="C1851" s="21" t="s">
        <v>1047</v>
      </c>
      <c r="D1851" s="21" t="s">
        <v>996</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1032</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1562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1006</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1293</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1496</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1410</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129</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1362</v>
      </c>
      <c r="B1859" s="21" t="s">
        <v>1050</v>
      </c>
      <c r="C1859" s="21" t="s">
        <v>1016</v>
      </c>
      <c r="D1859" s="21" t="s">
        <v>996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1496</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1574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1554</v>
      </c>
      <c r="B1862" s="21" t="s">
        <v>1022</v>
      </c>
      <c r="C1862" s="21" t="s">
        <v>1005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1308</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1575</v>
      </c>
      <c r="B1864" s="21" t="s">
        <v>1010</v>
      </c>
      <c r="C1864" s="21" t="s">
        <v>1005</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1006</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1058</v>
      </c>
      <c r="B1866" s="21" t="s">
        <v>1050</v>
      </c>
      <c r="C1866" s="21" t="s">
        <v>1016</v>
      </c>
      <c r="D1866" s="21" t="s">
        <v>996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719</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1496</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1576</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1018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98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1554</v>
      </c>
      <c r="B1872" s="21" t="s">
        <v>1051</v>
      </c>
      <c r="C1872" s="21" t="s">
        <v>1005</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1119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1577</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1391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1578</v>
      </c>
      <c r="B1876" s="21" t="s">
        <v>1107</v>
      </c>
      <c r="C1876" s="21" t="s">
        <v>1005</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1011</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1579</v>
      </c>
    </row>
    <row r="1880" spans="1:12">
      <c r="A1880" s="20" t="s">
        <v>1068</v>
      </c>
      <c r="B1880" s="21" t="s">
        <v>1015</v>
      </c>
      <c r="C1880" s="21" t="s">
        <v>1069</v>
      </c>
      <c r="D1880" s="21" t="s">
        <v>996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1032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214</v>
      </c>
      <c r="B1882" s="21" t="s">
        <v>994</v>
      </c>
      <c r="C1882" s="21" t="s">
        <v>1102</v>
      </c>
      <c r="D1882" s="21" t="s">
        <v>996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1124</v>
      </c>
      <c r="B1883" s="21" t="s">
        <v>1022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1125</v>
      </c>
      <c r="B1884" s="21" t="s">
        <v>1050</v>
      </c>
      <c r="C1884" s="21" t="s">
        <v>1016</v>
      </c>
      <c r="D1884" s="21" t="s">
        <v>996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301</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1018</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1580</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1006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1496</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1175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1078</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1581</v>
      </c>
      <c r="B1892" s="21" t="s">
        <v>1026</v>
      </c>
      <c r="C1892" s="21" t="s">
        <v>995</v>
      </c>
      <c r="D1892" s="21" t="s">
        <v>996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1006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1014</v>
      </c>
      <c r="B1894" s="21" t="s">
        <v>1050</v>
      </c>
      <c r="C1894" s="21" t="s">
        <v>1016</v>
      </c>
      <c r="D1894" s="21" t="s">
        <v>996</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129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1122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245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1018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1326</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1381</v>
      </c>
      <c r="B1900" s="21" t="s">
        <v>1051</v>
      </c>
      <c r="C1900" s="21" t="s">
        <v>1016</v>
      </c>
      <c r="D1900" s="21" t="s">
        <v>996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1261</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1006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1293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1362</v>
      </c>
      <c r="B1904" s="21" t="s">
        <v>1050</v>
      </c>
      <c r="C1904" s="21" t="s">
        <v>1016</v>
      </c>
      <c r="D1904" s="21" t="s">
        <v>996</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1363</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1034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1538</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1582</v>
      </c>
      <c r="B1908" s="21" t="s">
        <v>994</v>
      </c>
      <c r="C1908" s="21" t="s">
        <v>1037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1011</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row>
    <row r="1911" spans="1:12">
      <c r="A1911" s="20" t="s">
        <v>1583</v>
      </c>
    </row>
    <row r="1912" spans="1:12">
      <c r="A1912" s="20" t="s">
        <v>1584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1401</v>
      </c>
      <c r="B1913" s="21" t="s">
        <v>1015</v>
      </c>
      <c r="C1913" s="21" t="s">
        <v>1037</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301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1018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1140</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1018</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1172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1585</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1577</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1586</v>
      </c>
      <c r="B1921" s="21" t="s">
        <v>1010</v>
      </c>
      <c r="C1921" s="21" t="s">
        <v>1037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1308</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1575</v>
      </c>
      <c r="B1923" s="21" t="s">
        <v>1010</v>
      </c>
      <c r="C1923" s="21" t="s">
        <v>1005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1078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1133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1511</v>
      </c>
      <c r="B1926" s="21" t="s">
        <v>1026</v>
      </c>
      <c r="C1926" s="21" t="s">
        <v>1037</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1103</v>
      </c>
      <c r="B1927" s="21" t="s">
        <v>1297</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118</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1122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1587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1324</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1588</v>
      </c>
      <c r="B1932" s="21" t="s">
        <v>1299</v>
      </c>
      <c r="C1932" s="21" t="s">
        <v>1037</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1589</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1590</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1324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1591</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1592</v>
      </c>
      <c r="B1937" s="21" t="s">
        <v>1221</v>
      </c>
      <c r="C1937" s="21" t="s">
        <v>1037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1141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1195</v>
      </c>
      <c r="B1939" s="21" t="s">
        <v>1304</v>
      </c>
      <c r="C1939" s="21" t="s">
        <v>1045</v>
      </c>
      <c r="D1939" s="21" t="s">
        <v>996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1451</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1011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row>
    <row r="1943" spans="1:12">
      <c r="A1943" s="20" t="s">
        <v>1593</v>
      </c>
    </row>
    <row r="1944" spans="1:12">
      <c r="A1944" s="20" t="s">
        <v>1370</v>
      </c>
      <c r="B1944" s="21" t="s">
        <v>1015</v>
      </c>
      <c r="C1944" s="21" t="s">
        <v>1069</v>
      </c>
      <c r="D1944" s="21" t="s">
        <v>996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1594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305</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1007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1595</v>
      </c>
      <c r="B1948" s="21" t="s">
        <v>1057</v>
      </c>
      <c r="C1948" s="21" t="s">
        <v>1002</v>
      </c>
      <c r="D1948" s="21" t="s">
        <v>996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1112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1007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1001</v>
      </c>
      <c r="B1951" s="21" t="s">
        <v>1010</v>
      </c>
      <c r="C1951" s="21" t="s">
        <v>1002</v>
      </c>
      <c r="D1951" s="21" t="s">
        <v>996</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1124</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1152</v>
      </c>
      <c r="B1953" s="21" t="s">
        <v>1104</v>
      </c>
      <c r="C1953" s="21" t="s">
        <v>1005</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1596</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1551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1011</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1597</v>
      </c>
    </row>
    <row r="1959" spans="1:12">
      <c r="A1959" s="20" t="s">
        <v>1074</v>
      </c>
      <c r="B1959" s="21" t="s">
        <v>994</v>
      </c>
      <c r="C1959" s="21" t="s">
        <v>1005</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998</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29</v>
      </c>
      <c r="B1961" s="21" t="s">
        <v>994</v>
      </c>
      <c r="C1961" s="21" t="s">
        <v>995</v>
      </c>
      <c r="D1961" s="21" t="s">
        <v>996</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1006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538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1098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1111</v>
      </c>
      <c r="B1965" s="21" t="s">
        <v>1010</v>
      </c>
      <c r="C1965" s="21" t="s">
        <v>1016</v>
      </c>
      <c r="D1965" s="21" t="s">
        <v>996</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1018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1041</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1598</v>
      </c>
      <c r="B1968" s="21" t="s">
        <v>1010</v>
      </c>
      <c r="C1968" s="21" t="s">
        <v>1027</v>
      </c>
      <c r="D1968" s="21" t="s">
        <v>996</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1003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1007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1020</v>
      </c>
      <c r="B1971" s="21" t="s">
        <v>1026</v>
      </c>
      <c r="C1971" s="21" t="s">
        <v>1002</v>
      </c>
      <c r="D1971" s="21" t="s">
        <v>996</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1011</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row>
    <row r="1974" spans="1:12">
      <c r="A1974" s="20" t="s">
        <v>1599</v>
      </c>
    </row>
    <row r="1975" spans="1:12">
      <c r="A1975" s="20" t="s">
        <v>1014</v>
      </c>
      <c r="B1975" s="21" t="s">
        <v>1015</v>
      </c>
      <c r="C1975" s="21" t="s">
        <v>1016</v>
      </c>
      <c r="D1975" s="21" t="s">
        <v>996</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699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1018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222</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1058</v>
      </c>
      <c r="B1979" s="21" t="s">
        <v>1022</v>
      </c>
      <c r="C1979" s="21" t="s">
        <v>1016</v>
      </c>
      <c r="D1979" s="21" t="s">
        <v>996</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1007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1600</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1339</v>
      </c>
      <c r="B1982" s="21" t="s">
        <v>1022</v>
      </c>
      <c r="C1982" s="21" t="s">
        <v>1002</v>
      </c>
      <c r="D1982" s="21" t="s">
        <v>996</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1144</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1011</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row>
    <row r="1986" spans="1:12">
      <c r="A1986" s="20" t="s">
        <v>1601</v>
      </c>
    </row>
    <row r="1987" spans="1:12">
      <c r="A1987" s="20" t="s">
        <v>1030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316</v>
      </c>
      <c r="B1988" s="21" t="s">
        <v>994</v>
      </c>
      <c r="C1988" s="21" t="s">
        <v>995</v>
      </c>
      <c r="D1988" s="21" t="s">
        <v>996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1031</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row>
    <row r="1991" spans="1:12">
      <c r="A1991" s="20" t="s">
        <v>1602</v>
      </c>
    </row>
    <row r="1992" spans="1:12">
      <c r="A1992" s="20" t="s">
        <v>1068</v>
      </c>
      <c r="B1992" s="21" t="s">
        <v>1015</v>
      </c>
      <c r="C1992" s="21" t="s">
        <v>1069</v>
      </c>
      <c r="D1992" s="21" t="s">
        <v>996</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1032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1034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1345</v>
      </c>
      <c r="B1995" s="21" t="s">
        <v>994</v>
      </c>
      <c r="C1995" s="21" t="s">
        <v>1037</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1083</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1603</v>
      </c>
      <c r="B1997" s="21" t="s">
        <v>1010</v>
      </c>
      <c r="C1997" s="21" t="s">
        <v>995</v>
      </c>
      <c r="D1997" s="21" t="s">
        <v>996</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1604</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1011</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row>
    <row r="2001" spans="1:12">
      <c r="A2001" s="20" t="s">
        <v>1605</v>
      </c>
    </row>
    <row r="2002" spans="1:12">
      <c r="A2002" s="20" t="s">
        <v>1056</v>
      </c>
      <c r="B2002" s="21" t="s">
        <v>994</v>
      </c>
      <c r="C2002" s="21" t="s">
        <v>1052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1032</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1124</v>
      </c>
      <c r="B2004" s="21" t="s">
        <v>1015</v>
      </c>
      <c r="C2004" s="21" t="s">
        <v>1069</v>
      </c>
      <c r="D2004" s="21" t="s">
        <v>996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1061</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row>
    <row r="2007" spans="1:12">
      <c r="A2007" s="20" t="s">
        <v>1606</v>
      </c>
    </row>
    <row r="2008" spans="1:12">
      <c r="A2008" s="20" t="s">
        <v>1100</v>
      </c>
      <c r="B2008" s="21" t="s">
        <v>994</v>
      </c>
      <c r="C2008" s="21" t="s">
        <v>1005</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998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1013</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1006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1014</v>
      </c>
      <c r="B2012" s="21" t="s">
        <v>1050</v>
      </c>
      <c r="C2012" s="21" t="s">
        <v>1016</v>
      </c>
      <c r="D2012" s="21" t="s">
        <v>996</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1081</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1607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1018</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1608</v>
      </c>
      <c r="B2017" s="21" t="s">
        <v>1051</v>
      </c>
      <c r="C2017" s="21" t="s">
        <v>1005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1018</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1007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1190</v>
      </c>
      <c r="B2020" s="21" t="s">
        <v>1026</v>
      </c>
      <c r="C2020" s="21" t="s">
        <v>1002</v>
      </c>
      <c r="D2020" s="21" t="s">
        <v>996</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1609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1610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1611</v>
      </c>
      <c r="B2024" s="21" t="s">
        <v>1116</v>
      </c>
      <c r="C2024" s="21" t="s">
        <v>1005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1141</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1041</v>
      </c>
      <c r="B2026" s="21" t="s">
        <v>1107</v>
      </c>
      <c r="C2026" s="21" t="s">
        <v>1069</v>
      </c>
      <c r="D2026" s="21" t="s">
        <v>996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1011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row>
    <row r="2029" spans="1:12">
      <c r="A2029" s="20" t="s">
        <v>1612</v>
      </c>
    </row>
    <row r="2030" spans="1:12">
      <c r="A2030" s="20" t="s">
        <v>1068</v>
      </c>
      <c r="B2030" s="21" t="s">
        <v>1015</v>
      </c>
      <c r="C2030" s="21" t="s">
        <v>1069</v>
      </c>
      <c r="D2030" s="21" t="s">
        <v>996</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1032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1404</v>
      </c>
      <c r="B2032" s="21" t="s">
        <v>994</v>
      </c>
      <c r="C2032" s="21" t="s">
        <v>1047</v>
      </c>
      <c r="D2032" s="21" t="s">
        <v>996</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1003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1113</v>
      </c>
      <c r="B2034" s="21" t="s">
        <v>1010</v>
      </c>
      <c r="C2034" s="21" t="s">
        <v>1045</v>
      </c>
      <c r="D2034" s="21" t="s">
        <v>996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1613</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1190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1614</v>
      </c>
      <c r="B2037" s="21" t="s">
        <v>994</v>
      </c>
      <c r="C2037" s="21" t="s">
        <v>1047</v>
      </c>
      <c r="D2037" s="21" t="s">
        <v>996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1011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row>
    <row r="2040" spans="1:12">
      <c r="A2040" s="20" t="s">
        <v>1615</v>
      </c>
    </row>
    <row r="2041" spans="1:12">
      <c r="A2041" s="20" t="s">
        <v>1603</v>
      </c>
      <c r="B2041" s="21" t="s">
        <v>1015</v>
      </c>
      <c r="C2041" s="21" t="s">
        <v>995</v>
      </c>
      <c r="D2041" s="21" t="s">
        <v>996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1604</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1032</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1034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1345</v>
      </c>
      <c r="B2045" s="21" t="s">
        <v>994</v>
      </c>
      <c r="C2045" s="21" t="s">
        <v>1037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1124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1007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1190</v>
      </c>
      <c r="B2048" s="21" t="s">
        <v>1050</v>
      </c>
      <c r="C2048" s="21" t="s">
        <v>995</v>
      </c>
      <c r="D2048" s="21" t="s">
        <v>996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1616</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1043</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1266</v>
      </c>
      <c r="B2051" s="21" t="s">
        <v>1010</v>
      </c>
      <c r="C2051" s="21" t="s">
        <v>995</v>
      </c>
      <c r="D2051" s="21" t="s">
        <v>996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1011</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row>
    <row r="2054" spans="1:12">
      <c r="A2054" s="20" t="s">
        <v>1617</v>
      </c>
    </row>
    <row r="2055" spans="1:12">
      <c r="A2055" s="20" t="s">
        <v>1000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1190</v>
      </c>
      <c r="B2056" s="21" t="s">
        <v>1015</v>
      </c>
      <c r="C2056" s="21" t="s">
        <v>995</v>
      </c>
      <c r="D2056" s="21" t="s">
        <v>996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1211</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1618</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1619</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1308</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1266</v>
      </c>
      <c r="B2061" s="21" t="s">
        <v>994</v>
      </c>
      <c r="C2061" s="21" t="s">
        <v>995</v>
      </c>
      <c r="D2061" s="21" t="s">
        <v>996</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1006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1211</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1227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1324</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1620</v>
      </c>
      <c r="B2066" s="21" t="s">
        <v>994</v>
      </c>
      <c r="C2066" s="21" t="s">
        <v>1037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1124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1362</v>
      </c>
      <c r="B2068" s="21" t="s">
        <v>1053</v>
      </c>
      <c r="C2068" s="21" t="s">
        <v>1016</v>
      </c>
      <c r="D2068" s="21" t="s">
        <v>996</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1165</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1018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1241</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114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1034</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1621</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1622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1623</v>
      </c>
      <c r="B2076" s="21" t="s">
        <v>1116</v>
      </c>
      <c r="C2076" s="21" t="s">
        <v>1037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1003</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1007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1624</v>
      </c>
      <c r="B2079" s="21" t="s">
        <v>1206</v>
      </c>
      <c r="C2079" s="21" t="s">
        <v>1002</v>
      </c>
      <c r="D2079" s="21" t="s">
        <v>996</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1003</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1173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1520</v>
      </c>
      <c r="B2082" s="21" t="s">
        <v>1302</v>
      </c>
      <c r="C2082" s="21" t="s">
        <v>1005</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1124</v>
      </c>
      <c r="B2083" s="21" t="s">
        <v>1625</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1185</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1234</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1626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1011</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row>
    <row r="2089" spans="1:12">
      <c r="A2089" s="20" t="s">
        <v>1627</v>
      </c>
    </row>
    <row r="2090" spans="1:12">
      <c r="A2090" s="20" t="s">
        <v>1360</v>
      </c>
      <c r="B2090" s="21" t="s">
        <v>1015</v>
      </c>
      <c r="C2090" s="21" t="s">
        <v>1016</v>
      </c>
      <c r="D2090" s="21" t="s">
        <v>996</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1361</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1267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1011</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1628</v>
      </c>
    </row>
    <row r="2096" spans="1:12">
      <c r="A2096" s="20" t="s">
        <v>1360</v>
      </c>
      <c r="B2096" s="21" t="s">
        <v>1015</v>
      </c>
      <c r="C2096" s="21" t="s">
        <v>1016</v>
      </c>
      <c r="D2096" s="21" t="s">
        <v>996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1361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1006</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1125</v>
      </c>
      <c r="B2099" s="21" t="s">
        <v>1050</v>
      </c>
      <c r="C2099" s="21" t="s">
        <v>1016</v>
      </c>
      <c r="D2099" s="21" t="s">
        <v>996</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129</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1122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1629</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1024</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1630</v>
      </c>
      <c r="B2104" s="21" t="s">
        <v>1022</v>
      </c>
      <c r="C2104" s="21" t="s">
        <v>1027</v>
      </c>
      <c r="D2104" s="21" t="s">
        <v>996</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1006</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1112</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1125</v>
      </c>
      <c r="B2107" s="21" t="s">
        <v>1050</v>
      </c>
      <c r="C2107" s="21" t="s">
        <v>1016</v>
      </c>
      <c r="D2107" s="21" t="s">
        <v>996</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53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1122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1629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1024</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1630</v>
      </c>
      <c r="B2112" s="21" t="s">
        <v>1022</v>
      </c>
      <c r="C2112" s="21" t="s">
        <v>1027</v>
      </c>
      <c r="D2112" s="21" t="s">
        <v>996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1011</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1631</v>
      </c>
    </row>
    <row r="2116" spans="1:12">
      <c r="A2116" s="20" t="s">
        <v>1223</v>
      </c>
      <c r="B2116" s="21" t="s">
        <v>1015</v>
      </c>
      <c r="C2116" s="21" t="s">
        <v>1016</v>
      </c>
      <c r="D2116" s="21" t="s">
        <v>996</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53</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1122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377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1058</v>
      </c>
      <c r="B2120" s="21" t="s">
        <v>1057</v>
      </c>
      <c r="C2120" s="21" t="s">
        <v>1016</v>
      </c>
      <c r="D2120" s="21" t="s">
        <v>996</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1115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1084</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1520</v>
      </c>
      <c r="B2123" s="21" t="s">
        <v>1022</v>
      </c>
      <c r="C2123" s="21" t="s">
        <v>1077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1125</v>
      </c>
      <c r="B2124" s="21" t="s">
        <v>1050</v>
      </c>
      <c r="C2124" s="21" t="s">
        <v>1016</v>
      </c>
      <c r="D2124" s="21" t="s">
        <v>996</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1363</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1632</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1475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1007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1139</v>
      </c>
      <c r="B2129" s="21" t="s">
        <v>1010</v>
      </c>
      <c r="C2129" s="21" t="s">
        <v>1002</v>
      </c>
      <c r="D2129" s="21" t="s">
        <v>996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1006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1330</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1018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377</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1058</v>
      </c>
      <c r="B2134" s="21" t="s">
        <v>1022</v>
      </c>
      <c r="C2134" s="21" t="s">
        <v>1016</v>
      </c>
      <c r="D2134" s="21" t="s">
        <v>996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1124</v>
      </c>
      <c r="B2135" s="21" t="s">
        <v>1053</v>
      </c>
      <c r="C2135" s="21" t="s">
        <v>1069</v>
      </c>
      <c r="D2135" s="21" t="s">
        <v>996</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1017</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134</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1018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1633</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1634</v>
      </c>
      <c r="B2140" s="21" t="s">
        <v>1206</v>
      </c>
      <c r="C2140" s="21" t="s">
        <v>1045</v>
      </c>
      <c r="D2140" s="21" t="s">
        <v>996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1595</v>
      </c>
      <c r="B2141" s="21" t="s">
        <v>1116</v>
      </c>
      <c r="C2141" s="21" t="s">
        <v>1047</v>
      </c>
      <c r="D2141" s="21" t="s">
        <v>996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1011</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row>
    <row r="2144" spans="1:12">
      <c r="A2144" s="20" t="s">
        <v>1635</v>
      </c>
    </row>
    <row r="2145" spans="1:12">
      <c r="A2145" s="20" t="s">
        <v>1208</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1006</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1014</v>
      </c>
      <c r="B2147" s="21" t="s">
        <v>1015</v>
      </c>
      <c r="C2147" s="21" t="s">
        <v>1016</v>
      </c>
      <c r="D2147" s="21" t="s">
        <v>996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1130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351</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1124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1636</v>
      </c>
      <c r="B2151" s="21" t="s">
        <v>1057</v>
      </c>
      <c r="C2151" s="21" t="s">
        <v>1027</v>
      </c>
      <c r="D2151" s="21" t="s">
        <v>996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1043</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1381</v>
      </c>
      <c r="B2153" s="21" t="s">
        <v>994</v>
      </c>
      <c r="C2153" s="21" t="s">
        <v>1016</v>
      </c>
      <c r="D2153" s="21" t="s">
        <v>996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1006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1293</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1007</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1637</v>
      </c>
      <c r="B2157" s="21" t="s">
        <v>1050</v>
      </c>
      <c r="C2157" s="21" t="s">
        <v>1002</v>
      </c>
      <c r="D2157" s="21" t="s">
        <v>996</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1006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1119</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1058</v>
      </c>
      <c r="B2160" s="21" t="s">
        <v>1053</v>
      </c>
      <c r="C2160" s="21" t="s">
        <v>1016</v>
      </c>
      <c r="D2160" s="21" t="s">
        <v>996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410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1132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1041</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1339</v>
      </c>
      <c r="B2164" s="21" t="s">
        <v>1026</v>
      </c>
      <c r="C2164" s="21" t="s">
        <v>1027</v>
      </c>
      <c r="D2164" s="21" t="s">
        <v>996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1032</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1006</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1496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1410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129</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1362</v>
      </c>
      <c r="B2170" s="21" t="s">
        <v>1050</v>
      </c>
      <c r="C2170" s="21" t="s">
        <v>1016</v>
      </c>
      <c r="D2170" s="21" t="s">
        <v>996</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1007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1638</v>
      </c>
      <c r="B2173" s="21" t="s">
        <v>1022</v>
      </c>
      <c r="C2173" s="21" t="s">
        <v>1002</v>
      </c>
      <c r="D2173" s="21" t="s">
        <v>996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1006</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1007</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1638</v>
      </c>
      <c r="B2176" s="21" t="s">
        <v>1104</v>
      </c>
      <c r="C2176" s="21" t="s">
        <v>1002</v>
      </c>
      <c r="D2176" s="21" t="s">
        <v>996</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1639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1640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1011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row>
    <row r="2181" spans="1:12">
      <c r="A2181" s="20" t="s">
        <v>1641</v>
      </c>
    </row>
    <row r="2182" spans="1:12">
      <c r="A2182" s="20" t="s">
        <v>1390</v>
      </c>
      <c r="B2182" s="21" t="s">
        <v>1015</v>
      </c>
      <c r="C2182" s="21" t="s">
        <v>1016</v>
      </c>
      <c r="D2182" s="21" t="s">
        <v>996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1156</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1639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1033</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1642</v>
      </c>
      <c r="B2186" s="21" t="s">
        <v>994</v>
      </c>
      <c r="C2186" s="21" t="s">
        <v>1005</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1011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row>
    <row r="2189" spans="1:12">
      <c r="A2189" s="20" t="s">
        <v>1643</v>
      </c>
    </row>
    <row r="2190" spans="1:12">
      <c r="A2190" s="20" t="s">
        <v>1000</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1190</v>
      </c>
      <c r="B2191" s="21" t="s">
        <v>1015</v>
      </c>
      <c r="C2191" s="21" t="s">
        <v>995</v>
      </c>
      <c r="D2191" s="21" t="s">
        <v>996</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1108</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1397</v>
      </c>
      <c r="B2193" s="21" t="s">
        <v>1010</v>
      </c>
      <c r="C2193" s="21" t="s">
        <v>1045</v>
      </c>
      <c r="D2193" s="21" t="s">
        <v>996</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1451</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1644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1440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1645</v>
      </c>
      <c r="B2197" s="21" t="s">
        <v>1057</v>
      </c>
      <c r="C2197" s="21" t="s">
        <v>1047</v>
      </c>
      <c r="D2197" s="21" t="s">
        <v>996</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1124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1646</v>
      </c>
      <c r="B2199" s="21" t="s">
        <v>1053</v>
      </c>
      <c r="C2199" s="21" t="s">
        <v>1005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1647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1648</v>
      </c>
      <c r="B2201" s="21" t="s">
        <v>1010</v>
      </c>
      <c r="C2201" s="21" t="s">
        <v>1649</v>
      </c>
      <c r="D2201" s="21" t="s">
        <v>996</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1003</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1034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1650</v>
      </c>
      <c r="B2204" s="21" t="s">
        <v>1026</v>
      </c>
      <c r="C2204" s="21" t="s">
        <v>1037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1006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1112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1559</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1121</v>
      </c>
      <c r="B2208" s="21" t="s">
        <v>1297</v>
      </c>
      <c r="C2208" s="21" t="s">
        <v>1016</v>
      </c>
      <c r="D2208" s="21" t="s">
        <v>996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1651</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1006</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1041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1650</v>
      </c>
      <c r="B2212" s="21" t="s">
        <v>1104</v>
      </c>
      <c r="C2212" s="21" t="s">
        <v>1027</v>
      </c>
      <c r="D2212" s="21" t="s">
        <v>996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1250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1043</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1395</v>
      </c>
      <c r="B2215" s="21" t="s">
        <v>1107</v>
      </c>
      <c r="C2215" s="21" t="s">
        <v>995</v>
      </c>
      <c r="D2215" s="21" t="s">
        <v>996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1006</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1362</v>
      </c>
      <c r="B2217" s="21" t="s">
        <v>1104</v>
      </c>
      <c r="C2217" s="21" t="s">
        <v>1016</v>
      </c>
      <c r="D2217" s="21" t="s">
        <v>996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719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377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1266</v>
      </c>
      <c r="B2220" s="21" t="s">
        <v>1116</v>
      </c>
      <c r="C2220" s="21" t="s">
        <v>995</v>
      </c>
      <c r="D2220" s="21" t="s">
        <v>996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1115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1084</v>
      </c>
      <c r="B2222" s="21" t="s">
        <v>1116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1003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1024</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1520</v>
      </c>
      <c r="B2225" s="21" t="s">
        <v>1206</v>
      </c>
      <c r="C2225" s="21" t="s">
        <v>1027</v>
      </c>
      <c r="D2225" s="21" t="s">
        <v>996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1362</v>
      </c>
      <c r="B2226" s="21" t="s">
        <v>1336</v>
      </c>
      <c r="C2226" s="21" t="s">
        <v>1016</v>
      </c>
      <c r="D2226" s="21" t="s">
        <v>996</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1546</v>
      </c>
      <c r="B2228" s="21" t="s">
        <v>1304</v>
      </c>
      <c r="C2228" s="21" t="s">
        <v>1005</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1006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1547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1011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row>
    <row r="2234" spans="1:12">
      <c r="A2234" s="20" t="s">
        <v>1652</v>
      </c>
    </row>
    <row r="2235" spans="1:12">
      <c r="A2235" s="20" t="s">
        <v>1155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241</v>
      </c>
      <c r="B2236" s="21" t="s">
        <v>1050</v>
      </c>
      <c r="C2236" s="21" t="s">
        <v>1052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1603</v>
      </c>
      <c r="B2237" s="21" t="s">
        <v>1104</v>
      </c>
      <c r="C2237" s="21" t="s">
        <v>995</v>
      </c>
      <c r="D2237" s="21" t="s">
        <v>996</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1604</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1653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1286</v>
      </c>
      <c r="B2240" s="21" t="s">
        <v>1116</v>
      </c>
      <c r="C2240" s="21" t="s">
        <v>1016</v>
      </c>
      <c r="D2240" s="21" t="s">
        <v>996</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1032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1543</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1520</v>
      </c>
      <c r="B2243" s="21" t="s">
        <v>1015</v>
      </c>
      <c r="C2243" s="21" t="s">
        <v>1005</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1145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1234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1626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1033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1395</v>
      </c>
      <c r="B2248" s="21" t="s">
        <v>994</v>
      </c>
      <c r="C2248" s="21" t="s">
        <v>995</v>
      </c>
      <c r="D2248" s="21" t="s">
        <v>996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1120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1654</v>
      </c>
      <c r="B2250" s="21" t="s">
        <v>994</v>
      </c>
      <c r="C2250" s="21" t="s">
        <v>995</v>
      </c>
      <c r="D2250" s="21" t="s">
        <v>996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1312</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1227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1145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1033</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1039</v>
      </c>
      <c r="B2255" s="21" t="s">
        <v>1010</v>
      </c>
      <c r="C2255" s="21" t="s">
        <v>995</v>
      </c>
      <c r="D2255" s="21" t="s">
        <v>996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1120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1655</v>
      </c>
      <c r="B2257" s="21" t="s">
        <v>1026</v>
      </c>
      <c r="C2257" s="21" t="s">
        <v>995</v>
      </c>
      <c r="D2257" s="21" t="s">
        <v>996</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1011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row>
    <row r="2260" spans="1:12">
      <c r="A2260" s="20" t="s">
        <v>1656</v>
      </c>
    </row>
    <row r="2261" spans="1:12">
      <c r="A2261" s="20" t="s">
        <v>1014</v>
      </c>
      <c r="B2261" s="21" t="s">
        <v>1015</v>
      </c>
      <c r="C2261" s="21" t="s">
        <v>1016</v>
      </c>
      <c r="D2261" s="21" t="s">
        <v>996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1136</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1496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1657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1124</v>
      </c>
      <c r="B2265" s="21" t="s">
        <v>1050</v>
      </c>
      <c r="C2265" s="21" t="s">
        <v>1069</v>
      </c>
      <c r="D2265" s="21" t="s">
        <v>996</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1156</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241</v>
      </c>
      <c r="B2267" s="21" t="s">
        <v>1010</v>
      </c>
      <c r="C2267" s="21" t="s">
        <v>1052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1172</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1215</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1658</v>
      </c>
      <c r="B2270" s="21" t="s">
        <v>1050</v>
      </c>
      <c r="C2270" s="21" t="s">
        <v>1037</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1126</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134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1659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1078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1011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row>
    <row r="2277" spans="1:12">
      <c r="A2277" s="20" t="s">
        <v>1660</v>
      </c>
    </row>
    <row r="2278" spans="1:12">
      <c r="A2278" s="20" t="s">
        <v>1074</v>
      </c>
      <c r="B2278" s="21" t="s">
        <v>994</v>
      </c>
      <c r="C2278" s="21" t="s">
        <v>1005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998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29</v>
      </c>
      <c r="B2280" s="21" t="s">
        <v>1010</v>
      </c>
      <c r="C2280" s="21" t="s">
        <v>995</v>
      </c>
      <c r="D2280" s="21" t="s">
        <v>996</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1006</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1227</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1211</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1034</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1181</v>
      </c>
      <c r="B2285" s="21" t="s">
        <v>1015</v>
      </c>
      <c r="C2285" s="21" t="s">
        <v>1037</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1661</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1033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1007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1514</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1515</v>
      </c>
      <c r="B2290" s="21" t="s">
        <v>1026</v>
      </c>
      <c r="C2290" s="21" t="s">
        <v>995</v>
      </c>
      <c r="D2290" s="21" t="s">
        <v>996</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1006</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1662</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1043</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1634</v>
      </c>
      <c r="B2294" s="21" t="s">
        <v>1026</v>
      </c>
      <c r="C2294" s="21" t="s">
        <v>1045</v>
      </c>
      <c r="D2294" s="21" t="s">
        <v>996</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1440</v>
      </c>
      <c r="B2295" s="21" t="s">
        <v>1010</v>
      </c>
      <c r="C2295" s="21" t="s">
        <v>1047</v>
      </c>
      <c r="D2295" s="21" t="s">
        <v>996</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1011</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row>
    <row r="2298" spans="1:12">
      <c r="A2298" s="20" t="s">
        <v>1163</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1663</v>
      </c>
    </row>
    <row r="2300" spans="1:12">
      <c r="A2300" s="20" t="s">
        <v>1000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1664</v>
      </c>
      <c r="B2301" s="21" t="s">
        <v>1015</v>
      </c>
      <c r="C2301" s="21" t="s">
        <v>1002</v>
      </c>
      <c r="D2301" s="21" t="s">
        <v>996</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1651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1006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1167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1190</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1518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1595</v>
      </c>
      <c r="B2307" s="21" t="s">
        <v>1050</v>
      </c>
      <c r="C2307" s="21" t="s">
        <v>1095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1665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1666</v>
      </c>
      <c r="B2309" s="21" t="s">
        <v>1022</v>
      </c>
      <c r="C2309" s="21" t="s">
        <v>1005</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1003</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1667</v>
      </c>
      <c r="B2311" s="21" t="s">
        <v>1026</v>
      </c>
      <c r="C2311" s="21" t="s">
        <v>1005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1668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1183</v>
      </c>
      <c r="B2313" s="21" t="s">
        <v>1107</v>
      </c>
      <c r="C2313" s="21" t="s">
        <v>1005</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1011</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1167</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row>
    <row r="2317" spans="1:12">
      <c r="A2317" s="20" t="s">
        <v>1669</v>
      </c>
    </row>
    <row r="2318" spans="1:12">
      <c r="A2318" s="20" t="s">
        <v>1670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1286</v>
      </c>
      <c r="B2319" s="21" t="s">
        <v>1057</v>
      </c>
      <c r="C2319" s="21" t="s">
        <v>1016</v>
      </c>
      <c r="D2319" s="21" t="s">
        <v>996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1120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1124</v>
      </c>
      <c r="B2321" s="21" t="s">
        <v>994</v>
      </c>
      <c r="C2321" s="21" t="s">
        <v>1069</v>
      </c>
      <c r="D2321" s="21" t="s">
        <v>996</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1011</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row>
    <row r="2324" spans="1:12">
      <c r="A2324" s="20" t="s">
        <v>1671</v>
      </c>
    </row>
    <row r="2325" spans="1:12">
      <c r="A2325" s="20" t="s">
        <v>1100</v>
      </c>
      <c r="B2325" s="21" t="s">
        <v>994</v>
      </c>
      <c r="C2325" s="21" t="s">
        <v>1005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998</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1223</v>
      </c>
      <c r="B2327" s="21" t="s">
        <v>1050</v>
      </c>
      <c r="C2327" s="21" t="s">
        <v>1016</v>
      </c>
      <c r="D2327" s="21" t="s">
        <v>996</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1228</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1672</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1033</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1673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1674</v>
      </c>
      <c r="B2332" s="21" t="s">
        <v>1010</v>
      </c>
      <c r="C2332" s="21" t="s">
        <v>1005</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1086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1183</v>
      </c>
      <c r="B2334" s="21" t="s">
        <v>1010</v>
      </c>
      <c r="C2334" s="21" t="s">
        <v>1005</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1006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1121</v>
      </c>
      <c r="B2336" s="21" t="s">
        <v>1050</v>
      </c>
      <c r="C2336" s="21" t="s">
        <v>1016</v>
      </c>
      <c r="D2336" s="21" t="s">
        <v>996</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1211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1172</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1070</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1501</v>
      </c>
      <c r="B2340" s="21" t="s">
        <v>994</v>
      </c>
      <c r="C2340" s="21" t="s">
        <v>1037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1078</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1457</v>
      </c>
      <c r="B2342" s="21" t="s">
        <v>1010</v>
      </c>
      <c r="C2342" s="21" t="s">
        <v>1066</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22</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1111</v>
      </c>
      <c r="B2344" s="21" t="s">
        <v>1026</v>
      </c>
      <c r="C2344" s="21" t="s">
        <v>1016</v>
      </c>
      <c r="D2344" s="21" t="s">
        <v>996</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1103</v>
      </c>
      <c r="B2345" s="21" t="s">
        <v>1104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1250</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1043</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1007</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1190</v>
      </c>
      <c r="B2349" s="21" t="s">
        <v>1107</v>
      </c>
      <c r="C2349" s="21" t="s">
        <v>995</v>
      </c>
      <c r="D2349" s="21" t="s">
        <v>996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1112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1103</v>
      </c>
      <c r="B2351" s="21" t="s">
        <v>1297</v>
      </c>
      <c r="C2351" s="21" t="s">
        <v>1052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1156</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1160</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1007</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1455</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1644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1201</v>
      </c>
      <c r="B2357" s="21" t="s">
        <v>1299</v>
      </c>
      <c r="C2357" s="21" t="s">
        <v>1002</v>
      </c>
      <c r="D2357" s="21" t="s">
        <v>996</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1006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1675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241</v>
      </c>
      <c r="B2360" s="21" t="s">
        <v>1219</v>
      </c>
      <c r="C2360" s="21" t="s">
        <v>1052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1156</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1033</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1381</v>
      </c>
      <c r="B2363" s="21" t="s">
        <v>1206</v>
      </c>
      <c r="C2363" s="21" t="s">
        <v>1016</v>
      </c>
      <c r="D2363" s="21" t="s">
        <v>996</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1006</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1018</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34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1676</v>
      </c>
      <c r="B2367" s="21" t="s">
        <v>1299</v>
      </c>
      <c r="C2367" s="21" t="s">
        <v>1005</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1677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1678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1679</v>
      </c>
      <c r="B2370" s="21" t="s">
        <v>1302</v>
      </c>
      <c r="C2370" s="21" t="s">
        <v>1005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1124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1227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1165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1082</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1267</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1680</v>
      </c>
      <c r="B2376" s="21" t="s">
        <v>1336</v>
      </c>
      <c r="C2376" s="21" t="s">
        <v>1077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1006</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1124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1227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1165</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1082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1267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1681</v>
      </c>
      <c r="B2383" s="21" t="s">
        <v>1297</v>
      </c>
      <c r="C2383" s="21" t="s">
        <v>1047</v>
      </c>
      <c r="D2383" s="21" t="s">
        <v>996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1003</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1007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1190</v>
      </c>
      <c r="B2386" s="21" t="s">
        <v>1304</v>
      </c>
      <c r="C2386" s="21" t="s">
        <v>995</v>
      </c>
      <c r="D2386" s="21" t="s">
        <v>996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1156</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1665</v>
      </c>
      <c r="B2388" s="21" t="s">
        <v>1302</v>
      </c>
      <c r="C2388" s="21" t="s">
        <v>1047</v>
      </c>
      <c r="D2388" s="21" t="s">
        <v>996</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1006</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1119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1125</v>
      </c>
      <c r="B2391" s="21" t="s">
        <v>1297</v>
      </c>
      <c r="C2391" s="21" t="s">
        <v>1016</v>
      </c>
      <c r="D2391" s="21" t="s">
        <v>996</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1682</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1041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1181</v>
      </c>
      <c r="B2394" s="21" t="s">
        <v>1219</v>
      </c>
      <c r="C2394" s="21" t="s">
        <v>1027</v>
      </c>
      <c r="D2394" s="21" t="s">
        <v>996</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1211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1493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1011</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row>
    <row r="2399" spans="1:12">
      <c r="A2399" s="20" t="s">
        <v>1683</v>
      </c>
    </row>
    <row r="2400" spans="1:12">
      <c r="A2400" s="20" t="s">
        <v>1118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241</v>
      </c>
      <c r="B2401" s="21" t="s">
        <v>1015</v>
      </c>
      <c r="C2401" s="21" t="s">
        <v>1052</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1156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1684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1685</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1120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1041</v>
      </c>
      <c r="B2406" s="21" t="s">
        <v>994</v>
      </c>
      <c r="C2406" s="21" t="s">
        <v>1069</v>
      </c>
      <c r="D2406" s="21" t="s">
        <v>996</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1006</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1120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1007</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1060</v>
      </c>
      <c r="B2410" s="21" t="s">
        <v>994</v>
      </c>
      <c r="C2410" s="21" t="s">
        <v>1002</v>
      </c>
      <c r="D2410" s="21" t="s">
        <v>996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1124</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1007</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1190</v>
      </c>
      <c r="B2413" s="21" t="s">
        <v>1053</v>
      </c>
      <c r="C2413" s="21" t="s">
        <v>995</v>
      </c>
      <c r="D2413" s="21" t="s">
        <v>996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1108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1686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1195</v>
      </c>
      <c r="B2416" s="21" t="s">
        <v>1107</v>
      </c>
      <c r="C2416" s="21" t="s">
        <v>1045</v>
      </c>
      <c r="D2416" s="21" t="s">
        <v>996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1451</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1665</v>
      </c>
      <c r="B2418" s="21" t="s">
        <v>1051</v>
      </c>
      <c r="C2418" s="21" t="s">
        <v>1047</v>
      </c>
      <c r="D2418" s="21" t="s">
        <v>996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1006</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1195</v>
      </c>
      <c r="B2420" s="21" t="s">
        <v>1026</v>
      </c>
      <c r="C2420" s="21" t="s">
        <v>1045</v>
      </c>
      <c r="D2420" s="21" t="s">
        <v>996</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1451</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1268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1666</v>
      </c>
      <c r="B2423" s="21" t="s">
        <v>1010</v>
      </c>
      <c r="C2423" s="21" t="s">
        <v>1047</v>
      </c>
      <c r="D2423" s="21" t="s">
        <v>996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1003</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1667</v>
      </c>
      <c r="B2425" s="21" t="s">
        <v>1026</v>
      </c>
      <c r="C2425" s="21" t="s">
        <v>1005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1033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1034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1326</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1183</v>
      </c>
      <c r="B2429" s="21" t="s">
        <v>1026</v>
      </c>
      <c r="C2429" s="21" t="s">
        <v>1037</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1006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1687</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1404</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1688</v>
      </c>
      <c r="B2433" s="21" t="s">
        <v>1026</v>
      </c>
      <c r="C2433" s="21" t="s">
        <v>1077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1308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1522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1006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1404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1688</v>
      </c>
      <c r="B2438" s="21" t="s">
        <v>1219</v>
      </c>
      <c r="C2438" s="21" t="s">
        <v>1077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1261</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1003</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1024</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1689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1006</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1124</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1690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1543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1312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1691</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1152</v>
      </c>
      <c r="B2449" s="21" t="s">
        <v>1299</v>
      </c>
      <c r="C2449" s="21" t="s">
        <v>1077</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1011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row>
    <row r="2452" spans="1:12">
      <c r="A2452" s="20" t="s">
        <v>1692</v>
      </c>
    </row>
    <row r="2453" spans="1:12">
      <c r="A2453" s="20" t="s">
        <v>1693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1694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1688</v>
      </c>
      <c r="B2455" s="21" t="s">
        <v>994</v>
      </c>
      <c r="C2455" s="21" t="s">
        <v>1037</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1006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1362</v>
      </c>
      <c r="B2457" s="21" t="s">
        <v>1015</v>
      </c>
      <c r="C2457" s="21" t="s">
        <v>1016</v>
      </c>
      <c r="D2457" s="21" t="s">
        <v>996</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1626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1133</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1007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1695</v>
      </c>
      <c r="B2461" s="21" t="s">
        <v>1057</v>
      </c>
      <c r="C2461" s="21" t="s">
        <v>1002</v>
      </c>
      <c r="D2461" s="21" t="s">
        <v>996</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1033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1514</v>
      </c>
      <c r="B2463" s="21" t="s">
        <v>1010</v>
      </c>
      <c r="C2463" s="21" t="s">
        <v>995</v>
      </c>
      <c r="D2463" s="21" t="s">
        <v>996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1006</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1696</v>
      </c>
      <c r="B2465" s="21" t="s">
        <v>1026</v>
      </c>
      <c r="C2465" s="21" t="s">
        <v>995</v>
      </c>
      <c r="D2465" s="21" t="s">
        <v>996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1006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1308</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1697</v>
      </c>
      <c r="B2468" s="21" t="s">
        <v>994</v>
      </c>
      <c r="C2468" s="21" t="s">
        <v>1005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1011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row>
    <row r="2471" spans="1:12">
      <c r="A2471" s="20" t="s">
        <v>1698</v>
      </c>
    </row>
    <row r="2472" spans="1:12">
      <c r="A2472" s="20" t="s">
        <v>1056</v>
      </c>
      <c r="B2472" s="21" t="s">
        <v>1015</v>
      </c>
      <c r="C2472" s="21" t="s">
        <v>1052</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1156</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1070</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1120</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1041</v>
      </c>
      <c r="B2476" s="21" t="s">
        <v>994</v>
      </c>
      <c r="C2476" s="21" t="s">
        <v>1069</v>
      </c>
      <c r="D2476" s="21" t="s">
        <v>996</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1006</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1041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1699</v>
      </c>
      <c r="B2479" s="21" t="s">
        <v>1050</v>
      </c>
      <c r="C2479" s="21" t="s">
        <v>1027</v>
      </c>
      <c r="D2479" s="21" t="s">
        <v>996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1006</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1124</v>
      </c>
      <c r="B2481" s="21" t="s">
        <v>1050</v>
      </c>
      <c r="C2481" s="21" t="s">
        <v>1069</v>
      </c>
      <c r="D2481" s="21" t="s">
        <v>996</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1402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1122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864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1124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1700</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1701</v>
      </c>
      <c r="B2487" s="21" t="s">
        <v>1022</v>
      </c>
      <c r="C2487" s="21" t="s">
        <v>1005</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1006</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1032</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1007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1060</v>
      </c>
      <c r="B2491" s="21" t="s">
        <v>1050</v>
      </c>
      <c r="C2491" s="21" t="s">
        <v>1002</v>
      </c>
      <c r="D2491" s="21" t="s">
        <v>996</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1124</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1496</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1410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1185</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1227</v>
      </c>
      <c r="B2496" s="21" t="s">
        <v>1026</v>
      </c>
      <c r="C2496" s="21" t="s">
        <v>1342</v>
      </c>
      <c r="D2496" s="21" t="s">
        <v>996</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1689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1680</v>
      </c>
      <c r="B2498" s="21" t="s">
        <v>1104</v>
      </c>
      <c r="C2498" s="21" t="s">
        <v>1077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1006</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1007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1702</v>
      </c>
      <c r="B2501" s="21" t="s">
        <v>1053</v>
      </c>
      <c r="C2501" s="21" t="s">
        <v>1047</v>
      </c>
      <c r="D2501" s="21" t="s">
        <v>996</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1003</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1007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1703</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1704</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1705</v>
      </c>
      <c r="B2506" s="21" t="s">
        <v>1107</v>
      </c>
      <c r="C2506" s="21" t="s">
        <v>995</v>
      </c>
      <c r="D2506" s="21" t="s">
        <v>996</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1006</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1706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1707</v>
      </c>
      <c r="B2509" s="21" t="s">
        <v>1107</v>
      </c>
      <c r="C2509" s="21" t="s">
        <v>995</v>
      </c>
      <c r="D2509" s="21" t="s">
        <v>996</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1006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1165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1496</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1160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1041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1699</v>
      </c>
      <c r="B2515" s="21" t="s">
        <v>1051</v>
      </c>
      <c r="C2515" s="21" t="s">
        <v>1027</v>
      </c>
      <c r="D2515" s="21" t="s">
        <v>996</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1708</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1007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1514</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1515</v>
      </c>
      <c r="B2519" s="21" t="s">
        <v>1010</v>
      </c>
      <c r="C2519" s="21" t="s">
        <v>995</v>
      </c>
      <c r="D2519" s="21" t="s">
        <v>996</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1709</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1710</v>
      </c>
      <c r="B2521" s="21" t="s">
        <v>1022</v>
      </c>
      <c r="C2521" s="21" t="s">
        <v>1016</v>
      </c>
      <c r="D2521" s="21" t="s">
        <v>996</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1711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1078</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1712</v>
      </c>
      <c r="B2524" s="21" t="s">
        <v>1107</v>
      </c>
      <c r="C2524" s="21" t="s">
        <v>1005</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1141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1007</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1699</v>
      </c>
      <c r="B2527" s="21" t="s">
        <v>1206</v>
      </c>
      <c r="C2527" s="21" t="s">
        <v>1002</v>
      </c>
      <c r="D2527" s="21" t="s">
        <v>996</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1011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row>
    <row r="2530" spans="1:12">
      <c r="A2530" s="20" t="s">
        <v>1713</v>
      </c>
    </row>
    <row r="2531" spans="1:12">
      <c r="A2531" s="20" t="s">
        <v>1155</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1714</v>
      </c>
      <c r="B2532" s="21" t="s">
        <v>1015</v>
      </c>
      <c r="C2532" s="21" t="s">
        <v>1016</v>
      </c>
      <c r="D2532" s="21" t="s">
        <v>996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1715</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1716</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1034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1560</v>
      </c>
      <c r="B2536" s="21" t="s">
        <v>1057</v>
      </c>
      <c r="C2536" s="21" t="s">
        <v>1037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1043</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1007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1190</v>
      </c>
      <c r="B2539" s="21" t="s">
        <v>994</v>
      </c>
      <c r="C2539" s="21" t="s">
        <v>995</v>
      </c>
      <c r="D2539" s="21" t="s">
        <v>996</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1112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1717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1121</v>
      </c>
      <c r="B2542" s="21" t="s">
        <v>1022</v>
      </c>
      <c r="C2542" s="21" t="s">
        <v>1016</v>
      </c>
      <c r="D2542" s="21" t="s">
        <v>996</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1006</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1293</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1165</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1278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1160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1041</v>
      </c>
      <c r="B2548" s="21" t="s">
        <v>1022</v>
      </c>
      <c r="C2548" s="21" t="s">
        <v>1069</v>
      </c>
      <c r="D2548" s="21" t="s">
        <v>996</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1214</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1124</v>
      </c>
      <c r="B2550" s="21" t="s">
        <v>1026</v>
      </c>
      <c r="C2550" s="21" t="s">
        <v>1069</v>
      </c>
      <c r="D2550" s="21" t="s">
        <v>996</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1011</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row>
    <row r="2553" spans="1:12">
      <c r="A2553" s="20" t="s">
        <v>1718</v>
      </c>
    </row>
    <row r="2554" spans="1:12">
      <c r="A2554" s="20" t="s">
        <v>1056</v>
      </c>
      <c r="B2554" s="21" t="s">
        <v>1057</v>
      </c>
      <c r="C2554" s="21" t="s">
        <v>1052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1131</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1124</v>
      </c>
      <c r="B2556" s="21" t="s">
        <v>1015</v>
      </c>
      <c r="C2556" s="21" t="s">
        <v>1069</v>
      </c>
      <c r="D2556" s="21" t="s">
        <v>996</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1120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1007</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1719</v>
      </c>
      <c r="B2560" s="21" t="s">
        <v>994</v>
      </c>
      <c r="C2560" s="21" t="s">
        <v>1002</v>
      </c>
      <c r="D2560" s="21" t="s">
        <v>996</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1003</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1720</v>
      </c>
      <c r="B2562" s="21" t="s">
        <v>1010</v>
      </c>
      <c r="C2562" s="21" t="s">
        <v>1005</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1033</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1173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1215</v>
      </c>
      <c r="B2565" s="21" t="s">
        <v>994</v>
      </c>
      <c r="C2565" s="21" t="s">
        <v>1005</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1119</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1007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1702</v>
      </c>
      <c r="B2568" s="21" t="s">
        <v>1050</v>
      </c>
      <c r="C2568" s="21" t="s">
        <v>1047</v>
      </c>
      <c r="D2568" s="21" t="s">
        <v>996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1003</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1007</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1703</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1704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1705</v>
      </c>
      <c r="B2573" s="21" t="s">
        <v>1026</v>
      </c>
      <c r="C2573" s="21" t="s">
        <v>995</v>
      </c>
      <c r="D2573" s="21" t="s">
        <v>996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1108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1267</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1721</v>
      </c>
      <c r="B2576" s="21" t="s">
        <v>1022</v>
      </c>
      <c r="C2576" s="21" t="s">
        <v>1077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1124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1007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1665</v>
      </c>
      <c r="B2579" s="21" t="s">
        <v>1104</v>
      </c>
      <c r="C2579" s="21" t="s">
        <v>1002</v>
      </c>
      <c r="D2579" s="21" t="s">
        <v>996</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1145</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1234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1661</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1666</v>
      </c>
      <c r="B2583" s="21" t="s">
        <v>1026</v>
      </c>
      <c r="C2583" s="21" t="s">
        <v>1005</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1003</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1667</v>
      </c>
      <c r="B2585" s="21" t="s">
        <v>1107</v>
      </c>
      <c r="C2585" s="21" t="s">
        <v>1005</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1555</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1183</v>
      </c>
      <c r="B2587" s="21" t="s">
        <v>1107</v>
      </c>
      <c r="C2587" s="21" t="s">
        <v>1095</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1061</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row>
    <row r="2590" spans="1:12">
      <c r="A2590" s="20" t="s">
        <v>1722</v>
      </c>
    </row>
    <row r="2591" spans="1:12">
      <c r="A2591" s="20" t="s">
        <v>1074</v>
      </c>
      <c r="B2591" s="21" t="s">
        <v>994</v>
      </c>
      <c r="C2591" s="21" t="s">
        <v>1005</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998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29</v>
      </c>
      <c r="B2593" s="21" t="s">
        <v>994</v>
      </c>
      <c r="C2593" s="21" t="s">
        <v>995</v>
      </c>
      <c r="D2593" s="21" t="s">
        <v>996</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1006</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1404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1723</v>
      </c>
      <c r="B2596" s="21" t="s">
        <v>1050</v>
      </c>
      <c r="C2596" s="21" t="s">
        <v>1077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1018</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1041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1180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1106</v>
      </c>
      <c r="B2600" s="21" t="s">
        <v>1026</v>
      </c>
      <c r="C2600" s="21" t="s">
        <v>1027</v>
      </c>
      <c r="D2600" s="21" t="s">
        <v>996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1032</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1041</v>
      </c>
      <c r="B2602" s="21" t="s">
        <v>994</v>
      </c>
      <c r="C2602" s="21" t="s">
        <v>1069</v>
      </c>
      <c r="D2602" s="21" t="s">
        <v>996</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998</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row>
    <row r="2605" spans="1:12">
      <c r="A2605" s="20" t="s">
        <v>1724</v>
      </c>
    </row>
    <row r="2606" spans="1:12">
      <c r="A2606" s="20" t="s">
        <v>1725</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1126</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1125</v>
      </c>
      <c r="B2608" s="21" t="s">
        <v>1015</v>
      </c>
      <c r="C2608" s="21" t="s">
        <v>1016</v>
      </c>
      <c r="D2608" s="21" t="s">
        <v>996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406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1120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1133</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1041</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1376</v>
      </c>
      <c r="B2613" s="21" t="s">
        <v>994</v>
      </c>
      <c r="C2613" s="21" t="s">
        <v>1027</v>
      </c>
      <c r="D2613" s="21" t="s">
        <v>996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1006</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1726</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1061</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row>
    <row r="2618" spans="1:12">
      <c r="A2618" s="20" t="s">
        <v>1727</v>
      </c>
    </row>
    <row r="2619" spans="1:12">
      <c r="A2619" s="20" t="s">
        <v>1014</v>
      </c>
      <c r="B2619" s="21" t="s">
        <v>1050</v>
      </c>
      <c r="C2619" s="21" t="s">
        <v>1016</v>
      </c>
      <c r="D2619" s="21" t="s">
        <v>996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245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1006</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410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1006</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1559</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1058</v>
      </c>
      <c r="B2625" s="21" t="s">
        <v>1050</v>
      </c>
      <c r="C2625" s="21" t="s">
        <v>1016</v>
      </c>
      <c r="D2625" s="21" t="s">
        <v>996</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1081</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1224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1728</v>
      </c>
      <c r="B2628" s="21" t="s">
        <v>1022</v>
      </c>
      <c r="C2628" s="21" t="s">
        <v>1102</v>
      </c>
      <c r="D2628" s="21" t="s">
        <v>996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1729</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1006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1058</v>
      </c>
      <c r="B2631" s="21" t="s">
        <v>1050</v>
      </c>
      <c r="C2631" s="21" t="s">
        <v>1016</v>
      </c>
      <c r="D2631" s="21" t="s">
        <v>996</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1081</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1607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1728</v>
      </c>
      <c r="B2634" s="21" t="s">
        <v>1022</v>
      </c>
      <c r="C2634" s="21" t="s">
        <v>1102</v>
      </c>
      <c r="D2634" s="21" t="s">
        <v>996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1018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1730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1120</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1011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1731</v>
      </c>
    </row>
    <row r="2641" spans="1:12">
      <c r="A2641" s="20" t="s">
        <v>1056</v>
      </c>
      <c r="B2641" s="21" t="s">
        <v>1015</v>
      </c>
      <c r="C2641" s="21" t="s">
        <v>1052</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1156</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1729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1098</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1124</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1414</v>
      </c>
      <c r="B2646" s="21" t="s">
        <v>994</v>
      </c>
      <c r="C2646" s="21" t="s">
        <v>1027</v>
      </c>
      <c r="D2646" s="21" t="s">
        <v>996</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1003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727</v>
      </c>
      <c r="B2648" s="21" t="s">
        <v>1010</v>
      </c>
      <c r="C2648" s="21" t="s">
        <v>1005</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1061</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row>
    <row r="2651" spans="1:12">
      <c r="A2651" s="20" t="s">
        <v>1732</v>
      </c>
    </row>
    <row r="2652" spans="1:12">
      <c r="A2652" s="20" t="s">
        <v>1100</v>
      </c>
      <c r="B2652" s="21" t="s">
        <v>994</v>
      </c>
      <c r="C2652" s="21" t="s">
        <v>1005</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998</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1733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1006</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1048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1007</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1353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1501</v>
      </c>
      <c r="B2659" s="21" t="s">
        <v>1050</v>
      </c>
      <c r="C2659" s="21" t="s">
        <v>1002</v>
      </c>
      <c r="D2659" s="21" t="s">
        <v>996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1032</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1006</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1058</v>
      </c>
      <c r="B2662" s="21" t="s">
        <v>1053</v>
      </c>
      <c r="C2662" s="21" t="s">
        <v>1016</v>
      </c>
      <c r="D2662" s="21" t="s">
        <v>996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1363</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1309</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1264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1634</v>
      </c>
      <c r="B2666" s="21" t="s">
        <v>1107</v>
      </c>
      <c r="C2666" s="21" t="s">
        <v>1045</v>
      </c>
      <c r="D2666" s="21" t="s">
        <v>996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1001</v>
      </c>
      <c r="B2667" s="21" t="s">
        <v>1051</v>
      </c>
      <c r="C2667" s="21" t="s">
        <v>1047</v>
      </c>
      <c r="D2667" s="21" t="s">
        <v>996</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1011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row>
    <row r="2670" spans="1:12">
      <c r="A2670" s="20" t="s">
        <v>1734</v>
      </c>
    </row>
    <row r="2671" spans="1:12">
      <c r="A2671" s="20" t="s">
        <v>1080</v>
      </c>
      <c r="B2671" s="21" t="s">
        <v>1015</v>
      </c>
      <c r="C2671" s="21" t="s">
        <v>1016</v>
      </c>
      <c r="D2671" s="21" t="s">
        <v>996</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1363</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1735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1505</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1006</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1058</v>
      </c>
      <c r="B2676" s="21" t="s">
        <v>1050</v>
      </c>
      <c r="C2676" s="21" t="s">
        <v>1016</v>
      </c>
      <c r="D2676" s="21" t="s">
        <v>996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425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1006</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1014</v>
      </c>
      <c r="B2679" s="21" t="s">
        <v>1053</v>
      </c>
      <c r="C2679" s="21" t="s">
        <v>1016</v>
      </c>
      <c r="D2679" s="21" t="s">
        <v>996</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129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1122</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141</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1014</v>
      </c>
      <c r="B2683" s="21" t="s">
        <v>1104</v>
      </c>
      <c r="C2683" s="21" t="s">
        <v>1016</v>
      </c>
      <c r="D2683" s="21" t="s">
        <v>996</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1136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1265</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1018</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301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1381</v>
      </c>
      <c r="B2688" s="21" t="s">
        <v>1299</v>
      </c>
      <c r="C2688" s="21" t="s">
        <v>1016</v>
      </c>
      <c r="D2688" s="21" t="s">
        <v>996</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1006</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1048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1014</v>
      </c>
      <c r="B2691" s="21" t="s">
        <v>1050</v>
      </c>
      <c r="C2691" s="21" t="s">
        <v>1016</v>
      </c>
      <c r="D2691" s="21" t="s">
        <v>996</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1136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1175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1265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1018</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1736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1124</v>
      </c>
      <c r="B2697" s="21" t="s">
        <v>1051</v>
      </c>
      <c r="C2697" s="21" t="s">
        <v>1069</v>
      </c>
      <c r="D2697" s="21" t="s">
        <v>996</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1006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1058</v>
      </c>
      <c r="B2699" s="21" t="s">
        <v>1053</v>
      </c>
      <c r="C2699" s="21" t="s">
        <v>1016</v>
      </c>
      <c r="D2699" s="21" t="s">
        <v>996</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425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1006</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165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1156</v>
      </c>
      <c r="B2703" s="21" t="s">
        <v>1022</v>
      </c>
      <c r="C2703" s="21" t="s">
        <v>1016</v>
      </c>
      <c r="D2703" s="21" t="s">
        <v>996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864</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1737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1003</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1381</v>
      </c>
      <c r="B2707" s="21" t="s">
        <v>1107</v>
      </c>
      <c r="C2707" s="21" t="s">
        <v>1016</v>
      </c>
      <c r="D2707" s="21" t="s">
        <v>996</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1006</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1121</v>
      </c>
      <c r="B2709" s="21" t="s">
        <v>1050</v>
      </c>
      <c r="C2709" s="21" t="s">
        <v>1016</v>
      </c>
      <c r="D2709" s="21" t="s">
        <v>996</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1131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1122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1130</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77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1006</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1246</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1738</v>
      </c>
      <c r="B2716" s="21" t="s">
        <v>1022</v>
      </c>
      <c r="C2716" s="21" t="s">
        <v>1027</v>
      </c>
      <c r="D2716" s="21" t="s">
        <v>996</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1145</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1265</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1018</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129</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1007</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1501</v>
      </c>
      <c r="B2723" s="21" t="s">
        <v>1116</v>
      </c>
      <c r="C2723" s="21" t="s">
        <v>1002</v>
      </c>
      <c r="D2723" s="21" t="s">
        <v>996</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1011</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row>
    <row r="2726" spans="1:12">
      <c r="A2726" s="20" t="s">
        <v>1739</v>
      </c>
    </row>
    <row r="2727" spans="1:12">
      <c r="A2727" s="20" t="s">
        <v>1740</v>
      </c>
      <c r="B2727" s="21" t="s">
        <v>1010</v>
      </c>
      <c r="C2727" s="21" t="s">
        <v>1045</v>
      </c>
      <c r="D2727" s="21" t="s">
        <v>996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1001</v>
      </c>
      <c r="B2728" s="21" t="s">
        <v>1015</v>
      </c>
      <c r="C2728" s="21" t="s">
        <v>1047</v>
      </c>
      <c r="D2728" s="21" t="s">
        <v>996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77</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1330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1058</v>
      </c>
      <c r="B2731" s="21" t="s">
        <v>1015</v>
      </c>
      <c r="C2731" s="21" t="s">
        <v>1016</v>
      </c>
      <c r="D2731" s="21" t="s">
        <v>996</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1278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425</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1119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1058</v>
      </c>
      <c r="B2735" s="21" t="s">
        <v>1050</v>
      </c>
      <c r="C2735" s="21" t="s">
        <v>1016</v>
      </c>
      <c r="D2735" s="21" t="s">
        <v>996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1363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1265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1018</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301</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1381</v>
      </c>
      <c r="B2740" s="21" t="s">
        <v>1051</v>
      </c>
      <c r="C2740" s="21" t="s">
        <v>1016</v>
      </c>
      <c r="D2740" s="21" t="s">
        <v>996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1011</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row>
    <row r="2743" spans="1:12">
      <c r="A2743" s="20" t="s">
        <v>1741</v>
      </c>
    </row>
    <row r="2744" spans="1:12">
      <c r="A2744" s="20" t="s">
        <v>1742</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1124</v>
      </c>
      <c r="B2745" s="21" t="s">
        <v>994</v>
      </c>
      <c r="C2745" s="21" t="s">
        <v>1069</v>
      </c>
      <c r="D2745" s="21" t="s">
        <v>996</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1006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1121</v>
      </c>
      <c r="B2747" s="21" t="s">
        <v>1015</v>
      </c>
      <c r="C2747" s="21" t="s">
        <v>1016</v>
      </c>
      <c r="D2747" s="21" t="s">
        <v>996</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1156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1034</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1598</v>
      </c>
      <c r="B2750" s="21" t="s">
        <v>994</v>
      </c>
      <c r="C2750" s="21" t="s">
        <v>1047</v>
      </c>
      <c r="D2750" s="21" t="s">
        <v>996</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1003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1242</v>
      </c>
      <c r="B2752" s="21" t="s">
        <v>1010</v>
      </c>
      <c r="C2752" s="21" t="s">
        <v>1045</v>
      </c>
      <c r="D2752" s="21" t="s">
        <v>996</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1743</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1744</v>
      </c>
      <c r="B2754" s="21" t="s">
        <v>994</v>
      </c>
      <c r="C2754" s="21" t="s">
        <v>1047</v>
      </c>
      <c r="D2754" s="21" t="s">
        <v>996</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1006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1496</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1175</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1033</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1395</v>
      </c>
      <c r="B2759" s="21" t="s">
        <v>994</v>
      </c>
      <c r="C2759" s="21" t="s">
        <v>995</v>
      </c>
      <c r="D2759" s="21" t="s">
        <v>996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1006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1293</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1033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1745</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1153</v>
      </c>
      <c r="B2764" s="21" t="s">
        <v>994</v>
      </c>
      <c r="C2764" s="21" t="s">
        <v>1005</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1112</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1033</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1746</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1153</v>
      </c>
      <c r="B2768" s="21" t="s">
        <v>1010</v>
      </c>
      <c r="C2768" s="21" t="s">
        <v>1005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1475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1007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1139</v>
      </c>
      <c r="B2771" s="21" t="s">
        <v>1010</v>
      </c>
      <c r="C2771" s="21" t="s">
        <v>1002</v>
      </c>
      <c r="D2771" s="21" t="s">
        <v>996</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1011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row>
    <row r="2774" spans="1:12">
      <c r="A2774" s="20" t="s">
        <v>1747</v>
      </c>
    </row>
    <row r="2775" spans="1:12">
      <c r="A2775" s="20" t="s">
        <v>1748</v>
      </c>
      <c r="B2775" s="21" t="s">
        <v>1015</v>
      </c>
      <c r="C2775" s="21" t="s">
        <v>1005</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1126</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134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1749</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1018</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1750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1264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1007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1379</v>
      </c>
      <c r="B2783" s="21" t="s">
        <v>1022</v>
      </c>
      <c r="C2783" s="21" t="s">
        <v>1002</v>
      </c>
      <c r="D2783" s="21" t="s">
        <v>996</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1112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1018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57</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1195</v>
      </c>
      <c r="B2787" s="21" t="s">
        <v>1107</v>
      </c>
      <c r="C2787" s="21" t="s">
        <v>1045</v>
      </c>
      <c r="D2787" s="21" t="s">
        <v>996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1751</v>
      </c>
      <c r="B2788" s="21" t="s">
        <v>1051</v>
      </c>
      <c r="C2788" s="21" t="s">
        <v>1047</v>
      </c>
      <c r="D2788" s="21" t="s">
        <v>996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1006</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1152</v>
      </c>
      <c r="B2790" s="21" t="s">
        <v>1050</v>
      </c>
      <c r="C2790" s="21" t="s">
        <v>1005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1126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134</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1749</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1018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1752</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1034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1753</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1754</v>
      </c>
      <c r="B2798" s="21" t="s">
        <v>1051</v>
      </c>
      <c r="C2798" s="21" t="s">
        <v>1037</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1018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1195</v>
      </c>
      <c r="B2800" s="21" t="s">
        <v>1107</v>
      </c>
      <c r="C2800" s="21" t="s">
        <v>1045</v>
      </c>
      <c r="D2800" s="21" t="s">
        <v>996</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1755</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1756</v>
      </c>
      <c r="B2802" s="21" t="s">
        <v>1026</v>
      </c>
      <c r="C2802" s="21" t="s">
        <v>1047</v>
      </c>
      <c r="D2802" s="21" t="s">
        <v>996</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1006</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1152</v>
      </c>
      <c r="B2804" s="21" t="s">
        <v>1104</v>
      </c>
      <c r="C2804" s="21" t="s">
        <v>1005</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1126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134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1749</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1018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1757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1034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1758</v>
      </c>
      <c r="B2811" s="21" t="s">
        <v>1299</v>
      </c>
      <c r="C2811" s="21" t="s">
        <v>1037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1759</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1006</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1362</v>
      </c>
      <c r="B2814" s="21" t="s">
        <v>1050</v>
      </c>
      <c r="C2814" s="21" t="s">
        <v>1016</v>
      </c>
      <c r="D2814" s="21" t="s">
        <v>996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1126</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134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1749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1018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1760</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1308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1761</v>
      </c>
      <c r="B2821" s="21" t="s">
        <v>1026</v>
      </c>
      <c r="C2821" s="21" t="s">
        <v>1005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1006</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1362</v>
      </c>
      <c r="B2823" s="21" t="s">
        <v>1053</v>
      </c>
      <c r="C2823" s="21" t="s">
        <v>1016</v>
      </c>
      <c r="D2823" s="21" t="s">
        <v>996</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1126</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134</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1749</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1018</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1757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1172</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1762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1763</v>
      </c>
      <c r="B2831" s="21" t="s">
        <v>1116</v>
      </c>
      <c r="C2831" s="21" t="s">
        <v>1037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1237</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1764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1120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1115</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1246</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1386</v>
      </c>
      <c r="B2837" s="21" t="s">
        <v>1219</v>
      </c>
      <c r="C2837" s="21" t="s">
        <v>1027</v>
      </c>
      <c r="D2837" s="21" t="s">
        <v>996</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1145</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1265</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1018</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410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1018</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1172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1765</v>
      </c>
      <c r="B2844" s="21" t="s">
        <v>1304</v>
      </c>
      <c r="C2844" s="21" t="s">
        <v>1037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1003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1007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1149</v>
      </c>
      <c r="B2847" s="21" t="s">
        <v>1427</v>
      </c>
      <c r="C2847" s="21" t="s">
        <v>1002</v>
      </c>
      <c r="D2847" s="21" t="s">
        <v>996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1006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1766</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1496</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1241</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1634</v>
      </c>
      <c r="B2852" s="21" t="s">
        <v>1107</v>
      </c>
      <c r="C2852" s="21" t="s">
        <v>1045</v>
      </c>
      <c r="D2852" s="21" t="s">
        <v>996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1149</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1213</v>
      </c>
      <c r="B2854" s="21" t="s">
        <v>1026</v>
      </c>
      <c r="C2854" s="21" t="s">
        <v>1047</v>
      </c>
      <c r="D2854" s="21" t="s">
        <v>996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1033</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1007</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1008</v>
      </c>
      <c r="B2857" s="21" t="s">
        <v>1107</v>
      </c>
      <c r="C2857" s="21" t="s">
        <v>1002</v>
      </c>
      <c r="D2857" s="21" t="s">
        <v>996</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1006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1115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1362</v>
      </c>
      <c r="B2860" s="21" t="s">
        <v>1104</v>
      </c>
      <c r="C2860" s="21" t="s">
        <v>1016</v>
      </c>
      <c r="D2860" s="21" t="s">
        <v>996</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1363</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1265</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1018</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1767</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1112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241</v>
      </c>
      <c r="B2867" s="21" t="s">
        <v>1299</v>
      </c>
      <c r="C2867" s="21" t="s">
        <v>1052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1362</v>
      </c>
      <c r="B2868" s="21" t="s">
        <v>1297</v>
      </c>
      <c r="C2868" s="21" t="s">
        <v>1016</v>
      </c>
      <c r="D2868" s="21" t="s">
        <v>996</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1363</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1265</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1018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141</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1634</v>
      </c>
      <c r="B2873" s="21" t="s">
        <v>1427</v>
      </c>
      <c r="C2873" s="21" t="s">
        <v>1045</v>
      </c>
      <c r="D2873" s="21" t="s">
        <v>996</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1768</v>
      </c>
      <c r="B2874" s="21" t="s">
        <v>1336</v>
      </c>
      <c r="C2874" s="21" t="s">
        <v>1047</v>
      </c>
      <c r="D2874" s="21" t="s">
        <v>996</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1185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1011</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1769</v>
      </c>
    </row>
    <row r="2879" spans="1:12">
      <c r="A2879" s="20" t="s">
        <v>1223</v>
      </c>
      <c r="B2879" s="21" t="s">
        <v>1015</v>
      </c>
      <c r="C2879" s="21" t="s">
        <v>1016</v>
      </c>
      <c r="D2879" s="21" t="s">
        <v>996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118</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1034</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16</v>
      </c>
      <c r="B2882" s="21" t="s">
        <v>1057</v>
      </c>
      <c r="C2882" s="21" t="s">
        <v>1037</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1018</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1595</v>
      </c>
      <c r="B2884" s="21" t="s">
        <v>1010</v>
      </c>
      <c r="C2884" s="21" t="s">
        <v>1005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1011</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1770</v>
      </c>
    </row>
    <row r="2888" spans="1:12">
      <c r="A2888" s="20" t="s">
        <v>1223</v>
      </c>
      <c r="B2888" s="21" t="s">
        <v>1015</v>
      </c>
      <c r="C2888" s="21" t="s">
        <v>1016</v>
      </c>
      <c r="D2888" s="21" t="s">
        <v>996</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1771</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1772</v>
      </c>
      <c r="B2890" s="21" t="s">
        <v>1057</v>
      </c>
      <c r="C2890" s="21" t="s">
        <v>1005</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1018</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134</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1420</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1141</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1773</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1774</v>
      </c>
      <c r="B2896" s="21" t="s">
        <v>1010</v>
      </c>
      <c r="C2896" s="21" t="s">
        <v>1005</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1589</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1075</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1148</v>
      </c>
      <c r="B2899" s="21" t="s">
        <v>1026</v>
      </c>
      <c r="C2899" s="21" t="s">
        <v>1077</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1003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1775</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1776</v>
      </c>
      <c r="B2902" s="21" t="s">
        <v>1107</v>
      </c>
      <c r="C2902" s="21" t="s">
        <v>1005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1330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1125</v>
      </c>
      <c r="B2904" s="21" t="s">
        <v>1050</v>
      </c>
      <c r="C2904" s="21" t="s">
        <v>1016</v>
      </c>
      <c r="D2904" s="21" t="s">
        <v>996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1777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1124</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1313</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1778</v>
      </c>
      <c r="B2908" s="21" t="s">
        <v>1116</v>
      </c>
      <c r="C2908" s="21" t="s">
        <v>1102</v>
      </c>
      <c r="D2908" s="21" t="s">
        <v>996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1006</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1324</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1149</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1365</v>
      </c>
      <c r="B2912" s="21" t="s">
        <v>1053</v>
      </c>
      <c r="C2912" s="21" t="s">
        <v>1037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1006</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1098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1007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1779</v>
      </c>
      <c r="B2916" s="21" t="s">
        <v>1107</v>
      </c>
      <c r="C2916" s="21" t="s">
        <v>1002</v>
      </c>
      <c r="D2916" s="21" t="s">
        <v>996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1003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1780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1520</v>
      </c>
      <c r="B2919" s="21" t="s">
        <v>1206</v>
      </c>
      <c r="C2919" s="21" t="s">
        <v>1005</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1033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1236</v>
      </c>
      <c r="B2921" s="21" t="s">
        <v>1302</v>
      </c>
      <c r="C2921" s="21" t="s">
        <v>1005</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1112</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1237</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1720</v>
      </c>
      <c r="B2924" s="21" t="s">
        <v>1304</v>
      </c>
      <c r="C2924" s="21" t="s">
        <v>1005</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1032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1781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1229</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1538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1034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1782</v>
      </c>
      <c r="B2930" s="21" t="s">
        <v>1051</v>
      </c>
      <c r="C2930" s="21" t="s">
        <v>1037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1018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134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1783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1011</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row>
    <row r="2936" spans="1:12">
      <c r="A2936" s="20" t="s">
        <v>1177</v>
      </c>
    </row>
    <row r="2937" spans="1:12">
      <c r="A2937" s="20" t="s">
        <v>1074</v>
      </c>
      <c r="B2937" s="21" t="s">
        <v>994</v>
      </c>
      <c r="C2937" s="21" t="s">
        <v>1005</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998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row>
    <row r="2940" spans="1:12">
      <c r="A2940" s="20" t="s">
        <v>1784</v>
      </c>
    </row>
    <row r="2941" spans="1:12">
      <c r="A2941" s="20" t="s">
        <v>1485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1152</v>
      </c>
      <c r="B2942" s="21" t="s">
        <v>1015</v>
      </c>
      <c r="C2942" s="21" t="s">
        <v>1077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1145</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1785</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1132</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241</v>
      </c>
      <c r="B2946" s="21" t="s">
        <v>994</v>
      </c>
      <c r="C2946" s="21" t="s">
        <v>1052</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1058</v>
      </c>
      <c r="B2947" s="21" t="s">
        <v>1053</v>
      </c>
      <c r="C2947" s="21" t="s">
        <v>1016</v>
      </c>
      <c r="D2947" s="21" t="s">
        <v>996</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1081</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1224</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1011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row>
    <row r="2952" spans="1:12">
      <c r="A2952" s="20" t="s">
        <v>1786</v>
      </c>
    </row>
    <row r="2953" spans="1:12">
      <c r="A2953" s="20" t="s">
        <v>1014</v>
      </c>
      <c r="B2953" s="21" t="s">
        <v>1015</v>
      </c>
      <c r="C2953" s="21" t="s">
        <v>1016</v>
      </c>
      <c r="D2953" s="21" t="s">
        <v>996</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1672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1034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1787</v>
      </c>
      <c r="B2956" s="21" t="s">
        <v>1057</v>
      </c>
      <c r="C2956" s="21" t="s">
        <v>1037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1788</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1043</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1789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1790</v>
      </c>
      <c r="B2960" s="21" t="s">
        <v>994</v>
      </c>
      <c r="C2960" s="21" t="s">
        <v>995</v>
      </c>
      <c r="D2960" s="21" t="s">
        <v>996</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1103</v>
      </c>
      <c r="B2961" s="21" t="s">
        <v>1050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1361</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1124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1791</v>
      </c>
      <c r="B2964" s="21" t="s">
        <v>1053</v>
      </c>
      <c r="C2964" s="21" t="s">
        <v>995</v>
      </c>
      <c r="D2964" s="21" t="s">
        <v>996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1792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1211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1034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1793</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1794</v>
      </c>
      <c r="B2969" s="21" t="s">
        <v>1010</v>
      </c>
      <c r="C2969" s="21" t="s">
        <v>1037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1006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38</v>
      </c>
      <c r="B2971" s="21" t="s">
        <v>1104</v>
      </c>
      <c r="C2971" s="21" t="s">
        <v>995</v>
      </c>
      <c r="D2971" s="21" t="s">
        <v>996</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1028</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1032</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1007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1795</v>
      </c>
      <c r="B2975" s="21" t="s">
        <v>1026</v>
      </c>
      <c r="C2975" s="21" t="s">
        <v>1002</v>
      </c>
      <c r="D2975" s="21" t="s">
        <v>996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1124</v>
      </c>
      <c r="B2976" s="21" t="s">
        <v>1297</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1351</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1007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1796</v>
      </c>
      <c r="B2979" s="21" t="s">
        <v>1299</v>
      </c>
      <c r="C2979" s="21" t="s">
        <v>1002</v>
      </c>
      <c r="D2979" s="21" t="s">
        <v>996</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1797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1007</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1798</v>
      </c>
      <c r="B2982" s="21" t="s">
        <v>1206</v>
      </c>
      <c r="C2982" s="21" t="s">
        <v>1002</v>
      </c>
      <c r="D2982" s="21" t="s">
        <v>996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1011</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row>
    <row r="2985" spans="1:12">
      <c r="A2985" s="20" t="s">
        <v>1799</v>
      </c>
    </row>
    <row r="2986" spans="1:12">
      <c r="A2986" s="20" t="s">
        <v>1800</v>
      </c>
      <c r="B2986" s="21" t="s">
        <v>1015</v>
      </c>
      <c r="C2986" s="21" t="s">
        <v>1016</v>
      </c>
      <c r="D2986" s="21" t="s">
        <v>996</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1801</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1058</v>
      </c>
      <c r="B2988" s="21" t="s">
        <v>1050</v>
      </c>
      <c r="C2988" s="21" t="s">
        <v>1016</v>
      </c>
      <c r="D2988" s="21" t="s">
        <v>996</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1081</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1802</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1404</v>
      </c>
      <c r="B2991" s="21" t="s">
        <v>1022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1003</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1007</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1137</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1803</v>
      </c>
      <c r="B2995" s="21" t="s">
        <v>1026</v>
      </c>
      <c r="C2995" s="21" t="s">
        <v>1002</v>
      </c>
      <c r="D2995" s="21" t="s">
        <v>996</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1003</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1804</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1033</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1173</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1805</v>
      </c>
      <c r="B3000" s="21" t="s">
        <v>1206</v>
      </c>
      <c r="C3000" s="21" t="s">
        <v>1005</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1011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row>
    <row r="3003" spans="1:12">
      <c r="A3003" s="20" t="s">
        <v>1806</v>
      </c>
    </row>
    <row r="3004" spans="1:12">
      <c r="A3004" s="20" t="s">
        <v>1056</v>
      </c>
      <c r="B3004" s="21" t="s">
        <v>1057</v>
      </c>
      <c r="C3004" s="21" t="s">
        <v>1052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1017</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1058</v>
      </c>
      <c r="B3006" s="21" t="s">
        <v>1015</v>
      </c>
      <c r="C3006" s="21" t="s">
        <v>1016</v>
      </c>
      <c r="D3006" s="21" t="s">
        <v>996</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106</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1018</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1152</v>
      </c>
      <c r="B3009" s="21" t="s">
        <v>994</v>
      </c>
      <c r="C3009" s="21" t="s">
        <v>1005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1103</v>
      </c>
      <c r="B3010" s="21" t="s">
        <v>1053</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141</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1124</v>
      </c>
      <c r="B3012" s="21" t="s">
        <v>1051</v>
      </c>
      <c r="C3012" s="21" t="s">
        <v>1069</v>
      </c>
      <c r="D3012" s="21" t="s">
        <v>996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1061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row>
    <row r="3015" spans="1:12">
      <c r="A3015" s="20" t="s">
        <v>1807</v>
      </c>
    </row>
    <row r="3016" spans="1:12">
      <c r="A3016" s="20" t="s">
        <v>1100</v>
      </c>
      <c r="B3016" s="21" t="s">
        <v>994</v>
      </c>
      <c r="C3016" s="21" t="s">
        <v>1005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998</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1789</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1790</v>
      </c>
      <c r="B3019" s="21" t="s">
        <v>1010</v>
      </c>
      <c r="C3019" s="21" t="s">
        <v>995</v>
      </c>
      <c r="D3019" s="21" t="s">
        <v>996</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1156</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1130</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214</v>
      </c>
      <c r="B3022" s="21" t="s">
        <v>994</v>
      </c>
      <c r="C3022" s="21" t="s">
        <v>1102</v>
      </c>
      <c r="D3022" s="21" t="s">
        <v>996</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1176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1011</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row>
    <row r="3026" spans="1:12">
      <c r="A3026" s="20" t="s">
        <v>1808</v>
      </c>
    </row>
    <row r="3027" spans="1:12">
      <c r="A3027" s="20" t="s">
        <v>1030</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1072</v>
      </c>
      <c r="B3028" s="21" t="s">
        <v>994</v>
      </c>
      <c r="C3028" s="21" t="s">
        <v>995</v>
      </c>
      <c r="D3028" s="21" t="s">
        <v>996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1031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1030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316</v>
      </c>
      <c r="B3031" s="21" t="s">
        <v>994</v>
      </c>
      <c r="C3031" s="21" t="s">
        <v>995</v>
      </c>
      <c r="D3031" s="21" t="s">
        <v>996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1031</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row>
    <row r="3034" spans="1:12">
      <c r="A3034" s="20" t="s">
        <v>1809</v>
      </c>
    </row>
    <row r="3035" spans="1:12">
      <c r="A3035" s="20" t="s">
        <v>1810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1058</v>
      </c>
      <c r="B3036" s="21" t="s">
        <v>1057</v>
      </c>
      <c r="C3036" s="21" t="s">
        <v>1016</v>
      </c>
      <c r="D3036" s="21" t="s">
        <v>996</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1011</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row>
    <row r="3039" spans="1:12">
      <c r="A3039" s="20" t="s">
        <v>1071</v>
      </c>
    </row>
    <row r="3040" spans="1:12">
      <c r="A3040" s="20" t="s">
        <v>1030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1072</v>
      </c>
      <c r="B3041" s="21" t="s">
        <v>994</v>
      </c>
      <c r="C3041" s="21" t="s">
        <v>995</v>
      </c>
      <c r="D3041" s="21" t="s">
        <v>996</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1031</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row>
    <row r="3044" spans="1:12">
      <c r="A3044" s="20" t="s">
        <v>1811</v>
      </c>
    </row>
    <row r="3045" spans="1:12">
      <c r="A3045" s="20" t="s">
        <v>1014</v>
      </c>
      <c r="B3045" s="21" t="s">
        <v>1015</v>
      </c>
      <c r="C3045" s="21" t="s">
        <v>1016</v>
      </c>
      <c r="D3045" s="21" t="s">
        <v>996</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141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1121</v>
      </c>
      <c r="B3047" s="21" t="s">
        <v>1050</v>
      </c>
      <c r="C3047" s="21" t="s">
        <v>1016</v>
      </c>
      <c r="D3047" s="21" t="s">
        <v>996</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1156</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1070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1006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1330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1132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1007</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1162</v>
      </c>
      <c r="B3054" s="21" t="s">
        <v>1026</v>
      </c>
      <c r="C3054" s="21" t="s">
        <v>1002</v>
      </c>
      <c r="D3054" s="21" t="s">
        <v>996</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1791</v>
      </c>
      <c r="B3055" s="21" t="s">
        <v>1053</v>
      </c>
      <c r="C3055" s="21" t="s">
        <v>995</v>
      </c>
      <c r="D3055" s="21" t="s">
        <v>996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1792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1211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1812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1075</v>
      </c>
      <c r="B3059" s="21" t="s">
        <v>1116</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1003</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1044</v>
      </c>
      <c r="B3061" s="21" t="s">
        <v>1206</v>
      </c>
      <c r="C3061" s="21" t="s">
        <v>1045</v>
      </c>
      <c r="D3061" s="21" t="s">
        <v>996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1813</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1294</v>
      </c>
      <c r="B3063" s="21" t="s">
        <v>1107</v>
      </c>
      <c r="C3063" s="21" t="s">
        <v>1047</v>
      </c>
      <c r="D3063" s="21" t="s">
        <v>996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1006</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1789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1790</v>
      </c>
      <c r="B3066" s="21" t="s">
        <v>1104</v>
      </c>
      <c r="C3066" s="21" t="s">
        <v>995</v>
      </c>
      <c r="D3066" s="21" t="s">
        <v>996</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1211</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1735</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1049</v>
      </c>
      <c r="B3069" s="21" t="s">
        <v>1297</v>
      </c>
      <c r="C3069" s="21" t="s">
        <v>1016</v>
      </c>
      <c r="D3069" s="21" t="s">
        <v>996</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1211</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1265</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1018</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1814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1815</v>
      </c>
      <c r="B3074" s="21" t="s">
        <v>1221</v>
      </c>
      <c r="C3074" s="21" t="s">
        <v>1005</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1551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1006</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1007</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1816</v>
      </c>
      <c r="B3078" s="21" t="s">
        <v>1050</v>
      </c>
      <c r="C3078" s="21" t="s">
        <v>1002</v>
      </c>
      <c r="D3078" s="21" t="s">
        <v>996</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1185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1265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1018</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1817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1112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1007</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1818</v>
      </c>
      <c r="B3085" s="21" t="s">
        <v>1053</v>
      </c>
      <c r="C3085" s="21" t="s">
        <v>1002</v>
      </c>
      <c r="D3085" s="21" t="s">
        <v>996</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1185</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1265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1018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1819</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1797</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1006</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1112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1547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1049</v>
      </c>
      <c r="B3094" s="21" t="s">
        <v>1053</v>
      </c>
      <c r="C3094" s="21" t="s">
        <v>1016</v>
      </c>
      <c r="D3094" s="21" t="s">
        <v>996</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1156</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1735</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1121</v>
      </c>
      <c r="B3097" s="21" t="s">
        <v>1104</v>
      </c>
      <c r="C3097" s="21" t="s">
        <v>1016</v>
      </c>
      <c r="D3097" s="21" t="s">
        <v>996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1156</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1034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1793</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1794</v>
      </c>
      <c r="B3101" s="21" t="s">
        <v>1026</v>
      </c>
      <c r="C3101" s="21" t="s">
        <v>1037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1011</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1820</v>
      </c>
    </row>
    <row r="3105" spans="1:12">
      <c r="A3105" s="20" t="s">
        <v>1013</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1125</v>
      </c>
      <c r="B3106" s="21" t="s">
        <v>1015</v>
      </c>
      <c r="C3106" s="21" t="s">
        <v>1016</v>
      </c>
      <c r="D3106" s="21" t="s">
        <v>996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1126</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134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1821</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1120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1007</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1822</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1372</v>
      </c>
      <c r="B3113" s="21" t="s">
        <v>994</v>
      </c>
      <c r="C3113" s="21" t="s">
        <v>1002</v>
      </c>
      <c r="D3113" s="21" t="s">
        <v>996</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1003</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1823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1824</v>
      </c>
      <c r="B3116" s="21" t="s">
        <v>1010</v>
      </c>
      <c r="C3116" s="21" t="s">
        <v>1005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1003</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1825</v>
      </c>
      <c r="B3118" s="21" t="s">
        <v>1026</v>
      </c>
      <c r="C3118" s="21" t="s">
        <v>1005</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1018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1305</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1306</v>
      </c>
      <c r="B3121" s="21" t="s">
        <v>1107</v>
      </c>
      <c r="C3121" s="21" t="s">
        <v>1005</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1043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1246</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1148</v>
      </c>
      <c r="B3124" s="21" t="s">
        <v>1026</v>
      </c>
      <c r="C3124" s="21" t="s">
        <v>1027</v>
      </c>
      <c r="D3124" s="21" t="s">
        <v>996</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1003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1676</v>
      </c>
      <c r="B3126" s="21" t="s">
        <v>1107</v>
      </c>
      <c r="C3126" s="21" t="s">
        <v>1005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1011</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row>
    <row r="3129" spans="1:12">
      <c r="A3129" s="20" t="s">
        <v>1826</v>
      </c>
    </row>
    <row r="3130" spans="1:12">
      <c r="A3130" s="20" t="s">
        <v>1118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165</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1156</v>
      </c>
      <c r="B3132" s="21" t="s">
        <v>1057</v>
      </c>
      <c r="C3132" s="21" t="s">
        <v>1016</v>
      </c>
      <c r="D3132" s="21" t="s">
        <v>996</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1827</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1124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1246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1152</v>
      </c>
      <c r="B3136" s="21" t="s">
        <v>1053</v>
      </c>
      <c r="C3136" s="21" t="s">
        <v>1027</v>
      </c>
      <c r="D3136" s="21" t="s">
        <v>996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1130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828</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1041</v>
      </c>
      <c r="B3139" s="21" t="s">
        <v>1051</v>
      </c>
      <c r="C3139" s="21" t="s">
        <v>1069</v>
      </c>
      <c r="D3139" s="21" t="s">
        <v>996</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row>
    <row r="3142" spans="1:12">
      <c r="A3142" s="20" t="s">
        <v>1828</v>
      </c>
    </row>
    <row r="3143" spans="1:12">
      <c r="A3143" s="20" t="s">
        <v>1014</v>
      </c>
      <c r="B3143" s="21" t="s">
        <v>1015</v>
      </c>
      <c r="C3143" s="21" t="s">
        <v>1016</v>
      </c>
      <c r="D3143" s="21" t="s">
        <v>996</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1017</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483</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1124</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1362</v>
      </c>
      <c r="B3147" s="21" t="s">
        <v>1050</v>
      </c>
      <c r="C3147" s="21" t="s">
        <v>1016</v>
      </c>
      <c r="D3147" s="21" t="s">
        <v>996</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118</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1148</v>
      </c>
      <c r="B3149" s="21" t="s">
        <v>1022</v>
      </c>
      <c r="C3149" s="21" t="s">
        <v>1005</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1003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1034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1829</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1830</v>
      </c>
      <c r="B3153" s="21" t="s">
        <v>1026</v>
      </c>
      <c r="C3153" s="21" t="s">
        <v>1037</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1003</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1305</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1306</v>
      </c>
      <c r="B3156" s="21" t="s">
        <v>1107</v>
      </c>
      <c r="C3156" s="21" t="s">
        <v>1005</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1011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1831</v>
      </c>
    </row>
    <row r="3160" spans="1:12">
      <c r="A3160" s="20" t="s">
        <v>1000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1832</v>
      </c>
      <c r="B3161" s="21" t="s">
        <v>1015</v>
      </c>
      <c r="C3161" s="21" t="s">
        <v>1002</v>
      </c>
      <c r="D3161" s="21" t="s">
        <v>996</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1003</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1152</v>
      </c>
      <c r="B3163" s="21" t="s">
        <v>1010</v>
      </c>
      <c r="C3163" s="21" t="s">
        <v>1005</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22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1789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1790</v>
      </c>
      <c r="B3166" s="21" t="s">
        <v>1026</v>
      </c>
      <c r="C3166" s="21" t="s">
        <v>995</v>
      </c>
      <c r="D3166" s="21" t="s">
        <v>996</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129</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1496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487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1007</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1833</v>
      </c>
      <c r="B3171" s="21" t="s">
        <v>1057</v>
      </c>
      <c r="C3171" s="21" t="s">
        <v>1002</v>
      </c>
      <c r="D3171" s="21" t="s">
        <v>996</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1834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1011</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row>
    <row r="3175" spans="1:12">
      <c r="A3175" s="20" t="s">
        <v>1835</v>
      </c>
    </row>
    <row r="3176" spans="1:12">
      <c r="A3176" s="20" t="s">
        <v>1000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1238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1836</v>
      </c>
      <c r="B3178" s="21" t="s">
        <v>1015</v>
      </c>
      <c r="C3178" s="21" t="s">
        <v>1002</v>
      </c>
      <c r="D3178" s="21" t="s">
        <v>996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1032</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1496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1837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1007</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1822</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1059</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1007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1305</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1836</v>
      </c>
      <c r="B3187" s="21" t="s">
        <v>994</v>
      </c>
      <c r="C3187" s="21" t="s">
        <v>1002</v>
      </c>
      <c r="D3187" s="21" t="s">
        <v>996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1011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row>
    <row r="3190" spans="1:12">
      <c r="A3190" s="20" t="s">
        <v>1838</v>
      </c>
    </row>
    <row r="3191" spans="1:12">
      <c r="A3191" s="20" t="s">
        <v>1839</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1018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1840</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1098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1152</v>
      </c>
      <c r="B3195" s="21" t="s">
        <v>1026</v>
      </c>
      <c r="C3195" s="21" t="s">
        <v>1005</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1103</v>
      </c>
      <c r="B3196" s="21" t="s">
        <v>1297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1145</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1496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1242</v>
      </c>
      <c r="B3199" s="21" t="s">
        <v>1206</v>
      </c>
      <c r="C3199" s="21" t="s">
        <v>1045</v>
      </c>
      <c r="D3199" s="21" t="s">
        <v>996</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1841</v>
      </c>
      <c r="B3200" s="21" t="s">
        <v>1107</v>
      </c>
      <c r="C3200" s="21" t="s">
        <v>1047</v>
      </c>
      <c r="D3200" s="21" t="s">
        <v>996</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1033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1842</v>
      </c>
      <c r="B3202" s="21" t="s">
        <v>1206</v>
      </c>
      <c r="C3202" s="21" t="s">
        <v>1005</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1124</v>
      </c>
      <c r="B3203" s="21" t="s">
        <v>1336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1145</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1496</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1034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1843</v>
      </c>
      <c r="B3207" s="21" t="s">
        <v>1302</v>
      </c>
      <c r="C3207" s="21" t="s">
        <v>1037</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1131</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1122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495</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1286</v>
      </c>
      <c r="B3211" s="21" t="s">
        <v>1057</v>
      </c>
      <c r="C3211" s="21" t="s">
        <v>1016</v>
      </c>
      <c r="D3211" s="21" t="s">
        <v>996</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1834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1006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1112</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1124</v>
      </c>
      <c r="B3215" s="21" t="s">
        <v>1050</v>
      </c>
      <c r="C3215" s="21" t="s">
        <v>1069</v>
      </c>
      <c r="D3215" s="21" t="s">
        <v>996</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1844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1340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1121</v>
      </c>
      <c r="B3218" s="21" t="s">
        <v>1053</v>
      </c>
      <c r="C3218" s="21" t="s">
        <v>1016</v>
      </c>
      <c r="D3218" s="21" t="s">
        <v>996</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1156</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1033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1845</v>
      </c>
      <c r="B3221" s="21" t="s">
        <v>1010</v>
      </c>
      <c r="C3221" s="21" t="s">
        <v>995</v>
      </c>
      <c r="D3221" s="21" t="s">
        <v>996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1589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1141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1007</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1009</v>
      </c>
      <c r="B3225" s="21" t="s">
        <v>1026</v>
      </c>
      <c r="C3225" s="21" t="s">
        <v>1002</v>
      </c>
      <c r="D3225" s="21" t="s">
        <v>996</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1011</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row>
    <row r="3228" spans="1:12">
      <c r="A3228" s="20" t="s">
        <v>1846</v>
      </c>
    </row>
    <row r="3229" spans="1:12">
      <c r="A3229" s="20" t="s">
        <v>1000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1009</v>
      </c>
      <c r="B3230" s="21" t="s">
        <v>1015</v>
      </c>
      <c r="C3230" s="21" t="s">
        <v>1002</v>
      </c>
      <c r="D3230" s="21" t="s">
        <v>996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1032</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1496</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1007</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1841</v>
      </c>
      <c r="B3234" s="21" t="s">
        <v>994</v>
      </c>
      <c r="C3234" s="21" t="s">
        <v>1002</v>
      </c>
      <c r="D3234" s="21" t="s">
        <v>996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1011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row>
    <row r="3237" spans="1:12">
      <c r="A3237" s="20" t="s">
        <v>1847</v>
      </c>
    </row>
    <row r="3238" spans="1:12">
      <c r="A3238" s="20" t="s">
        <v>1848</v>
      </c>
      <c r="B3238" s="21" t="s">
        <v>1010</v>
      </c>
      <c r="C3238" s="21" t="s">
        <v>1045</v>
      </c>
      <c r="D3238" s="21" t="s">
        <v>996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1849</v>
      </c>
      <c r="B3239" s="21" t="s">
        <v>1015</v>
      </c>
      <c r="C3239" s="21" t="s">
        <v>1047</v>
      </c>
      <c r="D3239" s="21" t="s">
        <v>996</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1032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1496</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1007</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1841</v>
      </c>
      <c r="B3243" s="21" t="s">
        <v>994</v>
      </c>
      <c r="C3243" s="21" t="s">
        <v>1002</v>
      </c>
      <c r="D3243" s="21" t="s">
        <v>996</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1011</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1850</v>
      </c>
    </row>
    <row r="3247" spans="1:12">
      <c r="A3247" s="20" t="s">
        <v>1173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1851</v>
      </c>
      <c r="B3248" s="21" t="s">
        <v>994</v>
      </c>
      <c r="C3248" s="21" t="s">
        <v>1005</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1006</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1459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1851</v>
      </c>
      <c r="B3251" s="21" t="s">
        <v>994</v>
      </c>
      <c r="C3251" s="21" t="s">
        <v>1005</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1006</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1112</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1324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994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1471</v>
      </c>
      <c r="B3256" s="21" t="s">
        <v>994</v>
      </c>
      <c r="C3256" s="21" t="s">
        <v>1037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1261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1227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1032</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1034</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1598</v>
      </c>
      <c r="B3261" s="21" t="s">
        <v>1053</v>
      </c>
      <c r="C3261" s="21" t="s">
        <v>1047</v>
      </c>
      <c r="D3261" s="21" t="s">
        <v>996</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1003</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1242</v>
      </c>
      <c r="B3263" s="21" t="s">
        <v>1206</v>
      </c>
      <c r="C3263" s="21" t="s">
        <v>1045</v>
      </c>
      <c r="D3263" s="21" t="s">
        <v>996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1852</v>
      </c>
      <c r="B3264" s="21" t="s">
        <v>1107</v>
      </c>
      <c r="C3264" s="21" t="s">
        <v>1047</v>
      </c>
      <c r="D3264" s="21" t="s">
        <v>996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1011</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row>
    <row r="3267" spans="1:12">
      <c r="A3267" s="20" t="s">
        <v>1853</v>
      </c>
    </row>
    <row r="3268" spans="1:12">
      <c r="A3268" s="20" t="s">
        <v>1390</v>
      </c>
      <c r="B3268" s="21" t="s">
        <v>1015</v>
      </c>
      <c r="C3268" s="21" t="s">
        <v>1016</v>
      </c>
      <c r="D3268" s="21" t="s">
        <v>996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1156</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1034</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1598</v>
      </c>
      <c r="B3271" s="21" t="s">
        <v>994</v>
      </c>
      <c r="C3271" s="21" t="s">
        <v>1047</v>
      </c>
      <c r="D3271" s="21" t="s">
        <v>996</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1003</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1242</v>
      </c>
      <c r="B3273" s="21" t="s">
        <v>1010</v>
      </c>
      <c r="C3273" s="21" t="s">
        <v>1045</v>
      </c>
      <c r="D3273" s="21" t="s">
        <v>996</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1854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1139</v>
      </c>
      <c r="B3275" s="21" t="s">
        <v>994</v>
      </c>
      <c r="C3275" s="21" t="s">
        <v>1047</v>
      </c>
      <c r="D3275" s="21" t="s">
        <v>996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1011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1855</v>
      </c>
    </row>
    <row r="3279" spans="1:12">
      <c r="A3279" s="20" t="s">
        <v>1232</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1145</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1856</v>
      </c>
      <c r="B3281" s="21" t="s">
        <v>1015</v>
      </c>
      <c r="C3281" s="21" t="s">
        <v>1005</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1003</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1857</v>
      </c>
      <c r="B3283" s="21" t="s">
        <v>1010</v>
      </c>
      <c r="C3283" s="21" t="s">
        <v>1005</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1124</v>
      </c>
      <c r="B3284" s="21" t="s">
        <v>1053</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1858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1286</v>
      </c>
      <c r="B3286" s="21" t="s">
        <v>1051</v>
      </c>
      <c r="C3286" s="21" t="s">
        <v>1016</v>
      </c>
      <c r="D3286" s="21" t="s">
        <v>996</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1295</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1006</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1112</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1559</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1125</v>
      </c>
      <c r="B3291" s="21" t="s">
        <v>1053</v>
      </c>
      <c r="C3291" s="21" t="s">
        <v>1016</v>
      </c>
      <c r="D3291" s="21" t="s">
        <v>996</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1859</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1246</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1860</v>
      </c>
      <c r="B3294" s="21" t="s">
        <v>1051</v>
      </c>
      <c r="C3294" s="21" t="s">
        <v>1027</v>
      </c>
      <c r="D3294" s="21" t="s">
        <v>996</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1308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1861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1007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1862</v>
      </c>
      <c r="B3298" s="21" t="s">
        <v>1116</v>
      </c>
      <c r="C3298" s="21" t="s">
        <v>1002</v>
      </c>
      <c r="D3298" s="21" t="s">
        <v>996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1006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1007</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1306</v>
      </c>
      <c r="B3301" s="21" t="s">
        <v>994</v>
      </c>
      <c r="C3301" s="21" t="s">
        <v>1002</v>
      </c>
      <c r="D3301" s="21" t="s">
        <v>996</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1006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1007</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1528</v>
      </c>
      <c r="B3304" s="21" t="s">
        <v>994</v>
      </c>
      <c r="C3304" s="21" t="s">
        <v>1002</v>
      </c>
      <c r="D3304" s="21" t="s">
        <v>996</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1003</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1863</v>
      </c>
      <c r="B3306" s="21" t="s">
        <v>1010</v>
      </c>
      <c r="C3306" s="21" t="s">
        <v>1005</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1006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1124</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1864</v>
      </c>
      <c r="B3309" s="21" t="s">
        <v>1050</v>
      </c>
      <c r="C3309" s="21" t="s">
        <v>1005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1112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1004</v>
      </c>
      <c r="B3311" s="21" t="s">
        <v>1026</v>
      </c>
      <c r="C3311" s="21" t="s">
        <v>1005</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1133</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1475</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1007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1139</v>
      </c>
      <c r="B3315" s="21" t="s">
        <v>1026</v>
      </c>
      <c r="C3315" s="21" t="s">
        <v>1002</v>
      </c>
      <c r="D3315" s="21" t="s">
        <v>996</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1865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1286</v>
      </c>
      <c r="B3317" s="21" t="s">
        <v>1022</v>
      </c>
      <c r="C3317" s="21" t="s">
        <v>1016</v>
      </c>
      <c r="D3317" s="21" t="s">
        <v>996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1018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1866</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1308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1011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row>
    <row r="3323" spans="1:12">
      <c r="A3323" s="20" t="s">
        <v>1177</v>
      </c>
    </row>
    <row r="3324" spans="1:12">
      <c r="A3324" s="20" t="s">
        <v>1074</v>
      </c>
      <c r="B3324" s="21" t="s">
        <v>994</v>
      </c>
      <c r="C3324" s="21" t="s">
        <v>1005</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998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row>
    <row r="3327" spans="1:12">
      <c r="A3327" s="20" t="s">
        <v>1867</v>
      </c>
    </row>
    <row r="3328" spans="1:12">
      <c r="A3328" s="20" t="s">
        <v>1118</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1121</v>
      </c>
      <c r="B3329" s="21" t="s">
        <v>1015</v>
      </c>
      <c r="C3329" s="21" t="s">
        <v>1016</v>
      </c>
      <c r="D3329" s="21" t="s">
        <v>996</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1156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1438</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1124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1058</v>
      </c>
      <c r="B3333" s="21" t="s">
        <v>1050</v>
      </c>
      <c r="C3333" s="21" t="s">
        <v>1016</v>
      </c>
      <c r="D3333" s="21" t="s">
        <v>996</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1081</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1497</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1868</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1869</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1201</v>
      </c>
      <c r="B3338" s="21" t="s">
        <v>1022</v>
      </c>
      <c r="C3338" s="21" t="s">
        <v>1077</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1011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1870</v>
      </c>
    </row>
    <row r="3342" spans="1:12">
      <c r="A3342" s="20" t="s">
        <v>1390</v>
      </c>
      <c r="B3342" s="21" t="s">
        <v>1015</v>
      </c>
      <c r="C3342" s="21" t="s">
        <v>1016</v>
      </c>
      <c r="D3342" s="21" t="s">
        <v>996</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1871</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1410</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1034</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1087</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1872</v>
      </c>
      <c r="B3347" s="21" t="s">
        <v>1057</v>
      </c>
      <c r="C3347" s="21" t="s">
        <v>1047</v>
      </c>
      <c r="D3347" s="21" t="s">
        <v>996</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1003</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1381</v>
      </c>
      <c r="B3349" s="21" t="s">
        <v>1010</v>
      </c>
      <c r="C3349" s="21" t="s">
        <v>1016</v>
      </c>
      <c r="D3349" s="21" t="s">
        <v>996</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118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1082</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1873</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1098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1203</v>
      </c>
      <c r="B3354" s="21" t="s">
        <v>1010</v>
      </c>
      <c r="C3354" s="21" t="s">
        <v>1005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1048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1230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1011</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row>
    <row r="3359" spans="1:12">
      <c r="A3359" s="20" t="s">
        <v>1874</v>
      </c>
    </row>
    <row r="3360" spans="1:12">
      <c r="A3360" s="20" t="s">
        <v>1875</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1227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1543</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1025</v>
      </c>
      <c r="B3363" s="21" t="s">
        <v>1015</v>
      </c>
      <c r="C3363" s="21" t="s">
        <v>1005</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1018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538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1061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row>
    <row r="3368" spans="1:12">
      <c r="A3368" s="20" t="s">
        <v>1876</v>
      </c>
    </row>
    <row r="3369" spans="1:12">
      <c r="A3369" s="20" t="s">
        <v>1100</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998</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1232</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1145</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1877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1543</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1025</v>
      </c>
      <c r="B3375" s="21" t="s">
        <v>1015</v>
      </c>
      <c r="C3375" s="21" t="s">
        <v>1005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1018</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538</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1011</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row>
    <row r="3380" spans="1:12">
      <c r="A3380" s="20" t="s">
        <v>1878</v>
      </c>
    </row>
    <row r="3381" spans="1:12">
      <c r="A3381" s="20" t="s">
        <v>1014</v>
      </c>
      <c r="B3381" s="21" t="s">
        <v>1015</v>
      </c>
      <c r="C3381" s="21" t="s">
        <v>1016</v>
      </c>
      <c r="D3381" s="21" t="s">
        <v>996</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129</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1122</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141</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1227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1156</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1324</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1123</v>
      </c>
      <c r="B3388" s="21" t="s">
        <v>1050</v>
      </c>
      <c r="C3388" s="21" t="s">
        <v>1037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1124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1075</v>
      </c>
      <c r="B3390" s="21" t="s">
        <v>1104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1003</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1007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1253</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1500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1879</v>
      </c>
      <c r="B3395" s="21" t="s">
        <v>1206</v>
      </c>
      <c r="C3395" s="21" t="s">
        <v>1002</v>
      </c>
      <c r="D3395" s="21" t="s">
        <v>996</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1018</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134</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1224</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1032</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1880</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1018</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538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1011</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row>
    <row r="3405" spans="1:12">
      <c r="A3405" s="20" t="s">
        <v>1881</v>
      </c>
    </row>
    <row r="3406" spans="1:12">
      <c r="A3406" s="20" t="s">
        <v>1074</v>
      </c>
      <c r="B3406" s="21" t="s">
        <v>994</v>
      </c>
      <c r="C3406" s="21" t="s">
        <v>1005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998</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1882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1144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1006</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1330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1014</v>
      </c>
      <c r="B3412" s="21" t="s">
        <v>1050</v>
      </c>
      <c r="C3412" s="21" t="s">
        <v>1016</v>
      </c>
      <c r="D3412" s="21" t="s">
        <v>996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699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1018</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337</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1058</v>
      </c>
      <c r="B3416" s="21" t="s">
        <v>1051</v>
      </c>
      <c r="C3416" s="21" t="s">
        <v>1016</v>
      </c>
      <c r="D3416" s="21" t="s">
        <v>996</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1120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1041</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1883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1884</v>
      </c>
      <c r="B3420" s="21" t="s">
        <v>1026</v>
      </c>
      <c r="C3420" s="21" t="s">
        <v>1027</v>
      </c>
      <c r="D3420" s="21" t="s">
        <v>996</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1011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row>
    <row r="3423" spans="1:12">
      <c r="A3423" s="20" t="s">
        <v>1885</v>
      </c>
    </row>
    <row r="3424" spans="1:12">
      <c r="A3424" s="20" t="s">
        <v>1882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1112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1537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1034</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410</v>
      </c>
      <c r="B3428" s="21" t="s">
        <v>1022</v>
      </c>
      <c r="C3428" s="21" t="s">
        <v>1037</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1132</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1041</v>
      </c>
      <c r="B3430" s="21" t="s">
        <v>1010</v>
      </c>
      <c r="C3430" s="21" t="s">
        <v>1069</v>
      </c>
      <c r="D3430" s="21" t="s">
        <v>996</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1011</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row>
    <row r="3433" spans="1:12">
      <c r="A3433" s="20" t="s">
        <v>1886</v>
      </c>
    </row>
    <row r="3434" spans="1:12">
      <c r="A3434" s="20" t="s">
        <v>1014</v>
      </c>
      <c r="B3434" s="21" t="s">
        <v>1053</v>
      </c>
      <c r="C3434" s="21" t="s">
        <v>1016</v>
      </c>
      <c r="D3434" s="21" t="s">
        <v>996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245</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1006</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1041</v>
      </c>
      <c r="B3437" s="21" t="s">
        <v>1050</v>
      </c>
      <c r="C3437" s="21" t="s">
        <v>1069</v>
      </c>
      <c r="D3437" s="21" t="s">
        <v>996</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1032</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1034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1181</v>
      </c>
      <c r="B3440" s="21" t="s">
        <v>1015</v>
      </c>
      <c r="C3440" s="21" t="s">
        <v>1037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1392</v>
      </c>
      <c r="B3441" s="21" t="s">
        <v>1051</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1014</v>
      </c>
      <c r="B3442" s="21" t="s">
        <v>1053</v>
      </c>
      <c r="C3442" s="21" t="s">
        <v>1016</v>
      </c>
      <c r="D3442" s="21" t="s">
        <v>996</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141</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1078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1034</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1218</v>
      </c>
      <c r="B3446" s="21" t="s">
        <v>1026</v>
      </c>
      <c r="C3446" s="21" t="s">
        <v>1037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1003</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1007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1887</v>
      </c>
      <c r="B3449" s="21" t="s">
        <v>1107</v>
      </c>
      <c r="C3449" s="21" t="s">
        <v>1002</v>
      </c>
      <c r="D3449" s="21" t="s">
        <v>996</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1033</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1041</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1473</v>
      </c>
      <c r="B3452" s="21" t="s">
        <v>1107</v>
      </c>
      <c r="C3452" s="21" t="s">
        <v>1027</v>
      </c>
      <c r="D3452" s="21" t="s">
        <v>996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1032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1007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1326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1253</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1888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1501</v>
      </c>
      <c r="B3458" s="21" t="s">
        <v>994</v>
      </c>
      <c r="C3458" s="21" t="s">
        <v>1002</v>
      </c>
      <c r="D3458" s="21" t="s">
        <v>996</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1124</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1362</v>
      </c>
      <c r="B3460" s="21" t="s">
        <v>1050</v>
      </c>
      <c r="C3460" s="21" t="s">
        <v>1016</v>
      </c>
      <c r="D3460" s="21" t="s">
        <v>996</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118</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1672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1033</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1007</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1086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1087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1088</v>
      </c>
      <c r="B3467" s="21" t="s">
        <v>1010</v>
      </c>
      <c r="C3467" s="21" t="s">
        <v>1002</v>
      </c>
      <c r="D3467" s="21" t="s">
        <v>996</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1011</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row>
    <row r="3470" spans="1:12">
      <c r="A3470" s="20" t="s">
        <v>1163</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1889</v>
      </c>
    </row>
    <row r="3472" spans="1:12">
      <c r="A3472" s="20" t="s">
        <v>1390</v>
      </c>
      <c r="B3472" s="21" t="s">
        <v>1015</v>
      </c>
      <c r="C3472" s="21" t="s">
        <v>1016</v>
      </c>
      <c r="D3472" s="21" t="s">
        <v>996</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1156</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1120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1034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1345</v>
      </c>
      <c r="B3476" s="21" t="s">
        <v>994</v>
      </c>
      <c r="C3476" s="21" t="s">
        <v>1037</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1083</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1167</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1890</v>
      </c>
      <c r="B3479" s="21" t="s">
        <v>1010</v>
      </c>
      <c r="C3479" s="21" t="s">
        <v>995</v>
      </c>
      <c r="D3479" s="21" t="s">
        <v>996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1011</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1167</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row>
    <row r="3483" spans="1:12">
      <c r="A3483" s="20" t="s">
        <v>1891</v>
      </c>
    </row>
    <row r="3484" spans="1:12">
      <c r="A3484" s="20" t="s">
        <v>1892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1058</v>
      </c>
      <c r="B3485" s="21" t="s">
        <v>1015</v>
      </c>
      <c r="C3485" s="21" t="s">
        <v>1016</v>
      </c>
      <c r="D3485" s="21" t="s">
        <v>996</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549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241</v>
      </c>
      <c r="B3487" s="21" t="s">
        <v>994</v>
      </c>
      <c r="C3487" s="21" t="s">
        <v>1052</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1124</v>
      </c>
      <c r="B3488" s="21" t="s">
        <v>1050</v>
      </c>
      <c r="C3488" s="21" t="s">
        <v>1069</v>
      </c>
      <c r="D3488" s="21" t="s">
        <v>996</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1032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1061</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row>
    <row r="3492" spans="1:12">
      <c r="A3492" s="20" t="s">
        <v>1893</v>
      </c>
    </row>
    <row r="3493" spans="1:12">
      <c r="A3493" s="20" t="s">
        <v>1100</v>
      </c>
      <c r="B3493" s="21" t="s">
        <v>994</v>
      </c>
      <c r="C3493" s="21" t="s">
        <v>1005</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998</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1013</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1890</v>
      </c>
      <c r="B3496" s="21" t="s">
        <v>1010</v>
      </c>
      <c r="C3496" s="21" t="s">
        <v>995</v>
      </c>
      <c r="D3496" s="21" t="s">
        <v>996</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1006</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1112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1041</v>
      </c>
      <c r="B3499" s="21" t="s">
        <v>1053</v>
      </c>
      <c r="C3499" s="21" t="s">
        <v>1069</v>
      </c>
      <c r="D3499" s="21" t="s">
        <v>996</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1032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1662</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1382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1125</v>
      </c>
      <c r="B3503" s="21" t="s">
        <v>1104</v>
      </c>
      <c r="C3503" s="21" t="s">
        <v>1016</v>
      </c>
      <c r="D3503" s="21" t="s">
        <v>996</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1081</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1607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1018</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467</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1007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1190</v>
      </c>
      <c r="B3509" s="21" t="s">
        <v>1299</v>
      </c>
      <c r="C3509" s="21" t="s">
        <v>995</v>
      </c>
      <c r="D3509" s="21" t="s">
        <v>996</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1078</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1195</v>
      </c>
      <c r="B3511" s="21" t="s">
        <v>1302</v>
      </c>
      <c r="C3511" s="21" t="s">
        <v>1045</v>
      </c>
      <c r="D3511" s="21" t="s">
        <v>996</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1894</v>
      </c>
      <c r="B3512" s="21" t="s">
        <v>1206</v>
      </c>
      <c r="C3512" s="21" t="s">
        <v>1047</v>
      </c>
      <c r="D3512" s="21" t="s">
        <v>996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1006</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1041</v>
      </c>
      <c r="B3514" s="21" t="s">
        <v>1015</v>
      </c>
      <c r="C3514" s="21" t="s">
        <v>1069</v>
      </c>
      <c r="D3514" s="21" t="s">
        <v>996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1032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1034</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1345</v>
      </c>
      <c r="B3517" s="21" t="s">
        <v>994</v>
      </c>
      <c r="C3517" s="21" t="s">
        <v>1037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1536</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1895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1034</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1896</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1897</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1898</v>
      </c>
      <c r="B3523" s="21" t="s">
        <v>1010</v>
      </c>
      <c r="C3523" s="21" t="s">
        <v>1037</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1011</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1899</v>
      </c>
    </row>
    <row r="3527" spans="1:12">
      <c r="A3527" s="20" t="s">
        <v>1000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1900</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1901</v>
      </c>
      <c r="B3529" s="21" t="s">
        <v>1015</v>
      </c>
      <c r="C3529" s="21" t="s">
        <v>1002</v>
      </c>
      <c r="D3529" s="21" t="s">
        <v>996</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1032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1083</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1902</v>
      </c>
      <c r="B3532" s="21" t="s">
        <v>994</v>
      </c>
      <c r="C3532" s="21" t="s">
        <v>995</v>
      </c>
      <c r="D3532" s="21" t="s">
        <v>996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1006</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1392</v>
      </c>
      <c r="B3534" s="21" t="s">
        <v>1050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1032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1034</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1903</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1904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1840</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1898</v>
      </c>
      <c r="B3540" s="21" t="s">
        <v>994</v>
      </c>
      <c r="C3540" s="21" t="s">
        <v>1037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1011</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row>
    <row r="3543" spans="1:12">
      <c r="A3543" s="20" t="s">
        <v>1905</v>
      </c>
    </row>
    <row r="3544" spans="1:12">
      <c r="A3544" s="20" t="s">
        <v>1155</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1007</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1289</v>
      </c>
      <c r="B3546" s="21" t="s">
        <v>1015</v>
      </c>
      <c r="C3546" s="21" t="s">
        <v>1002</v>
      </c>
      <c r="D3546" s="21" t="s">
        <v>996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1124</v>
      </c>
      <c r="B3547" s="21" t="s">
        <v>1051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1014</v>
      </c>
      <c r="B3548" s="21" t="s">
        <v>1053</v>
      </c>
      <c r="C3548" s="21" t="s">
        <v>1016</v>
      </c>
      <c r="D3548" s="21" t="s">
        <v>996</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828</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1362</v>
      </c>
      <c r="B3550" s="21" t="s">
        <v>1104</v>
      </c>
      <c r="C3550" s="21" t="s">
        <v>1016</v>
      </c>
      <c r="D3550" s="21" t="s">
        <v>996</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1363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1536</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1041</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806</v>
      </c>
      <c r="B3554" s="21" t="s">
        <v>1116</v>
      </c>
      <c r="C3554" s="21" t="s">
        <v>1027</v>
      </c>
      <c r="D3554" s="21" t="s">
        <v>996</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1032</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1330</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1362</v>
      </c>
      <c r="B3557" s="21" t="s">
        <v>1050</v>
      </c>
      <c r="C3557" s="21" t="s">
        <v>1016</v>
      </c>
      <c r="D3557" s="21" t="s">
        <v>996</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1906</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1242</v>
      </c>
      <c r="B3559" s="21" t="s">
        <v>1026</v>
      </c>
      <c r="C3559" s="21" t="s">
        <v>1045</v>
      </c>
      <c r="D3559" s="21" t="s">
        <v>996</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1451</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1907</v>
      </c>
      <c r="B3561" s="21" t="s">
        <v>1022</v>
      </c>
      <c r="C3561" s="21" t="s">
        <v>1047</v>
      </c>
      <c r="D3561" s="21" t="s">
        <v>996</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1011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row>
    <row r="3564" spans="1:12">
      <c r="A3564" s="20" t="s">
        <v>1908</v>
      </c>
    </row>
    <row r="3565" spans="1:12">
      <c r="A3565" s="20" t="s">
        <v>1360</v>
      </c>
      <c r="B3565" s="21" t="s">
        <v>1015</v>
      </c>
      <c r="C3565" s="21" t="s">
        <v>1016</v>
      </c>
      <c r="D3565" s="21" t="s">
        <v>996</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1363</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1247</v>
      </c>
      <c r="B3567" s="21" t="s">
        <v>994</v>
      </c>
      <c r="C3567" s="21" t="s">
        <v>1005</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1391</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1392</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1007</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1190</v>
      </c>
      <c r="B3571" s="21" t="s">
        <v>1050</v>
      </c>
      <c r="C3571" s="21" t="s">
        <v>995</v>
      </c>
      <c r="D3571" s="21" t="s">
        <v>996</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1909</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1910</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1394</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1911</v>
      </c>
      <c r="B3575" s="21" t="s">
        <v>1022</v>
      </c>
      <c r="C3575" s="21" t="s">
        <v>1005</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1011</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row>
    <row r="3578" spans="1:12">
      <c r="A3578" s="20" t="s">
        <v>1912</v>
      </c>
    </row>
    <row r="3579" spans="1:12">
      <c r="A3579" s="20" t="s">
        <v>1360</v>
      </c>
      <c r="B3579" s="21" t="s">
        <v>1015</v>
      </c>
      <c r="C3579" s="21" t="s">
        <v>1016</v>
      </c>
      <c r="D3579" s="21" t="s">
        <v>996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377</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1394</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1911</v>
      </c>
      <c r="B3582" s="21" t="s">
        <v>1057</v>
      </c>
      <c r="C3582" s="21" t="s">
        <v>1005</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1124</v>
      </c>
      <c r="B3583" s="21" t="s">
        <v>1051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1246</v>
      </c>
      <c r="B3584" s="21" t="s">
        <v>1053</v>
      </c>
      <c r="C3584" s="21" t="s">
        <v>1069</v>
      </c>
      <c r="D3584" s="21" t="s">
        <v>996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1145</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1834</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1862</v>
      </c>
      <c r="B3587" s="21" t="s">
        <v>1010</v>
      </c>
      <c r="C3587" s="21" t="s">
        <v>1005</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1011</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row r="3590" spans="1:12">
      <c r="A3590" s="20" t="s">
        <v>1913</v>
      </c>
    </row>
    <row r="3591" spans="1:12">
      <c r="A3591" s="20" t="s">
        <v>1360</v>
      </c>
      <c r="B3591" s="21" t="s">
        <v>1015</v>
      </c>
      <c r="C3591" s="21" t="s">
        <v>1016</v>
      </c>
      <c r="D3591" s="21" t="s">
        <v>996</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106</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1505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1006</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1125</v>
      </c>
      <c r="B3595" s="21" t="s">
        <v>1050</v>
      </c>
      <c r="C3595" s="21" t="s">
        <v>1016</v>
      </c>
      <c r="D3595" s="21" t="s">
        <v>996</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301</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1018</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1294</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1098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1058</v>
      </c>
      <c r="B3600" s="21" t="s">
        <v>1026</v>
      </c>
      <c r="C3600" s="21" t="s">
        <v>1016</v>
      </c>
      <c r="D3600" s="21" t="s">
        <v>996</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1018</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1914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1634</v>
      </c>
      <c r="B3603" s="21" t="s">
        <v>1206</v>
      </c>
      <c r="C3603" s="21" t="s">
        <v>1045</v>
      </c>
      <c r="D3603" s="21" t="s">
        <v>996</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1196</v>
      </c>
      <c r="B3604" s="21" t="s">
        <v>1116</v>
      </c>
      <c r="C3604" s="21" t="s">
        <v>1047</v>
      </c>
      <c r="D3604" s="21" t="s">
        <v>996</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1006</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1293</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1033</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1637</v>
      </c>
      <c r="B3608" s="21" t="s">
        <v>1010</v>
      </c>
      <c r="C3608" s="21" t="s">
        <v>1005</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1006</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1362</v>
      </c>
      <c r="B3610" s="21" t="s">
        <v>1050</v>
      </c>
      <c r="C3610" s="21" t="s">
        <v>1016</v>
      </c>
      <c r="D3610" s="21" t="s">
        <v>996</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1363</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1309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1915</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1916</v>
      </c>
      <c r="B3614" s="21" t="s">
        <v>1022</v>
      </c>
      <c r="C3614" s="21" t="s">
        <v>1005</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1018</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1246</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1401</v>
      </c>
      <c r="B3617" s="21" t="s">
        <v>1010</v>
      </c>
      <c r="C3617" s="21" t="s">
        <v>1027</v>
      </c>
      <c r="D3617" s="21" t="s">
        <v>996</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1124</v>
      </c>
      <c r="B3618" s="21" t="s">
        <v>1104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1917</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1381</v>
      </c>
      <c r="B3620" s="21" t="s">
        <v>1116</v>
      </c>
      <c r="C3620" s="21" t="s">
        <v>1016</v>
      </c>
      <c r="D3620" s="21" t="s">
        <v>996</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1918</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1007</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1306</v>
      </c>
      <c r="B3623" s="21" t="s">
        <v>1299</v>
      </c>
      <c r="C3623" s="21" t="s">
        <v>1047</v>
      </c>
      <c r="D3623" s="21" t="s">
        <v>996</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1003</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1195</v>
      </c>
      <c r="B3625" s="21" t="s">
        <v>1304</v>
      </c>
      <c r="C3625" s="21" t="s">
        <v>1045</v>
      </c>
      <c r="D3625" s="21" t="s">
        <v>996</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1568</v>
      </c>
      <c r="B3626" s="21" t="s">
        <v>1302</v>
      </c>
      <c r="C3626" s="21" t="s">
        <v>1047</v>
      </c>
      <c r="D3626" s="21" t="s">
        <v>996</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1011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1919</v>
      </c>
    </row>
    <row r="3630" spans="1:12">
      <c r="A3630" s="20" t="s">
        <v>1360</v>
      </c>
      <c r="B3630" s="21" t="s">
        <v>1015</v>
      </c>
      <c r="C3630" s="21" t="s">
        <v>1016</v>
      </c>
      <c r="D3630" s="21" t="s">
        <v>996</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1363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1920</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1033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1921</v>
      </c>
      <c r="B3634" s="21" t="s">
        <v>994</v>
      </c>
      <c r="C3634" s="21" t="s">
        <v>1005</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1124</v>
      </c>
      <c r="B3635" s="21" t="s">
        <v>1051</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1496</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1410</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1007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1190</v>
      </c>
      <c r="B3639" s="21" t="s">
        <v>1053</v>
      </c>
      <c r="C3639" s="21" t="s">
        <v>1002</v>
      </c>
      <c r="D3639" s="21" t="s">
        <v>996</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719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1922</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1006</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1293</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1923</v>
      </c>
      <c r="B3644" s="21" t="s">
        <v>994</v>
      </c>
      <c r="C3644" s="21" t="s">
        <v>1066</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1176</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1103</v>
      </c>
      <c r="B3646" s="21" t="s">
        <v>1053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1108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1162</v>
      </c>
      <c r="B3648" s="21" t="s">
        <v>1051</v>
      </c>
      <c r="C3648" s="21" t="s">
        <v>1005</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1112</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1924</v>
      </c>
      <c r="B3650" s="21" t="s">
        <v>1107</v>
      </c>
      <c r="C3650" s="21" t="s">
        <v>1005</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1018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1925</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1112</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677</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1121</v>
      </c>
      <c r="B3655" s="21" t="s">
        <v>1336</v>
      </c>
      <c r="C3655" s="21" t="s">
        <v>1016</v>
      </c>
      <c r="D3655" s="21" t="s">
        <v>996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719</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1715</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98</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1018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165</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1494</v>
      </c>
      <c r="B3661" s="21" t="s">
        <v>1926</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1033</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1018</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1007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1139</v>
      </c>
      <c r="B3665" s="21" t="s">
        <v>1927</v>
      </c>
      <c r="C3665" s="21" t="s">
        <v>1002</v>
      </c>
      <c r="D3665" s="21" t="s">
        <v>996</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1156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1520</v>
      </c>
      <c r="B3667" s="21" t="s">
        <v>1427</v>
      </c>
      <c r="C3667" s="21" t="s">
        <v>1047</v>
      </c>
      <c r="D3667" s="21" t="s">
        <v>996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1011</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row>
    <row r="3670" spans="1:12">
      <c r="A3670" s="20" t="s">
        <v>1928</v>
      </c>
    </row>
    <row r="3671" spans="1:12">
      <c r="A3671" s="20" t="s">
        <v>1155</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1041</v>
      </c>
      <c r="B3672" s="21" t="s">
        <v>1015</v>
      </c>
      <c r="C3672" s="21" t="s">
        <v>1069</v>
      </c>
      <c r="D3672" s="21" t="s">
        <v>996</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1032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1130</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1929</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1006</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1330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1559</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1125</v>
      </c>
      <c r="B3679" s="21" t="s">
        <v>1053</v>
      </c>
      <c r="C3679" s="21" t="s">
        <v>1016</v>
      </c>
      <c r="D3679" s="21" t="s">
        <v>996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1930</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1034</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1326</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1931</v>
      </c>
      <c r="B3683" s="21" t="s">
        <v>1051</v>
      </c>
      <c r="C3683" s="21" t="s">
        <v>1037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1006</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1559</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1125</v>
      </c>
      <c r="B3686" s="21" t="s">
        <v>1053</v>
      </c>
      <c r="C3686" s="21" t="s">
        <v>1016</v>
      </c>
      <c r="D3686" s="21" t="s">
        <v>996</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1930</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1007</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1736</v>
      </c>
      <c r="B3689" s="21" t="s">
        <v>1051</v>
      </c>
      <c r="C3689" s="21" t="s">
        <v>1047</v>
      </c>
      <c r="D3689" s="21" t="s">
        <v>996</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1003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214</v>
      </c>
      <c r="B3691" s="21" t="s">
        <v>1107</v>
      </c>
      <c r="C3691" s="21" t="s">
        <v>1102</v>
      </c>
      <c r="D3691" s="21" t="s">
        <v>996</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1552</v>
      </c>
      <c r="B3693" s="21" t="s">
        <v>1206</v>
      </c>
      <c r="C3693" s="21" t="s">
        <v>995</v>
      </c>
      <c r="D3693" s="21" t="s">
        <v>996</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1006</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1392</v>
      </c>
      <c r="B3695" s="21" t="s">
        <v>1336</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1211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1932</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1933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1308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1007</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1890</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1345</v>
      </c>
      <c r="B3702" s="21" t="s">
        <v>1304</v>
      </c>
      <c r="C3702" s="21" t="s">
        <v>1002</v>
      </c>
      <c r="D3702" s="21" t="s">
        <v>996</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1006</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1125</v>
      </c>
      <c r="B3704" s="21" t="s">
        <v>1050</v>
      </c>
      <c r="C3704" s="21" t="s">
        <v>1016</v>
      </c>
      <c r="D3704" s="21" t="s">
        <v>996</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1158</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905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1034</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1488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1834</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1139</v>
      </c>
      <c r="B3710" s="21" t="s">
        <v>1022</v>
      </c>
      <c r="C3710" s="21" t="s">
        <v>1037</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1934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1011</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row>
    <row r="3714" spans="1:12">
      <c r="A3714" s="20" t="s">
        <v>1935</v>
      </c>
    </row>
    <row r="3715" spans="1:12">
      <c r="A3715" s="20" t="s">
        <v>1223</v>
      </c>
      <c r="B3715" s="21" t="s">
        <v>1015</v>
      </c>
      <c r="C3715" s="21" t="s">
        <v>1016</v>
      </c>
      <c r="D3715" s="21" t="s">
        <v>996</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1936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1122</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134</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1749</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1018</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1194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1242</v>
      </c>
      <c r="B3722" s="21" t="s">
        <v>1026</v>
      </c>
      <c r="C3722" s="21" t="s">
        <v>1045</v>
      </c>
      <c r="D3722" s="21" t="s">
        <v>996</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1937</v>
      </c>
      <c r="B3723" s="21" t="s">
        <v>1022</v>
      </c>
      <c r="C3723" s="21" t="s">
        <v>1047</v>
      </c>
      <c r="D3723" s="21" t="s">
        <v>996</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1112</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1125</v>
      </c>
      <c r="B3725" s="21" t="s">
        <v>1050</v>
      </c>
      <c r="C3725" s="21" t="s">
        <v>1016</v>
      </c>
      <c r="D3725" s="21" t="s">
        <v>996</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1936</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1122</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134</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1749</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1018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1194</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1938</v>
      </c>
      <c r="B3732" s="21" t="s">
        <v>1051</v>
      </c>
      <c r="C3732" s="21" t="s">
        <v>1005</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1237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1939</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1120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1152</v>
      </c>
      <c r="B3736" s="21" t="s">
        <v>1107</v>
      </c>
      <c r="C3736" s="21" t="s">
        <v>1005</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1940</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1024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1520</v>
      </c>
      <c r="B3739" s="21" t="s">
        <v>1221</v>
      </c>
      <c r="C3739" s="21" t="s">
        <v>1027</v>
      </c>
      <c r="D3739" s="21" t="s">
        <v>996</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1589</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1941</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1381</v>
      </c>
      <c r="B3742" s="21" t="s">
        <v>1116</v>
      </c>
      <c r="C3742" s="21" t="s">
        <v>1016</v>
      </c>
      <c r="D3742" s="21" t="s">
        <v>996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1078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1195</v>
      </c>
      <c r="B3744" s="21" t="s">
        <v>1206</v>
      </c>
      <c r="C3744" s="21" t="s">
        <v>1045</v>
      </c>
      <c r="D3744" s="21" t="s">
        <v>996</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1451</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1648</v>
      </c>
      <c r="B3746" s="21" t="s">
        <v>1107</v>
      </c>
      <c r="C3746" s="21" t="s">
        <v>1047</v>
      </c>
      <c r="D3746" s="21" t="s">
        <v>996</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1011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row>
    <row r="3749" spans="1:12">
      <c r="A3749" s="20" t="s">
        <v>1177</v>
      </c>
    </row>
    <row r="3750" spans="1:12">
      <c r="A3750" s="20" t="s">
        <v>1074</v>
      </c>
      <c r="B3750" s="21" t="s">
        <v>994</v>
      </c>
      <c r="C3750" s="21" t="s">
        <v>1005</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998</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1942</v>
      </c>
    </row>
    <row r="3754" spans="1:12">
      <c r="A3754" s="20" t="s">
        <v>1155</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129</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1024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1822</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1233</v>
      </c>
      <c r="B3758" s="21" t="s">
        <v>1015</v>
      </c>
      <c r="C3758" s="21" t="s">
        <v>1027</v>
      </c>
      <c r="D3758" s="21" t="s">
        <v>996</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1228</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1943</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584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1395</v>
      </c>
      <c r="B3762" s="21" t="s">
        <v>1057</v>
      </c>
      <c r="C3762" s="21" t="s">
        <v>995</v>
      </c>
      <c r="D3762" s="21" t="s">
        <v>996</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1264</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1018</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1944</v>
      </c>
      <c r="B3765" s="21" t="s">
        <v>994</v>
      </c>
      <c r="C3765" s="21" t="s">
        <v>1005</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1043</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994</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1945</v>
      </c>
      <c r="B3768" s="21" t="s">
        <v>1010</v>
      </c>
      <c r="C3768" s="21" t="s">
        <v>1005</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1061</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row>
    <row r="3771" spans="1:12">
      <c r="A3771" s="20" t="s">
        <v>1946</v>
      </c>
    </row>
    <row r="3772" spans="1:12">
      <c r="A3772" s="20" t="s">
        <v>1100</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998</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1947</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1011</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row>
    <row r="3777" spans="1:12">
      <c r="A3777" s="20" t="s">
        <v>1948</v>
      </c>
    </row>
    <row r="3778" spans="1:12">
      <c r="A3778" s="20" t="s">
        <v>1949</v>
      </c>
      <c r="B3778" s="21" t="s">
        <v>1015</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1003</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1007</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1950</v>
      </c>
      <c r="B3781" s="21" t="s">
        <v>1010</v>
      </c>
      <c r="C3781" s="21" t="s">
        <v>1002</v>
      </c>
      <c r="D3781" s="21" t="s">
        <v>996</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1006</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1404</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1003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1007</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1929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1951</v>
      </c>
      <c r="B3787" s="21" t="s">
        <v>1026</v>
      </c>
      <c r="C3787" s="21" t="s">
        <v>1002</v>
      </c>
      <c r="D3787" s="21" t="s">
        <v>996</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1124</v>
      </c>
      <c r="B3788" s="21" t="s">
        <v>1299</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1125</v>
      </c>
      <c r="B3789" s="21" t="s">
        <v>1297</v>
      </c>
      <c r="C3789" s="21" t="s">
        <v>1016</v>
      </c>
      <c r="D3789" s="21" t="s">
        <v>996</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1081</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1160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1033</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1007</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1952</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1953</v>
      </c>
      <c r="B3795" s="21" t="s">
        <v>1206</v>
      </c>
      <c r="C3795" s="21" t="s">
        <v>1649</v>
      </c>
      <c r="D3795" s="21" t="s">
        <v>996</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1006</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1032</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1124</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1007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1190</v>
      </c>
      <c r="B3800" s="21" t="s">
        <v>1050</v>
      </c>
      <c r="C3800" s="21" t="s">
        <v>1002</v>
      </c>
      <c r="D3800" s="21" t="s">
        <v>996</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1108</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1954</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1955</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1956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1957</v>
      </c>
      <c r="B3805" s="21" t="s">
        <v>1022</v>
      </c>
      <c r="C3805" s="21" t="s">
        <v>1077</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1011</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row>
    <row r="3808" spans="1:12">
      <c r="A3808" s="20" t="s">
        <v>1958</v>
      </c>
    </row>
    <row r="3809" spans="1:12">
      <c r="A3809" s="20" t="s">
        <v>1360</v>
      </c>
      <c r="B3809" s="21" t="s">
        <v>1015</v>
      </c>
      <c r="C3809" s="21" t="s">
        <v>1016</v>
      </c>
      <c r="D3809" s="21" t="s">
        <v>996</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1081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1082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1033</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1959</v>
      </c>
      <c r="B3813" s="21" t="s">
        <v>994</v>
      </c>
      <c r="C3813" s="21" t="s">
        <v>1005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1003</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1960</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1961</v>
      </c>
      <c r="B3816" s="21" t="s">
        <v>994</v>
      </c>
      <c r="C3816" s="21" t="s">
        <v>1005</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1006</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1124</v>
      </c>
      <c r="B3818" s="21" t="s">
        <v>1050</v>
      </c>
      <c r="C3818" s="21" t="s">
        <v>1069</v>
      </c>
      <c r="D3818" s="21" t="s">
        <v>996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1032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1962</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1006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1293</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1362</v>
      </c>
      <c r="B3823" s="21" t="s">
        <v>1050</v>
      </c>
      <c r="C3823" s="21" t="s">
        <v>1016</v>
      </c>
      <c r="D3823" s="21" t="s">
        <v>996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1081</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1228</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1082</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1033</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1959</v>
      </c>
      <c r="B3828" s="21" t="s">
        <v>994</v>
      </c>
      <c r="C3828" s="21" t="s">
        <v>1005</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1003</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1963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1961</v>
      </c>
      <c r="B3831" s="21" t="s">
        <v>1010</v>
      </c>
      <c r="C3831" s="21" t="s">
        <v>1005</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1006</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1112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1954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1362</v>
      </c>
      <c r="B3835" s="21" t="s">
        <v>1050</v>
      </c>
      <c r="C3835" s="21" t="s">
        <v>1016</v>
      </c>
      <c r="D3835" s="21" t="s">
        <v>996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1081</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1837</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1964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1965</v>
      </c>
      <c r="B3839" s="21" t="s">
        <v>1022</v>
      </c>
      <c r="C3839" s="21" t="s">
        <v>1005</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1110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1966</v>
      </c>
      <c r="B3841" s="21" t="s">
        <v>1026</v>
      </c>
      <c r="C3841" s="21" t="s">
        <v>1005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1420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1141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1007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1967</v>
      </c>
      <c r="B3845" s="21" t="s">
        <v>994</v>
      </c>
      <c r="C3845" s="21" t="s">
        <v>1002</v>
      </c>
      <c r="D3845" s="21" t="s">
        <v>996</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1124</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1173</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1968</v>
      </c>
      <c r="B3848" s="21" t="s">
        <v>1053</v>
      </c>
      <c r="C3848" s="21" t="s">
        <v>1005</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1145</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1781</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1969</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1543</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1011</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row>
    <row r="3855" spans="1:12">
      <c r="A3855" s="20" t="s">
        <v>1970</v>
      </c>
    </row>
    <row r="3856" spans="1:12">
      <c r="A3856" s="20" t="s">
        <v>1135</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1125</v>
      </c>
      <c r="B3857" s="21" t="s">
        <v>1050</v>
      </c>
      <c r="C3857" s="21" t="s">
        <v>1016</v>
      </c>
      <c r="D3857" s="21" t="s">
        <v>996</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599</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1034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1459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506</v>
      </c>
      <c r="B3861" s="21" t="s">
        <v>1022</v>
      </c>
      <c r="C3861" s="21" t="s">
        <v>1037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1112</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264</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1195</v>
      </c>
      <c r="B3864" s="21" t="s">
        <v>1107</v>
      </c>
      <c r="C3864" s="21" t="s">
        <v>1045</v>
      </c>
      <c r="D3864" s="21" t="s">
        <v>996</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1968</v>
      </c>
      <c r="B3865" s="21" t="s">
        <v>1051</v>
      </c>
      <c r="C3865" s="21" t="s">
        <v>1047</v>
      </c>
      <c r="D3865" s="21" t="s">
        <v>996</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1006</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1559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1125</v>
      </c>
      <c r="B3868" s="21" t="s">
        <v>1015</v>
      </c>
      <c r="C3868" s="21" t="s">
        <v>1016</v>
      </c>
      <c r="D3868" s="21" t="s">
        <v>996</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599</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1034</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1149</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1971</v>
      </c>
      <c r="B3872" s="21" t="s">
        <v>1057</v>
      </c>
      <c r="C3872" s="21" t="s">
        <v>1037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1033</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1972</v>
      </c>
      <c r="B3874" s="21" t="s">
        <v>994</v>
      </c>
      <c r="C3874" s="21" t="s">
        <v>995</v>
      </c>
      <c r="D3874" s="21" t="s">
        <v>996</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1124</v>
      </c>
      <c r="B3875" s="21" t="s">
        <v>1053</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1108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1488</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1973</v>
      </c>
      <c r="B3878" s="21" t="s">
        <v>1051</v>
      </c>
      <c r="C3878" s="21" t="s">
        <v>1005</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1018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1007</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1173</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1152</v>
      </c>
      <c r="B3882" s="21" t="s">
        <v>1107</v>
      </c>
      <c r="C3882" s="21" t="s">
        <v>1002</v>
      </c>
      <c r="D3882" s="21" t="s">
        <v>996</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1312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1476</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1657</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1124</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1007</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1459</v>
      </c>
      <c r="B3888" s="21" t="s">
        <v>1219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53</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1122</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864</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1194</v>
      </c>
      <c r="B3892" s="21" t="s">
        <v>1221</v>
      </c>
      <c r="C3892" s="21" t="s">
        <v>1005</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1018</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1242</v>
      </c>
      <c r="B3894" s="21" t="s">
        <v>1427</v>
      </c>
      <c r="C3894" s="21" t="s">
        <v>1045</v>
      </c>
      <c r="D3894" s="21" t="s">
        <v>996</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1968</v>
      </c>
      <c r="B3895" s="21" t="s">
        <v>1304</v>
      </c>
      <c r="C3895" s="21" t="s">
        <v>1047</v>
      </c>
      <c r="D3895" s="21" t="s">
        <v>996</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1011</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row>
    <row r="3898" spans="1:12">
      <c r="A3898" s="20" t="s">
        <v>1974</v>
      </c>
    </row>
    <row r="3899" spans="1:12">
      <c r="A3899" s="20" t="s">
        <v>1013</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1308</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1975</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1007</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1306</v>
      </c>
      <c r="B3903" s="21" t="s">
        <v>1022</v>
      </c>
      <c r="C3903" s="21" t="s">
        <v>1047</v>
      </c>
      <c r="D3903" s="21" t="s">
        <v>996</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1003</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1242</v>
      </c>
      <c r="B3905" s="21" t="s">
        <v>1107</v>
      </c>
      <c r="C3905" s="21" t="s">
        <v>1045</v>
      </c>
      <c r="D3905" s="21" t="s">
        <v>996</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1520</v>
      </c>
      <c r="B3906" s="21" t="s">
        <v>1026</v>
      </c>
      <c r="C3906" s="21" t="s">
        <v>1047</v>
      </c>
      <c r="D3906" s="21" t="s">
        <v>996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1006</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1362</v>
      </c>
      <c r="B3908" s="21" t="s">
        <v>1015</v>
      </c>
      <c r="C3908" s="21" t="s">
        <v>1016</v>
      </c>
      <c r="D3908" s="21" t="s">
        <v>996</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1363</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1496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1410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1303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1007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1139</v>
      </c>
      <c r="B3914" s="21" t="s">
        <v>1057</v>
      </c>
      <c r="C3914" s="21" t="s">
        <v>1002</v>
      </c>
      <c r="D3914" s="21" t="s">
        <v>996</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1132</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1274</v>
      </c>
      <c r="B3916" s="21" t="s">
        <v>994</v>
      </c>
      <c r="C3916" s="21" t="s">
        <v>1005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1006</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1362</v>
      </c>
      <c r="B3918" s="21" t="s">
        <v>1050</v>
      </c>
      <c r="C3918" s="21" t="s">
        <v>1016</v>
      </c>
      <c r="D3918" s="21" t="s">
        <v>996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1363</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1303</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1395</v>
      </c>
      <c r="B3921" s="21" t="s">
        <v>1022</v>
      </c>
      <c r="C3921" s="21" t="s">
        <v>995</v>
      </c>
      <c r="D3921" s="21" t="s">
        <v>996</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1132</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1274</v>
      </c>
      <c r="B3923" s="21" t="s">
        <v>1010</v>
      </c>
      <c r="C3923" s="21" t="s">
        <v>1005</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1033</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1034</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1976</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806</v>
      </c>
      <c r="B3927" s="21" t="s">
        <v>1010</v>
      </c>
      <c r="C3927" s="21" t="s">
        <v>1037</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1006</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1330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1977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1978</v>
      </c>
      <c r="B3931" s="21" t="s">
        <v>1053</v>
      </c>
      <c r="C3931" s="21" t="s">
        <v>1005</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1032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1007</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1509</v>
      </c>
      <c r="B3934" s="21" t="s">
        <v>1010</v>
      </c>
      <c r="C3934" s="21" t="s">
        <v>1002</v>
      </c>
      <c r="D3934" s="21" t="s">
        <v>996</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1006</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1007</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1979</v>
      </c>
      <c r="B3937" s="21" t="s">
        <v>1022</v>
      </c>
      <c r="C3937" s="21" t="s">
        <v>1047</v>
      </c>
      <c r="D3937" s="21" t="s">
        <v>996</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1003</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1242</v>
      </c>
      <c r="B3939" s="21" t="s">
        <v>1107</v>
      </c>
      <c r="C3939" s="21" t="s">
        <v>1045</v>
      </c>
      <c r="D3939" s="21" t="s">
        <v>996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1849</v>
      </c>
      <c r="B3940" s="21" t="s">
        <v>1026</v>
      </c>
      <c r="C3940" s="21" t="s">
        <v>1047</v>
      </c>
      <c r="D3940" s="21" t="s">
        <v>996</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1006</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1112</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1559</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1125</v>
      </c>
      <c r="B3944" s="21" t="s">
        <v>1104</v>
      </c>
      <c r="C3944" s="21" t="s">
        <v>1016</v>
      </c>
      <c r="D3944" s="21" t="s">
        <v>996</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603</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1124</v>
      </c>
      <c r="B3946" s="21" t="s">
        <v>1116</v>
      </c>
      <c r="C3946" s="21" t="s">
        <v>1069</v>
      </c>
      <c r="D3946" s="21" t="s">
        <v>996</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1132</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1274</v>
      </c>
      <c r="B3948" s="21" t="s">
        <v>1107</v>
      </c>
      <c r="C3948" s="21" t="s">
        <v>1005</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1391</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1980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1306</v>
      </c>
      <c r="B3951" s="21" t="s">
        <v>1206</v>
      </c>
      <c r="C3951" s="21" t="s">
        <v>1005</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1006</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1125</v>
      </c>
      <c r="B3953" s="21" t="s">
        <v>1053</v>
      </c>
      <c r="C3953" s="21" t="s">
        <v>1016</v>
      </c>
      <c r="D3953" s="21" t="s">
        <v>996</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1363</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1265</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1018</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134</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1981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1078</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1121</v>
      </c>
      <c r="B3960" s="21" t="s">
        <v>1107</v>
      </c>
      <c r="C3960" s="21" t="s">
        <v>1016</v>
      </c>
      <c r="D3960" s="21" t="s">
        <v>996</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1078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1213</v>
      </c>
      <c r="B3962" s="21" t="s">
        <v>1107</v>
      </c>
      <c r="C3962" s="21" t="s">
        <v>1005</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1011</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row>
    <row r="3965" spans="1:12">
      <c r="A3965" s="20" t="s">
        <v>1982</v>
      </c>
    </row>
    <row r="3966" spans="1:12">
      <c r="A3966" s="20" t="s">
        <v>1074</v>
      </c>
      <c r="B3966" s="21" t="s">
        <v>994</v>
      </c>
      <c r="C3966" s="21" t="s">
        <v>1005</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998</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1118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1362</v>
      </c>
      <c r="B3969" s="21" t="s">
        <v>1050</v>
      </c>
      <c r="C3969" s="21" t="s">
        <v>1016</v>
      </c>
      <c r="D3969" s="21" t="s">
        <v>996</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1081</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1235</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1034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1983</v>
      </c>
      <c r="B3973" s="21" t="s">
        <v>1022</v>
      </c>
      <c r="C3973" s="21" t="s">
        <v>1037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1124</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1121</v>
      </c>
      <c r="B3975" s="21" t="s">
        <v>1104</v>
      </c>
      <c r="C3975" s="21" t="s">
        <v>1016</v>
      </c>
      <c r="D3975" s="21" t="s">
        <v>996</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1211</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1969</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1812</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1041</v>
      </c>
      <c r="B3979" s="21" t="s">
        <v>1299</v>
      </c>
      <c r="C3979" s="21" t="s">
        <v>1069</v>
      </c>
      <c r="D3979" s="21" t="s">
        <v>996</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1059</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1598</v>
      </c>
      <c r="B3981" s="21" t="s">
        <v>1206</v>
      </c>
      <c r="C3981" s="21" t="s">
        <v>1047</v>
      </c>
      <c r="D3981" s="21" t="s">
        <v>996</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1003</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1395</v>
      </c>
      <c r="B3983" s="21" t="s">
        <v>1304</v>
      </c>
      <c r="C3983" s="21" t="s">
        <v>995</v>
      </c>
      <c r="D3983" s="21" t="s">
        <v>996</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1156</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1965</v>
      </c>
      <c r="B3985" s="21" t="s">
        <v>1302</v>
      </c>
      <c r="C3985" s="21" t="s">
        <v>1047</v>
      </c>
      <c r="D3985" s="21" t="s">
        <v>996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1984</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1985</v>
      </c>
      <c r="B3987" s="21" t="s">
        <v>1304</v>
      </c>
      <c r="C3987" s="21" t="s">
        <v>1005</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1011</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row>
    <row r="3990" spans="1:12">
      <c r="A3990" s="20" t="s">
        <v>1986</v>
      </c>
    </row>
    <row r="3991" spans="1:12">
      <c r="A3991" s="20" t="s">
        <v>1987</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1124</v>
      </c>
      <c r="B3992" s="21" t="s">
        <v>1015</v>
      </c>
      <c r="C3992" s="21" t="s">
        <v>1069</v>
      </c>
      <c r="D3992" s="21" t="s">
        <v>996</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1917</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1121</v>
      </c>
      <c r="B3994" s="21" t="s">
        <v>1057</v>
      </c>
      <c r="C3994" s="21" t="s">
        <v>1016</v>
      </c>
      <c r="D3994" s="21" t="s">
        <v>996</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1034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1988</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1969</v>
      </c>
      <c r="B3997" s="21" t="s">
        <v>994</v>
      </c>
      <c r="C3997" s="21" t="s">
        <v>1037</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1981</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1011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row>
    <row r="4001" spans="1:12">
      <c r="A4001" s="20" t="s">
        <v>1989</v>
      </c>
    </row>
    <row r="4002" spans="1:12">
      <c r="A4002" s="20" t="s">
        <v>1100</v>
      </c>
      <c r="B4002" s="21" t="s">
        <v>994</v>
      </c>
      <c r="C4002" s="21" t="s">
        <v>1005</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998</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1733</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1006</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1119</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1058</v>
      </c>
      <c r="B4007" s="21" t="s">
        <v>1053</v>
      </c>
      <c r="C4007" s="21" t="s">
        <v>1016</v>
      </c>
      <c r="D4007" s="21" t="s">
        <v>996</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410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1132</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1007</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1990</v>
      </c>
      <c r="B4011" s="21" t="s">
        <v>1026</v>
      </c>
      <c r="C4011" s="21" t="s">
        <v>1047</v>
      </c>
      <c r="D4011" s="21" t="s">
        <v>996</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1003</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1246</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1247</v>
      </c>
      <c r="B4014" s="21" t="s">
        <v>1107</v>
      </c>
      <c r="C4014" s="21" t="s">
        <v>1027</v>
      </c>
      <c r="D4014" s="21" t="s">
        <v>996</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1033</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1991</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1985</v>
      </c>
      <c r="B4017" s="21" t="s">
        <v>1116</v>
      </c>
      <c r="C4017" s="21" t="s">
        <v>1005</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1006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1058</v>
      </c>
      <c r="B4019" s="21" t="s">
        <v>1050</v>
      </c>
      <c r="C4019" s="21" t="s">
        <v>1016</v>
      </c>
      <c r="D4019" s="21" t="s">
        <v>996</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1158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34</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1124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1124</v>
      </c>
      <c r="B4023" s="21" t="s">
        <v>1053</v>
      </c>
      <c r="C4023" s="21" t="s">
        <v>1069</v>
      </c>
      <c r="D4023" s="21" t="s">
        <v>996</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1156</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1992</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1006</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1112</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1058</v>
      </c>
      <c r="B4028" s="21" t="s">
        <v>1104</v>
      </c>
      <c r="C4028" s="21" t="s">
        <v>1016</v>
      </c>
      <c r="D4028" s="21" t="s">
        <v>996</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129</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1122</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118</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1018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1537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1113</v>
      </c>
      <c r="B4034" s="21" t="s">
        <v>1302</v>
      </c>
      <c r="C4034" s="21" t="s">
        <v>1045</v>
      </c>
      <c r="D4034" s="21" t="s">
        <v>996</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1993</v>
      </c>
      <c r="B4035" s="21" t="s">
        <v>1299</v>
      </c>
      <c r="C4035" s="21" t="s">
        <v>1047</v>
      </c>
      <c r="D4035" s="21" t="s">
        <v>996</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1078</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1121</v>
      </c>
      <c r="B4037" s="21" t="s">
        <v>1206</v>
      </c>
      <c r="C4037" s="21" t="s">
        <v>1016</v>
      </c>
      <c r="D4037" s="21" t="s">
        <v>996</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1006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1330</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1125</v>
      </c>
      <c r="B4040" s="21" t="s">
        <v>1219</v>
      </c>
      <c r="C4040" s="21" t="s">
        <v>1016</v>
      </c>
      <c r="D4040" s="21" t="s">
        <v>996</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1081</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1165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1007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1353</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584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1406</v>
      </c>
      <c r="B4046" s="21" t="s">
        <v>1221</v>
      </c>
      <c r="C4046" s="21" t="s">
        <v>1002</v>
      </c>
      <c r="D4046" s="21" t="s">
        <v>996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1006</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1007</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1353</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1415</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1406</v>
      </c>
      <c r="B4051" s="21" t="s">
        <v>1022</v>
      </c>
      <c r="C4051" s="21" t="s">
        <v>1002</v>
      </c>
      <c r="D4051" s="21" t="s">
        <v>996</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1124</v>
      </c>
      <c r="B4052" s="21" t="s">
        <v>1104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1156</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1417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1041</v>
      </c>
      <c r="B4055" s="21" t="s">
        <v>1116</v>
      </c>
      <c r="C4055" s="21" t="s">
        <v>1069</v>
      </c>
      <c r="D4055" s="21" t="s">
        <v>996</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1006</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1994</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1007</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1995</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1996</v>
      </c>
      <c r="B4060" s="21" t="s">
        <v>1206</v>
      </c>
      <c r="C4060" s="21" t="s">
        <v>1002</v>
      </c>
      <c r="D4060" s="21" t="s">
        <v>996</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1006</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1083</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1246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1247</v>
      </c>
      <c r="B4064" s="21" t="s">
        <v>1116</v>
      </c>
      <c r="C4064" s="21" t="s">
        <v>1027</v>
      </c>
      <c r="D4064" s="21" t="s">
        <v>996</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1997</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1112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1998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1999</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1011</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2000</v>
      </c>
    </row>
    <row r="4072" spans="1:12">
      <c r="A4072" s="20" t="s">
        <v>1266</v>
      </c>
      <c r="B4072" s="21" t="s">
        <v>1015</v>
      </c>
      <c r="C4072" s="21" t="s">
        <v>995</v>
      </c>
      <c r="D4072" s="21" t="s">
        <v>996</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1006</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1103</v>
      </c>
      <c r="B4074" s="21" t="s">
        <v>1053</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1108</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1194</v>
      </c>
      <c r="B4076" s="21" t="s">
        <v>1051</v>
      </c>
      <c r="C4076" s="21" t="s">
        <v>1005</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1018</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134</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2001</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1141</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1246</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1085</v>
      </c>
      <c r="B4082" s="21" t="s">
        <v>1206</v>
      </c>
      <c r="C4082" s="21" t="s">
        <v>1027</v>
      </c>
      <c r="D4082" s="21" t="s">
        <v>996</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1006</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1112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1547</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1108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1007</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2002</v>
      </c>
      <c r="B4088" s="21" t="s">
        <v>1057</v>
      </c>
      <c r="C4088" s="21" t="s">
        <v>1002</v>
      </c>
      <c r="D4088" s="21" t="s">
        <v>996</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1018</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134</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1006</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1108</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2003</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2004</v>
      </c>
      <c r="B4094" s="21" t="s">
        <v>1022</v>
      </c>
      <c r="C4094" s="21" t="s">
        <v>1005</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1018</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2005</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1121</v>
      </c>
      <c r="B4097" s="21" t="s">
        <v>1116</v>
      </c>
      <c r="C4097" s="21" t="s">
        <v>1016</v>
      </c>
      <c r="D4097" s="21" t="s">
        <v>996</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1006</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1112</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1956</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2006</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2007</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2008</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2009</v>
      </c>
      <c r="B4104" s="21" t="s">
        <v>994</v>
      </c>
      <c r="C4104" s="21" t="s">
        <v>1077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1103</v>
      </c>
      <c r="B4105" s="21" t="s">
        <v>1053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1417</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1133</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1003</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1007</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1200</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1325</v>
      </c>
      <c r="B4111" s="21" t="s">
        <v>1107</v>
      </c>
      <c r="C4111" s="21" t="s">
        <v>1002</v>
      </c>
      <c r="D4111" s="21" t="s">
        <v>996</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1361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1246</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1247</v>
      </c>
      <c r="B4114" s="21" t="s">
        <v>1053</v>
      </c>
      <c r="C4114" s="21" t="s">
        <v>1027</v>
      </c>
      <c r="D4114" s="21" t="s">
        <v>996</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118</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1278</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2010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1034</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1326</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2011</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2012</v>
      </c>
      <c r="B4121" s="21" t="s">
        <v>1051</v>
      </c>
      <c r="C4121" s="21" t="s">
        <v>1037</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1124</v>
      </c>
      <c r="B4122" s="21" t="s">
        <v>1297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1211</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2013</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1033</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1007</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1282</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1283</v>
      </c>
      <c r="B4128" s="21" t="s">
        <v>1206</v>
      </c>
      <c r="C4128" s="21" t="s">
        <v>995</v>
      </c>
      <c r="D4128" s="21" t="s">
        <v>996</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1011</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row>
    <row r="4131" spans="1:12">
      <c r="A4131" s="20" t="s">
        <v>2014</v>
      </c>
    </row>
    <row r="4132" spans="1:12">
      <c r="A4132" s="20" t="s">
        <v>1013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1032</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1121</v>
      </c>
      <c r="B4134" s="21" t="s">
        <v>1015</v>
      </c>
      <c r="C4134" s="21" t="s">
        <v>1016</v>
      </c>
      <c r="D4134" s="21" t="s">
        <v>996</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1130</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1985</v>
      </c>
      <c r="B4136" s="21" t="s">
        <v>994</v>
      </c>
      <c r="C4136" s="21" t="s">
        <v>1005</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1124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1125</v>
      </c>
      <c r="B4138" s="21" t="s">
        <v>1050</v>
      </c>
      <c r="C4138" s="21" t="s">
        <v>1016</v>
      </c>
      <c r="D4138" s="21" t="s">
        <v>996</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1363</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1991</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1061</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row>
    <row r="4143" spans="1:12">
      <c r="A4143" s="20" t="s">
        <v>2015</v>
      </c>
    </row>
    <row r="4144" spans="1:12">
      <c r="A4144" s="20" t="s">
        <v>2016</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1246</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1247</v>
      </c>
      <c r="B4146" s="21" t="s">
        <v>1050</v>
      </c>
      <c r="C4146" s="21" t="s">
        <v>1027</v>
      </c>
      <c r="D4146" s="21" t="s">
        <v>996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118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1324</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1973</v>
      </c>
      <c r="B4149" s="21" t="s">
        <v>1022</v>
      </c>
      <c r="C4149" s="21" t="s">
        <v>1037</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1132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1133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1061</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row>
    <row r="4154" spans="1:12">
      <c r="A4154" s="20" t="s">
        <v>2017</v>
      </c>
    </row>
    <row r="4155" spans="1:12">
      <c r="A4155" s="20" t="s">
        <v>1014</v>
      </c>
      <c r="B4155" s="21" t="s">
        <v>1015</v>
      </c>
      <c r="C4155" s="21" t="s">
        <v>1016</v>
      </c>
      <c r="D4155" s="21" t="s">
        <v>996</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106</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1267</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1006</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1112</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1133</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2018</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2019</v>
      </c>
      <c r="B4162" s="21" t="s">
        <v>1050</v>
      </c>
      <c r="C4162" s="21" t="s">
        <v>1037</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1003</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1007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1173</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1149</v>
      </c>
      <c r="B4166" s="21" t="s">
        <v>1026</v>
      </c>
      <c r="C4166" s="21" t="s">
        <v>1002</v>
      </c>
      <c r="D4166" s="21" t="s">
        <v>996</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106</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1267</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1059</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1516</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1011</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row>
    <row r="4173" spans="1:12">
      <c r="A4173" s="20" t="s">
        <v>2020</v>
      </c>
    </row>
    <row r="4174" spans="1:12">
      <c r="A4174" s="20" t="s">
        <v>1074</v>
      </c>
      <c r="B4174" s="21" t="s">
        <v>994</v>
      </c>
      <c r="C4174" s="21" t="s">
        <v>1005</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998</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1014</v>
      </c>
      <c r="B4176" s="21" t="s">
        <v>1050</v>
      </c>
      <c r="C4176" s="21" t="s">
        <v>1016</v>
      </c>
      <c r="D4176" s="21" t="s">
        <v>996</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245</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1006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129</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1058</v>
      </c>
      <c r="B4180" s="21" t="s">
        <v>1053</v>
      </c>
      <c r="C4180" s="21" t="s">
        <v>1016</v>
      </c>
      <c r="D4180" s="21" t="s">
        <v>996</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141</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1227</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1156</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1034</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2021</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2022</v>
      </c>
      <c r="B4186" s="21" t="s">
        <v>1104</v>
      </c>
      <c r="C4186" s="21" t="s">
        <v>1037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1078</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1381</v>
      </c>
      <c r="B4188" s="21" t="s">
        <v>1206</v>
      </c>
      <c r="C4188" s="21" t="s">
        <v>1016</v>
      </c>
      <c r="D4188" s="21" t="s">
        <v>996</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1312</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1007</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1840</v>
      </c>
      <c r="B4191" s="21" t="s">
        <v>1206</v>
      </c>
      <c r="C4191" s="21" t="s">
        <v>1002</v>
      </c>
      <c r="D4191" s="21" t="s">
        <v>996</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1984</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1985</v>
      </c>
      <c r="B4193" s="21" t="s">
        <v>1302</v>
      </c>
      <c r="C4193" s="21" t="s">
        <v>1005</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1061</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row>
    <row r="4196" spans="1:12">
      <c r="A4196" s="20" t="s">
        <v>2023</v>
      </c>
    </row>
    <row r="4197" spans="1:12">
      <c r="A4197" s="20" t="s">
        <v>1100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998</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1014</v>
      </c>
      <c r="B4199" s="21" t="s">
        <v>1015</v>
      </c>
      <c r="C4199" s="21" t="s">
        <v>1016</v>
      </c>
      <c r="D4199" s="21" t="s">
        <v>996</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1136</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2024</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1006</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1014</v>
      </c>
      <c r="B4203" s="21" t="s">
        <v>1053</v>
      </c>
      <c r="C4203" s="21" t="s">
        <v>1016</v>
      </c>
      <c r="D4203" s="21" t="s">
        <v>996</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1263</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1122</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681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1058</v>
      </c>
      <c r="B4207" s="21" t="s">
        <v>1051</v>
      </c>
      <c r="C4207" s="21" t="s">
        <v>1016</v>
      </c>
      <c r="D4207" s="21" t="s">
        <v>996</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1006</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106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1662</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1061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row>
    <row r="4213" spans="1:12">
      <c r="A4213" s="20" t="s">
        <v>2025</v>
      </c>
    </row>
    <row r="4214" spans="1:12">
      <c r="A4214" s="20" t="s">
        <v>1074</v>
      </c>
      <c r="B4214" s="21" t="s">
        <v>994</v>
      </c>
      <c r="C4214" s="21" t="s">
        <v>1005</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998</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2026</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1011</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row>
    <row r="4219" spans="1:12">
      <c r="A4219" s="20" t="s">
        <v>2027</v>
      </c>
    </row>
    <row r="4220" spans="1:12">
      <c r="A4220" s="20" t="s">
        <v>2016</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1058</v>
      </c>
      <c r="B4221" s="21" t="s">
        <v>1015</v>
      </c>
      <c r="C4221" s="21" t="s">
        <v>1016</v>
      </c>
      <c r="D4221" s="21" t="s">
        <v>996</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141</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1227</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1156</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1034</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2021</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2022</v>
      </c>
      <c r="B4227" s="21" t="s">
        <v>1050</v>
      </c>
      <c r="C4227" s="21" t="s">
        <v>1037</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1078</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1381</v>
      </c>
      <c r="B4229" s="21" t="s">
        <v>1026</v>
      </c>
      <c r="C4229" s="21" t="s">
        <v>1016</v>
      </c>
      <c r="D4229" s="21" t="s">
        <v>996</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994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1312</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1007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1840</v>
      </c>
      <c r="B4233" s="21" t="s">
        <v>1107</v>
      </c>
      <c r="C4233" s="21" t="s">
        <v>1002</v>
      </c>
      <c r="D4233" s="21" t="s">
        <v>996</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1984</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1985</v>
      </c>
      <c r="B4235" s="21" t="s">
        <v>1206</v>
      </c>
      <c r="C4235" s="21" t="s">
        <v>1005</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1061</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row>
    <row r="4238" spans="1:12">
      <c r="A4238" s="20" t="s">
        <v>2028</v>
      </c>
    </row>
    <row r="4239" spans="1:12">
      <c r="A4239" s="20" t="s">
        <v>1100</v>
      </c>
      <c r="B4239" s="21" t="s">
        <v>994</v>
      </c>
      <c r="C4239" s="21" t="s">
        <v>1005</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998</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2029</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1011</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row>
    <row r="4244" spans="1:12">
      <c r="A4244" s="20" t="s">
        <v>2030</v>
      </c>
    </row>
    <row r="4245" spans="1:12">
      <c r="A4245" s="20" t="s">
        <v>1000</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1490</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1491</v>
      </c>
      <c r="B4247" s="21" t="s">
        <v>1015</v>
      </c>
      <c r="C4247" s="21" t="s">
        <v>1002</v>
      </c>
      <c r="D4247" s="21" t="s">
        <v>996</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1032</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1124</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1985</v>
      </c>
      <c r="B4250" s="21" t="s">
        <v>1050</v>
      </c>
      <c r="C4250" s="21" t="s">
        <v>1005</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1108</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1837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1082</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241</v>
      </c>
      <c r="B4254" s="21" t="s">
        <v>1107</v>
      </c>
      <c r="C4254" s="21" t="s">
        <v>1052</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1125</v>
      </c>
      <c r="B4255" s="21" t="s">
        <v>1053</v>
      </c>
      <c r="C4255" s="21" t="s">
        <v>1095</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1033</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1007</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1215</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1139</v>
      </c>
      <c r="B4259" s="21" t="s">
        <v>1107</v>
      </c>
      <c r="C4259" s="21" t="s">
        <v>1002</v>
      </c>
      <c r="D4259" s="21" t="s">
        <v>996</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1017</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57</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1034</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2031</v>
      </c>
      <c r="B4263" s="21" t="s">
        <v>1051</v>
      </c>
      <c r="C4263" s="21" t="s">
        <v>1037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1078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1588</v>
      </c>
      <c r="B4265" s="21" t="s">
        <v>1107</v>
      </c>
      <c r="C4265" s="21" t="s">
        <v>1005</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1011</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row>
    <row r="4268" spans="1:12">
      <c r="A4268" s="20" t="s">
        <v>2032</v>
      </c>
    </row>
    <row r="4269" spans="1:12">
      <c r="A4269" s="20" t="s">
        <v>2033</v>
      </c>
      <c r="B4269" s="21" t="s">
        <v>1015</v>
      </c>
      <c r="C4269" s="21" t="s">
        <v>1005</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1032</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214</v>
      </c>
      <c r="B4271" s="21" t="s">
        <v>994</v>
      </c>
      <c r="C4271" s="21" t="s">
        <v>1102</v>
      </c>
      <c r="D4271" s="21" t="s">
        <v>996</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1124</v>
      </c>
      <c r="B4272" s="21" t="s">
        <v>1050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2034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1172</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2035</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1723</v>
      </c>
      <c r="B4276" s="21" t="s">
        <v>1022</v>
      </c>
      <c r="C4276" s="21" t="s">
        <v>1037</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1124</v>
      </c>
      <c r="B4277" s="21" t="s">
        <v>1104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1371</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1152</v>
      </c>
      <c r="B4279" s="21" t="s">
        <v>1116</v>
      </c>
      <c r="C4279" s="21" t="s">
        <v>1005</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1018</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2036</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2037</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2038</v>
      </c>
      <c r="B4283" s="21" t="s">
        <v>1462</v>
      </c>
      <c r="C4283" s="21" t="s">
        <v>1005</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1112</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1247</v>
      </c>
      <c r="B4285" s="21" t="s">
        <v>1427</v>
      </c>
      <c r="C4285" s="21" t="s">
        <v>1005</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1124</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1362</v>
      </c>
      <c r="B4287" s="21" t="s">
        <v>1625</v>
      </c>
      <c r="C4287" s="21" t="s">
        <v>1016</v>
      </c>
      <c r="D4287" s="21" t="s">
        <v>996</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1017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1122</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114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2039</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1011</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row>
    <row r="4294" spans="1:12">
      <c r="A4294" s="20" t="s">
        <v>2040</v>
      </c>
    </row>
    <row r="4295" spans="1:12">
      <c r="A4295" s="20" t="s">
        <v>1000</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1890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1112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1902</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11</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2041</v>
      </c>
      <c r="B4300" s="21" t="s">
        <v>1026</v>
      </c>
      <c r="C4300" s="21" t="s">
        <v>1005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1247</v>
      </c>
      <c r="B4301" s="21" t="s">
        <v>1015</v>
      </c>
      <c r="C4301" s="21" t="s">
        <v>1005</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1006</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1007</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1190</v>
      </c>
      <c r="B4304" s="21" t="s">
        <v>1010</v>
      </c>
      <c r="C4304" s="21" t="s">
        <v>995</v>
      </c>
      <c r="D4304" s="21" t="s">
        <v>996</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1619</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1078</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1246</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2042</v>
      </c>
      <c r="B4308" s="21" t="s">
        <v>994</v>
      </c>
      <c r="C4308" s="21" t="s">
        <v>1027</v>
      </c>
      <c r="D4308" s="21" t="s">
        <v>996</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1310</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1033</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1007</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2043</v>
      </c>
      <c r="B4312" s="21" t="s">
        <v>994</v>
      </c>
      <c r="C4312" s="21" t="s">
        <v>1002</v>
      </c>
      <c r="D4312" s="21" t="s">
        <v>996</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1011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row>
    <row r="4315" spans="1:12">
      <c r="A4315" s="20" t="s">
        <v>2044</v>
      </c>
    </row>
    <row r="4316" spans="1:12">
      <c r="A4316" s="20" t="s">
        <v>1360</v>
      </c>
      <c r="B4316" s="21" t="s">
        <v>1015</v>
      </c>
      <c r="C4316" s="21" t="s">
        <v>1016</v>
      </c>
      <c r="D4316" s="21" t="s">
        <v>996</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1619</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1007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2045</v>
      </c>
      <c r="B4319" s="21" t="s">
        <v>1057</v>
      </c>
      <c r="C4319" s="21" t="s">
        <v>995</v>
      </c>
      <c r="D4319" s="21" t="s">
        <v>996</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1018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658</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1018</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1266</v>
      </c>
      <c r="B4323" s="21" t="s">
        <v>1010</v>
      </c>
      <c r="C4323" s="21" t="s">
        <v>995</v>
      </c>
      <c r="D4323" s="21" t="s">
        <v>996</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1112</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495</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1007</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2046</v>
      </c>
      <c r="B4327" s="21" t="s">
        <v>1051</v>
      </c>
      <c r="C4327" s="21" t="s">
        <v>1002</v>
      </c>
      <c r="D4327" s="21" t="s">
        <v>996</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1011</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row>
    <row r="4330" spans="1:12">
      <c r="A4330" s="20" t="s">
        <v>2047</v>
      </c>
    </row>
    <row r="4331" spans="1:12">
      <c r="A4331" s="20" t="s">
        <v>1000</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2045</v>
      </c>
      <c r="B4332" s="21" t="s">
        <v>1015</v>
      </c>
      <c r="C4332" s="21" t="s">
        <v>995</v>
      </c>
      <c r="D4332" s="21" t="s">
        <v>996</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2048</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1018</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1266</v>
      </c>
      <c r="B4335" s="21" t="s">
        <v>994</v>
      </c>
      <c r="C4335" s="21" t="s">
        <v>995</v>
      </c>
      <c r="D4335" s="21" t="s">
        <v>996</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1112</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1402</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495</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1007</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2046</v>
      </c>
      <c r="B4340" s="21" t="s">
        <v>1022</v>
      </c>
      <c r="C4340" s="21" t="s">
        <v>1002</v>
      </c>
      <c r="D4340" s="21" t="s">
        <v>996</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1011</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row>
    <row r="4343" spans="1:12">
      <c r="A4343" s="20" t="s">
        <v>2049</v>
      </c>
    </row>
    <row r="4344" spans="1:12">
      <c r="A4344" s="20" t="s">
        <v>1118</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1266</v>
      </c>
      <c r="B4345" s="21" t="s">
        <v>1015</v>
      </c>
      <c r="C4345" s="21" t="s">
        <v>995</v>
      </c>
      <c r="D4345" s="21" t="s">
        <v>996</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1112</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1007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1173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1152</v>
      </c>
      <c r="B4349" s="21" t="s">
        <v>1010</v>
      </c>
      <c r="C4349" s="21" t="s">
        <v>1002</v>
      </c>
      <c r="D4349" s="21" t="s">
        <v>996</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1361</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1267</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1011</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row>
    <row r="4354" spans="1:12">
      <c r="A4354" s="20" t="s">
        <v>2050</v>
      </c>
    </row>
    <row r="4355" spans="1:12">
      <c r="A4355" s="20" t="s">
        <v>1360</v>
      </c>
      <c r="B4355" s="21" t="s">
        <v>1015</v>
      </c>
      <c r="C4355" s="21" t="s">
        <v>1016</v>
      </c>
      <c r="D4355" s="21" t="s">
        <v>996</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1361</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1006</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1121</v>
      </c>
      <c r="B4358" s="21" t="s">
        <v>1050</v>
      </c>
      <c r="C4358" s="21" t="s">
        <v>1016</v>
      </c>
      <c r="D4358" s="21" t="s">
        <v>996</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1156</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1496</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1969</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1007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1274</v>
      </c>
      <c r="B4363" s="21" t="s">
        <v>1022</v>
      </c>
      <c r="C4363" s="21" t="s">
        <v>1002</v>
      </c>
      <c r="D4363" s="21" t="s">
        <v>996</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1018</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1242</v>
      </c>
      <c r="B4365" s="21" t="s">
        <v>1026</v>
      </c>
      <c r="C4365" s="21" t="s">
        <v>1045</v>
      </c>
      <c r="D4365" s="21" t="s">
        <v>996</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1849</v>
      </c>
      <c r="B4366" s="21" t="s">
        <v>1010</v>
      </c>
      <c r="C4366" s="21" t="s">
        <v>1047</v>
      </c>
      <c r="D4366" s="21" t="s">
        <v>996</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1011</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row>
    <row r="4369" spans="1:12">
      <c r="A4369" s="20" t="s">
        <v>2051</v>
      </c>
    </row>
    <row r="4370" spans="1:12">
      <c r="A4370" s="20" t="s">
        <v>1360</v>
      </c>
      <c r="B4370" s="21" t="s">
        <v>1015</v>
      </c>
      <c r="C4370" s="21" t="s">
        <v>1016</v>
      </c>
      <c r="D4370" s="21" t="s">
        <v>996</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1361</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1121</v>
      </c>
      <c r="B4372" s="21" t="s">
        <v>1050</v>
      </c>
      <c r="C4372" s="21" t="s">
        <v>1016</v>
      </c>
      <c r="D4372" s="21" t="s">
        <v>996</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1156</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1969</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1229</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1700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1825</v>
      </c>
      <c r="B4377" s="21" t="s">
        <v>1022</v>
      </c>
      <c r="C4377" s="21" t="s">
        <v>1005</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1018</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1242</v>
      </c>
      <c r="B4379" s="21" t="s">
        <v>1026</v>
      </c>
      <c r="C4379" s="21" t="s">
        <v>1045</v>
      </c>
      <c r="D4379" s="21" t="s">
        <v>996</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1852</v>
      </c>
      <c r="B4380" s="21" t="s">
        <v>1010</v>
      </c>
      <c r="C4380" s="21" t="s">
        <v>1047</v>
      </c>
      <c r="D4380" s="21" t="s">
        <v>996</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1018</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2052</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1007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2053</v>
      </c>
      <c r="B4384" s="21" t="s">
        <v>1051</v>
      </c>
      <c r="C4384" s="21" t="s">
        <v>1002</v>
      </c>
      <c r="D4384" s="21" t="s">
        <v>996</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1011</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row>
    <row r="4387" spans="1:12">
      <c r="A4387" s="20" t="s">
        <v>2054</v>
      </c>
    </row>
    <row r="4388" spans="1:12">
      <c r="A4388" s="20" t="s">
        <v>1118</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241</v>
      </c>
      <c r="B4389" s="21" t="s">
        <v>1015</v>
      </c>
      <c r="C4389" s="21" t="s">
        <v>1052</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1125</v>
      </c>
      <c r="B4390" s="21" t="s">
        <v>1053</v>
      </c>
      <c r="C4390" s="21" t="s">
        <v>1016</v>
      </c>
      <c r="D4390" s="21" t="s">
        <v>996</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1217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1032</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1006</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1033</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1007</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1952</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1953</v>
      </c>
      <c r="B4397" s="21" t="s">
        <v>994</v>
      </c>
      <c r="C4397" s="21" t="s">
        <v>1649</v>
      </c>
      <c r="D4397" s="21" t="s">
        <v>996</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1006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1362</v>
      </c>
      <c r="B4399" s="21" t="s">
        <v>1015</v>
      </c>
      <c r="C4399" s="21" t="s">
        <v>1016</v>
      </c>
      <c r="D4399" s="21" t="s">
        <v>996</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2055</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1995</v>
      </c>
      <c r="B4401" s="21" t="s">
        <v>1057</v>
      </c>
      <c r="C4401" s="21" t="s">
        <v>1005</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1112</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1362</v>
      </c>
      <c r="B4403" s="21" t="s">
        <v>1050</v>
      </c>
      <c r="C4403" s="21" t="s">
        <v>1016</v>
      </c>
      <c r="D4403" s="21" t="s">
        <v>996</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2055</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1007</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2056</v>
      </c>
      <c r="B4406" s="21" t="s">
        <v>1022</v>
      </c>
      <c r="C4406" s="21" t="s">
        <v>1002</v>
      </c>
      <c r="D4406" s="21" t="s">
        <v>996</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1003</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1985</v>
      </c>
      <c r="B4408" s="21" t="s">
        <v>1026</v>
      </c>
      <c r="C4408" s="21" t="s">
        <v>1005</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1018</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2057</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1246</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1247</v>
      </c>
      <c r="B4412" s="21" t="s">
        <v>1051</v>
      </c>
      <c r="C4412" s="21" t="s">
        <v>1027</v>
      </c>
      <c r="D4412" s="21" t="s">
        <v>996</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1033</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1236</v>
      </c>
      <c r="B4414" s="21" t="s">
        <v>1026</v>
      </c>
      <c r="C4414" s="21" t="s">
        <v>1005</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1237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1711</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1266</v>
      </c>
      <c r="B4417" s="21" t="s">
        <v>1116</v>
      </c>
      <c r="C4417" s="21" t="s">
        <v>995</v>
      </c>
      <c r="D4417" s="21" t="s">
        <v>996</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1006</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1237</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1711</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1007</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1173</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1152</v>
      </c>
      <c r="B4423" s="21" t="s">
        <v>1299</v>
      </c>
      <c r="C4423" s="21" t="s">
        <v>1002</v>
      </c>
      <c r="D4423" s="21" t="s">
        <v>996</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1006</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1112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1121</v>
      </c>
      <c r="B4426" s="21" t="s">
        <v>1050</v>
      </c>
      <c r="C4426" s="21" t="s">
        <v>1016</v>
      </c>
      <c r="D4426" s="21" t="s">
        <v>996</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1156</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1124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1148</v>
      </c>
      <c r="B4429" s="21" t="s">
        <v>1022</v>
      </c>
      <c r="C4429" s="21" t="s">
        <v>1027</v>
      </c>
      <c r="D4429" s="21" t="s">
        <v>996</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1003</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1149</v>
      </c>
      <c r="B4431" s="21" t="s">
        <v>1026</v>
      </c>
      <c r="C4431" s="21" t="s">
        <v>1005</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1023</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2058</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2059</v>
      </c>
      <c r="B4434" s="21" t="s">
        <v>1026</v>
      </c>
      <c r="C4434" s="21" t="s">
        <v>1005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1124</v>
      </c>
      <c r="B4435" s="21" t="s">
        <v>1116</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1125</v>
      </c>
      <c r="B4436" s="21" t="s">
        <v>1104</v>
      </c>
      <c r="C4436" s="21" t="s">
        <v>1016</v>
      </c>
      <c r="D4436" s="21" t="s">
        <v>996</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301</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1018</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2060</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2061</v>
      </c>
      <c r="B4440" s="21" t="s">
        <v>1299</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1984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1006</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1330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1121</v>
      </c>
      <c r="B4444" s="21" t="s">
        <v>1050</v>
      </c>
      <c r="C4444" s="21" t="s">
        <v>1016</v>
      </c>
      <c r="D4444" s="21" t="s">
        <v>996</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1917</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1286</v>
      </c>
      <c r="B4446" s="21" t="s">
        <v>1022</v>
      </c>
      <c r="C4446" s="21" t="s">
        <v>1016</v>
      </c>
      <c r="D4446" s="21" t="s">
        <v>996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1488</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1834</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1006</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1112</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1121</v>
      </c>
      <c r="B4451" s="21" t="s">
        <v>1053</v>
      </c>
      <c r="C4451" s="21" t="s">
        <v>1016</v>
      </c>
      <c r="D4451" s="21" t="s">
        <v>996</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2062</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1267</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1973</v>
      </c>
      <c r="B4454" s="21" t="s">
        <v>1051</v>
      </c>
      <c r="C4454" s="21" t="s">
        <v>1077</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1011</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row>
    <row r="4457" spans="1:12">
      <c r="A4457" s="20" t="s">
        <v>2063</v>
      </c>
    </row>
    <row r="4458" spans="1:12">
      <c r="A4458" s="20" t="s">
        <v>1074</v>
      </c>
      <c r="B4458" s="21" t="s">
        <v>994</v>
      </c>
      <c r="C4458" s="21" t="s">
        <v>1005</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998</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2064</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1006</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538</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1098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1111</v>
      </c>
      <c r="B4464" s="21" t="s">
        <v>1010</v>
      </c>
      <c r="C4464" s="21" t="s">
        <v>1016</v>
      </c>
      <c r="D4464" s="21" t="s">
        <v>996</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1144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1078</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1034</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2065</v>
      </c>
      <c r="B4468" s="21" t="s">
        <v>1010</v>
      </c>
      <c r="C4468" s="21" t="s">
        <v>1037</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1006</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1330</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1014</v>
      </c>
      <c r="B4471" s="21" t="s">
        <v>1053</v>
      </c>
      <c r="C4471" s="21" t="s">
        <v>1016</v>
      </c>
      <c r="D4471" s="21" t="s">
        <v>996</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1081</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1607</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1034</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1543</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2066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1123</v>
      </c>
      <c r="B4477" s="21" t="s">
        <v>1051</v>
      </c>
      <c r="C4477" s="21" t="s">
        <v>1037</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1078</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1058</v>
      </c>
      <c r="B4479" s="21" t="s">
        <v>1010</v>
      </c>
      <c r="C4479" s="21" t="s">
        <v>1016</v>
      </c>
      <c r="D4479" s="21" t="s">
        <v>996</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1011</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row>
    <row r="4482" spans="1:12">
      <c r="A4482" s="20" t="s">
        <v>2067</v>
      </c>
    </row>
    <row r="4483" spans="1:12">
      <c r="A4483" s="20" t="s">
        <v>2068</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1003</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2069</v>
      </c>
      <c r="B4485" s="21" t="s">
        <v>994</v>
      </c>
      <c r="C4485" s="21" t="s">
        <v>1005</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1006</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1253</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1152</v>
      </c>
      <c r="B4488" s="21" t="s">
        <v>1015</v>
      </c>
      <c r="C4488" s="21" t="s">
        <v>1005</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1017</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677</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1007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2070</v>
      </c>
      <c r="B4492" s="21" t="s">
        <v>1057</v>
      </c>
      <c r="C4492" s="21" t="s">
        <v>1002</v>
      </c>
      <c r="D4492" s="21" t="s">
        <v>996</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1058</v>
      </c>
      <c r="B4493" s="21" t="s">
        <v>1053</v>
      </c>
      <c r="C4493" s="21" t="s">
        <v>1016</v>
      </c>
      <c r="D4493" s="21" t="s">
        <v>996</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1363</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1033</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16</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1547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1033</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1039</v>
      </c>
      <c r="B4499" s="21" t="s">
        <v>1026</v>
      </c>
      <c r="C4499" s="21" t="s">
        <v>995</v>
      </c>
      <c r="D4499" s="21" t="s">
        <v>996</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2071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2072</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1011</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row>
    <row r="4504" spans="1:12">
      <c r="A4504" s="20" t="s">
        <v>2073</v>
      </c>
    </row>
    <row r="4505" spans="1:12">
      <c r="A4505" s="20" t="s">
        <v>1080</v>
      </c>
      <c r="B4505" s="21" t="s">
        <v>1015</v>
      </c>
      <c r="C4505" s="21" t="s">
        <v>1016</v>
      </c>
      <c r="D4505" s="21" t="s">
        <v>996</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2074</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1672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241</v>
      </c>
      <c r="B4508" s="21" t="s">
        <v>1050</v>
      </c>
      <c r="C4508" s="21" t="s">
        <v>1052</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2075</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1006</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241</v>
      </c>
      <c r="B4511" s="21" t="s">
        <v>994</v>
      </c>
      <c r="C4511" s="21" t="s">
        <v>1052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1007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2076</v>
      </c>
      <c r="B4513" s="21" t="s">
        <v>1050</v>
      </c>
      <c r="C4513" s="21" t="s">
        <v>1002</v>
      </c>
      <c r="D4513" s="21" t="s">
        <v>996</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1124</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2077</v>
      </c>
      <c r="B4515" s="21" t="s">
        <v>1104</v>
      </c>
      <c r="C4515" s="21" t="s">
        <v>995</v>
      </c>
      <c r="D4515" s="21" t="s">
        <v>996</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2078</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1607</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1006</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2079</v>
      </c>
      <c r="B4519" s="21" t="s">
        <v>1026</v>
      </c>
      <c r="C4519" s="21" t="s">
        <v>995</v>
      </c>
      <c r="D4519" s="21" t="s">
        <v>996</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2078</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1059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1547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1032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1006</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1112</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1227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1211</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1034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1181</v>
      </c>
      <c r="B4529" s="21" t="s">
        <v>1053</v>
      </c>
      <c r="C4529" s="21" t="s">
        <v>1037</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1033</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2080</v>
      </c>
      <c r="B4531" s="21" t="s">
        <v>1107</v>
      </c>
      <c r="C4531" s="21" t="s">
        <v>995</v>
      </c>
      <c r="D4531" s="21" t="s">
        <v>996</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1735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1124</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1227</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1145</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1152</v>
      </c>
      <c r="B4536" s="21" t="s">
        <v>1219</v>
      </c>
      <c r="C4536" s="21" t="s">
        <v>1005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1033</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1007</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1215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1216</v>
      </c>
      <c r="B4540" s="21" t="s">
        <v>1302</v>
      </c>
      <c r="C4540" s="21" t="s">
        <v>1002</v>
      </c>
      <c r="D4540" s="21" t="s">
        <v>996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1103</v>
      </c>
      <c r="B4541" s="21" t="s">
        <v>1625</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699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1058</v>
      </c>
      <c r="B4543" s="21" t="s">
        <v>1926</v>
      </c>
      <c r="C4543" s="21" t="s">
        <v>1016</v>
      </c>
      <c r="D4543" s="21" t="s">
        <v>996</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2081</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1011</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row>
    <row r="4547" spans="1:12">
      <c r="A4547" s="20" t="s">
        <v>2082</v>
      </c>
    </row>
    <row r="4548" spans="1:12">
      <c r="A4548" s="20" t="s">
        <v>1446</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1145</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1058</v>
      </c>
      <c r="B4550" s="21" t="s">
        <v>1015</v>
      </c>
      <c r="C4550" s="21" t="s">
        <v>1016</v>
      </c>
      <c r="D4550" s="21" t="s">
        <v>996</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2083</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1098</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1041</v>
      </c>
      <c r="B4553" s="21" t="s">
        <v>994</v>
      </c>
      <c r="C4553" s="21" t="s">
        <v>1069</v>
      </c>
      <c r="D4553" s="21" t="s">
        <v>996</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1061</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row>
    <row r="4556" spans="1:12">
      <c r="A4556" s="20" t="s">
        <v>2084</v>
      </c>
    </row>
    <row r="4557" spans="1:12">
      <c r="A4557" s="20" t="s">
        <v>1446</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1145</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1058</v>
      </c>
      <c r="B4559" s="21" t="s">
        <v>1015</v>
      </c>
      <c r="C4559" s="21" t="s">
        <v>1016</v>
      </c>
      <c r="D4559" s="21" t="s">
        <v>996</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2083</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1098</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1007</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2085</v>
      </c>
      <c r="B4563" s="21" t="s">
        <v>994</v>
      </c>
      <c r="C4563" s="21" t="s">
        <v>1002</v>
      </c>
      <c r="D4563" s="21" t="s">
        <v>996</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1061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row>
    <row r="4566" spans="1:12">
      <c r="A4566" s="20" t="s">
        <v>2086</v>
      </c>
    </row>
    <row r="4567" spans="1:12">
      <c r="A4567" s="20" t="s">
        <v>1100</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998</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1390</v>
      </c>
      <c r="B4569" s="21" t="s">
        <v>1015</v>
      </c>
      <c r="C4569" s="21" t="s">
        <v>1016</v>
      </c>
      <c r="D4569" s="21" t="s">
        <v>996</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1156</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1267</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2087</v>
      </c>
      <c r="B4572" s="21" t="s">
        <v>994</v>
      </c>
      <c r="C4572" s="21" t="s">
        <v>1077</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1124</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1227</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1145</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1815</v>
      </c>
      <c r="B4576" s="21" t="s">
        <v>1050</v>
      </c>
      <c r="C4576" s="21" t="s">
        <v>1005</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1261</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1227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1124</v>
      </c>
      <c r="B4579" s="21" t="s">
        <v>1104</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699</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1018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34</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1111</v>
      </c>
      <c r="B4583" s="21" t="s">
        <v>1299</v>
      </c>
      <c r="C4583" s="21" t="s">
        <v>1016</v>
      </c>
      <c r="D4583" s="21" t="s">
        <v>996</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2081</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1011</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row>
    <row r="4587" spans="1:12">
      <c r="A4587" s="20" t="s">
        <v>2088</v>
      </c>
    </row>
    <row r="4588" spans="1:12">
      <c r="A4588" s="20" t="s">
        <v>1014</v>
      </c>
      <c r="B4588" s="21" t="s">
        <v>1015</v>
      </c>
      <c r="C4588" s="21" t="s">
        <v>1016</v>
      </c>
      <c r="D4588" s="21" t="s">
        <v>996</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1081</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1235</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2089</v>
      </c>
      <c r="B4591" s="21" t="s">
        <v>1057</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1662</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1112</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1662</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1112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1662</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1124</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1014</v>
      </c>
      <c r="B4598" s="21" t="s">
        <v>1053</v>
      </c>
      <c r="C4598" s="21" t="s">
        <v>1016</v>
      </c>
      <c r="D4598" s="21" t="s">
        <v>996</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658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1018</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2090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1555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2091</v>
      </c>
      <c r="B4603" s="21" t="s">
        <v>1107</v>
      </c>
      <c r="C4603" s="21" t="s">
        <v>1095</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2092</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1120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241</v>
      </c>
      <c r="B4606" s="21" t="s">
        <v>1221</v>
      </c>
      <c r="C4606" s="21" t="s">
        <v>1052</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1014</v>
      </c>
      <c r="B4607" s="21" t="s">
        <v>1219</v>
      </c>
      <c r="C4607" s="21" t="s">
        <v>1016</v>
      </c>
      <c r="D4607" s="21" t="s">
        <v>996</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719</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129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1078</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1007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1173</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1152</v>
      </c>
      <c r="B4613" s="21" t="s">
        <v>1302</v>
      </c>
      <c r="C4613" s="21" t="s">
        <v>1002</v>
      </c>
      <c r="D4613" s="21" t="s">
        <v>996</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1011</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row>
    <row r="4616" spans="1:12">
      <c r="A4616" s="20" t="s">
        <v>2093</v>
      </c>
    </row>
    <row r="4617" spans="1:12">
      <c r="A4617" s="20" t="s">
        <v>1014</v>
      </c>
      <c r="B4617" s="21" t="s">
        <v>1015</v>
      </c>
      <c r="C4617" s="21" t="s">
        <v>1016</v>
      </c>
      <c r="D4617" s="21" t="s">
        <v>996</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129</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1122</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699</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1018</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1329</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1113</v>
      </c>
      <c r="B4623" s="21" t="s">
        <v>1026</v>
      </c>
      <c r="C4623" s="21" t="s">
        <v>1045</v>
      </c>
      <c r="D4623" s="21" t="s">
        <v>996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1149</v>
      </c>
      <c r="B4624" s="21" t="s">
        <v>1022</v>
      </c>
      <c r="C4624" s="21" t="s">
        <v>1047</v>
      </c>
      <c r="D4624" s="21" t="s">
        <v>996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1011</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row>
    <row r="4627" spans="1:12">
      <c r="A4627" s="20" t="s">
        <v>2094</v>
      </c>
    </row>
    <row r="4628" spans="1:12">
      <c r="A4628" s="20" t="s">
        <v>1014</v>
      </c>
      <c r="B4628" s="21" t="s">
        <v>1015</v>
      </c>
      <c r="C4628" s="21" t="s">
        <v>1016</v>
      </c>
      <c r="D4628" s="21" t="s">
        <v>996</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699</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1018</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1225</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1113</v>
      </c>
      <c r="B4632" s="21" t="s">
        <v>1026</v>
      </c>
      <c r="C4632" s="21" t="s">
        <v>1045</v>
      </c>
      <c r="D4632" s="21" t="s">
        <v>996</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1149</v>
      </c>
      <c r="B4633" s="21" t="s">
        <v>1022</v>
      </c>
      <c r="C4633" s="21" t="s">
        <v>1047</v>
      </c>
      <c r="D4633" s="21" t="s">
        <v>996</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1006</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1293</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1007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1060</v>
      </c>
      <c r="B4637" s="21" t="s">
        <v>1050</v>
      </c>
      <c r="C4637" s="21" t="s">
        <v>1002</v>
      </c>
      <c r="D4637" s="21" t="s">
        <v>996</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1124</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1362</v>
      </c>
      <c r="B4639" s="21" t="s">
        <v>1104</v>
      </c>
      <c r="C4639" s="21" t="s">
        <v>1016</v>
      </c>
      <c r="D4639" s="21" t="s">
        <v>996</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1145</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2095</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1018</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2096</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2097</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2098</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1506</v>
      </c>
      <c r="B4646" s="21" t="s">
        <v>1206</v>
      </c>
      <c r="C4646" s="21" t="s">
        <v>1005</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1006</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1362</v>
      </c>
      <c r="B4648" s="21" t="s">
        <v>1050</v>
      </c>
      <c r="C4648" s="21" t="s">
        <v>1016</v>
      </c>
      <c r="D4648" s="21" t="s">
        <v>996</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1363</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2095</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1018</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2099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2100</v>
      </c>
      <c r="B4653" s="21" t="s">
        <v>1051</v>
      </c>
      <c r="C4653" s="21" t="s">
        <v>1005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1237</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2101</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2102</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1034</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2103</v>
      </c>
      <c r="B4658" s="21" t="s">
        <v>1116</v>
      </c>
      <c r="C4658" s="21" t="s">
        <v>1037</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1006</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1246</v>
      </c>
      <c r="B4660" s="21" t="s">
        <v>1050</v>
      </c>
      <c r="C4660" s="21" t="s">
        <v>1069</v>
      </c>
      <c r="D4660" s="21" t="s">
        <v>996</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1145</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1085</v>
      </c>
      <c r="B4662" s="21" t="s">
        <v>994</v>
      </c>
      <c r="C4662" s="21" t="s">
        <v>1005</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1124</v>
      </c>
      <c r="B4663" s="21" t="s">
        <v>1051</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1125</v>
      </c>
      <c r="B4664" s="21" t="s">
        <v>1053</v>
      </c>
      <c r="C4664" s="21" t="s">
        <v>1016</v>
      </c>
      <c r="D4664" s="21" t="s">
        <v>996</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301</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1018</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1294</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1984</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1059</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1034</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1852</v>
      </c>
      <c r="B4671" s="21" t="s">
        <v>1107</v>
      </c>
      <c r="C4671" s="21" t="s">
        <v>1037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1006</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1112</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106</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1505</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1006</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1041</v>
      </c>
      <c r="B4677" s="21" t="s">
        <v>1053</v>
      </c>
      <c r="C4677" s="21" t="s">
        <v>1069</v>
      </c>
      <c r="D4677" s="21" t="s">
        <v>996</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1032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1496</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1610</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1011</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row>
    <row r="4683" spans="1:12">
      <c r="A4683" s="20" t="s">
        <v>2104</v>
      </c>
    </row>
    <row r="4684" spans="1:12">
      <c r="A4684" s="20" t="s">
        <v>1223</v>
      </c>
      <c r="B4684" s="21" t="s">
        <v>1015</v>
      </c>
      <c r="C4684" s="21" t="s">
        <v>1016</v>
      </c>
      <c r="D4684" s="21" t="s">
        <v>996</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1126</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1122</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134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2105</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2106</v>
      </c>
      <c r="B4689" s="21" t="s">
        <v>1057</v>
      </c>
      <c r="C4689" s="21" t="s">
        <v>1005</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1011</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row>
    <row r="4692" spans="1:12">
      <c r="A4692" s="20" t="s">
        <v>2107</v>
      </c>
    </row>
    <row r="4693" spans="1:12">
      <c r="A4693" s="20" t="s">
        <v>1223</v>
      </c>
      <c r="B4693" s="21" t="s">
        <v>1015</v>
      </c>
      <c r="C4693" s="21" t="s">
        <v>1016</v>
      </c>
      <c r="D4693" s="21" t="s">
        <v>996</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1126</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1122</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134</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2108</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2109</v>
      </c>
      <c r="B4698" s="21" t="s">
        <v>1057</v>
      </c>
      <c r="C4698" s="21" t="s">
        <v>1005</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1011</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row>
    <row r="4701" spans="1:12">
      <c r="A4701" s="20" t="s">
        <v>2110</v>
      </c>
    </row>
    <row r="4702" spans="1:12">
      <c r="A4702" s="20" t="s">
        <v>1155</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2111</v>
      </c>
      <c r="B4703" s="21" t="s">
        <v>1010</v>
      </c>
      <c r="C4703" s="21" t="s">
        <v>1052</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1598</v>
      </c>
      <c r="B4704" s="21" t="s">
        <v>994</v>
      </c>
      <c r="C4704" s="21" t="s">
        <v>1095</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1014</v>
      </c>
      <c r="B4705" s="21" t="s">
        <v>1053</v>
      </c>
      <c r="C4705" s="21" t="s">
        <v>1016</v>
      </c>
      <c r="D4705" s="21" t="s">
        <v>996</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719</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129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1018</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34</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1124</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1814</v>
      </c>
      <c r="B4711" s="21" t="s">
        <v>1116</v>
      </c>
      <c r="C4711" s="21" t="s">
        <v>1027</v>
      </c>
      <c r="D4711" s="21" t="s">
        <v>996</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1006</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1014</v>
      </c>
      <c r="B4713" s="21" t="s">
        <v>1015</v>
      </c>
      <c r="C4713" s="21" t="s">
        <v>1016</v>
      </c>
      <c r="D4713" s="21" t="s">
        <v>996</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1136</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2112</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1018</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129</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2113</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1007</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1259</v>
      </c>
      <c r="B4720" s="21" t="s">
        <v>1010</v>
      </c>
      <c r="C4720" s="21" t="s">
        <v>1002</v>
      </c>
      <c r="D4720" s="21" t="s">
        <v>996</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1011</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row>
    <row r="4723" spans="1:12">
      <c r="A4723" s="20" t="s">
        <v>2114</v>
      </c>
    </row>
    <row r="4724" spans="1:12">
      <c r="A4724" s="20" t="s">
        <v>1074</v>
      </c>
      <c r="B4724" s="21" t="s">
        <v>994</v>
      </c>
      <c r="C4724" s="21" t="s">
        <v>1005</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998</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1013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1014</v>
      </c>
      <c r="B4727" s="21" t="s">
        <v>1050</v>
      </c>
      <c r="C4727" s="21" t="s">
        <v>1016</v>
      </c>
      <c r="D4727" s="21" t="s">
        <v>996</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1171</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1507</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22</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1018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864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1075</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2115</v>
      </c>
      <c r="B4734" s="21" t="s">
        <v>1051</v>
      </c>
      <c r="C4734" s="21" t="s">
        <v>1077</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1043</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1007</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1333</v>
      </c>
      <c r="B4737" s="21" t="s">
        <v>1107</v>
      </c>
      <c r="C4737" s="21" t="s">
        <v>1002</v>
      </c>
      <c r="D4737" s="21" t="s">
        <v>996</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1144</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1006</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1330</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1014</v>
      </c>
      <c r="B4741" s="21" t="s">
        <v>1050</v>
      </c>
      <c r="C4741" s="21" t="s">
        <v>1016</v>
      </c>
      <c r="D4741" s="21" t="s">
        <v>996</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425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1227</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1156</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2116</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2117</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2118</v>
      </c>
      <c r="B4747" s="21" t="s">
        <v>1022</v>
      </c>
      <c r="C4747" s="21" t="s">
        <v>1005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1018</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38</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1028</v>
      </c>
      <c r="B4750" s="21" t="s">
        <v>1026</v>
      </c>
      <c r="C4750" s="21" t="s">
        <v>995</v>
      </c>
      <c r="D4750" s="21" t="s">
        <v>996</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1011</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row>
    <row r="4753" spans="1:12">
      <c r="A4753" s="20" t="s">
        <v>2119</v>
      </c>
    </row>
    <row r="4754" spans="1:12">
      <c r="A4754" s="20" t="s">
        <v>2120</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1058</v>
      </c>
      <c r="B4755" s="21" t="s">
        <v>1050</v>
      </c>
      <c r="C4755" s="21" t="s">
        <v>1016</v>
      </c>
      <c r="D4755" s="21" t="s">
        <v>996</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1165</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1007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2121</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1956</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2122</v>
      </c>
      <c r="B4760" s="21" t="s">
        <v>1022</v>
      </c>
      <c r="C4760" s="21" t="s">
        <v>1649</v>
      </c>
      <c r="D4760" s="21" t="s">
        <v>996</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1006</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16</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1061</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row>
    <row r="4765" spans="1:12">
      <c r="A4765" s="20" t="s">
        <v>2123</v>
      </c>
    </row>
    <row r="4766" spans="1:12">
      <c r="A4766" s="20" t="s">
        <v>1080</v>
      </c>
      <c r="B4766" s="21" t="s">
        <v>1015</v>
      </c>
      <c r="C4766" s="21" t="s">
        <v>1016</v>
      </c>
      <c r="D4766" s="21" t="s">
        <v>996</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1263</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727</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241</v>
      </c>
      <c r="B4769" s="21" t="s">
        <v>1057</v>
      </c>
      <c r="C4769" s="21" t="s">
        <v>1052</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1049</v>
      </c>
      <c r="B4770" s="21" t="s">
        <v>1053</v>
      </c>
      <c r="C4770" s="21" t="s">
        <v>1016</v>
      </c>
      <c r="D4770" s="21" t="s">
        <v>996</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1402</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1059</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2124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1034</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2125</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2126</v>
      </c>
      <c r="B4776" s="21" t="s">
        <v>1026</v>
      </c>
      <c r="C4776" s="21" t="s">
        <v>1037</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1124</v>
      </c>
      <c r="B4777" s="21" t="s">
        <v>1050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1108</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2127</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1395</v>
      </c>
      <c r="B4780" s="21" t="s">
        <v>1022</v>
      </c>
      <c r="C4780" s="21" t="s">
        <v>995</v>
      </c>
      <c r="D4780" s="21" t="s">
        <v>996</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1589</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1058</v>
      </c>
      <c r="B4782" s="21" t="s">
        <v>1053</v>
      </c>
      <c r="C4782" s="21" t="s">
        <v>1016</v>
      </c>
      <c r="D4782" s="21" t="s">
        <v>996</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1263</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727</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1121</v>
      </c>
      <c r="B4785" s="21" t="s">
        <v>1051</v>
      </c>
      <c r="C4785" s="21" t="s">
        <v>1016</v>
      </c>
      <c r="D4785" s="21" t="s">
        <v>996</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1059</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2124</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1034</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2128</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2126</v>
      </c>
      <c r="B4790" s="21" t="s">
        <v>1026</v>
      </c>
      <c r="C4790" s="21" t="s">
        <v>1037</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1124</v>
      </c>
      <c r="B4791" s="21" t="s">
        <v>1297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1158</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1294</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1159</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1395</v>
      </c>
      <c r="B4795" s="21" t="s">
        <v>1206</v>
      </c>
      <c r="C4795" s="21" t="s">
        <v>995</v>
      </c>
      <c r="D4795" s="21" t="s">
        <v>996</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1112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1007</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1139</v>
      </c>
      <c r="B4798" s="21" t="s">
        <v>1304</v>
      </c>
      <c r="C4798" s="21" t="s">
        <v>1002</v>
      </c>
      <c r="D4798" s="21" t="s">
        <v>996</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1156</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2129</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11</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2130</v>
      </c>
      <c r="B4802" s="21" t="s">
        <v>1302</v>
      </c>
      <c r="C4802" s="21" t="s">
        <v>1047</v>
      </c>
      <c r="D4802" s="21" t="s">
        <v>996</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799</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1061</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row>
    <row r="4806" spans="1:12">
      <c r="A4806" s="20" t="s">
        <v>2131</v>
      </c>
    </row>
    <row r="4807" spans="1:12">
      <c r="A4807" s="20" t="s">
        <v>2132</v>
      </c>
      <c r="B4807" s="21" t="s">
        <v>1015</v>
      </c>
      <c r="C4807" s="21" t="s">
        <v>1069</v>
      </c>
      <c r="D4807" s="21" t="s">
        <v>996</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1145</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1007</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1956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2122</v>
      </c>
      <c r="B4811" s="21" t="s">
        <v>994</v>
      </c>
      <c r="C4811" s="21" t="s">
        <v>1649</v>
      </c>
      <c r="D4811" s="21" t="s">
        <v>996</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1014</v>
      </c>
      <c r="B4812" s="21" t="s">
        <v>1050</v>
      </c>
      <c r="C4812" s="21" t="s">
        <v>1016</v>
      </c>
      <c r="D4812" s="21" t="s">
        <v>996</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1594</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114</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1058</v>
      </c>
      <c r="B4815" s="21" t="s">
        <v>1022</v>
      </c>
      <c r="C4815" s="21" t="s">
        <v>1016</v>
      </c>
      <c r="D4815" s="21" t="s">
        <v>996</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1011</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row>
    <row r="4818" spans="1:12">
      <c r="A4818" s="20" t="s">
        <v>2133</v>
      </c>
    </row>
    <row r="4819" spans="1:12">
      <c r="A4819" s="20" t="s">
        <v>1014</v>
      </c>
      <c r="B4819" s="21" t="s">
        <v>1015</v>
      </c>
      <c r="C4819" s="21" t="s">
        <v>1016</v>
      </c>
      <c r="D4819" s="21" t="s">
        <v>996</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1136</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2134</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1018</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34</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1103</v>
      </c>
      <c r="B4824" s="21" t="s">
        <v>1053</v>
      </c>
      <c r="C4824" s="21" t="s">
        <v>1052</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1156</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2095</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1018</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2135</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1098</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1007</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1353</v>
      </c>
      <c r="B4831" s="21" t="s">
        <v>1107</v>
      </c>
      <c r="C4831" s="21" t="s">
        <v>1047</v>
      </c>
      <c r="D4831" s="21" t="s">
        <v>996</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1003</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1024</v>
      </c>
      <c r="B4833" s="21" t="s">
        <v>1206</v>
      </c>
      <c r="C4833" s="21" t="s">
        <v>1069</v>
      </c>
      <c r="D4833" s="21" t="s">
        <v>996</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1006</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1124</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1041</v>
      </c>
      <c r="B4836" s="21" t="s">
        <v>1050</v>
      </c>
      <c r="C4836" s="21" t="s">
        <v>1069</v>
      </c>
      <c r="D4836" s="21" t="s">
        <v>996</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1211</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1034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2125</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2126</v>
      </c>
      <c r="B4840" s="21" t="s">
        <v>994</v>
      </c>
      <c r="C4840" s="21" t="s">
        <v>1037</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1061</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row>
    <row r="4843" spans="1:12">
      <c r="A4843" s="20" t="s">
        <v>2136</v>
      </c>
    </row>
    <row r="4844" spans="1:12">
      <c r="A4844" s="20" t="s">
        <v>1232</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1145</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1075</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2137</v>
      </c>
      <c r="B4847" s="21" t="s">
        <v>1050</v>
      </c>
      <c r="C4847" s="21" t="s">
        <v>1077</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1265</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1264</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1011</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row>
    <row r="4852" spans="1:12">
      <c r="A4852" s="20" t="s">
        <v>2138</v>
      </c>
    </row>
    <row r="4853" spans="1:12">
      <c r="A4853" s="20" t="s">
        <v>1485</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2137</v>
      </c>
      <c r="B4854" s="21" t="s">
        <v>1015</v>
      </c>
      <c r="C4854" s="21" t="s">
        <v>1077</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1265</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1264</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1011</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row>
    <row r="4859" spans="1:12">
      <c r="A4859" s="20" t="s">
        <v>2139</v>
      </c>
    </row>
    <row r="4860" spans="1:12">
      <c r="A4860" s="20" t="s">
        <v>1390</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1156</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1530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1018</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603</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1634</v>
      </c>
      <c r="B4865" s="21" t="s">
        <v>1026</v>
      </c>
      <c r="C4865" s="21" t="s">
        <v>1045</v>
      </c>
      <c r="D4865" s="21" t="s">
        <v>996</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2140</v>
      </c>
      <c r="B4866" s="21" t="s">
        <v>1022</v>
      </c>
      <c r="C4866" s="21" t="s">
        <v>1047</v>
      </c>
      <c r="D4866" s="21" t="s">
        <v>996</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1264</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1119</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1007</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1021</v>
      </c>
      <c r="B4870" s="21" t="s">
        <v>1053</v>
      </c>
      <c r="C4870" s="21" t="s">
        <v>1002</v>
      </c>
      <c r="D4870" s="21" t="s">
        <v>996</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1032</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2141</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16</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1144</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1006</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1293</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1014</v>
      </c>
      <c r="B4877" s="21" t="s">
        <v>1050</v>
      </c>
      <c r="C4877" s="21" t="s">
        <v>1016</v>
      </c>
      <c r="D4877" s="21" t="s">
        <v>996</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34</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1381</v>
      </c>
      <c r="B4879" s="21" t="s">
        <v>1022</v>
      </c>
      <c r="C4879" s="21" t="s">
        <v>1016</v>
      </c>
      <c r="D4879" s="21" t="s">
        <v>996</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1011</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row>
    <row r="4882" spans="1:12">
      <c r="A4882" s="20" t="s">
        <v>2142</v>
      </c>
    </row>
    <row r="4883" spans="1:12">
      <c r="A4883" s="20" t="s">
        <v>1100</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998</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1014</v>
      </c>
      <c r="B4885" s="21" t="s">
        <v>1015</v>
      </c>
      <c r="C4885" s="21" t="s">
        <v>1016</v>
      </c>
      <c r="D4885" s="21" t="s">
        <v>996</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719</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34</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1058</v>
      </c>
      <c r="B4888" s="21" t="s">
        <v>1057</v>
      </c>
      <c r="C4888" s="21" t="s">
        <v>1016</v>
      </c>
      <c r="D4888" s="21" t="s">
        <v>996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1011</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row>
    <row r="4891" spans="1:12">
      <c r="A4891" s="20" t="s">
        <v>1071</v>
      </c>
    </row>
    <row r="4892" spans="1:12">
      <c r="A4892" s="20" t="s">
        <v>1030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1072</v>
      </c>
      <c r="B4893" s="21" t="s">
        <v>994</v>
      </c>
      <c r="C4893" s="21" t="s">
        <v>995</v>
      </c>
      <c r="D4893" s="21" t="s">
        <v>996</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1031</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row>
    <row r="4896" spans="1:12">
      <c r="A4896" s="20" t="s">
        <v>2143</v>
      </c>
    </row>
    <row r="4897" spans="1:12">
      <c r="A4897" s="20" t="s">
        <v>1074</v>
      </c>
      <c r="B4897" s="21" t="s">
        <v>994</v>
      </c>
      <c r="C4897" s="21" t="s">
        <v>1005</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998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1155</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1103</v>
      </c>
      <c r="B4900" s="21" t="s">
        <v>1053</v>
      </c>
      <c r="C4900" s="21" t="s">
        <v>1052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2144</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1098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1007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2145</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2146</v>
      </c>
      <c r="B4905" s="21" t="s">
        <v>1026</v>
      </c>
      <c r="C4905" s="21" t="s">
        <v>1002</v>
      </c>
      <c r="D4905" s="21" t="s">
        <v>996</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1006</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1007</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2124</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2128</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2126</v>
      </c>
      <c r="B4910" s="21" t="s">
        <v>994</v>
      </c>
      <c r="C4910" s="21" t="s">
        <v>1002</v>
      </c>
      <c r="D4910" s="21" t="s">
        <v>996</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1061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row>
    <row r="4913" spans="1:12">
      <c r="A4913" s="20" t="s">
        <v>2147</v>
      </c>
    </row>
    <row r="4914" spans="1:12">
      <c r="A4914" s="20" t="s">
        <v>1030</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316</v>
      </c>
      <c r="B4915" s="21" t="s">
        <v>994</v>
      </c>
      <c r="C4915" s="21" t="s">
        <v>1005</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1031</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1030</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2148</v>
      </c>
      <c r="B4918" s="21" t="s">
        <v>994</v>
      </c>
      <c r="C4918" s="21" t="s">
        <v>1005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1031</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row>
    <row r="4921" spans="1:12">
      <c r="A4921" s="20" t="s">
        <v>2149</v>
      </c>
    </row>
    <row r="4922" spans="1:12">
      <c r="A4922" s="20" t="s">
        <v>1155</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1014</v>
      </c>
      <c r="B4923" s="21" t="s">
        <v>1015</v>
      </c>
      <c r="C4923" s="21" t="s">
        <v>1016</v>
      </c>
      <c r="D4923" s="21" t="s">
        <v>996</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141</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1121</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1156</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2150</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1018</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106</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1124</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1227</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1145</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1034</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1218</v>
      </c>
      <c r="B4934" s="21" t="s">
        <v>1104</v>
      </c>
      <c r="C4934" s="21" t="s">
        <v>1037</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1003</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1152</v>
      </c>
      <c r="B4936" s="21" t="s">
        <v>1206</v>
      </c>
      <c r="C4936" s="21" t="s">
        <v>1005</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1103</v>
      </c>
      <c r="B4937" s="21" t="s">
        <v>1336</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1402</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1122</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222</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1034</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2140</v>
      </c>
      <c r="B4942" s="21" t="s">
        <v>1462</v>
      </c>
      <c r="C4942" s="21" t="s">
        <v>1037</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1112</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1014</v>
      </c>
      <c r="B4944" s="21" t="s">
        <v>1625</v>
      </c>
      <c r="C4944" s="21" t="s">
        <v>1016</v>
      </c>
      <c r="D4944" s="21" t="s">
        <v>996</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141</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1145</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2151</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2092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1041</v>
      </c>
      <c r="B4949" s="21" t="s">
        <v>2152</v>
      </c>
      <c r="C4949" s="21" t="s">
        <v>1069</v>
      </c>
      <c r="D4949" s="21" t="s">
        <v>996</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1391</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1006</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1330</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1121</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1871</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1018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1111</v>
      </c>
      <c r="B4956" s="21" t="s">
        <v>1463</v>
      </c>
      <c r="C4956" s="21" t="s">
        <v>1016</v>
      </c>
      <c r="D4956" s="21" t="s">
        <v>996</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1124</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1007</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1106</v>
      </c>
      <c r="B4959" s="21" t="s">
        <v>2153</v>
      </c>
      <c r="C4959" s="21" t="s">
        <v>1002</v>
      </c>
      <c r="D4959" s="21" t="s">
        <v>996</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1475</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1058</v>
      </c>
      <c r="B4961" s="21" t="s">
        <v>2154</v>
      </c>
      <c r="C4961" s="21" t="s">
        <v>1016</v>
      </c>
      <c r="D4961" s="21" t="s">
        <v>996</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1131</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1122</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2155</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1276</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2156</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2157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1498</v>
      </c>
      <c r="B4968" s="21" t="s">
        <v>1466</v>
      </c>
      <c r="C4968" s="21" t="s">
        <v>1005</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1011</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row>
    <row r="4971" spans="1:12">
      <c r="A4971" s="20" t="s">
        <v>2158</v>
      </c>
    </row>
    <row r="4972" spans="1:12">
      <c r="A4972" s="20" t="s">
        <v>1390</v>
      </c>
      <c r="B4972" s="21" t="s">
        <v>1015</v>
      </c>
      <c r="C4972" s="21" t="s">
        <v>1016</v>
      </c>
      <c r="D4972" s="21" t="s">
        <v>996</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1156</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1496</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2159</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1589</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16</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1006</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1121</v>
      </c>
      <c r="B4979" s="21" t="s">
        <v>1053</v>
      </c>
      <c r="C4979" s="21" t="s">
        <v>1016</v>
      </c>
      <c r="D4979" s="21" t="s">
        <v>996</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1156</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1496</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1130</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1120</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2160</v>
      </c>
      <c r="B4984" s="21" t="s">
        <v>1010</v>
      </c>
      <c r="C4984" s="21" t="s">
        <v>1005</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1006</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2161</v>
      </c>
      <c r="B4986" s="21" t="s">
        <v>1026</v>
      </c>
      <c r="C4986" s="21" t="s">
        <v>1005</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1006</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1589</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1496</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1175</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1124</v>
      </c>
      <c r="B4991" s="21" t="s">
        <v>1057</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1011</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row>
    <row r="4994" spans="1:12">
      <c r="A4994" s="20" t="s">
        <v>2162</v>
      </c>
    </row>
    <row r="4995" spans="1:12">
      <c r="A4995" s="20" t="s">
        <v>2163</v>
      </c>
      <c r="B4995" s="21" t="s">
        <v>1015</v>
      </c>
      <c r="C4995" s="21" t="s">
        <v>1047</v>
      </c>
      <c r="D4995" s="21" t="s">
        <v>996</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1003</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1121</v>
      </c>
      <c r="B4997" s="21" t="s">
        <v>1010</v>
      </c>
      <c r="C4997" s="21" t="s">
        <v>1016</v>
      </c>
      <c r="D4997" s="21" t="s">
        <v>996</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1032</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2164</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1034</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2165</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2166</v>
      </c>
      <c r="B5002" s="21" t="s">
        <v>994</v>
      </c>
      <c r="C5002" s="21" t="s">
        <v>1037</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1011</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row>
    <row r="5005" spans="1:12">
      <c r="A5005" s="20" t="s">
        <v>2167</v>
      </c>
    </row>
    <row r="5006" spans="1:12">
      <c r="A5006" s="20" t="s">
        <v>1080</v>
      </c>
      <c r="B5006" s="21" t="s">
        <v>1015</v>
      </c>
      <c r="C5006" s="21" t="s">
        <v>1016</v>
      </c>
      <c r="D5006" s="21" t="s">
        <v>996</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1363</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1598</v>
      </c>
      <c r="B5008" s="21" t="s">
        <v>994</v>
      </c>
      <c r="C5008" s="21" t="s">
        <v>1005</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1003</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1034</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2168</v>
      </c>
      <c r="B5011" s="21" t="s">
        <v>994</v>
      </c>
      <c r="C5011" s="21" t="s">
        <v>1037</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1124</v>
      </c>
      <c r="B5012" s="21" t="s">
        <v>1053</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2169</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1264</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1098</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1007</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1009</v>
      </c>
      <c r="B5017" s="21" t="s">
        <v>1026</v>
      </c>
      <c r="C5017" s="21" t="s">
        <v>1002</v>
      </c>
      <c r="D5017" s="21" t="s">
        <v>996</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1006</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1112</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1121</v>
      </c>
      <c r="B5020" s="21" t="s">
        <v>1050</v>
      </c>
      <c r="C5020" s="21" t="s">
        <v>1016</v>
      </c>
      <c r="D5020" s="21" t="s">
        <v>996</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1871</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1059</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1559</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1058</v>
      </c>
      <c r="B5024" s="21" t="s">
        <v>1053</v>
      </c>
      <c r="C5024" s="21" t="s">
        <v>1016</v>
      </c>
      <c r="D5024" s="21" t="s">
        <v>996</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2170</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2171</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1132</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2164</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1034</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2172</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2173</v>
      </c>
      <c r="B5031" s="21" t="s">
        <v>1107</v>
      </c>
      <c r="C5031" s="21" t="s">
        <v>1037</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1119</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1058</v>
      </c>
      <c r="B5033" s="21" t="s">
        <v>1297</v>
      </c>
      <c r="C5033" s="21" t="s">
        <v>1016</v>
      </c>
      <c r="D5033" s="21" t="s">
        <v>996</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34</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214</v>
      </c>
      <c r="B5035" s="21" t="s">
        <v>1299</v>
      </c>
      <c r="C5035" s="21" t="s">
        <v>1102</v>
      </c>
      <c r="D5035" s="21" t="s">
        <v>996</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1224</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1124</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1058</v>
      </c>
      <c r="B5038" s="21" t="s">
        <v>1219</v>
      </c>
      <c r="C5038" s="21" t="s">
        <v>1016</v>
      </c>
      <c r="D5038" s="21" t="s">
        <v>996</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141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1158</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1329</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1007</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1009</v>
      </c>
      <c r="B5043" s="21" t="s">
        <v>1462</v>
      </c>
      <c r="C5043" s="21" t="s">
        <v>1002</v>
      </c>
      <c r="D5043" s="21" t="s">
        <v>996</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1011</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row>
    <row r="5046" spans="1:12">
      <c r="A5046" s="20" t="s">
        <v>2174</v>
      </c>
    </row>
    <row r="5047" spans="1:12">
      <c r="A5047" s="20" t="s">
        <v>2175</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1227</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1075</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2176</v>
      </c>
      <c r="B5050" s="21" t="s">
        <v>1015</v>
      </c>
      <c r="C5050" s="21" t="s">
        <v>1077</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1018</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1124</v>
      </c>
      <c r="B5052" s="21" t="s">
        <v>1010</v>
      </c>
      <c r="C5052" s="21" t="s">
        <v>1069</v>
      </c>
      <c r="D5052" s="21" t="s">
        <v>996</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1061</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row>
    <row r="5055" spans="1:12">
      <c r="A5055" s="20" t="s">
        <v>2177</v>
      </c>
    </row>
    <row r="5056" spans="1:12">
      <c r="A5056" s="20" t="s">
        <v>1100</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998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1390</v>
      </c>
      <c r="B5058" s="21" t="s">
        <v>1015</v>
      </c>
      <c r="C5058" s="21" t="s">
        <v>1016</v>
      </c>
      <c r="D5058" s="21" t="s">
        <v>996</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1032</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1011</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row>
    <row r="5062" spans="1:12">
      <c r="A5062" s="20" t="s">
        <v>2178</v>
      </c>
    </row>
    <row r="5063" spans="1:12">
      <c r="A5063" s="20" t="s">
        <v>1014</v>
      </c>
      <c r="B5063" s="21" t="s">
        <v>1015</v>
      </c>
      <c r="C5063" s="21" t="s">
        <v>1016</v>
      </c>
      <c r="D5063" s="21" t="s">
        <v>996</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141</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1121</v>
      </c>
      <c r="B5065" s="21" t="s">
        <v>1050</v>
      </c>
      <c r="C5065" s="21" t="s">
        <v>1016</v>
      </c>
      <c r="D5065" s="21" t="s">
        <v>996</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1156</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1412</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2150</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1011</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row>
    <row r="5071" spans="1:12">
      <c r="A5071" s="20" t="s">
        <v>2179</v>
      </c>
    </row>
    <row r="5072" spans="1:12">
      <c r="A5072" s="20" t="s">
        <v>1068</v>
      </c>
      <c r="B5072" s="21" t="s">
        <v>1015</v>
      </c>
      <c r="C5072" s="21" t="s">
        <v>1069</v>
      </c>
      <c r="D5072" s="21" t="s">
        <v>996</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1032</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1496</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1034</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2159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1589</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16</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2166</v>
      </c>
      <c r="B5079" s="21" t="s">
        <v>994</v>
      </c>
      <c r="C5079" s="21" t="s">
        <v>1037</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1011</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row>
    <row r="5082" spans="1:12">
      <c r="A5082" s="20" t="s">
        <v>2180</v>
      </c>
    </row>
    <row r="5083" spans="1:12">
      <c r="A5083" s="20" t="s">
        <v>1848</v>
      </c>
      <c r="B5083" s="21" t="s">
        <v>1010</v>
      </c>
      <c r="C5083" s="21" t="s">
        <v>1045</v>
      </c>
      <c r="D5083" s="21" t="s">
        <v>996</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2181</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2182</v>
      </c>
      <c r="B5085" s="21" t="s">
        <v>1015</v>
      </c>
      <c r="C5085" s="21" t="s">
        <v>1047</v>
      </c>
      <c r="D5085" s="21" t="s">
        <v>996</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1006</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1112</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1119</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1014</v>
      </c>
      <c r="B5089" s="21" t="s">
        <v>1050</v>
      </c>
      <c r="C5089" s="21" t="s">
        <v>1016</v>
      </c>
      <c r="D5089" s="21" t="s">
        <v>996</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106</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1242</v>
      </c>
      <c r="B5091" s="21" t="s">
        <v>1015</v>
      </c>
      <c r="C5091" s="21" t="s">
        <v>1016</v>
      </c>
      <c r="D5091" s="21" t="s">
        <v>996</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1006</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1014</v>
      </c>
      <c r="B5093" s="21" t="s">
        <v>1015</v>
      </c>
      <c r="C5093" s="21" t="s">
        <v>1016</v>
      </c>
      <c r="D5093" s="21" t="s">
        <v>996</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129</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1122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1175</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245</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1654</v>
      </c>
      <c r="B5098" s="21" t="s">
        <v>1057</v>
      </c>
      <c r="C5098" s="21" t="s">
        <v>995</v>
      </c>
      <c r="D5098" s="21" t="s">
        <v>996</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1006</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1014</v>
      </c>
      <c r="B5100" s="21" t="s">
        <v>1050</v>
      </c>
      <c r="C5100" s="21" t="s">
        <v>1016</v>
      </c>
      <c r="D5100" s="21" t="s">
        <v>996</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245</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1152</v>
      </c>
      <c r="B5102" s="21" t="s">
        <v>1022</v>
      </c>
      <c r="C5102" s="21" t="s">
        <v>1005</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1475</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1007</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1139</v>
      </c>
      <c r="B5105" s="21" t="s">
        <v>1026</v>
      </c>
      <c r="C5105" s="21" t="s">
        <v>1002</v>
      </c>
      <c r="D5105" s="21" t="s">
        <v>996</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1006</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1121</v>
      </c>
      <c r="B5107" s="21" t="s">
        <v>1050</v>
      </c>
      <c r="C5107" s="21" t="s">
        <v>1016</v>
      </c>
      <c r="D5107" s="21" t="s">
        <v>996</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1156</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1496</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1034</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2183</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2166</v>
      </c>
      <c r="B5112" s="21" t="s">
        <v>994</v>
      </c>
      <c r="C5112" s="21" t="s">
        <v>1037</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1011</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row>
    <row r="5115" spans="1:12">
      <c r="A5115" s="20" t="s">
        <v>2184</v>
      </c>
    </row>
    <row r="5116" spans="1:12">
      <c r="A5116" s="20" t="s">
        <v>1385</v>
      </c>
      <c r="B5116" s="21" t="s">
        <v>1015</v>
      </c>
      <c r="C5116" s="21" t="s">
        <v>1069</v>
      </c>
      <c r="D5116" s="21" t="s">
        <v>996</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1145</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1085</v>
      </c>
      <c r="B5118" s="21" t="s">
        <v>994</v>
      </c>
      <c r="C5118" s="21" t="s">
        <v>1005</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1124</v>
      </c>
      <c r="B5119" s="21" t="s">
        <v>1022</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1133</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1152</v>
      </c>
      <c r="B5121" s="21" t="s">
        <v>1050</v>
      </c>
      <c r="C5121" s="21" t="s">
        <v>1037</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828</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1006</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1112</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1121</v>
      </c>
      <c r="B5125" s="21" t="s">
        <v>1050</v>
      </c>
      <c r="C5125" s="21" t="s">
        <v>1016</v>
      </c>
      <c r="D5125" s="21" t="s">
        <v>996</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1156</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1264</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1018</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1133</v>
      </c>
      <c r="B5129" s="21" t="s">
        <v>1010</v>
      </c>
      <c r="C5129" s="21" t="s">
        <v>1047</v>
      </c>
      <c r="D5129" s="21" t="s">
        <v>996</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1003</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1286</v>
      </c>
      <c r="B5131" s="21" t="s">
        <v>1026</v>
      </c>
      <c r="C5131" s="21" t="s">
        <v>1016</v>
      </c>
      <c r="D5131" s="21" t="s">
        <v>996</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1018</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1550</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1381</v>
      </c>
      <c r="B5134" s="21" t="s">
        <v>1051</v>
      </c>
      <c r="C5134" s="21" t="s">
        <v>1016</v>
      </c>
      <c r="D5134" s="21" t="s">
        <v>996</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1006</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1112</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1018</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1152</v>
      </c>
      <c r="B5138" s="21" t="s">
        <v>994</v>
      </c>
      <c r="C5138" s="21" t="s">
        <v>1005</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1103</v>
      </c>
      <c r="B5139" s="21" t="s">
        <v>1053</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118</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1160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1112</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2185</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1034</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1287</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1112</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584</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1009</v>
      </c>
      <c r="B5148" s="21" t="s">
        <v>1116</v>
      </c>
      <c r="C5148" s="21" t="s">
        <v>1037</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1006</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1121</v>
      </c>
      <c r="B5150" s="21" t="s">
        <v>1050</v>
      </c>
      <c r="C5150" s="21" t="s">
        <v>1016</v>
      </c>
      <c r="D5150" s="21" t="s">
        <v>996</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1156</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1264</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1018</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1286</v>
      </c>
      <c r="B5154" s="21" t="s">
        <v>1010</v>
      </c>
      <c r="C5154" s="21" t="s">
        <v>1016</v>
      </c>
      <c r="D5154" s="21" t="s">
        <v>996</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1018</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2186</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1124</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2187</v>
      </c>
      <c r="B5158" s="21" t="s">
        <v>1051</v>
      </c>
      <c r="C5158" s="21" t="s">
        <v>1027</v>
      </c>
      <c r="D5158" s="21" t="s">
        <v>996</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1078</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1007</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1600</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2168</v>
      </c>
      <c r="B5162" s="21" t="s">
        <v>1026</v>
      </c>
      <c r="C5162" s="21" t="s">
        <v>1002</v>
      </c>
      <c r="D5162" s="21" t="s">
        <v>996</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1018</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1596</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1006</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1112</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1559</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1125</v>
      </c>
      <c r="B5168" s="21" t="s">
        <v>1053</v>
      </c>
      <c r="C5168" s="21" t="s">
        <v>1016</v>
      </c>
      <c r="D5168" s="21" t="s">
        <v>996</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129</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1122</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1580</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1085</v>
      </c>
      <c r="B5172" s="21" t="s">
        <v>1051</v>
      </c>
      <c r="C5172" s="21" t="s">
        <v>1005</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1006</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1559</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1125</v>
      </c>
      <c r="B5175" s="21" t="s">
        <v>1104</v>
      </c>
      <c r="C5175" s="21" t="s">
        <v>1016</v>
      </c>
      <c r="D5175" s="21" t="s">
        <v>996</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129</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1122</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2188</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1264</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1018</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495</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1007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2189</v>
      </c>
      <c r="B5183" s="21" t="s">
        <v>1299</v>
      </c>
      <c r="C5183" s="21" t="s">
        <v>1002</v>
      </c>
      <c r="D5183" s="21" t="s">
        <v>996</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1125</v>
      </c>
      <c r="B5184" s="21" t="s">
        <v>1336</v>
      </c>
      <c r="C5184" s="21" t="s">
        <v>1016</v>
      </c>
      <c r="D5184" s="21" t="s">
        <v>996</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301</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1018</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129</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1018</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487</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1007</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1009</v>
      </c>
      <c r="B5191" s="21" t="s">
        <v>2152</v>
      </c>
      <c r="C5191" s="21" t="s">
        <v>1002</v>
      </c>
      <c r="D5191" s="21" t="s">
        <v>996</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1834</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1006</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1496</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1175</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1078</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1286</v>
      </c>
      <c r="B5197" s="21" t="s">
        <v>994</v>
      </c>
      <c r="C5197" s="21" t="s">
        <v>1016</v>
      </c>
      <c r="D5197" s="21" t="s">
        <v>996</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1293</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1078</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1065</v>
      </c>
      <c r="B5200" s="21" t="s">
        <v>1010</v>
      </c>
      <c r="C5200" s="21" t="s">
        <v>1066</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1006</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1125</v>
      </c>
      <c r="B5202" s="21" t="s">
        <v>1050</v>
      </c>
      <c r="C5202" s="21" t="s">
        <v>1016</v>
      </c>
      <c r="D5202" s="21" t="s">
        <v>996</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1363</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1265</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1018</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1930</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1124</v>
      </c>
      <c r="B5207" s="21" t="s">
        <v>1051</v>
      </c>
      <c r="C5207" s="21" t="s">
        <v>1069</v>
      </c>
      <c r="D5207" s="21" t="s">
        <v>996</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1006</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1112</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1124</v>
      </c>
      <c r="B5210" s="21" t="s">
        <v>1050</v>
      </c>
      <c r="C5210" s="21" t="s">
        <v>1069</v>
      </c>
      <c r="D5210" s="21" t="s">
        <v>996</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1017</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134</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1034</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2190</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2191</v>
      </c>
      <c r="B5215" s="21" t="s">
        <v>994</v>
      </c>
      <c r="C5215" s="21" t="s">
        <v>1037</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1006</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1496</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1175</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1078</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1286</v>
      </c>
      <c r="B5220" s="21" t="s">
        <v>994</v>
      </c>
      <c r="C5220" s="21" t="s">
        <v>1016</v>
      </c>
      <c r="D5220" s="21" t="s">
        <v>996</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1006</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1293</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1078</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1007</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1139</v>
      </c>
      <c r="B5225" s="21" t="s">
        <v>994</v>
      </c>
      <c r="C5225" s="21" t="s">
        <v>1002</v>
      </c>
      <c r="D5225" s="21" t="s">
        <v>996</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1011</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row>
    <row r="5228" spans="1:12">
      <c r="A5228" s="20" t="s">
        <v>2192</v>
      </c>
    </row>
    <row r="5229" spans="1:12">
      <c r="A5229" s="20" t="s">
        <v>1074</v>
      </c>
      <c r="B5229" s="21" t="s">
        <v>994</v>
      </c>
      <c r="C5229" s="21" t="s">
        <v>1005</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998</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1733</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1006</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1014</v>
      </c>
      <c r="B5233" s="21" t="s">
        <v>1050</v>
      </c>
      <c r="C5233" s="21" t="s">
        <v>1016</v>
      </c>
      <c r="D5233" s="21" t="s">
        <v>996</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118</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1672</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2193</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2194</v>
      </c>
      <c r="B5237" s="21" t="s">
        <v>1022</v>
      </c>
      <c r="C5237" s="21" t="s">
        <v>1005</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1788</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1043</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1007</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2195</v>
      </c>
      <c r="B5241" s="21" t="s">
        <v>1010</v>
      </c>
      <c r="C5241" s="21" t="s">
        <v>1002</v>
      </c>
      <c r="D5241" s="21" t="s">
        <v>996</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1003</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1007</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1139</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2196</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1553</v>
      </c>
      <c r="B5246" s="21" t="s">
        <v>1026</v>
      </c>
      <c r="C5246" s="21" t="s">
        <v>1002</v>
      </c>
      <c r="D5246" s="21" t="s">
        <v>996</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1006</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1103</v>
      </c>
      <c r="B5248" s="21" t="s">
        <v>1104</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1014</v>
      </c>
      <c r="B5249" s="21" t="s">
        <v>1104</v>
      </c>
      <c r="C5249" s="21" t="s">
        <v>1016</v>
      </c>
      <c r="D5249" s="21" t="s">
        <v>996</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1507</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141</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1032</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1098</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1286</v>
      </c>
      <c r="B5254" s="21" t="s">
        <v>1107</v>
      </c>
      <c r="C5254" s="21" t="s">
        <v>1016</v>
      </c>
      <c r="D5254" s="21" t="s">
        <v>996</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1006</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2197</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925</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2198</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11</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2199</v>
      </c>
      <c r="B5260" s="21" t="s">
        <v>1206</v>
      </c>
      <c r="C5260" s="21" t="s">
        <v>995</v>
      </c>
      <c r="D5260" s="21" t="s">
        <v>996</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1011</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row>
    <row r="5263" spans="1:12">
      <c r="A5263" s="20" t="s">
        <v>2200</v>
      </c>
    </row>
    <row r="5264" spans="1:12">
      <c r="A5264" s="20" t="s">
        <v>925</v>
      </c>
      <c r="B5264" s="21" t="s">
        <v>1015</v>
      </c>
      <c r="C5264" s="21" t="s">
        <v>995</v>
      </c>
      <c r="D5264" s="21" t="s">
        <v>996</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1006</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1507</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1006</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1017</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1058</v>
      </c>
      <c r="B5269" s="21" t="s">
        <v>1015</v>
      </c>
      <c r="C5269" s="21" t="s">
        <v>1016</v>
      </c>
      <c r="D5269" s="21" t="s">
        <v>996</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22</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1018</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538</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1264</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1112</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106</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1006</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129</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1125</v>
      </c>
      <c r="B5278" s="21" t="s">
        <v>1050</v>
      </c>
      <c r="C5278" s="21" t="s">
        <v>1016</v>
      </c>
      <c r="D5278" s="21" t="s">
        <v>996</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118</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1034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2201</v>
      </c>
      <c r="B5281" s="21" t="s">
        <v>1022</v>
      </c>
      <c r="C5281" s="21" t="s">
        <v>1037</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1078</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925</v>
      </c>
      <c r="B5283" s="21" t="s">
        <v>1026</v>
      </c>
      <c r="C5283" s="21" t="s">
        <v>995</v>
      </c>
      <c r="D5283" s="21" t="s">
        <v>996</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1061</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row>
    <row r="5286" spans="1:12">
      <c r="A5286" s="20" t="s">
        <v>2202</v>
      </c>
    </row>
    <row r="5287" spans="1:12">
      <c r="A5287" s="20" t="s">
        <v>925</v>
      </c>
      <c r="B5287" s="21" t="s">
        <v>994</v>
      </c>
      <c r="C5287" s="21" t="s">
        <v>995</v>
      </c>
      <c r="D5287" s="21" t="s">
        <v>996</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1006</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799</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1018</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34</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1058</v>
      </c>
      <c r="B5292" s="21" t="s">
        <v>1022</v>
      </c>
      <c r="C5292" s="21" t="s">
        <v>1016</v>
      </c>
      <c r="D5292" s="21" t="s">
        <v>996</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1011</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row>
    <row r="5295" spans="1:12">
      <c r="A5295" s="20" t="s">
        <v>2203</v>
      </c>
    </row>
    <row r="5296" spans="1:12">
      <c r="A5296" s="20" t="s">
        <v>1882</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1264</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1227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1011</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row>
    <row r="5301" spans="1:12">
      <c r="A5301" s="20" t="s">
        <v>2204</v>
      </c>
    </row>
    <row r="5302" spans="1:12">
      <c r="A5302" s="20" t="s">
        <v>2205</v>
      </c>
      <c r="B5302" s="21" t="s">
        <v>1026</v>
      </c>
      <c r="C5302" s="21" t="s">
        <v>1052</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2206</v>
      </c>
      <c r="B5303" s="21" t="s">
        <v>1022</v>
      </c>
      <c r="C5303" s="21" t="s">
        <v>1095</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1145</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1058</v>
      </c>
      <c r="B5305" s="21" t="s">
        <v>1050</v>
      </c>
      <c r="C5305" s="21" t="s">
        <v>1016</v>
      </c>
      <c r="D5305" s="21" t="s">
        <v>996</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1033</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1006</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1308</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1007</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806</v>
      </c>
      <c r="B5310" s="21" t="s">
        <v>994</v>
      </c>
      <c r="C5310" s="21" t="s">
        <v>1002</v>
      </c>
      <c r="D5310" s="21" t="s">
        <v>996</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1006</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1091</v>
      </c>
      <c r="B5312" s="21" t="s">
        <v>994</v>
      </c>
      <c r="C5312" s="21" t="s">
        <v>1005</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1006</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1092</v>
      </c>
      <c r="B5314" s="21" t="s">
        <v>994</v>
      </c>
      <c r="C5314" s="21" t="s">
        <v>1005</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1061</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row>
    <row r="5317" spans="1:12">
      <c r="A5317" s="20" t="s">
        <v>2207</v>
      </c>
    </row>
    <row r="5318" spans="1:12">
      <c r="A5318" s="20" t="s">
        <v>1014</v>
      </c>
      <c r="B5318" s="21" t="s">
        <v>1015</v>
      </c>
      <c r="C5318" s="21" t="s">
        <v>1016</v>
      </c>
      <c r="D5318" s="21" t="s">
        <v>996</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118</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1034</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2208</v>
      </c>
      <c r="B5321" s="21" t="s">
        <v>1057</v>
      </c>
      <c r="C5321" s="21" t="s">
        <v>1037</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1141</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1041</v>
      </c>
      <c r="B5323" s="21" t="s">
        <v>1010</v>
      </c>
      <c r="C5323" s="21" t="s">
        <v>1069</v>
      </c>
      <c r="D5323" s="21" t="s">
        <v>996</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1006</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1293</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11</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925</v>
      </c>
      <c r="B5327" s="21" t="s">
        <v>994</v>
      </c>
      <c r="C5327" s="21" t="s">
        <v>995</v>
      </c>
      <c r="D5327" s="21" t="s">
        <v>996</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2198</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11</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2199</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998</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row>
    <row r="5333" spans="1:12">
      <c r="A5333" s="20" t="s">
        <v>2209</v>
      </c>
    </row>
    <row r="5334" spans="1:12">
      <c r="A5334" s="20" t="s">
        <v>1014</v>
      </c>
      <c r="B5334" s="21" t="s">
        <v>1015</v>
      </c>
      <c r="C5334" s="21" t="s">
        <v>1016</v>
      </c>
      <c r="D5334" s="21" t="s">
        <v>996</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1081</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1492</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1700</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2210</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2211</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1018</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1124</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1123</v>
      </c>
      <c r="B5342" s="21" t="s">
        <v>1010</v>
      </c>
      <c r="C5342" s="21" t="s">
        <v>1027</v>
      </c>
      <c r="D5342" s="21" t="s">
        <v>996</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1006</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1293</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1092</v>
      </c>
      <c r="B5345" s="21" t="s">
        <v>994</v>
      </c>
      <c r="C5345" s="21" t="s">
        <v>1005</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1006</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1559</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1014</v>
      </c>
      <c r="B5348" s="21" t="s">
        <v>1050</v>
      </c>
      <c r="C5348" s="21" t="s">
        <v>1016</v>
      </c>
      <c r="D5348" s="21" t="s">
        <v>996</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118</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1018</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495</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1007</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2146</v>
      </c>
      <c r="B5353" s="21" t="s">
        <v>1051</v>
      </c>
      <c r="C5353" s="21" t="s">
        <v>1649</v>
      </c>
      <c r="D5353" s="21" t="s">
        <v>996</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1151</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1007</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1956</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1011</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row>
    <row r="5359" spans="1:12">
      <c r="A5359" s="20" t="s">
        <v>2212</v>
      </c>
    </row>
    <row r="5360" spans="1:12">
      <c r="A5360" s="20" t="s">
        <v>1074</v>
      </c>
      <c r="B5360" s="21" t="s">
        <v>994</v>
      </c>
      <c r="C5360" s="21" t="s">
        <v>1005</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998</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1155</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29</v>
      </c>
      <c r="B5363" s="21" t="s">
        <v>994</v>
      </c>
      <c r="C5363" s="21" t="s">
        <v>995</v>
      </c>
      <c r="D5363" s="21" t="s">
        <v>996</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1006</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1014</v>
      </c>
      <c r="B5365" s="21" t="s">
        <v>1050</v>
      </c>
      <c r="C5365" s="21" t="s">
        <v>1016</v>
      </c>
      <c r="D5365" s="21" t="s">
        <v>996</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141</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1058</v>
      </c>
      <c r="B5367" s="21" t="s">
        <v>1053</v>
      </c>
      <c r="C5367" s="21" t="s">
        <v>1016</v>
      </c>
      <c r="D5367" s="21" t="s">
        <v>996</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1081</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2213</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1007</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2214</v>
      </c>
      <c r="B5371" s="21" t="s">
        <v>1051</v>
      </c>
      <c r="C5371" s="21" t="s">
        <v>1002</v>
      </c>
      <c r="D5371" s="21" t="s">
        <v>996</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1124</v>
      </c>
      <c r="B5372" s="21" t="s">
        <v>1299</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2197</v>
      </c>
      <c r="B5373" s="21" t="s">
        <v>1297</v>
      </c>
      <c r="C5373" s="21" t="s">
        <v>995</v>
      </c>
      <c r="D5373" s="21" t="s">
        <v>996</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925</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1108</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2215</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1120</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1120</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1034</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2216</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2217</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2218</v>
      </c>
      <c r="B5382" s="21" t="s">
        <v>1206</v>
      </c>
      <c r="C5382" s="21" t="s">
        <v>995</v>
      </c>
      <c r="D5382" s="21" t="s">
        <v>996</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1018</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1537</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1310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1007</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1009</v>
      </c>
      <c r="B5387" s="21" t="s">
        <v>1221</v>
      </c>
      <c r="C5387" s="21" t="s">
        <v>1002</v>
      </c>
      <c r="D5387" s="21" t="s">
        <v>996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1011</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row>
    <row r="5390" spans="1:12">
      <c r="A5390" s="20" t="s">
        <v>2219</v>
      </c>
    </row>
    <row r="5391" spans="1:12">
      <c r="A5391" s="20" t="s">
        <v>2175</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1124</v>
      </c>
      <c r="B5392" s="21" t="s">
        <v>1015</v>
      </c>
      <c r="C5392" s="21" t="s">
        <v>1069</v>
      </c>
      <c r="D5392" s="21" t="s">
        <v>996</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214</v>
      </c>
      <c r="B5393" s="21" t="s">
        <v>994</v>
      </c>
      <c r="C5393" s="21" t="s">
        <v>1102</v>
      </c>
      <c r="D5393" s="21" t="s">
        <v>996</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1124</v>
      </c>
      <c r="B5394" s="21" t="s">
        <v>1050</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1917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2220</v>
      </c>
      <c r="B5396" s="21" t="s">
        <v>1022</v>
      </c>
      <c r="C5396" s="21" t="s">
        <v>1005</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1061</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row>
    <row r="5399" spans="1:12">
      <c r="A5399" s="20" t="s">
        <v>1946</v>
      </c>
    </row>
    <row r="5400" spans="1:12">
      <c r="A5400" s="20" t="s">
        <v>1100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998</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1947</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1011</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row>
    <row r="5405" spans="1:12">
      <c r="A5405" s="20" t="s">
        <v>2221</v>
      </c>
    </row>
    <row r="5406" spans="1:12">
      <c r="A5406" s="20" t="s">
        <v>1014</v>
      </c>
      <c r="B5406" s="21" t="s">
        <v>1015</v>
      </c>
      <c r="C5406" s="21" t="s">
        <v>1016</v>
      </c>
      <c r="D5406" s="21" t="s">
        <v>996</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245</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1006</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1113</v>
      </c>
      <c r="B5409" s="21" t="s">
        <v>1010</v>
      </c>
      <c r="C5409" s="21" t="s">
        <v>1045</v>
      </c>
      <c r="D5409" s="21" t="s">
        <v>996</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2168</v>
      </c>
      <c r="B5410" s="21" t="s">
        <v>1057</v>
      </c>
      <c r="C5410" s="21" t="s">
        <v>1047</v>
      </c>
      <c r="D5410" s="21" t="s">
        <v>996</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1006</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1014</v>
      </c>
      <c r="B5412" s="21" t="s">
        <v>1050</v>
      </c>
      <c r="C5412" s="21" t="s">
        <v>1016</v>
      </c>
      <c r="D5412" s="21" t="s">
        <v>996</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2169</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1264</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1496</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1175</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2092</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1120</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1007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1009</v>
      </c>
      <c r="B5420" s="21" t="s">
        <v>1026</v>
      </c>
      <c r="C5420" s="21" t="s">
        <v>1002</v>
      </c>
      <c r="D5420" s="21" t="s">
        <v>996</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1006</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1293</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1014</v>
      </c>
      <c r="B5423" s="21" t="s">
        <v>1050</v>
      </c>
      <c r="C5423" s="21" t="s">
        <v>1016</v>
      </c>
      <c r="D5423" s="21" t="s">
        <v>996</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2169</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1264</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1033</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1007</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1009</v>
      </c>
      <c r="B5428" s="21" t="s">
        <v>1010</v>
      </c>
      <c r="C5428" s="21" t="s">
        <v>1002</v>
      </c>
      <c r="D5428" s="21" t="s">
        <v>996</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1006</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1112</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2222</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1014</v>
      </c>
      <c r="B5432" s="21" t="s">
        <v>1050</v>
      </c>
      <c r="C5432" s="21" t="s">
        <v>1016</v>
      </c>
      <c r="D5432" s="21" t="s">
        <v>996</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1278</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2223</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1018</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118</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1007</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2224</v>
      </c>
      <c r="B5438" s="21" t="s">
        <v>1051</v>
      </c>
      <c r="C5438" s="21" t="s">
        <v>1002</v>
      </c>
      <c r="D5438" s="21" t="s">
        <v>996</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1018</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2225</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1121</v>
      </c>
      <c r="B5441" s="21" t="s">
        <v>1299</v>
      </c>
      <c r="C5441" s="21" t="s">
        <v>1016</v>
      </c>
      <c r="D5441" s="21" t="s">
        <v>996</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1033</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2226</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1034</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1452</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1112</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2227</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1528</v>
      </c>
      <c r="B5448" s="21" t="s">
        <v>1206</v>
      </c>
      <c r="C5448" s="21" t="s">
        <v>1069</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1112</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1018</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2228</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1121</v>
      </c>
      <c r="B5452" s="21" t="s">
        <v>1221</v>
      </c>
      <c r="C5452" s="21" t="s">
        <v>1016</v>
      </c>
      <c r="D5452" s="21" t="s">
        <v>996</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1033</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1041</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2229</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1006</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2164</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2230</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1528</v>
      </c>
      <c r="B5459" s="21" t="s">
        <v>1057</v>
      </c>
      <c r="C5459" s="21" t="s">
        <v>1005</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1006</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1014</v>
      </c>
      <c r="B5461" s="21" t="s">
        <v>1050</v>
      </c>
      <c r="C5461" s="21" t="s">
        <v>1016</v>
      </c>
      <c r="D5461" s="21" t="s">
        <v>996</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141</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1227</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1156</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214</v>
      </c>
      <c r="B5465" s="21" t="s">
        <v>1053</v>
      </c>
      <c r="C5465" s="21" t="s">
        <v>1102</v>
      </c>
      <c r="D5465" s="21" t="s">
        <v>996</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2231</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1120</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1007</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1060</v>
      </c>
      <c r="B5469" s="21" t="s">
        <v>1206</v>
      </c>
      <c r="C5469" s="21" t="s">
        <v>1002</v>
      </c>
      <c r="D5469" s="21" t="s">
        <v>996</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1124</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1404</v>
      </c>
      <c r="B5471" s="21" t="s">
        <v>1336</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1003</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1007</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2232</v>
      </c>
      <c r="B5474" s="21" t="s">
        <v>1427</v>
      </c>
      <c r="C5474" s="21" t="s">
        <v>1002</v>
      </c>
      <c r="D5474" s="21" t="s">
        <v>996</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1003</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1007</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1009</v>
      </c>
      <c r="B5477" s="21" t="s">
        <v>1927</v>
      </c>
      <c r="C5477" s="21" t="s">
        <v>1002</v>
      </c>
      <c r="D5477" s="21" t="s">
        <v>996</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1108</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1507</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2170</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2233</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1018</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1007</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1009</v>
      </c>
      <c r="B5484" s="21" t="s">
        <v>1427</v>
      </c>
      <c r="C5484" s="21" t="s">
        <v>1002</v>
      </c>
      <c r="D5484" s="21" t="s">
        <v>996</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1059</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1034</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2234</v>
      </c>
      <c r="B5487" s="21" t="s">
        <v>1427</v>
      </c>
      <c r="C5487" s="21" t="s">
        <v>1047</v>
      </c>
      <c r="D5487" s="21" t="s">
        <v>996</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1003</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1195</v>
      </c>
      <c r="B5489" s="21" t="s">
        <v>1463</v>
      </c>
      <c r="C5489" s="21" t="s">
        <v>1045</v>
      </c>
      <c r="D5489" s="21" t="s">
        <v>996</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2157</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2235</v>
      </c>
      <c r="B5491" s="21" t="s">
        <v>1927</v>
      </c>
      <c r="C5491" s="21" t="s">
        <v>1047</v>
      </c>
      <c r="D5491" s="21" t="s">
        <v>996</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1011</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row>
    <row r="5494" spans="1:12">
      <c r="A5494" s="20" t="s">
        <v>2236</v>
      </c>
    </row>
    <row r="5495" spans="1:12">
      <c r="A5495" s="20" t="s">
        <v>1155</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1014</v>
      </c>
      <c r="B5496" s="21" t="s">
        <v>1015</v>
      </c>
      <c r="C5496" s="21" t="s">
        <v>1016</v>
      </c>
      <c r="D5496" s="21" t="s">
        <v>996</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828</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1124</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1034</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2217</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2218</v>
      </c>
      <c r="B5501" s="21" t="s">
        <v>1050</v>
      </c>
      <c r="C5501" s="21" t="s">
        <v>995</v>
      </c>
      <c r="D5501" s="21" t="s">
        <v>996</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1078</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1007</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1009</v>
      </c>
      <c r="B5504" s="21" t="s">
        <v>1026</v>
      </c>
      <c r="C5504" s="21" t="s">
        <v>1002</v>
      </c>
      <c r="D5504" s="21" t="s">
        <v>996</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1032</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2237</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241</v>
      </c>
      <c r="B5507" s="21" t="s">
        <v>994</v>
      </c>
      <c r="C5507" s="21" t="s">
        <v>1052</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1125</v>
      </c>
      <c r="B5508" s="21" t="s">
        <v>1053</v>
      </c>
      <c r="C5508" s="21" t="s">
        <v>1016</v>
      </c>
      <c r="D5508" s="21" t="s">
        <v>996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301</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1011</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row>
    <row r="5512" spans="1:12">
      <c r="A5512" s="20" t="s">
        <v>2238</v>
      </c>
    </row>
    <row r="5513" spans="1:12">
      <c r="A5513" s="20" t="s">
        <v>1223</v>
      </c>
      <c r="B5513" s="21" t="s">
        <v>1015</v>
      </c>
      <c r="C5513" s="21" t="s">
        <v>1016</v>
      </c>
      <c r="D5513" s="21" t="s">
        <v>996</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301</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1018</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2239</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1242</v>
      </c>
      <c r="B5517" s="21" t="s">
        <v>1026</v>
      </c>
      <c r="C5517" s="21" t="s">
        <v>1045</v>
      </c>
      <c r="D5517" s="21" t="s">
        <v>996</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2240</v>
      </c>
      <c r="B5518" s="21" t="s">
        <v>1022</v>
      </c>
      <c r="C5518" s="21" t="s">
        <v>1047</v>
      </c>
      <c r="D5518" s="21" t="s">
        <v>996</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1496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1175</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1033</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2241</v>
      </c>
      <c r="B5522" s="21" t="s">
        <v>1010</v>
      </c>
      <c r="C5522" s="21" t="s">
        <v>1005</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1293</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1033</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1007</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2242</v>
      </c>
      <c r="B5526" s="21" t="s">
        <v>1010</v>
      </c>
      <c r="C5526" s="21" t="s">
        <v>1002</v>
      </c>
      <c r="D5526" s="21" t="s">
        <v>996</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1003</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1007</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1009</v>
      </c>
      <c r="B5529" s="21" t="s">
        <v>1026</v>
      </c>
      <c r="C5529" s="21" t="s">
        <v>1002</v>
      </c>
      <c r="D5529" s="21" t="s">
        <v>996</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1006</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1112</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1121</v>
      </c>
      <c r="B5532" s="21" t="s">
        <v>1104</v>
      </c>
      <c r="C5532" s="21" t="s">
        <v>1016</v>
      </c>
      <c r="D5532" s="21" t="s">
        <v>996</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1156</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214</v>
      </c>
      <c r="B5534" s="21" t="s">
        <v>1026</v>
      </c>
      <c r="C5534" s="21" t="s">
        <v>1102</v>
      </c>
      <c r="D5534" s="21" t="s">
        <v>996</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1124</v>
      </c>
      <c r="B5535" s="21" t="s">
        <v>1299</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1014</v>
      </c>
      <c r="B5536" s="21" t="s">
        <v>1297</v>
      </c>
      <c r="C5536" s="21" t="s">
        <v>1016</v>
      </c>
      <c r="D5536" s="21" t="s">
        <v>996</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2243</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1006</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1014</v>
      </c>
      <c r="B5539" s="21" t="s">
        <v>1050</v>
      </c>
      <c r="C5539" s="21" t="s">
        <v>1016</v>
      </c>
      <c r="D5539" s="21" t="s">
        <v>996</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2244</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1065</v>
      </c>
      <c r="B5541" s="21" t="s">
        <v>1022</v>
      </c>
      <c r="C5541" s="21" t="s">
        <v>1066</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1033</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1007</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1333</v>
      </c>
      <c r="B5544" s="21" t="s">
        <v>1010</v>
      </c>
      <c r="C5544" s="21" t="s">
        <v>1002</v>
      </c>
      <c r="D5544" s="21" t="s">
        <v>996</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1006</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1496</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1175</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1144</v>
      </c>
      <c r="B5548" s="21" t="s">
        <v>994</v>
      </c>
      <c r="C5548" s="21" t="s">
        <v>1342</v>
      </c>
      <c r="D5548" s="21" t="s">
        <v>996</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1033</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2245</v>
      </c>
      <c r="B5550" s="21" t="s">
        <v>1010</v>
      </c>
      <c r="C5550" s="21" t="s">
        <v>995</v>
      </c>
      <c r="D5550" s="21" t="s">
        <v>996</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1293</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1475</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1007</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1139</v>
      </c>
      <c r="B5554" s="21" t="s">
        <v>994</v>
      </c>
      <c r="C5554" s="21" t="s">
        <v>1002</v>
      </c>
      <c r="D5554" s="21" t="s">
        <v>996</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1006</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1018</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2246</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1112</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2247</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1033</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1011</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row>
    <row r="5563" spans="1:12">
      <c r="A5563" s="20" t="s">
        <v>2248</v>
      </c>
    </row>
    <row r="5564" spans="1:12">
      <c r="A5564" s="20" t="s">
        <v>1074</v>
      </c>
      <c r="B5564" s="21" t="s">
        <v>994</v>
      </c>
      <c r="C5564" s="21" t="s">
        <v>1005</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998</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2016</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1058</v>
      </c>
      <c r="B5567" s="21" t="s">
        <v>1050</v>
      </c>
      <c r="C5567" s="21" t="s">
        <v>1016</v>
      </c>
      <c r="D5567" s="21" t="s">
        <v>996</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118</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1034</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1123</v>
      </c>
      <c r="B5570" s="21" t="s">
        <v>1022</v>
      </c>
      <c r="C5570" s="21" t="s">
        <v>1037</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1078</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29</v>
      </c>
      <c r="B5572" s="21" t="s">
        <v>1026</v>
      </c>
      <c r="C5572" s="21" t="s">
        <v>995</v>
      </c>
      <c r="D5572" s="21" t="s">
        <v>996</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1061</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row>
    <row r="5575" spans="1:12">
      <c r="A5575" s="20" t="s">
        <v>2249</v>
      </c>
    </row>
    <row r="5576" spans="1:12">
      <c r="A5576" s="20" t="s">
        <v>2250</v>
      </c>
      <c r="B5576" s="21" t="s">
        <v>994</v>
      </c>
      <c r="C5576" s="21" t="s">
        <v>1005</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998</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1733</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1006</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1956</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1076</v>
      </c>
      <c r="B5581" s="21" t="s">
        <v>994</v>
      </c>
      <c r="C5581" s="21" t="s">
        <v>1077</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1006</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1034</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2251</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1123</v>
      </c>
      <c r="B5585" s="21" t="s">
        <v>1010</v>
      </c>
      <c r="C5585" s="21" t="s">
        <v>1037</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1182</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1074</v>
      </c>
      <c r="B5587" s="21" t="s">
        <v>1026</v>
      </c>
      <c r="C5587" s="21" t="s">
        <v>1005</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998</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29</v>
      </c>
      <c r="B5589" s="21" t="s">
        <v>1206</v>
      </c>
      <c r="C5589" s="21" t="s">
        <v>995</v>
      </c>
      <c r="D5589" s="21" t="s">
        <v>996</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1006</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719</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1058</v>
      </c>
      <c r="B5592" s="21" t="s">
        <v>1297</v>
      </c>
      <c r="C5592" s="21" t="s">
        <v>1016</v>
      </c>
      <c r="D5592" s="21" t="s">
        <v>996</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2151</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681</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1286</v>
      </c>
      <c r="B5595" s="21" t="s">
        <v>1299</v>
      </c>
      <c r="C5595" s="21" t="s">
        <v>1016</v>
      </c>
      <c r="D5595" s="21" t="s">
        <v>996</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1061</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row>
    <row r="5598" spans="1:12">
      <c r="A5598" s="20" t="s">
        <v>2252</v>
      </c>
    </row>
    <row r="5599" spans="1:12">
      <c r="A5599" s="20" t="s">
        <v>1100</v>
      </c>
      <c r="B5599" s="21" t="s">
        <v>994</v>
      </c>
      <c r="C5599" s="21" t="s">
        <v>1005</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998</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2253</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1006</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1014</v>
      </c>
      <c r="B5603" s="21" t="s">
        <v>1050</v>
      </c>
      <c r="C5603" s="21" t="s">
        <v>1016</v>
      </c>
      <c r="D5603" s="21" t="s">
        <v>996</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719</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681</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1058</v>
      </c>
      <c r="B5606" s="21" t="s">
        <v>1022</v>
      </c>
      <c r="C5606" s="21" t="s">
        <v>1016</v>
      </c>
      <c r="D5606" s="21" t="s">
        <v>996</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1011</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row>
    <row r="5609" spans="1:12">
      <c r="A5609" s="20" t="s">
        <v>2254</v>
      </c>
    </row>
    <row r="5610" spans="1:12">
      <c r="A5610" s="20" t="s">
        <v>1074</v>
      </c>
      <c r="B5610" s="21" t="s">
        <v>994</v>
      </c>
      <c r="C5610" s="21" t="s">
        <v>1005</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998</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2255</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1006</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1049</v>
      </c>
      <c r="B5614" s="21" t="s">
        <v>1050</v>
      </c>
      <c r="C5614" s="21" t="s">
        <v>1016</v>
      </c>
      <c r="D5614" s="21" t="s">
        <v>996</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1156</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1310</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1011</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row>
    <row r="5619" spans="1:12">
      <c r="A5619" s="20" t="s">
        <v>2256</v>
      </c>
    </row>
    <row r="5620" spans="1:12">
      <c r="A5620" s="20" t="s">
        <v>2250</v>
      </c>
      <c r="B5620" s="21" t="s">
        <v>994</v>
      </c>
      <c r="C5620" s="21" t="s">
        <v>1005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998</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1000</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2257</v>
      </c>
      <c r="B5623" s="21" t="s">
        <v>1050</v>
      </c>
      <c r="C5623" s="21" t="s">
        <v>1002</v>
      </c>
      <c r="D5623" s="21" t="s">
        <v>996</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1141</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1634</v>
      </c>
      <c r="B5625" s="21" t="s">
        <v>1107</v>
      </c>
      <c r="C5625" s="21" t="s">
        <v>1045</v>
      </c>
      <c r="D5625" s="21" t="s">
        <v>996</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1491</v>
      </c>
      <c r="B5626" s="21" t="s">
        <v>1026</v>
      </c>
      <c r="C5626" s="21" t="s">
        <v>1047</v>
      </c>
      <c r="D5626" s="21" t="s">
        <v>996</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1607</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1034</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1350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2258</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1098</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1078</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1034</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2259</v>
      </c>
      <c r="B5634" s="21" t="s">
        <v>1010</v>
      </c>
      <c r="C5634" s="21" t="s">
        <v>1037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1011</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row>
    <row r="5637" spans="1:12">
      <c r="A5637" s="20" t="s">
        <v>2260</v>
      </c>
    </row>
    <row r="5638" spans="1:12">
      <c r="A5638" s="20" t="s">
        <v>1100</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998</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1390</v>
      </c>
      <c r="B5640" s="21" t="s">
        <v>1015</v>
      </c>
      <c r="C5640" s="21" t="s">
        <v>1016</v>
      </c>
      <c r="D5640" s="21" t="s">
        <v>996</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1156</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1034</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1350</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1351</v>
      </c>
      <c r="B5644" s="21" t="s">
        <v>994</v>
      </c>
      <c r="C5644" s="21" t="s">
        <v>1037</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1003</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1172</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1190</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2261</v>
      </c>
      <c r="B5648" s="21" t="s">
        <v>994</v>
      </c>
      <c r="C5648" s="21" t="s">
        <v>1037</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1011</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row>
    <row r="5651" spans="1:12">
      <c r="A5651" s="20" t="s">
        <v>2262</v>
      </c>
    </row>
    <row r="5652" spans="1:12">
      <c r="A5652" s="20" t="s">
        <v>2250</v>
      </c>
      <c r="B5652" s="21" t="s">
        <v>994</v>
      </c>
      <c r="C5652" s="21" t="s">
        <v>1005</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998</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1013</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1006</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1043</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1007</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109</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1213</v>
      </c>
      <c r="B5659" s="21" t="s">
        <v>1010</v>
      </c>
      <c r="C5659" s="21" t="s">
        <v>1649</v>
      </c>
      <c r="D5659" s="21" t="s">
        <v>996</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1006</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2263</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1310</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1112</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2092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1006</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241</v>
      </c>
      <c r="B5666" s="21" t="s">
        <v>1051</v>
      </c>
      <c r="C5666" s="21" t="s">
        <v>1052</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1017</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1058</v>
      </c>
      <c r="B5668" s="21" t="s">
        <v>1053</v>
      </c>
      <c r="C5668" s="21" t="s">
        <v>1016</v>
      </c>
      <c r="D5668" s="21" t="s">
        <v>996</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141</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1017</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134</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1007</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1348</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1124</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1125</v>
      </c>
      <c r="B5675" s="21" t="s">
        <v>1297</v>
      </c>
      <c r="C5675" s="21" t="s">
        <v>1016</v>
      </c>
      <c r="D5675" s="21" t="s">
        <v>996</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1263</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2264</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1043</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1133</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1007</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2265</v>
      </c>
      <c r="B5681" s="21" t="s">
        <v>1206</v>
      </c>
      <c r="C5681" s="21" t="s">
        <v>1002</v>
      </c>
      <c r="D5681" s="21" t="s">
        <v>996</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1124</v>
      </c>
      <c r="B5682" s="21" t="s">
        <v>1462</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1125</v>
      </c>
      <c r="B5683" s="21" t="s">
        <v>1336</v>
      </c>
      <c r="C5683" s="21" t="s">
        <v>1016</v>
      </c>
      <c r="D5683" s="21" t="s">
        <v>996</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118</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1120</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1007</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1553</v>
      </c>
      <c r="B5687" s="21" t="s">
        <v>1304</v>
      </c>
      <c r="C5687" s="21" t="s">
        <v>1002</v>
      </c>
      <c r="D5687" s="21" t="s">
        <v>996</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1125</v>
      </c>
      <c r="B5688" s="21" t="s">
        <v>2266</v>
      </c>
      <c r="C5688" s="21" t="s">
        <v>1016</v>
      </c>
      <c r="D5688" s="21" t="s">
        <v>996</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699</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1061</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row>
    <row r="5692" spans="1:12">
      <c r="A5692" s="20" t="s">
        <v>2267</v>
      </c>
    </row>
    <row r="5693" spans="1:12">
      <c r="A5693" s="20" t="s">
        <v>1100</v>
      </c>
      <c r="B5693" s="21" t="s">
        <v>994</v>
      </c>
      <c r="C5693" s="21" t="s">
        <v>1005</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998</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1249</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1125</v>
      </c>
      <c r="B5696" s="21" t="s">
        <v>1053</v>
      </c>
      <c r="C5696" s="21" t="s">
        <v>1016</v>
      </c>
      <c r="D5696" s="21" t="s">
        <v>996</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141</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1120</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1033</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2268</v>
      </c>
      <c r="B5700" s="21" t="s">
        <v>1026</v>
      </c>
      <c r="C5700" s="21" t="s">
        <v>1005</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1003</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1115</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1230</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1125</v>
      </c>
      <c r="B5704" s="21" t="s">
        <v>1219</v>
      </c>
      <c r="C5704" s="21" t="s">
        <v>1016</v>
      </c>
      <c r="D5704" s="21" t="s">
        <v>996</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719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658</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1006</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1014</v>
      </c>
      <c r="B5708" s="21" t="s">
        <v>1050</v>
      </c>
      <c r="C5708" s="21" t="s">
        <v>1016</v>
      </c>
      <c r="D5708" s="21" t="s">
        <v>996</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141</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1124</v>
      </c>
      <c r="B5710" s="21" t="s">
        <v>1053</v>
      </c>
      <c r="C5710" s="21" t="s">
        <v>1069</v>
      </c>
      <c r="D5710" s="21" t="s">
        <v>996</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1156</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1034</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1123</v>
      </c>
      <c r="B5713" s="21" t="s">
        <v>1010</v>
      </c>
      <c r="C5713" s="21" t="s">
        <v>1037</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1124</v>
      </c>
      <c r="B5714" s="21" t="s">
        <v>1104</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1156</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1130</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1410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2269</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1308</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241</v>
      </c>
      <c r="B5720" s="21" t="s">
        <v>1107</v>
      </c>
      <c r="C5720" s="21" t="s">
        <v>1052</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1125</v>
      </c>
      <c r="B5721" s="21" t="s">
        <v>1219</v>
      </c>
      <c r="C5721" s="21" t="s">
        <v>1016</v>
      </c>
      <c r="D5721" s="21" t="s">
        <v>996</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1363</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2095</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1018</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603</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2270</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1121</v>
      </c>
      <c r="B5727" s="21" t="s">
        <v>1304</v>
      </c>
      <c r="C5727" s="21" t="s">
        <v>1016</v>
      </c>
      <c r="D5727" s="21" t="s">
        <v>996</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1011</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row>
    <row r="5730" spans="1:12">
      <c r="A5730" s="20" t="s">
        <v>2271</v>
      </c>
    </row>
    <row r="5731" spans="1:12">
      <c r="A5731" s="20" t="s">
        <v>1014</v>
      </c>
      <c r="B5731" s="21" t="s">
        <v>1015</v>
      </c>
      <c r="C5731" s="21" t="s">
        <v>1016</v>
      </c>
      <c r="D5731" s="21" t="s">
        <v>996</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141</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1007</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1009</v>
      </c>
      <c r="B5734" s="21" t="s">
        <v>1050</v>
      </c>
      <c r="C5734" s="21" t="s">
        <v>1002</v>
      </c>
      <c r="D5734" s="21" t="s">
        <v>996</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1124</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1125</v>
      </c>
      <c r="B5736" s="21" t="s">
        <v>1104</v>
      </c>
      <c r="C5736" s="21" t="s">
        <v>1016</v>
      </c>
      <c r="D5736" s="21" t="s">
        <v>996</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1081</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2185</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1033</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1007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2272</v>
      </c>
      <c r="B5741" s="21" t="s">
        <v>1107</v>
      </c>
      <c r="C5741" s="21" t="s">
        <v>1002</v>
      </c>
      <c r="D5741" s="21" t="s">
        <v>996</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1108</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1082</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2237</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241</v>
      </c>
      <c r="B5745" s="21" t="s">
        <v>994</v>
      </c>
      <c r="C5745" s="21" t="s">
        <v>1052</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1125</v>
      </c>
      <c r="B5746" s="21" t="s">
        <v>1053</v>
      </c>
      <c r="C5746" s="21" t="s">
        <v>1016</v>
      </c>
      <c r="D5746" s="21" t="s">
        <v>996</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1059</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1496</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1175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1034</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1833</v>
      </c>
      <c r="B5751" s="21" t="s">
        <v>1010</v>
      </c>
      <c r="C5751" s="21" t="s">
        <v>1037</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1293</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1059</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1034</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1152</v>
      </c>
      <c r="B5755" s="21" t="s">
        <v>1053</v>
      </c>
      <c r="C5755" s="21" t="s">
        <v>1037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1475</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1007</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1139</v>
      </c>
      <c r="B5758" s="21" t="s">
        <v>1107</v>
      </c>
      <c r="C5758" s="21" t="s">
        <v>1002</v>
      </c>
      <c r="D5758" s="21" t="s">
        <v>996</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301</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1006</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1112</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1308</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1524</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1006</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1308</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2273</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1496</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1175</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1007</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2274</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2275</v>
      </c>
      <c r="B5771" s="21" t="s">
        <v>1221</v>
      </c>
      <c r="C5771" s="21" t="s">
        <v>1002</v>
      </c>
      <c r="D5771" s="21" t="s">
        <v>996</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1003</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1852</v>
      </c>
      <c r="B5773" s="21" t="s">
        <v>1304</v>
      </c>
      <c r="C5773" s="21" t="s">
        <v>1005</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1006</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1293</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1059</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1058</v>
      </c>
      <c r="B5777" s="21" t="s">
        <v>1297</v>
      </c>
      <c r="C5777" s="21" t="s">
        <v>1016</v>
      </c>
      <c r="D5777" s="21" t="s">
        <v>996</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1361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1006</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1007</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1511</v>
      </c>
      <c r="B5781" s="21" t="s">
        <v>1104</v>
      </c>
      <c r="C5781" s="21" t="s">
        <v>1002</v>
      </c>
      <c r="D5781" s="21" t="s">
        <v>996</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1006</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1007</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1152</v>
      </c>
      <c r="B5784" s="21" t="s">
        <v>1104</v>
      </c>
      <c r="C5784" s="21" t="s">
        <v>1002</v>
      </c>
      <c r="D5784" s="21" t="s">
        <v>996</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1475</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1007</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1139</v>
      </c>
      <c r="B5787" s="21" t="s">
        <v>1206</v>
      </c>
      <c r="C5787" s="21" t="s">
        <v>1002</v>
      </c>
      <c r="D5787" s="21" t="s">
        <v>996</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1103</v>
      </c>
      <c r="B5788" s="21" t="s">
        <v>1219</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2276</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1391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1007</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1009</v>
      </c>
      <c r="B5792" s="21" t="s">
        <v>1302</v>
      </c>
      <c r="C5792" s="21" t="s">
        <v>1002</v>
      </c>
      <c r="D5792" s="21" t="s">
        <v>996</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1006</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1391</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2277</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2278</v>
      </c>
      <c r="B5796" s="21" t="s">
        <v>1302</v>
      </c>
      <c r="C5796" s="21" t="s">
        <v>1005</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1006</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1103</v>
      </c>
      <c r="B5798" s="21" t="s">
        <v>1625</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1175</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2279</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1007</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2280</v>
      </c>
      <c r="B5802" s="21" t="s">
        <v>1926</v>
      </c>
      <c r="C5802" s="21" t="s">
        <v>1002</v>
      </c>
      <c r="D5802" s="21" t="s">
        <v>996</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1006</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1103</v>
      </c>
      <c r="B5804" s="21" t="s">
        <v>1465</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2281</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1141</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1121</v>
      </c>
      <c r="B5807" s="21" t="s">
        <v>1927</v>
      </c>
      <c r="C5807" s="21" t="s">
        <v>1016</v>
      </c>
      <c r="D5807" s="21" t="s">
        <v>996</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1555</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2282</v>
      </c>
      <c r="B5809" s="21" t="s">
        <v>1463</v>
      </c>
      <c r="C5809" s="21" t="s">
        <v>1095</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1059</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1034</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1598</v>
      </c>
      <c r="B5812" s="21" t="s">
        <v>1466</v>
      </c>
      <c r="C5812" s="21" t="s">
        <v>1047</v>
      </c>
      <c r="D5812" s="21" t="s">
        <v>996</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1003</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1195</v>
      </c>
      <c r="B5814" s="21" t="s">
        <v>2283</v>
      </c>
      <c r="C5814" s="21" t="s">
        <v>1045</v>
      </c>
      <c r="D5814" s="21" t="s">
        <v>996</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2284</v>
      </c>
      <c r="B5815" s="21" t="s">
        <v>2154</v>
      </c>
      <c r="C5815" s="21" t="s">
        <v>1047</v>
      </c>
      <c r="D5815" s="21" t="s">
        <v>996</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1006</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1018</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2285</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1124</v>
      </c>
      <c r="B5819" s="21" t="s">
        <v>1116</v>
      </c>
      <c r="C5819" s="21" t="s">
        <v>1069</v>
      </c>
      <c r="D5819" s="21" t="s">
        <v>996</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1011</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row>
    <row r="5822" spans="1:12">
      <c r="A5822" s="20" t="s">
        <v>2286</v>
      </c>
    </row>
    <row r="5823" spans="1:12">
      <c r="A5823" s="20" t="s">
        <v>1223</v>
      </c>
      <c r="B5823" s="21" t="s">
        <v>1015</v>
      </c>
      <c r="C5823" s="21" t="s">
        <v>1016</v>
      </c>
      <c r="D5823" s="21" t="s">
        <v>996</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1594</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864</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1496</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1175</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1007</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1009</v>
      </c>
      <c r="B5829" s="21" t="s">
        <v>1057</v>
      </c>
      <c r="C5829" s="21" t="s">
        <v>1002</v>
      </c>
      <c r="D5829" s="21" t="s">
        <v>996</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1125</v>
      </c>
      <c r="B5830" s="21" t="s">
        <v>1053</v>
      </c>
      <c r="C5830" s="21" t="s">
        <v>1016</v>
      </c>
      <c r="D5830" s="21" t="s">
        <v>996</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1081</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1165</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1006</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1293</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1034</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2287</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1009</v>
      </c>
      <c r="B5837" s="21" t="s">
        <v>994</v>
      </c>
      <c r="C5837" s="21" t="s">
        <v>1037</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1006</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1034</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2287</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1547</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1006</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214</v>
      </c>
      <c r="B5843" s="21" t="s">
        <v>1010</v>
      </c>
      <c r="C5843" s="21" t="s">
        <v>1102</v>
      </c>
      <c r="D5843" s="21" t="s">
        <v>996</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1124</v>
      </c>
      <c r="B5844" s="21" t="s">
        <v>1116</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1125</v>
      </c>
      <c r="B5845" s="21" t="s">
        <v>1104</v>
      </c>
      <c r="C5845" s="21" t="s">
        <v>1016</v>
      </c>
      <c r="D5845" s="21" t="s">
        <v>996</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719</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98</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1018</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571</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1034</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1008</v>
      </c>
      <c r="B5851" s="21" t="s">
        <v>1299</v>
      </c>
      <c r="C5851" s="21" t="s">
        <v>1037</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1124</v>
      </c>
      <c r="B5852" s="21" t="s">
        <v>1336</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1594</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134</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2287</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1496</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1175</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1312</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241</v>
      </c>
      <c r="B5859" s="21" t="s">
        <v>1304</v>
      </c>
      <c r="C5859" s="21" t="s">
        <v>1052</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1125</v>
      </c>
      <c r="B5860" s="21" t="s">
        <v>2266</v>
      </c>
      <c r="C5860" s="21" t="s">
        <v>1016</v>
      </c>
      <c r="D5860" s="21" t="s">
        <v>996</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2288</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1078</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1293</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2289</v>
      </c>
      <c r="B5864" s="21" t="s">
        <v>1927</v>
      </c>
      <c r="C5864" s="21" t="s">
        <v>1102</v>
      </c>
      <c r="D5864" s="21" t="s">
        <v>996</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1124</v>
      </c>
      <c r="B5865" s="21" t="s">
        <v>2290</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1125</v>
      </c>
      <c r="B5866" s="21" t="s">
        <v>2153</v>
      </c>
      <c r="C5866" s="21" t="s">
        <v>1016</v>
      </c>
      <c r="D5866" s="21" t="s">
        <v>996</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1263</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118</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2291</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1011</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row>
    <row r="5872" spans="1:12">
      <c r="A5872" s="20" t="s">
        <v>1177</v>
      </c>
    </row>
    <row r="5873" spans="1:12">
      <c r="A5873" s="20" t="s">
        <v>1074</v>
      </c>
      <c r="B5873" s="21" t="s">
        <v>994</v>
      </c>
      <c r="C5873" s="21" t="s">
        <v>1005</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998</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row>
    <row r="5876" spans="1:12">
      <c r="A5876" s="20" t="s">
        <v>2292</v>
      </c>
    </row>
    <row r="5877" spans="1:12">
      <c r="A5877" s="20" t="s">
        <v>1390</v>
      </c>
      <c r="B5877" s="21" t="s">
        <v>1015</v>
      </c>
      <c r="C5877" s="21" t="s">
        <v>1016</v>
      </c>
      <c r="D5877" s="21" t="s">
        <v>996</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1156</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128</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1213</v>
      </c>
      <c r="B5880" s="21" t="s">
        <v>994</v>
      </c>
      <c r="C5880" s="21" t="s">
        <v>1077</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1184</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1124</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1019</v>
      </c>
      <c r="B5883" s="21" t="s">
        <v>1050</v>
      </c>
      <c r="C5883" s="21" t="s">
        <v>995</v>
      </c>
      <c r="D5883" s="21" t="s">
        <v>996</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1211</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2293</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1006</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1561</v>
      </c>
      <c r="B5887" s="21" t="s">
        <v>1010</v>
      </c>
      <c r="C5887" s="21" t="s">
        <v>995</v>
      </c>
      <c r="D5887" s="21" t="s">
        <v>996</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1011</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row>
    <row r="5890" spans="1:12">
      <c r="A5890" s="20" t="s">
        <v>2294</v>
      </c>
    </row>
    <row r="5891" spans="1:12">
      <c r="A5891" s="20" t="s">
        <v>2295</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1218</v>
      </c>
      <c r="B5892" s="21" t="s">
        <v>1015</v>
      </c>
      <c r="C5892" s="21" t="s">
        <v>1037</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1003</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1007</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2296</v>
      </c>
      <c r="B5895" s="21" t="s">
        <v>1010</v>
      </c>
      <c r="C5895" s="21" t="s">
        <v>1002</v>
      </c>
      <c r="D5895" s="21" t="s">
        <v>996</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2297</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1715</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1108</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1082</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1276</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1007</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1498</v>
      </c>
      <c r="B5902" s="21" t="s">
        <v>994</v>
      </c>
      <c r="C5902" s="21" t="s">
        <v>1002</v>
      </c>
      <c r="D5902" s="21" t="s">
        <v>996</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1124</v>
      </c>
      <c r="B5903" s="21" t="s">
        <v>1022</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1507</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2298</v>
      </c>
      <c r="B5905" s="21" t="s">
        <v>1050</v>
      </c>
      <c r="C5905" s="21" t="s">
        <v>995</v>
      </c>
      <c r="D5905" s="21" t="s">
        <v>996</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2299</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1607</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1121</v>
      </c>
      <c r="B5908" s="21" t="s">
        <v>1022</v>
      </c>
      <c r="C5908" s="21" t="s">
        <v>1016</v>
      </c>
      <c r="D5908" s="21" t="s">
        <v>996</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1729</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1011</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row>
    <row r="5912" spans="1:12">
      <c r="A5912" s="20" t="s">
        <v>2300</v>
      </c>
    </row>
    <row r="5913" spans="1:12">
      <c r="A5913" s="20" t="s">
        <v>1390</v>
      </c>
      <c r="B5913" s="21" t="s">
        <v>1015</v>
      </c>
      <c r="C5913" s="21" t="s">
        <v>1016</v>
      </c>
      <c r="D5913" s="21" t="s">
        <v>996</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1156</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1496</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2301</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2302</v>
      </c>
      <c r="B5917" s="21" t="s">
        <v>994</v>
      </c>
      <c r="C5917" s="21" t="s">
        <v>1005</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2303</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1286</v>
      </c>
      <c r="B5919" s="21" t="s">
        <v>1022</v>
      </c>
      <c r="C5919" s="21" t="s">
        <v>1016</v>
      </c>
      <c r="D5919" s="21" t="s">
        <v>996</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1011</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row>
    <row r="5922" spans="1:12">
      <c r="A5922" s="20" t="s">
        <v>2304</v>
      </c>
    </row>
    <row r="5923" spans="1:12">
      <c r="A5923" s="20" t="s">
        <v>1223</v>
      </c>
      <c r="B5923" s="21" t="s">
        <v>1015</v>
      </c>
      <c r="C5923" s="21" t="s">
        <v>1016</v>
      </c>
      <c r="D5923" s="21" t="s">
        <v>996</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1006</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1391</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1007</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2305</v>
      </c>
      <c r="B5927" s="21" t="s">
        <v>1010</v>
      </c>
      <c r="C5927" s="21" t="s">
        <v>1002</v>
      </c>
      <c r="D5927" s="21" t="s">
        <v>996</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1003</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1007</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1553</v>
      </c>
      <c r="B5930" s="21" t="s">
        <v>1026</v>
      </c>
      <c r="C5930" s="21" t="s">
        <v>1002</v>
      </c>
      <c r="D5930" s="21" t="s">
        <v>996</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1006</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1112</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2306</v>
      </c>
      <c r="B5933" s="21" t="s">
        <v>1010</v>
      </c>
      <c r="C5933" s="21" t="s">
        <v>1005</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1006</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1145</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1547</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2303</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2301</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2302</v>
      </c>
      <c r="B5939" s="21" t="s">
        <v>1057</v>
      </c>
      <c r="C5939" s="21" t="s">
        <v>995</v>
      </c>
      <c r="D5939" s="21" t="s">
        <v>996</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1011</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row>
    <row r="5942" spans="1:12">
      <c r="A5942" s="20" t="s">
        <v>2307</v>
      </c>
    </row>
    <row r="5943" spans="1:12">
      <c r="A5943" s="20" t="s">
        <v>1740</v>
      </c>
      <c r="B5943" s="21" t="s">
        <v>1010</v>
      </c>
      <c r="C5943" s="21" t="s">
        <v>1045</v>
      </c>
      <c r="D5943" s="21" t="s">
        <v>996</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1025</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1148</v>
      </c>
      <c r="B5945" s="21" t="s">
        <v>1015</v>
      </c>
      <c r="C5945" s="21" t="s">
        <v>1047</v>
      </c>
      <c r="D5945" s="21" t="s">
        <v>996</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1003</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2308</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1034</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2309</v>
      </c>
      <c r="B5949" s="21" t="s">
        <v>1057</v>
      </c>
      <c r="C5949" s="21" t="s">
        <v>1037</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1391</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1007</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2310</v>
      </c>
      <c r="B5952" s="21" t="s">
        <v>994</v>
      </c>
      <c r="C5952" s="21" t="s">
        <v>1047</v>
      </c>
      <c r="D5952" s="21" t="s">
        <v>996</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1003</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1124</v>
      </c>
      <c r="B5954" s="21" t="s">
        <v>1010</v>
      </c>
      <c r="C5954" s="21" t="s">
        <v>1069</v>
      </c>
      <c r="D5954" s="21" t="s">
        <v>996</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1311</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2311</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727</v>
      </c>
      <c r="B5957" s="21" t="s">
        <v>1010</v>
      </c>
      <c r="C5957" s="21" t="s">
        <v>1005</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1006</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1293</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1058</v>
      </c>
      <c r="B5960" s="21" t="s">
        <v>1050</v>
      </c>
      <c r="C5960" s="21" t="s">
        <v>1016</v>
      </c>
      <c r="D5960" s="21" t="s">
        <v>996</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2151</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828</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1227</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1156</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1034</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806</v>
      </c>
      <c r="B5966" s="21" t="s">
        <v>1053</v>
      </c>
      <c r="C5966" s="21" t="s">
        <v>1037</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1003</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1812</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214</v>
      </c>
      <c r="B5969" s="21" t="s">
        <v>1299</v>
      </c>
      <c r="C5969" s="21" t="s">
        <v>1102</v>
      </c>
      <c r="D5969" s="21" t="s">
        <v>996</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1120</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1124</v>
      </c>
      <c r="B5971" s="21" t="s">
        <v>1302</v>
      </c>
      <c r="C5971" s="21" t="s">
        <v>1069</v>
      </c>
      <c r="D5971" s="21" t="s">
        <v>996</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1011</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row>
    <row r="5974" spans="1:12">
      <c r="A5974" s="20" t="s">
        <v>2312</v>
      </c>
    </row>
    <row r="5975" spans="1:12">
      <c r="A5975" s="20" t="s">
        <v>1155</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1058</v>
      </c>
      <c r="B5976" s="21" t="s">
        <v>1015</v>
      </c>
      <c r="C5976" s="21" t="s">
        <v>1016</v>
      </c>
      <c r="D5976" s="21" t="s">
        <v>996</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129</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1229</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1011</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row>
    <row r="5981" spans="1:12">
      <c r="A5981" s="20" t="s">
        <v>2313</v>
      </c>
    </row>
    <row r="5982" spans="1:12">
      <c r="A5982" s="20" t="s">
        <v>1100</v>
      </c>
      <c r="B5982" s="21" t="s">
        <v>994</v>
      </c>
      <c r="C5982" s="21" t="s">
        <v>1005</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998</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1449</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1006</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1048</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1227</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1032</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1172</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2314</v>
      </c>
      <c r="B5990" s="21" t="s">
        <v>1050</v>
      </c>
      <c r="C5990" s="21" t="s">
        <v>1037</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1018</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134</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1235</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1124</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1007</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2038</v>
      </c>
      <c r="B5996" s="21" t="s">
        <v>1297</v>
      </c>
      <c r="C5996" s="21" t="s">
        <v>1047</v>
      </c>
      <c r="D5996" s="21" t="s">
        <v>996</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1003</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2301</v>
      </c>
      <c r="B5998" s="21" t="s">
        <v>1302</v>
      </c>
      <c r="C5998" s="21" t="s">
        <v>995</v>
      </c>
      <c r="D5998" s="21" t="s">
        <v>996</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2302</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118</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2315</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2316</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1011</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row>
    <row r="6005" spans="1:12">
      <c r="A6005" s="20" t="s">
        <v>2317</v>
      </c>
    </row>
    <row r="6006" spans="1:12">
      <c r="A6006" s="20" t="s">
        <v>1232</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1211</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1034</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2318</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1269</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2319</v>
      </c>
      <c r="B6011" s="21" t="s">
        <v>1015</v>
      </c>
      <c r="C6011" s="21" t="s">
        <v>1037</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1132</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2320</v>
      </c>
      <c r="B6013" s="21" t="s">
        <v>1010</v>
      </c>
      <c r="C6013" s="21" t="s">
        <v>995</v>
      </c>
      <c r="D6013" s="21" t="s">
        <v>996</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1124</v>
      </c>
      <c r="B6014" s="21" t="s">
        <v>1053</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2321</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214</v>
      </c>
      <c r="B6016" s="21" t="s">
        <v>1051</v>
      </c>
      <c r="C6016" s="21" t="s">
        <v>1102</v>
      </c>
      <c r="D6016" s="21" t="s">
        <v>996</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1083</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1007</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2322</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11</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2323</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2324</v>
      </c>
      <c r="B6022" s="21" t="s">
        <v>1116</v>
      </c>
      <c r="C6022" s="21" t="s">
        <v>995</v>
      </c>
      <c r="D6022" s="21" t="s">
        <v>996</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1006</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1392</v>
      </c>
      <c r="B6024" s="21" t="s">
        <v>1219</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1032</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1124</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1242</v>
      </c>
      <c r="B6027" s="21" t="s">
        <v>1427</v>
      </c>
      <c r="C6027" s="21" t="s">
        <v>1045</v>
      </c>
      <c r="D6027" s="21" t="s">
        <v>996</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2325</v>
      </c>
      <c r="B6028" s="21" t="s">
        <v>1336</v>
      </c>
      <c r="C6028" s="21" t="s">
        <v>1047</v>
      </c>
      <c r="D6028" s="21" t="s">
        <v>996</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1003</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1595</v>
      </c>
      <c r="B6030" s="21" t="s">
        <v>1427</v>
      </c>
      <c r="C6030" s="21" t="s">
        <v>1005</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1032</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1686</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1119</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1007</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2326</v>
      </c>
      <c r="B6035" s="21" t="s">
        <v>1625</v>
      </c>
      <c r="C6035" s="21" t="s">
        <v>1002</v>
      </c>
      <c r="D6035" s="21" t="s">
        <v>996</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1003</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1149</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1376</v>
      </c>
      <c r="B6038" s="21" t="s">
        <v>1927</v>
      </c>
      <c r="C6038" s="21" t="s">
        <v>1005</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118</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2170</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2327</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1308</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1172</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2328</v>
      </c>
      <c r="B6044" s="21" t="s">
        <v>1927</v>
      </c>
      <c r="C6044" s="21" t="s">
        <v>1037</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1003</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2329</v>
      </c>
      <c r="B6046" s="21" t="s">
        <v>1463</v>
      </c>
      <c r="C6046" s="21" t="s">
        <v>1005</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1006</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1112</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1481</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1162</v>
      </c>
      <c r="B6050" s="21" t="s">
        <v>1927</v>
      </c>
      <c r="C6050" s="21" t="s">
        <v>1095</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1124</v>
      </c>
      <c r="B6051" s="21" t="s">
        <v>2153</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2330</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1006</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1125</v>
      </c>
      <c r="B6054" s="21" t="s">
        <v>2266</v>
      </c>
      <c r="C6054" s="21" t="s">
        <v>1016</v>
      </c>
      <c r="D6054" s="21" t="s">
        <v>996</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301</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1018</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2331</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1112</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2332</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1242</v>
      </c>
      <c r="B6060" s="21" t="s">
        <v>2154</v>
      </c>
      <c r="C6060" s="21" t="s">
        <v>1045</v>
      </c>
      <c r="D6060" s="21" t="s">
        <v>996</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1595</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1001</v>
      </c>
      <c r="B6062" s="21" t="s">
        <v>2290</v>
      </c>
      <c r="C6062" s="21" t="s">
        <v>1047</v>
      </c>
      <c r="D6062" s="21" t="s">
        <v>996</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1011</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row>
    <row r="6065" spans="1:12">
      <c r="A6065" s="20" t="s">
        <v>2333</v>
      </c>
    </row>
    <row r="6066" spans="1:12">
      <c r="A6066" s="20" t="s">
        <v>1208</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1006</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1124</v>
      </c>
      <c r="B6068" s="21" t="s">
        <v>1015</v>
      </c>
      <c r="C6068" s="21" t="s">
        <v>1069</v>
      </c>
      <c r="D6068" s="21" t="s">
        <v>996</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1108</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1122</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2075</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2297</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1007</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1149</v>
      </c>
      <c r="B6074" s="21" t="s">
        <v>1010</v>
      </c>
      <c r="C6074" s="21" t="s">
        <v>1002</v>
      </c>
      <c r="D6074" s="21" t="s">
        <v>996</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1156</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1376</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2038</v>
      </c>
      <c r="B6077" s="21" t="s">
        <v>994</v>
      </c>
      <c r="C6077" s="21" t="s">
        <v>1047</v>
      </c>
      <c r="D6077" s="21" t="s">
        <v>996</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118</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2315</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1308</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2334</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2335</v>
      </c>
      <c r="B6082" s="21" t="s">
        <v>1010</v>
      </c>
      <c r="C6082" s="21" t="s">
        <v>1005</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1003</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2329</v>
      </c>
      <c r="B6084" s="21" t="s">
        <v>1026</v>
      </c>
      <c r="C6084" s="21" t="s">
        <v>1005</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1006</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1112</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1124</v>
      </c>
      <c r="B6087" s="21" t="s">
        <v>1053</v>
      </c>
      <c r="C6087" s="21" t="s">
        <v>1069</v>
      </c>
      <c r="D6087" s="21" t="s">
        <v>996</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1156</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2336</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1125</v>
      </c>
      <c r="B6090" s="21" t="s">
        <v>1104</v>
      </c>
      <c r="C6090" s="21" t="s">
        <v>1016</v>
      </c>
      <c r="D6090" s="21" t="s">
        <v>996</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1363</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1033</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1007</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2261</v>
      </c>
      <c r="B6094" s="21" t="s">
        <v>1026</v>
      </c>
      <c r="C6094" s="21" t="s">
        <v>1002</v>
      </c>
      <c r="D6094" s="21" t="s">
        <v>996</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1124</v>
      </c>
      <c r="B6095" s="21" t="s">
        <v>1299</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1125</v>
      </c>
      <c r="B6096" s="21" t="s">
        <v>1297</v>
      </c>
      <c r="C6096" s="21" t="s">
        <v>1016</v>
      </c>
      <c r="D6096" s="21" t="s">
        <v>996</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1363</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1033</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1546</v>
      </c>
      <c r="B6099" s="21" t="s">
        <v>1107</v>
      </c>
      <c r="C6099" s="21" t="s">
        <v>1005</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1006</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1293</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1227</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1032</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2151</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2243</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1006</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1330</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1007</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2305</v>
      </c>
      <c r="B6109" s="21" t="s">
        <v>1297</v>
      </c>
      <c r="C6109" s="21" t="s">
        <v>1002</v>
      </c>
      <c r="D6109" s="21" t="s">
        <v>996</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1003</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2337</v>
      </c>
      <c r="B6111" s="21" t="s">
        <v>1302</v>
      </c>
      <c r="C6111" s="21" t="s">
        <v>1005</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118</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1228</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1082</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2315</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1308</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1437</v>
      </c>
      <c r="B6117" s="21" t="s">
        <v>1206</v>
      </c>
      <c r="C6117" s="21" t="s">
        <v>1005</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1011</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row>
    <row r="6120" spans="1:12">
      <c r="A6120" s="20" t="s">
        <v>2338</v>
      </c>
    </row>
    <row r="6121" spans="1:12">
      <c r="A6121" s="20" t="s">
        <v>1014</v>
      </c>
      <c r="B6121" s="21" t="s">
        <v>1015</v>
      </c>
      <c r="C6121" s="21" t="s">
        <v>1016</v>
      </c>
      <c r="D6121" s="21" t="s">
        <v>996</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1129</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2339</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2340</v>
      </c>
      <c r="B6124" s="21" t="s">
        <v>1057</v>
      </c>
      <c r="C6124" s="21" t="s">
        <v>1005</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1124</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1172</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2341</v>
      </c>
      <c r="B6127" s="21" t="s">
        <v>1053</v>
      </c>
      <c r="C6127" s="21" t="s">
        <v>1037</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719</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658</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1796</v>
      </c>
      <c r="B6130" s="21" t="s">
        <v>1051</v>
      </c>
      <c r="C6130" s="21" t="s">
        <v>1005</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1018</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1796</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1984</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1007</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1253</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2342</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2343</v>
      </c>
      <c r="B6137" s="21" t="s">
        <v>1107</v>
      </c>
      <c r="C6137" s="21" t="s">
        <v>1002</v>
      </c>
      <c r="D6137" s="21" t="s">
        <v>996</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t="s">
        <v>1112</v>
      </c>
      <c r="E6138" s="22">
        <f>IF(D6138="?OLD","!!!","")</f>
        <v/>
      </c>
      <c r="F6138" s="23" t="str">
        <f>IF(OR(E6138="",E6138="!!!"),"",IF(NOT(ISNA(VLOOKUP(E6138,E$1:E6137,1,FALSE()))),"OLD",IF(AND(E6138&lt;&gt;"",E6138&lt;&gt;"!!!"),"NEW","")))</f>
        <v> </v>
      </c>
      <c r="G6138" s="24" t="str">
        <f>IF(OR(E6138="",E6138="!!!"),"",IF(OR(J6138=0,AND(J6138=1,K6138=1),AND(J6138=1,I6138="SBJ"),AND(J6138=1,I6138=0)),"?IN_FOCUS",IF(J6138&lt;=2,"?ACTIVATED",IF(J6138&lt;&gt;"","?FAMILIAR",IF(F6138="NEW",IF(ISNA(VLOOKUP(E6138,#REF!,1,FALSE())),"?TYPE_IDENTIFIABLE","?REFERENTIAL"),"_")))))</f>
        <v> </v>
      </c>
      <c r="H6138" s="25" t="str">
        <f>IF(J6138&lt;&gt;1,"",IF(I6138="SBJ","CB","?"))</f>
        <v> </v>
      </c>
      <c r="I6138" s="26" t="str">
        <f>IF(OR(E6138="",E6138="!!!",F6138="NEW"),"",INDEX(B6137:B$2,-1+SUMPRODUCT(MAX(ROW(E6137:E$2)*(E6138=E6137:E$2)))))</f>
        <v> </v>
      </c>
      <c r="J6138" s="26" t="str">
        <f>IF(OR(E6138="",E6138="!!!",F6138="NEW"),"",COUNTBLANK(OFFSET(A$1,,,SUMPRODUCT(MAX(ROW(E$2:E6138)*(E6138=E$2:E6138)))))-COUNTBLANK(OFFSET(A$1,,,SUMPRODUCT(MAX(ROW(E$1:E6137)*(E2=E$1:E6137))))))</f>
        <v> </v>
      </c>
      <c r="K6138" s="26" t="str">
        <f>IF(OR(E6138="",E6138="!!!",F6138="NEW"),"",INDEX(J$1:J6137,SUMPRODUCT(MAX(ROW(E$1:E6137)*(E6138=E$1:E6137)))))</f>
        <v> </v>
      </c>
      <c r="L6138" s="27"/>
    </row>
    <row r="6139" spans="1:12">
      <c r="A6139" s="20" t="s">
        <v>1007</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1253</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2342</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1215</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2344</v>
      </c>
      <c r="B6143" s="21" t="s">
        <v>1206</v>
      </c>
      <c r="C6143" s="21" t="s">
        <v>1002</v>
      </c>
      <c r="D6143" s="21" t="s">
        <v>996</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1475</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1007</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1139</v>
      </c>
      <c r="B6146" s="21" t="s">
        <v>1302</v>
      </c>
      <c r="C6146" s="21" t="s">
        <v>1002</v>
      </c>
      <c r="D6146" s="21" t="s">
        <v>996</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1112</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2345</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1006</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1112</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1014</v>
      </c>
      <c r="B6151" s="21" t="s">
        <v>1050</v>
      </c>
      <c r="C6151" s="21" t="s">
        <v>1016</v>
      </c>
      <c r="D6151" s="21" t="s">
        <v>996</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141</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1124</v>
      </c>
      <c r="B6153" s="21" t="s">
        <v>1053</v>
      </c>
      <c r="C6153" s="21" t="s">
        <v>1069</v>
      </c>
      <c r="D6153" s="21" t="s">
        <v>996</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1156</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214</v>
      </c>
      <c r="B6155" s="21" t="s">
        <v>1010</v>
      </c>
      <c r="C6155" s="21" t="s">
        <v>1102</v>
      </c>
      <c r="D6155" s="21" t="s">
        <v>996</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1124</v>
      </c>
      <c r="B6156" s="21" t="s">
        <v>1116</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1125</v>
      </c>
      <c r="B6157" s="21" t="s">
        <v>1104</v>
      </c>
      <c r="C6157" s="21" t="s">
        <v>1016</v>
      </c>
      <c r="D6157" s="21" t="s">
        <v>996</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301</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1018</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1537</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2243</v>
      </c>
      <c r="B6161" s="21" t="s">
        <v>1299</v>
      </c>
      <c r="C6161" s="21" t="s">
        <v>1005</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1043</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1006</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1112</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t="s">
        <v>1125</v>
      </c>
      <c r="B6165" s="21" t="s">
        <v>1050</v>
      </c>
      <c r="C6165" s="21" t="s">
        <v>1016</v>
      </c>
      <c r="D6165" s="21" t="s">
        <v>996</v>
      </c>
      <c r="E6165" s="22">
        <f>IF(D6165="?OLD","!!!","")</f>
        <v/>
      </c>
      <c r="F6165" s="23" t="str">
        <f>IF(OR(E6165="",E6165="!!!"),"",IF(NOT(ISNA(VLOOKUP(E6165,E$1:E6164,1,FALSE()))),"OLD",IF(AND(E6165&lt;&gt;"",E6165&lt;&gt;"!!!"),"NEW","")))</f>
        <v> </v>
      </c>
      <c r="G6165" s="24" t="str">
        <f>IF(OR(E6165="",E6165="!!!"),"",IF(OR(J6165=0,AND(J6165=1,K6165=1),AND(J6165=1,I6165="SBJ"),AND(J6165=1,I6165=0)),"?IN_FOCUS",IF(J6165&lt;=2,"?ACTIVATED",IF(J6165&lt;&gt;"","?FAMILIAR",IF(F6165="NEW",IF(ISNA(VLOOKUP(E6165,#REF!,1,FALSE())),"?TYPE_IDENTIFIABLE","?REFERENTIAL"),"_")))))</f>
        <v> </v>
      </c>
      <c r="H6165" s="25" t="str">
        <f>IF(J6165&lt;&gt;1,"",IF(I6165="SBJ","CB","?"))</f>
        <v> </v>
      </c>
      <c r="I6165" s="26" t="str">
        <f>IF(OR(E6165="",E6165="!!!",F6165="NEW"),"",INDEX(B6164:B$2,-1+SUMPRODUCT(MAX(ROW(E6164:E$2)*(E6165=E6164:E$2)))))</f>
        <v> </v>
      </c>
      <c r="J6165" s="26" t="str">
        <f>IF(OR(E6165="",E6165="!!!",F6165="NEW"),"",COUNTBLANK(OFFSET(A$1,,,SUMPRODUCT(MAX(ROW(E$2:E6165)*(E6165=E$2:E6165)))))-COUNTBLANK(OFFSET(A$1,,,SUMPRODUCT(MAX(ROW(E$1:E6164)*(E2=E$1:E6164))))))</f>
        <v> </v>
      </c>
      <c r="K6165" s="26" t="str">
        <f>IF(OR(E6165="",E6165="!!!",F6165="NEW"),"",INDEX(J$1:J6164,SUMPRODUCT(MAX(ROW(E$1:E6164)*(E6165=E$1:E6164)))))</f>
        <v> </v>
      </c>
      <c r="L6165" s="27"/>
    </row>
    <row r="6166" spans="1:12">
      <c r="A6166" s="20" t="s">
        <v>301</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1018</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571</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1141</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1018</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495</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1121</v>
      </c>
      <c r="B6172" s="21" t="s">
        <v>1116</v>
      </c>
      <c r="C6172" s="21" t="s">
        <v>1016</v>
      </c>
      <c r="D6172" s="21" t="s">
        <v>996</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2346</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1496</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1175</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1018</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2274</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2347</v>
      </c>
      <c r="B6178" s="21" t="s">
        <v>1206</v>
      </c>
      <c r="C6178" s="21" t="s">
        <v>1005</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1293</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1018</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t="s">
        <v>2348</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1004</v>
      </c>
      <c r="B6182" s="21" t="s">
        <v>1206</v>
      </c>
      <c r="C6182" s="21" t="s">
        <v>1005</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1475</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1007</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1139</v>
      </c>
      <c r="B6185" s="21" t="s">
        <v>1302</v>
      </c>
      <c r="C6185" s="21" t="s">
        <v>1002</v>
      </c>
      <c r="D6185" s="21" t="s">
        <v>996</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1011</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row>
    <row r="6188" spans="1:12">
      <c r="A6188" s="20" t="s">
        <v>2349</v>
      </c>
    </row>
    <row r="6189" spans="1:12">
      <c r="A6189" s="20" t="s">
        <v>2350</v>
      </c>
      <c r="B6189" s="21" t="s">
        <v>1015</v>
      </c>
      <c r="C6189" s="21" t="s">
        <v>995</v>
      </c>
      <c r="D6189" s="21" t="s">
        <v>996</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1032</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1496</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1034</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2351</v>
      </c>
      <c r="B6193" s="21" t="s">
        <v>994</v>
      </c>
      <c r="C6193" s="21" t="s">
        <v>1037</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1006</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1650</v>
      </c>
      <c r="B6195" s="21" t="s">
        <v>1050</v>
      </c>
      <c r="C6195" s="21" t="s">
        <v>1005</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1032</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1496</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1034</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2351</v>
      </c>
      <c r="B6199" s="21" t="s">
        <v>994</v>
      </c>
      <c r="C6199" s="21" t="s">
        <v>1037</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1006</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1112</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1125</v>
      </c>
      <c r="B6202" s="21" t="s">
        <v>1050</v>
      </c>
      <c r="C6202" s="21" t="s">
        <v>1016</v>
      </c>
      <c r="D6202" s="21" t="s">
        <v>996</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1126</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1496</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134</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2352</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1033</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1242</v>
      </c>
      <c r="B6208" s="21" t="s">
        <v>1026</v>
      </c>
      <c r="C6208" s="21" t="s">
        <v>1045</v>
      </c>
      <c r="D6208" s="21" t="s">
        <v>996</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1555</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2282</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2353</v>
      </c>
      <c r="B6211" s="21" t="s">
        <v>1010</v>
      </c>
      <c r="C6211" s="21" t="s">
        <v>1047</v>
      </c>
      <c r="D6211" s="21" t="s">
        <v>996</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1011</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row>
    <row r="6214" spans="1:12">
      <c r="A6214" s="20" t="s">
        <v>2354</v>
      </c>
    </row>
    <row r="6215" spans="1:12">
      <c r="A6215" s="20" t="s">
        <v>1074</v>
      </c>
      <c r="B6215" s="21" t="s">
        <v>994</v>
      </c>
      <c r="C6215" s="21" t="s">
        <v>1005</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998</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1014</v>
      </c>
      <c r="B6217" s="21" t="s">
        <v>1050</v>
      </c>
      <c r="C6217" s="21" t="s">
        <v>1016</v>
      </c>
      <c r="D6217" s="21" t="s">
        <v>996</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1136</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1496</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2355</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t="s">
        <v>1657</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1115</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1058</v>
      </c>
      <c r="B6223" s="21" t="s">
        <v>1053</v>
      </c>
      <c r="C6223" s="21" t="s">
        <v>1016</v>
      </c>
      <c r="D6223" s="21" t="s">
        <v>996</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2356</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1007</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2140</v>
      </c>
      <c r="B6226" s="21" t="s">
        <v>1051</v>
      </c>
      <c r="C6226" s="21" t="s">
        <v>1002</v>
      </c>
      <c r="D6226" s="21" t="s">
        <v>996</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1003</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1034</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1042</v>
      </c>
      <c r="B6229" s="21" t="s">
        <v>1107</v>
      </c>
      <c r="C6229" s="21" t="s">
        <v>1037</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1006</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1293</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1014</v>
      </c>
      <c r="B6232" s="21" t="s">
        <v>1050</v>
      </c>
      <c r="C6232" s="21" t="s">
        <v>1016</v>
      </c>
      <c r="D6232" s="21" t="s">
        <v>996</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2357</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1121</v>
      </c>
      <c r="B6234" s="21" t="s">
        <v>1053</v>
      </c>
      <c r="C6234" s="21" t="s">
        <v>1016</v>
      </c>
      <c r="D6234" s="21" t="s">
        <v>996</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1156</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1006</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1041</v>
      </c>
      <c r="B6237" s="21" t="s">
        <v>1053</v>
      </c>
      <c r="C6237" s="21" t="s">
        <v>1069</v>
      </c>
      <c r="D6237" s="21" t="s">
        <v>996</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1032</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1007</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2140</v>
      </c>
      <c r="B6240" s="21" t="s">
        <v>1010</v>
      </c>
      <c r="C6240" s="21" t="s">
        <v>1002</v>
      </c>
      <c r="D6240" s="21" t="s">
        <v>996</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16</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1144</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1011</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row>
    <row r="6245" spans="1:12">
      <c r="A6245" s="20" t="s">
        <v>2358</v>
      </c>
    </row>
    <row r="6246" spans="1:12">
      <c r="A6246" s="20" t="s">
        <v>2250</v>
      </c>
      <c r="B6246" s="21" t="s">
        <v>994</v>
      </c>
      <c r="C6246" s="21" t="s">
        <v>1005</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998</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1370</v>
      </c>
      <c r="B6248" s="21" t="s">
        <v>1050</v>
      </c>
      <c r="C6248" s="21" t="s">
        <v>1069</v>
      </c>
      <c r="D6248" s="21" t="s">
        <v>996</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1594</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538</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1412</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2359</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1011</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row>
    <row r="6255" spans="1:12">
      <c r="A6255" s="20" t="s">
        <v>2360</v>
      </c>
    </row>
    <row r="6256" spans="1:12">
      <c r="A6256" s="20" t="s">
        <v>1100</v>
      </c>
      <c r="B6256" s="21" t="s">
        <v>994</v>
      </c>
      <c r="C6256" s="21" t="s">
        <v>1005</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998</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2361</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1018</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2362</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1058</v>
      </c>
      <c r="B6261" s="21" t="s">
        <v>1051</v>
      </c>
      <c r="C6261" s="21" t="s">
        <v>1016</v>
      </c>
      <c r="D6261" s="21" t="s">
        <v>996</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1006</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1112</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1014</v>
      </c>
      <c r="B6264" s="21" t="s">
        <v>1050</v>
      </c>
      <c r="C6264" s="21" t="s">
        <v>1016</v>
      </c>
      <c r="D6264" s="21" t="s">
        <v>996</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2243</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1113</v>
      </c>
      <c r="B6266" s="21" t="s">
        <v>1107</v>
      </c>
      <c r="C6266" s="21" t="s">
        <v>1045</v>
      </c>
      <c r="D6266" s="21" t="s">
        <v>996</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2363</v>
      </c>
      <c r="B6267" s="21" t="s">
        <v>1053</v>
      </c>
      <c r="C6267" s="21" t="s">
        <v>1047</v>
      </c>
      <c r="D6267" s="21" t="s">
        <v>996</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2364</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1059</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2365</v>
      </c>
      <c r="B6270" s="21" t="s">
        <v>1104</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1059</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1113</v>
      </c>
      <c r="B6272" s="21" t="s">
        <v>1302</v>
      </c>
      <c r="C6272" s="21" t="s">
        <v>1045</v>
      </c>
      <c r="D6272" s="21" t="s">
        <v>996</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727</v>
      </c>
      <c r="B6273" s="21" t="s">
        <v>1206</v>
      </c>
      <c r="C6273" s="21" t="s">
        <v>1047</v>
      </c>
      <c r="D6273" s="21" t="s">
        <v>996</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1003</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1058</v>
      </c>
      <c r="B6275" s="21" t="s">
        <v>1304</v>
      </c>
      <c r="C6275" s="21" t="s">
        <v>1045</v>
      </c>
      <c r="D6275" s="21" t="s">
        <v>996</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1738</v>
      </c>
      <c r="B6276" s="21" t="s">
        <v>1302</v>
      </c>
      <c r="C6276" s="21" t="s">
        <v>1047</v>
      </c>
      <c r="D6276" s="21" t="s">
        <v>996</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1131</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1011</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row>
    <row r="6280" spans="1:12">
      <c r="A6280" s="20" t="s">
        <v>2366</v>
      </c>
    </row>
    <row r="6281" spans="1:12">
      <c r="A6281" s="20" t="s">
        <v>1074</v>
      </c>
      <c r="B6281" s="21" t="s">
        <v>994</v>
      </c>
      <c r="C6281" s="21" t="s">
        <v>1005</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998</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1810</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1058</v>
      </c>
      <c r="B6284" s="21" t="s">
        <v>1022</v>
      </c>
      <c r="C6284" s="21" t="s">
        <v>1016</v>
      </c>
      <c r="D6284" s="21" t="s">
        <v>996</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1006</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row>
    <row r="6287" spans="1:12">
      <c r="A6287" s="20" t="s">
        <v>2367</v>
      </c>
    </row>
    <row r="6288" spans="1:12">
      <c r="A6288" s="20" t="s">
        <v>925</v>
      </c>
      <c r="B6288" s="21" t="s">
        <v>994</v>
      </c>
      <c r="C6288" s="21" t="s">
        <v>995</v>
      </c>
      <c r="D6288" s="21" t="s">
        <v>996</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1011</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row>
    <row r="6291" spans="1:12">
      <c r="A6291" s="20" t="s">
        <v>2368</v>
      </c>
    </row>
    <row r="6292" spans="1:12">
      <c r="A6292" s="20" t="s">
        <v>1014</v>
      </c>
      <c r="B6292" s="21" t="s">
        <v>1015</v>
      </c>
      <c r="C6292" s="21" t="s">
        <v>1016</v>
      </c>
      <c r="D6292" s="21" t="s">
        <v>996</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245</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1006</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1000</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2369</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2370</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2371</v>
      </c>
      <c r="B6298" s="21" t="s">
        <v>1050</v>
      </c>
      <c r="C6298" s="21" t="s">
        <v>995</v>
      </c>
      <c r="D6298" s="21" t="s">
        <v>996</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1788</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1083</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1078</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1172</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2372</v>
      </c>
      <c r="B6303" s="21" t="s">
        <v>1010</v>
      </c>
      <c r="C6303" s="21" t="s">
        <v>1037</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1078</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1058</v>
      </c>
      <c r="B6305" s="21" t="s">
        <v>1026</v>
      </c>
      <c r="C6305" s="21" t="s">
        <v>1016</v>
      </c>
      <c r="D6305" s="21" t="s">
        <v>996</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1011</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row>
    <row r="6308" spans="1:12">
      <c r="A6308" s="20" t="s">
        <v>2373</v>
      </c>
    </row>
    <row r="6309" spans="1:12">
      <c r="A6309" s="20" t="s">
        <v>2374</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1058</v>
      </c>
      <c r="B6310" s="21" t="s">
        <v>1015</v>
      </c>
      <c r="C6310" s="21" t="s">
        <v>1016</v>
      </c>
      <c r="D6310" s="21" t="s">
        <v>996</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932</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1007</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2224</v>
      </c>
      <c r="B6313" s="21" t="s">
        <v>1057</v>
      </c>
      <c r="C6313" s="21" t="s">
        <v>1002</v>
      </c>
      <c r="D6313" s="21" t="s">
        <v>996</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1018</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538</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1310</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1018</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1395</v>
      </c>
      <c r="B6318" s="21" t="s">
        <v>1107</v>
      </c>
      <c r="C6318" s="21" t="s">
        <v>995</v>
      </c>
      <c r="D6318" s="21" t="s">
        <v>996</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1061</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row>
    <row r="6321" spans="1:12">
      <c r="A6321" s="20" t="s">
        <v>1946</v>
      </c>
    </row>
    <row r="6322" spans="1:12">
      <c r="A6322" s="20" t="s">
        <v>1100</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998</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1947</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1011</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row>
    <row r="6327" spans="1:12">
      <c r="A6327" s="20" t="s">
        <v>2375</v>
      </c>
    </row>
    <row r="6328" spans="1:12">
      <c r="A6328" s="20" t="s">
        <v>1232</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1156</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1130</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1267</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1123</v>
      </c>
      <c r="B6332" s="21" t="s">
        <v>1015</v>
      </c>
      <c r="C6332" s="21" t="s">
        <v>1077</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1006</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1007</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2376</v>
      </c>
      <c r="B6335" s="21" t="s">
        <v>1015</v>
      </c>
      <c r="C6335" s="21" t="s">
        <v>1002</v>
      </c>
      <c r="D6335" s="21" t="s">
        <v>996</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1124</v>
      </c>
      <c r="B6336" s="21" t="s">
        <v>1053</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118</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1082</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1007</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1979</v>
      </c>
      <c r="B6340" s="21" t="s">
        <v>1010</v>
      </c>
      <c r="C6340" s="21" t="s">
        <v>1047</v>
      </c>
      <c r="D6340" s="21" t="s">
        <v>996</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1003</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1041</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2377</v>
      </c>
      <c r="B6343" s="21" t="s">
        <v>1026</v>
      </c>
      <c r="C6343" s="21" t="s">
        <v>1027</v>
      </c>
      <c r="D6343" s="21" t="s">
        <v>996</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118</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1082</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1007</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1238</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1836</v>
      </c>
      <c r="B6348" s="21" t="s">
        <v>994</v>
      </c>
      <c r="C6348" s="21" t="s">
        <v>1002</v>
      </c>
      <c r="D6348" s="21" t="s">
        <v>996</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1112</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1007</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2376</v>
      </c>
      <c r="B6351" s="21" t="s">
        <v>1010</v>
      </c>
      <c r="C6351" s="21" t="s">
        <v>1002</v>
      </c>
      <c r="D6351" s="21" t="s">
        <v>996</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1124</v>
      </c>
      <c r="B6352" s="21" t="s">
        <v>1104</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2378</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1007</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2379</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2380</v>
      </c>
      <c r="B6356" s="21" t="s">
        <v>1116</v>
      </c>
      <c r="C6356" s="21" t="s">
        <v>1002</v>
      </c>
      <c r="D6356" s="21" t="s">
        <v>996</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1033</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1007</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1282</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1283</v>
      </c>
      <c r="B6360" s="21" t="s">
        <v>1107</v>
      </c>
      <c r="C6360" s="21" t="s">
        <v>995</v>
      </c>
      <c r="D6360" s="21" t="s">
        <v>996</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1112</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1475</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1007</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1139</v>
      </c>
      <c r="B6364" s="21" t="s">
        <v>1107</v>
      </c>
      <c r="C6364" s="21" t="s">
        <v>1002</v>
      </c>
      <c r="D6364" s="21" t="s">
        <v>996</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1006</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1112</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1014</v>
      </c>
      <c r="B6367" s="21" t="s">
        <v>1050</v>
      </c>
      <c r="C6367" s="21" t="s">
        <v>1016</v>
      </c>
      <c r="D6367" s="21" t="s">
        <v>996</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141</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1559</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1007</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1288</v>
      </c>
      <c r="B6371" s="21" t="s">
        <v>1104</v>
      </c>
      <c r="C6371" s="21" t="s">
        <v>1002</v>
      </c>
      <c r="D6371" s="21" t="s">
        <v>996</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1032</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1547</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1735</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1006</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1125</v>
      </c>
      <c r="B6376" s="21" t="s">
        <v>1053</v>
      </c>
      <c r="C6376" s="21" t="s">
        <v>1016</v>
      </c>
      <c r="D6376" s="21" t="s">
        <v>996</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1574</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1041</v>
      </c>
      <c r="B6378" s="21" t="s">
        <v>1051</v>
      </c>
      <c r="C6378" s="21" t="s">
        <v>1069</v>
      </c>
      <c r="D6378" s="21" t="s">
        <v>996</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1006</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1041</v>
      </c>
      <c r="B6380" s="21" t="s">
        <v>1050</v>
      </c>
      <c r="C6380" s="21" t="s">
        <v>1069</v>
      </c>
      <c r="D6380" s="21" t="s">
        <v>996</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1032</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214</v>
      </c>
      <c r="B6382" s="21" t="s">
        <v>994</v>
      </c>
      <c r="C6382" s="21" t="s">
        <v>1102</v>
      </c>
      <c r="D6382" s="21" t="s">
        <v>996</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1124</v>
      </c>
      <c r="B6383" s="21" t="s">
        <v>1053</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2381</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1018</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901</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1006</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1124</v>
      </c>
      <c r="B6388" s="21" t="s">
        <v>1050</v>
      </c>
      <c r="C6388" s="21" t="s">
        <v>1069</v>
      </c>
      <c r="D6388" s="21" t="s">
        <v>996</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1156</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1034</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2342</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2314</v>
      </c>
      <c r="B6392" s="21" t="s">
        <v>994</v>
      </c>
      <c r="C6392" s="21" t="s">
        <v>1037</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1006</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1293</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1121</v>
      </c>
      <c r="B6395" s="21" t="s">
        <v>1050</v>
      </c>
      <c r="C6395" s="21" t="s">
        <v>1016</v>
      </c>
      <c r="D6395" s="21" t="s">
        <v>996</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1156</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1496</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1007</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2382</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2314</v>
      </c>
      <c r="B6400" s="21" t="s">
        <v>994</v>
      </c>
      <c r="C6400" s="21" t="s">
        <v>1002</v>
      </c>
      <c r="D6400" s="21" t="s">
        <v>996</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1006</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1124</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1238</v>
      </c>
      <c r="B6403" s="21" t="s">
        <v>1053</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1126</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2383</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1011</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row>
    <row r="6408" spans="1:12">
      <c r="A6408" s="20" t="s">
        <v>2384</v>
      </c>
    </row>
    <row r="6409" spans="1:12">
      <c r="A6409" s="20" t="s">
        <v>1118</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t="s">
        <v>1132</v>
      </c>
      <c r="E6410" s="22">
        <f>IF(D6410="?OLD","!!!","")</f>
        <v/>
      </c>
      <c r="F6410" s="23" t="str">
        <f>IF(OR(E6410="",E6410="!!!"),"",IF(NOT(ISNA(VLOOKUP(E6410,E$1:E6409,1,FALSE()))),"OLD",IF(AND(E6410&lt;&gt;"",E6410&lt;&gt;"!!!"),"NEW","")))</f>
        <v> </v>
      </c>
      <c r="G6410" s="24" t="str">
        <f>IF(OR(E6410="",E6410="!!!"),"",IF(OR(J6410=0,AND(J6410=1,K6410=1),AND(J6410=1,I6410="SBJ"),AND(J6410=1,I6410=0)),"?IN_FOCUS",IF(J6410&lt;=2,"?ACTIVATED",IF(J6410&lt;&gt;"","?FAMILIAR",IF(F6410="NEW",IF(ISNA(VLOOKUP(E6410,#REF!,1,FALSE())),"?TYPE_IDENTIFIABLE","?REFERENTIAL"),"_")))))</f>
        <v> </v>
      </c>
      <c r="H6410" s="25" t="str">
        <f>IF(J6410&lt;&gt;1,"",IF(I6410="SBJ","CB","?"))</f>
        <v> </v>
      </c>
      <c r="I6410" s="26" t="str">
        <f>IF(OR(E6410="",E6410="!!!",F6410="NEW"),"",INDEX(B6409:B$2,-1+SUMPRODUCT(MAX(ROW(E6409:E$2)*(E6410=E6409:E$2)))))</f>
        <v> </v>
      </c>
      <c r="J6410" s="26" t="str">
        <f>IF(OR(E6410="",E6410="!!!",F6410="NEW"),"",COUNTBLANK(OFFSET(A$1,,,SUMPRODUCT(MAX(ROW(E$2:E6410)*(E6410=E$2:E6410)))))-COUNTBLANK(OFFSET(A$1,,,SUMPRODUCT(MAX(ROW(E$1:E6409)*(E2=E$1:E6409))))))</f>
        <v> </v>
      </c>
      <c r="K6410" s="26" t="str">
        <f>IF(OR(E6410="",E6410="!!!",F6410="NEW"),"",INDEX(J$1:J6409,SUMPRODUCT(MAX(ROW(E$1:E6409)*(E6410=E$1:E6409)))))</f>
        <v> </v>
      </c>
      <c r="L6410" s="27"/>
    </row>
    <row r="6411" spans="1:12">
      <c r="A6411" s="20" t="s">
        <v>1007</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1822</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1162</v>
      </c>
      <c r="B6413" s="21" t="s">
        <v>994</v>
      </c>
      <c r="C6413" s="21" t="s">
        <v>1002</v>
      </c>
      <c r="D6413" s="21" t="s">
        <v>996</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1006</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1007</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1149</v>
      </c>
      <c r="B6416" s="21" t="s">
        <v>1015</v>
      </c>
      <c r="C6416" s="21" t="s">
        <v>1002</v>
      </c>
      <c r="D6416" s="21" t="s">
        <v>996</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1108</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2385</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1124</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1362</v>
      </c>
      <c r="B6420" s="21" t="s">
        <v>1050</v>
      </c>
      <c r="C6420" s="21" t="s">
        <v>1016</v>
      </c>
      <c r="D6420" s="21" t="s">
        <v>996</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699</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1075</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1148</v>
      </c>
      <c r="B6423" s="21" t="s">
        <v>1022</v>
      </c>
      <c r="C6423" s="21" t="s">
        <v>1077</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1003</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2386</v>
      </c>
      <c r="B6425" s="21" t="s">
        <v>1026</v>
      </c>
      <c r="C6425" s="21" t="s">
        <v>1005</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1006</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1124</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1362</v>
      </c>
      <c r="B6428" s="21" t="s">
        <v>1050</v>
      </c>
      <c r="C6428" s="21" t="s">
        <v>1016</v>
      </c>
      <c r="D6428" s="21" t="s">
        <v>996</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699</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1111</v>
      </c>
      <c r="B6430" s="21" t="s">
        <v>1022</v>
      </c>
      <c r="C6430" s="21" t="s">
        <v>1016</v>
      </c>
      <c r="D6430" s="21" t="s">
        <v>996</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1018</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2387</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1007</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1203</v>
      </c>
      <c r="B6434" s="21" t="s">
        <v>1051</v>
      </c>
      <c r="C6434" s="21" t="s">
        <v>1002</v>
      </c>
      <c r="D6434" s="21" t="s">
        <v>996</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1098</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1392</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1014</v>
      </c>
      <c r="B6437" s="21" t="s">
        <v>1297</v>
      </c>
      <c r="C6437" s="21" t="s">
        <v>1016</v>
      </c>
      <c r="D6437" s="21" t="s">
        <v>996</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1081</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1082</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1188</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1006</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1018</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538</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1310</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1006</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1112</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1014</v>
      </c>
      <c r="B6447" s="21" t="s">
        <v>1050</v>
      </c>
      <c r="C6447" s="21" t="s">
        <v>1016</v>
      </c>
      <c r="D6447" s="21" t="s">
        <v>996</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699</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1018</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495</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1121</v>
      </c>
      <c r="B6451" s="21" t="s">
        <v>1051</v>
      </c>
      <c r="C6451" s="21" t="s">
        <v>1016</v>
      </c>
      <c r="D6451" s="21" t="s">
        <v>996</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1412</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2089</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1124</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1014</v>
      </c>
      <c r="B6455" s="21" t="s">
        <v>1104</v>
      </c>
      <c r="C6455" s="21" t="s">
        <v>1016</v>
      </c>
      <c r="D6455" s="21" t="s">
        <v>996</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1402</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1496</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129</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1041</v>
      </c>
      <c r="B6459" s="21" t="s">
        <v>1116</v>
      </c>
      <c r="C6459" s="21" t="s">
        <v>1069</v>
      </c>
      <c r="D6459" s="21" t="s">
        <v>996</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1018</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134</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1834</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1011</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row>
    <row r="6465" spans="1:12">
      <c r="A6465" s="20" t="s">
        <v>2388</v>
      </c>
    </row>
    <row r="6466" spans="1:12">
      <c r="A6466" s="20" t="s">
        <v>1014</v>
      </c>
      <c r="B6466" s="21" t="s">
        <v>1015</v>
      </c>
      <c r="C6466" s="21" t="s">
        <v>1016</v>
      </c>
      <c r="D6466" s="21" t="s">
        <v>996</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1402</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1041</v>
      </c>
      <c r="B6468" s="21" t="s">
        <v>1057</v>
      </c>
      <c r="C6468" s="21" t="s">
        <v>1069</v>
      </c>
      <c r="D6468" s="21" t="s">
        <v>996</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1018</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129</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241</v>
      </c>
      <c r="B6471" s="21" t="s">
        <v>1053</v>
      </c>
      <c r="C6471" s="21" t="s">
        <v>1052</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1211</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16</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1006</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1112</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1014</v>
      </c>
      <c r="B6476" s="21" t="s">
        <v>1050</v>
      </c>
      <c r="C6476" s="21" t="s">
        <v>1016</v>
      </c>
      <c r="D6476" s="21" t="s">
        <v>996</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1136</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1496</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1265</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1018</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2389</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1113</v>
      </c>
      <c r="B6482" s="21" t="s">
        <v>1107</v>
      </c>
      <c r="C6482" s="21" t="s">
        <v>1045</v>
      </c>
      <c r="D6482" s="21" t="s">
        <v>996</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1294</v>
      </c>
      <c r="B6483" s="21" t="s">
        <v>1051</v>
      </c>
      <c r="C6483" s="21" t="s">
        <v>1047</v>
      </c>
      <c r="D6483" s="21" t="s">
        <v>996</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1033</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1007</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1238</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1836</v>
      </c>
      <c r="B6487" s="21" t="s">
        <v>1026</v>
      </c>
      <c r="C6487" s="21" t="s">
        <v>1002</v>
      </c>
      <c r="D6487" s="21" t="s">
        <v>996</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1175</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1018</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1256</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1166</v>
      </c>
      <c r="B6491" s="21" t="s">
        <v>1051</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1011</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row>
    <row r="6494" spans="1:12">
      <c r="A6494" s="20" t="s">
        <v>2390</v>
      </c>
    </row>
    <row r="6495" spans="1:12">
      <c r="A6495" s="20" t="s">
        <v>1074</v>
      </c>
      <c r="B6495" s="21" t="s">
        <v>994</v>
      </c>
      <c r="C6495" s="21" t="s">
        <v>1005</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998</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1693</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1007</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2391</v>
      </c>
      <c r="B6499" s="21" t="s">
        <v>1010</v>
      </c>
      <c r="C6499" s="21" t="s">
        <v>1002</v>
      </c>
      <c r="D6499" s="21" t="s">
        <v>996</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1006</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2392</v>
      </c>
      <c r="B6501" s="21" t="s">
        <v>1026</v>
      </c>
      <c r="C6501" s="21" t="s">
        <v>1005</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1003</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1007</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1009</v>
      </c>
      <c r="B6504" s="21" t="s">
        <v>1107</v>
      </c>
      <c r="C6504" s="21" t="s">
        <v>1002</v>
      </c>
      <c r="D6504" s="21" t="s">
        <v>996</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1112</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1041</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1437</v>
      </c>
      <c r="B6507" s="21" t="s">
        <v>1026</v>
      </c>
      <c r="C6507" s="21" t="s">
        <v>1027</v>
      </c>
      <c r="D6507" s="21" t="s">
        <v>996</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1006</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1058</v>
      </c>
      <c r="B6509" s="21" t="s">
        <v>1050</v>
      </c>
      <c r="C6509" s="21" t="s">
        <v>1016</v>
      </c>
      <c r="D6509" s="21" t="s">
        <v>996</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1363</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1144</v>
      </c>
      <c r="B6511" s="21" t="s">
        <v>994</v>
      </c>
      <c r="C6511" s="21" t="s">
        <v>1342</v>
      </c>
      <c r="D6511" s="21" t="s">
        <v>996</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1006</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1310</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1033</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2393</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1395</v>
      </c>
      <c r="B6516" s="21" t="s">
        <v>1026</v>
      </c>
      <c r="C6516" s="21" t="s">
        <v>995</v>
      </c>
      <c r="D6516" s="21" t="s">
        <v>996</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1006</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1496</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2355</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1007</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1357</v>
      </c>
      <c r="B6521" s="21" t="s">
        <v>1010</v>
      </c>
      <c r="C6521" s="21" t="s">
        <v>995</v>
      </c>
      <c r="D6521" s="21" t="s">
        <v>996</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1006</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2394</v>
      </c>
      <c r="B6523" s="21" t="s">
        <v>1026</v>
      </c>
      <c r="C6523" s="21" t="s">
        <v>995</v>
      </c>
      <c r="D6523" s="21" t="s">
        <v>996</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1006</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1033</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1041</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2395</v>
      </c>
      <c r="B6527" s="21" t="s">
        <v>1026</v>
      </c>
      <c r="C6527" s="21" t="s">
        <v>1027</v>
      </c>
      <c r="D6527" s="21" t="s">
        <v>996</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1011</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row>
    <row r="6530" spans="1:12">
      <c r="A6530" s="20" t="s">
        <v>2396</v>
      </c>
    </row>
    <row r="6531" spans="1:12">
      <c r="A6531" s="20" t="s">
        <v>1014</v>
      </c>
      <c r="B6531" s="21" t="s">
        <v>1015</v>
      </c>
      <c r="C6531" s="21" t="s">
        <v>1016</v>
      </c>
      <c r="D6531" s="21" t="s">
        <v>996</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1136</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2134</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1006</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1115</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1131</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1124</v>
      </c>
      <c r="B6537" s="21" t="s">
        <v>1050</v>
      </c>
      <c r="C6537" s="21" t="s">
        <v>1069</v>
      </c>
      <c r="D6537" s="21" t="s">
        <v>996</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2397</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1061</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row>
    <row r="6541" spans="1:12">
      <c r="A6541" s="20" t="s">
        <v>2398</v>
      </c>
    </row>
    <row r="6542" spans="1:12">
      <c r="A6542" s="20" t="s">
        <v>1100</v>
      </c>
      <c r="B6542" s="21" t="s">
        <v>994</v>
      </c>
      <c r="C6542" s="21" t="s">
        <v>1005</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998</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2394</v>
      </c>
      <c r="B6544" s="21" t="s">
        <v>1050</v>
      </c>
      <c r="C6544" s="21" t="s">
        <v>995</v>
      </c>
      <c r="D6544" s="21" t="s">
        <v>996</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1032</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1436</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1312</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241</v>
      </c>
      <c r="B6548" s="21" t="s">
        <v>1051</v>
      </c>
      <c r="C6548" s="21" t="s">
        <v>1052</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1014</v>
      </c>
      <c r="B6549" s="21" t="s">
        <v>1053</v>
      </c>
      <c r="C6549" s="21" t="s">
        <v>1016</v>
      </c>
      <c r="D6549" s="21" t="s">
        <v>996</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2223</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1011</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row>
    <row r="6553" spans="1:12">
      <c r="A6553" s="20" t="s">
        <v>2399</v>
      </c>
    </row>
    <row r="6554" spans="1:12">
      <c r="A6554" s="20" t="s">
        <v>1390</v>
      </c>
      <c r="B6554" s="21" t="s">
        <v>1015</v>
      </c>
      <c r="C6554" s="21" t="s">
        <v>1016</v>
      </c>
      <c r="D6554" s="21" t="s">
        <v>996</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1156</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1034</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1218</v>
      </c>
      <c r="B6557" s="21" t="s">
        <v>994</v>
      </c>
      <c r="C6557" s="21" t="s">
        <v>1037</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2400</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1011</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row>
    <row r="6561" spans="1:12">
      <c r="A6561" s="20" t="s">
        <v>1163</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2401</v>
      </c>
    </row>
    <row r="6563" spans="1:12">
      <c r="A6563" s="20" t="s">
        <v>1074</v>
      </c>
      <c r="B6563" s="21" t="s">
        <v>994</v>
      </c>
      <c r="C6563" s="21" t="s">
        <v>1005</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998</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2402</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1019</v>
      </c>
      <c r="B6566" s="21" t="s">
        <v>1010</v>
      </c>
      <c r="C6566" s="21" t="s">
        <v>995</v>
      </c>
      <c r="D6566" s="21" t="s">
        <v>996</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1006</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1007</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2403</v>
      </c>
      <c r="B6569" s="21" t="s">
        <v>1050</v>
      </c>
      <c r="C6569" s="21" t="s">
        <v>1002</v>
      </c>
      <c r="D6569" s="21" t="s">
        <v>996</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1032</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1167</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2404</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1969</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2405</v>
      </c>
      <c r="B6574" s="21" t="s">
        <v>994</v>
      </c>
      <c r="C6574" s="21" t="s">
        <v>1005</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1011</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1167</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row>
    <row r="6578" spans="1:12">
      <c r="A6578" s="20" t="s">
        <v>2406</v>
      </c>
    </row>
    <row r="6579" spans="1:12">
      <c r="A6579" s="20" t="s">
        <v>1135</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1058</v>
      </c>
      <c r="B6580" s="21" t="s">
        <v>1050</v>
      </c>
      <c r="C6580" s="21" t="s">
        <v>1016</v>
      </c>
      <c r="D6580" s="21" t="s">
        <v>996</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1263</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2407</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1121</v>
      </c>
      <c r="B6583" s="21" t="s">
        <v>1022</v>
      </c>
      <c r="C6583" s="21" t="s">
        <v>1016</v>
      </c>
      <c r="D6583" s="21" t="s">
        <v>996</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1033</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1034</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1326</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1721</v>
      </c>
      <c r="B6587" s="21" t="s">
        <v>1010</v>
      </c>
      <c r="C6587" s="21" t="s">
        <v>1037</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1006</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241</v>
      </c>
      <c r="B6589" s="21" t="s">
        <v>994</v>
      </c>
      <c r="C6589" s="21" t="s">
        <v>1052</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1032</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1634</v>
      </c>
      <c r="B6591" s="21" t="s">
        <v>1026</v>
      </c>
      <c r="C6591" s="21" t="s">
        <v>1045</v>
      </c>
      <c r="D6591" s="21" t="s">
        <v>996</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1721</v>
      </c>
      <c r="B6592" s="21" t="s">
        <v>1050</v>
      </c>
      <c r="C6592" s="21" t="s">
        <v>1047</v>
      </c>
      <c r="D6592" s="21" t="s">
        <v>996</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1969</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2405</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16</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1547</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1132</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1041</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2259</v>
      </c>
      <c r="B6599" s="21" t="s">
        <v>1026</v>
      </c>
      <c r="C6599" s="21" t="s">
        <v>1027</v>
      </c>
      <c r="D6599" s="21" t="s">
        <v>996</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1061</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row>
    <row r="6602" spans="1:12">
      <c r="A6602" s="20" t="s">
        <v>2408</v>
      </c>
    </row>
    <row r="6603" spans="1:12">
      <c r="A6603" s="20" t="s">
        <v>1100</v>
      </c>
      <c r="B6603" s="21" t="s">
        <v>994</v>
      </c>
      <c r="C6603" s="21" t="s">
        <v>1005</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998</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1014</v>
      </c>
      <c r="B6605" s="21" t="s">
        <v>1050</v>
      </c>
      <c r="C6605" s="21" t="s">
        <v>1016</v>
      </c>
      <c r="D6605" s="21" t="s">
        <v>996</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1017</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106</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1007</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1086</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1183</v>
      </c>
      <c r="B6610" s="21" t="s">
        <v>1010</v>
      </c>
      <c r="C6610" s="21" t="s">
        <v>1002</v>
      </c>
      <c r="D6610" s="21" t="s">
        <v>996</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1108</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1082</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1034</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2409</v>
      </c>
      <c r="B6614" s="21" t="s">
        <v>1010</v>
      </c>
      <c r="C6614" s="21" t="s">
        <v>1037</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1124</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2410</v>
      </c>
      <c r="B6616" s="21" t="s">
        <v>1104</v>
      </c>
      <c r="C6616" s="21" t="s">
        <v>1005</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2411</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2412</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1023</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2058</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2059</v>
      </c>
      <c r="B6621" s="21" t="s">
        <v>1107</v>
      </c>
      <c r="C6621" s="21" t="s">
        <v>1005</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1006</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1293</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1125</v>
      </c>
      <c r="B6624" s="21" t="s">
        <v>1050</v>
      </c>
      <c r="C6624" s="21" t="s">
        <v>1016</v>
      </c>
      <c r="D6624" s="21" t="s">
        <v>996</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1059</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2337</v>
      </c>
      <c r="B6626" s="21" t="s">
        <v>1026</v>
      </c>
      <c r="C6626" s="21" t="s">
        <v>1005</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1145</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2413</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1023</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1024</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1822</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2058</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2059</v>
      </c>
      <c r="B6633" s="21" t="s">
        <v>1010</v>
      </c>
      <c r="C6633" s="21" t="s">
        <v>1027</v>
      </c>
      <c r="D6633" s="21" t="s">
        <v>996</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1006</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1112</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1125</v>
      </c>
      <c r="B6636" s="21" t="s">
        <v>1050</v>
      </c>
      <c r="C6636" s="21" t="s">
        <v>1016</v>
      </c>
      <c r="D6636" s="21" t="s">
        <v>996</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129</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1122</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118</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1018</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114</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1264</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1242</v>
      </c>
      <c r="B6643" s="21" t="s">
        <v>1107</v>
      </c>
      <c r="C6643" s="21" t="s">
        <v>1045</v>
      </c>
      <c r="D6643" s="21" t="s">
        <v>996</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1595</v>
      </c>
      <c r="B6644" s="21" t="s">
        <v>1051</v>
      </c>
      <c r="C6644" s="21" t="s">
        <v>1047</v>
      </c>
      <c r="D6644" s="21" t="s">
        <v>996</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1018</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118</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799</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1149</v>
      </c>
      <c r="B6648" s="21" t="s">
        <v>1116</v>
      </c>
      <c r="C6648" s="21" t="s">
        <v>1005</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1011</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row>
    <row r="6651" spans="1:12">
      <c r="A6651" s="20" t="s">
        <v>2414</v>
      </c>
    </row>
    <row r="6652" spans="1:12">
      <c r="A6652" s="20" t="s">
        <v>1223</v>
      </c>
      <c r="B6652" s="21" t="s">
        <v>1015</v>
      </c>
      <c r="C6652" s="21" t="s">
        <v>1016</v>
      </c>
      <c r="D6652" s="21" t="s">
        <v>996</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129</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1122</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118</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1018</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114</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1264</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1242</v>
      </c>
      <c r="B6659" s="21" t="s">
        <v>1026</v>
      </c>
      <c r="C6659" s="21" t="s">
        <v>1045</v>
      </c>
      <c r="D6659" s="21" t="s">
        <v>996</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2187</v>
      </c>
      <c r="B6660" s="21" t="s">
        <v>1022</v>
      </c>
      <c r="C6660" s="21" t="s">
        <v>1047</v>
      </c>
      <c r="D6660" s="21" t="s">
        <v>996</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1018</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118</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1306</v>
      </c>
      <c r="B6663" s="21" t="s">
        <v>1051</v>
      </c>
      <c r="C6663" s="21" t="s">
        <v>1005</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1011</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row>
    <row r="6666" spans="1:12">
      <c r="A6666" s="20" t="s">
        <v>2415</v>
      </c>
    </row>
    <row r="6667" spans="1:12">
      <c r="A6667" s="20" t="s">
        <v>1155</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1014</v>
      </c>
      <c r="B6668" s="21" t="s">
        <v>1015</v>
      </c>
      <c r="C6668" s="21" t="s">
        <v>1016</v>
      </c>
      <c r="D6668" s="21" t="s">
        <v>996</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141</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1308</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1188</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1295</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1125</v>
      </c>
      <c r="B6673" s="21" t="s">
        <v>1050</v>
      </c>
      <c r="C6673" s="21" t="s">
        <v>1016</v>
      </c>
      <c r="D6673" s="21" t="s">
        <v>996</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719</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t="s">
        <v>118</v>
      </c>
      <c r="E6675" s="22">
        <f>IF(D6675="?OLD","!!!","")</f>
        <v/>
      </c>
      <c r="F6675" s="23" t="str">
        <f>IF(OR(E6675="",E6675="!!!"),"",IF(NOT(ISNA(VLOOKUP(E6675,E$1:E6674,1,FALSE()))),"OLD",IF(AND(E6675&lt;&gt;"",E6675&lt;&gt;"!!!"),"NEW","")))</f>
        <v> </v>
      </c>
      <c r="G6675" s="24" t="str">
        <f>IF(OR(E6675="",E6675="!!!"),"",IF(OR(J6675=0,AND(J6675=1,K6675=1),AND(J6675=1,I6675="SBJ"),AND(J6675=1,I6675=0)),"?IN_FOCUS",IF(J6675&lt;=2,"?ACTIVATED",IF(J6675&lt;&gt;"","?FAMILIAR",IF(F6675="NEW",IF(ISNA(VLOOKUP(E6675,#REF!,1,FALSE())),"?TYPE_IDENTIFIABLE","?REFERENTIAL"),"_")))))</f>
        <v> </v>
      </c>
      <c r="H6675" s="25" t="str">
        <f>IF(J6675&lt;&gt;1,"",IF(I6675="SBJ","CB","?"))</f>
        <v> </v>
      </c>
      <c r="I6675" s="26" t="str">
        <f>IF(OR(E6675="",E6675="!!!",F6675="NEW"),"",INDEX(B6674:B$2,-1+SUMPRODUCT(MAX(ROW(E6674:E$2)*(E6675=E6674:E$2)))))</f>
        <v> </v>
      </c>
      <c r="J6675" s="26" t="str">
        <f>IF(OR(E6675="",E6675="!!!",F6675="NEW"),"",COUNTBLANK(OFFSET(A$1,,,SUMPRODUCT(MAX(ROW(E$2:E6675)*(E6675=E$2:E6675)))))-COUNTBLANK(OFFSET(A$1,,,SUMPRODUCT(MAX(ROW(E$1:E6674)*(E2=E$1:E6674))))))</f>
        <v> </v>
      </c>
      <c r="K6675" s="26" t="str">
        <f>IF(OR(E6675="",E6675="!!!",F6675="NEW"),"",INDEX(J$1:J6674,SUMPRODUCT(MAX(ROW(E$1:E6674)*(E6675=E$1:E6674)))))</f>
        <v> </v>
      </c>
      <c r="L6675" s="27"/>
    </row>
    <row r="6676" spans="1:12">
      <c r="A6676" s="20" t="s">
        <v>1647</v>
      </c>
      <c r="E6676" s="22">
        <f>IF(D6676="?OLD","!!!","")</f>
        <v/>
      </c>
      <c r="F6676" s="23" t="str">
        <f>IF(OR(E6676="",E6676="!!!"),"",IF(NOT(ISNA(VLOOKUP(E6676,E$1:E6675,1,FALSE()))),"OLD",IF(AND(E6676&lt;&gt;"",E6676&lt;&gt;"!!!"),"NEW","")))</f>
        <v> </v>
      </c>
      <c r="G6676" s="24" t="str">
        <f>IF(OR(E6676="",E6676="!!!"),"",IF(OR(J6676=0,AND(J6676=1,K6676=1),AND(J6676=1,I6676="SBJ"),AND(J6676=1,I6676=0)),"?IN_FOCUS",IF(J6676&lt;=2,"?ACTIVATED",IF(J6676&lt;&gt;"","?FAMILIAR",IF(F6676="NEW",IF(ISNA(VLOOKUP(E6676,#REF!,1,FALSE())),"?TYPE_IDENTIFIABLE","?REFERENTIAL"),"_")))))</f>
        <v> </v>
      </c>
      <c r="H6676" s="25" t="str">
        <f>IF(J6676&lt;&gt;1,"",IF(I6676="SBJ","CB","?"))</f>
        <v> </v>
      </c>
      <c r="I6676" s="26" t="str">
        <f>IF(OR(E6676="",E6676="!!!",F6676="NEW"),"",INDEX(B6675:B$2,-1+SUMPRODUCT(MAX(ROW(E6675:E$2)*(E6676=E6675:E$2)))))</f>
        <v> </v>
      </c>
      <c r="J6676" s="26" t="str">
        <f>IF(OR(E6676="",E6676="!!!",F6676="NEW"),"",COUNTBLANK(OFFSET(A$1,,,SUMPRODUCT(MAX(ROW(E$2:E6676)*(E6676=E$2:E6676)))))-COUNTBLANK(OFFSET(A$1,,,SUMPRODUCT(MAX(ROW(E$1:E6675)*(E2=E$1:E6675))))))</f>
        <v> </v>
      </c>
      <c r="K6676" s="26" t="str">
        <f>IF(OR(E6676="",E6676="!!!",F6676="NEW"),"",INDEX(J$1:J6675,SUMPRODUCT(MAX(ROW(E$1:E6675)*(E6676=E$1:E6675)))))</f>
        <v> </v>
      </c>
      <c r="L6676" s="27"/>
    </row>
    <row r="6677" spans="1:12">
      <c r="A6677" s="20" t="s">
        <v>584</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1149</v>
      </c>
      <c r="B6678" s="21" t="s">
        <v>1022</v>
      </c>
      <c r="C6678" s="21" t="s">
        <v>1649</v>
      </c>
      <c r="D6678" s="21" t="s">
        <v>996</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1112</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1271</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2416</v>
      </c>
      <c r="B6681" s="21" t="s">
        <v>1010</v>
      </c>
      <c r="C6681" s="21" t="s">
        <v>1005</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1006</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1112</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1014</v>
      </c>
      <c r="B6684" s="21" t="s">
        <v>1050</v>
      </c>
      <c r="C6684" s="21" t="s">
        <v>1016</v>
      </c>
      <c r="D6684" s="21" t="s">
        <v>996</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t="s">
        <v>410</v>
      </c>
      <c r="E6685" s="22">
        <f>IF(D6685="?OLD","!!!","")</f>
        <v/>
      </c>
      <c r="F6685" s="23" t="str">
        <f>IF(OR(E6685="",E6685="!!!"),"",IF(NOT(ISNA(VLOOKUP(E6685,E$1:E6684,1,FALSE()))),"OLD",IF(AND(E6685&lt;&gt;"",E6685&lt;&gt;"!!!"),"NEW","")))</f>
        <v> </v>
      </c>
      <c r="G6685" s="24" t="str">
        <f>IF(OR(E6685="",E6685="!!!"),"",IF(OR(J6685=0,AND(J6685=1,K6685=1),AND(J6685=1,I6685="SBJ"),AND(J6685=1,I6685=0)),"?IN_FOCUS",IF(J6685&lt;=2,"?ACTIVATED",IF(J6685&lt;&gt;"","?FAMILIAR",IF(F6685="NEW",IF(ISNA(VLOOKUP(E6685,#REF!,1,FALSE())),"?TYPE_IDENTIFIABLE","?REFERENTIAL"),"_")))))</f>
        <v> </v>
      </c>
      <c r="H6685" s="25" t="str">
        <f>IF(J6685&lt;&gt;1,"",IF(I6685="SBJ","CB","?"))</f>
        <v> </v>
      </c>
      <c r="I6685" s="26" t="str">
        <f>IF(OR(E6685="",E6685="!!!",F6685="NEW"),"",INDEX(B6684:B$2,-1+SUMPRODUCT(MAX(ROW(E6684:E$2)*(E6685=E6684:E$2)))))</f>
        <v> </v>
      </c>
      <c r="J6685" s="26" t="str">
        <f>IF(OR(E6685="",E6685="!!!",F6685="NEW"),"",COUNTBLANK(OFFSET(A$1,,,SUMPRODUCT(MAX(ROW(E$2:E6685)*(E6685=E$2:E6685)))))-COUNTBLANK(OFFSET(A$1,,,SUMPRODUCT(MAX(ROW(E$1:E6684)*(E2=E$1:E6684))))))</f>
        <v> </v>
      </c>
      <c r="K6685" s="26" t="str">
        <f>IF(OR(E6685="",E6685="!!!",F6685="NEW"),"",INDEX(J$1:J6684,SUMPRODUCT(MAX(ROW(E$1:E6684)*(E6685=E$1:E6684)))))</f>
        <v> </v>
      </c>
      <c r="L6685" s="27"/>
    </row>
    <row r="6686" spans="1:12">
      <c r="A6686" s="20" t="s">
        <v>2417</v>
      </c>
      <c r="E6686" s="22">
        <f>IF(D6686="?OLD","!!!","")</f>
        <v/>
      </c>
      <c r="F6686" s="23" t="str">
        <f>IF(OR(E6686="",E6686="!!!"),"",IF(NOT(ISNA(VLOOKUP(E6686,E$1:E6685,1,FALSE()))),"OLD",IF(AND(E6686&lt;&gt;"",E6686&lt;&gt;"!!!"),"NEW","")))</f>
        <v> </v>
      </c>
      <c r="G6686" s="24" t="str">
        <f>IF(OR(E6686="",E6686="!!!"),"",IF(OR(J6686=0,AND(J6686=1,K6686=1),AND(J6686=1,I6686="SBJ"),AND(J6686=1,I6686=0)),"?IN_FOCUS",IF(J6686&lt;=2,"?ACTIVATED",IF(J6686&lt;&gt;"","?FAMILIAR",IF(F6686="NEW",IF(ISNA(VLOOKUP(E6686,#REF!,1,FALSE())),"?TYPE_IDENTIFIABLE","?REFERENTIAL"),"_")))))</f>
        <v> </v>
      </c>
      <c r="H6686" s="25" t="str">
        <f>IF(J6686&lt;&gt;1,"",IF(I6686="SBJ","CB","?"))</f>
        <v> </v>
      </c>
      <c r="I6686" s="26" t="str">
        <f>IF(OR(E6686="",E6686="!!!",F6686="NEW"),"",INDEX(B6685:B$2,-1+SUMPRODUCT(MAX(ROW(E6685:E$2)*(E6686=E6685:E$2)))))</f>
        <v> </v>
      </c>
      <c r="J6686" s="26" t="str">
        <f>IF(OR(E6686="",E6686="!!!",F6686="NEW"),"",COUNTBLANK(OFFSET(A$1,,,SUMPRODUCT(MAX(ROW(E$2:E6686)*(E6686=E$2:E6686)))))-COUNTBLANK(OFFSET(A$1,,,SUMPRODUCT(MAX(ROW(E$1:E6685)*(E2=E$1:E6685))))))</f>
        <v> </v>
      </c>
      <c r="K6686" s="26" t="str">
        <f>IF(OR(E6686="",E6686="!!!",F6686="NEW"),"",INDEX(J$1:J6685,SUMPRODUCT(MAX(ROW(E$1:E6685)*(E6686=E$1:E6685)))))</f>
        <v> </v>
      </c>
      <c r="L6686" s="27"/>
    </row>
    <row r="6687" spans="1:12">
      <c r="A6687" s="20" t="s">
        <v>1018</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1188</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1098</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1065</v>
      </c>
      <c r="B6690" s="21" t="s">
        <v>1026</v>
      </c>
      <c r="C6690" s="21" t="s">
        <v>1066</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1475</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1007</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1139</v>
      </c>
      <c r="B6693" s="21" t="s">
        <v>1107</v>
      </c>
      <c r="C6693" s="21" t="s">
        <v>1002</v>
      </c>
      <c r="D6693" s="21" t="s">
        <v>996</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1018</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34</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1124</v>
      </c>
      <c r="B6696" s="21" t="s">
        <v>1297</v>
      </c>
      <c r="C6696" s="21" t="s">
        <v>1069</v>
      </c>
      <c r="D6696" s="21" t="s">
        <v>996</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901</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1011</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row>
    <row r="6700" spans="1:12">
      <c r="A6700" s="20" t="s">
        <v>2418</v>
      </c>
    </row>
    <row r="6701" spans="1:12">
      <c r="A6701" s="20" t="s">
        <v>1810</v>
      </c>
      <c r="E6701" s="22">
        <f>IF(D6701="?OLD","!!!","")</f>
        <v/>
      </c>
      <c r="F6701" s="23" t="str">
        <f>IF(OR(E6701="",E6701="!!!"),"",IF(NOT(ISNA(VLOOKUP(E6701,E$1:E6700,1,FALSE()))),"OLD",IF(AND(E6701&lt;&gt;"",E6701&lt;&gt;"!!!"),"NEW","")))</f>
        <v> </v>
      </c>
      <c r="G6701" s="24" t="str">
        <f>IF(OR(E6701="",E6701="!!!"),"",IF(OR(J6701=0,AND(J6701=1,K6701=1),AND(J6701=1,I6701="SBJ"),AND(J6701=1,I6701=0)),"?IN_FOCUS",IF(J6701&lt;=2,"?ACTIVATED",IF(J6701&lt;&gt;"","?FAMILIAR",IF(F6701="NEW",IF(ISNA(VLOOKUP(E6701,#REF!,1,FALSE())),"?TYPE_IDENTIFIABLE","?REFERENTIAL"),"_")))))</f>
        <v> </v>
      </c>
      <c r="H6701" s="25" t="str">
        <f>IF(J6701&lt;&gt;1,"",IF(I6701="SBJ","CB","?"))</f>
        <v> </v>
      </c>
      <c r="I6701" s="26" t="str">
        <f>IF(OR(E6701="",E6701="!!!",F6701="NEW"),"",INDEX(B6700:B$2,-1+SUMPRODUCT(MAX(ROW(E6700:E$2)*(E6701=E6700:E$2)))))</f>
        <v> </v>
      </c>
      <c r="J6701" s="26" t="str">
        <f>IF(OR(E6701="",E6701="!!!",F6701="NEW"),"",COUNTBLANK(OFFSET(A$1,,,SUMPRODUCT(MAX(ROW(E$2:E6701)*(E6701=E$2:E6701)))))-COUNTBLANK(OFFSET(A$1,,,SUMPRODUCT(MAX(ROW(E$1:E6700)*(E2=E$1:E6700))))))</f>
        <v> </v>
      </c>
      <c r="K6701" s="26" t="str">
        <f>IF(OR(E6701="",E6701="!!!",F6701="NEW"),"",INDEX(J$1:J6700,SUMPRODUCT(MAX(ROW(E$1:E6700)*(E6701=E$1:E6700)))))</f>
        <v> </v>
      </c>
      <c r="L6701" s="27"/>
    </row>
    <row r="6702" spans="1:12">
      <c r="A6702" s="20" t="s">
        <v>1058</v>
      </c>
      <c r="B6702" s="21" t="s">
        <v>1057</v>
      </c>
      <c r="C6702" s="21" t="s">
        <v>1016</v>
      </c>
      <c r="D6702" s="21" t="s">
        <v>996</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t="s">
        <v>1412</v>
      </c>
      <c r="E6703" s="22">
        <f>IF(D6703="?OLD","!!!","")</f>
        <v/>
      </c>
      <c r="F6703" s="23" t="str">
        <f>IF(OR(E6703="",E6703="!!!"),"",IF(NOT(ISNA(VLOOKUP(E6703,E$1:E6702,1,FALSE()))),"OLD",IF(AND(E6703&lt;&gt;"",E6703&lt;&gt;"!!!"),"NEW","")))</f>
        <v> </v>
      </c>
      <c r="G6703" s="24" t="str">
        <f>IF(OR(E6703="",E6703="!!!"),"",IF(OR(J6703=0,AND(J6703=1,K6703=1),AND(J6703=1,I6703="SBJ"),AND(J6703=1,I6703=0)),"?IN_FOCUS",IF(J6703&lt;=2,"?ACTIVATED",IF(J6703&lt;&gt;"","?FAMILIAR",IF(F6703="NEW",IF(ISNA(VLOOKUP(E6703,#REF!,1,FALSE())),"?TYPE_IDENTIFIABLE","?REFERENTIAL"),"_")))))</f>
        <v> </v>
      </c>
      <c r="H6703" s="25" t="str">
        <f>IF(J6703&lt;&gt;1,"",IF(I6703="SBJ","CB","?"))</f>
        <v> </v>
      </c>
      <c r="I6703" s="26" t="str">
        <f>IF(OR(E6703="",E6703="!!!",F6703="NEW"),"",INDEX(B6702:B$2,-1+SUMPRODUCT(MAX(ROW(E6702:E$2)*(E6703=E6702:E$2)))))</f>
        <v> </v>
      </c>
      <c r="J6703" s="26" t="str">
        <f>IF(OR(E6703="",E6703="!!!",F6703="NEW"),"",COUNTBLANK(OFFSET(A$1,,,SUMPRODUCT(MAX(ROW(E$2:E6703)*(E6703=E$2:E6703)))))-COUNTBLANK(OFFSET(A$1,,,SUMPRODUCT(MAX(ROW(E$1:E6702)*(E2=E$1:E6702))))))</f>
        <v> </v>
      </c>
      <c r="K6703" s="26" t="str">
        <f>IF(OR(E6703="",E6703="!!!",F6703="NEW"),"",INDEX(J$1:J6702,SUMPRODUCT(MAX(ROW(E$1:E6702)*(E6703=E$1:E6702)))))</f>
        <v> </v>
      </c>
      <c r="L6703" s="27"/>
    </row>
    <row r="6704" spans="1:12">
      <c r="A6704" s="20" t="s">
        <v>1700</v>
      </c>
      <c r="E6704" s="22">
        <f>IF(D6704="?OLD","!!!","")</f>
        <v/>
      </c>
      <c r="F6704" s="23" t="str">
        <f>IF(OR(E6704="",E6704="!!!"),"",IF(NOT(ISNA(VLOOKUP(E6704,E$1:E6703,1,FALSE()))),"OLD",IF(AND(E6704&lt;&gt;"",E6704&lt;&gt;"!!!"),"NEW","")))</f>
        <v> </v>
      </c>
      <c r="G6704" s="24" t="str">
        <f>IF(OR(E6704="",E6704="!!!"),"",IF(OR(J6704=0,AND(J6704=1,K6704=1),AND(J6704=1,I6704="SBJ"),AND(J6704=1,I6704=0)),"?IN_FOCUS",IF(J6704&lt;=2,"?ACTIVATED",IF(J6704&lt;&gt;"","?FAMILIAR",IF(F6704="NEW",IF(ISNA(VLOOKUP(E6704,#REF!,1,FALSE())),"?TYPE_IDENTIFIABLE","?REFERENTIAL"),"_")))))</f>
        <v> </v>
      </c>
      <c r="H6704" s="25" t="str">
        <f>IF(J6704&lt;&gt;1,"",IF(I6704="SBJ","CB","?"))</f>
        <v> </v>
      </c>
      <c r="I6704" s="26" t="str">
        <f>IF(OR(E6704="",E6704="!!!",F6704="NEW"),"",INDEX(B6703:B$2,-1+SUMPRODUCT(MAX(ROW(E6703:E$2)*(E6704=E6703:E$2)))))</f>
        <v> </v>
      </c>
      <c r="J6704" s="26" t="str">
        <f>IF(OR(E6704="",E6704="!!!",F6704="NEW"),"",COUNTBLANK(OFFSET(A$1,,,SUMPRODUCT(MAX(ROW(E$2:E6704)*(E6704=E$2:E6704)))))-COUNTBLANK(OFFSET(A$1,,,SUMPRODUCT(MAX(ROW(E$1:E6703)*(E2=E$1:E6703))))))</f>
        <v> </v>
      </c>
      <c r="K6704" s="26" t="str">
        <f>IF(OR(E6704="",E6704="!!!",F6704="NEW"),"",INDEX(J$1:J6703,SUMPRODUCT(MAX(ROW(E$1:E6703)*(E6704=E$1:E6703)))))</f>
        <v> </v>
      </c>
      <c r="L6704" s="27"/>
    </row>
    <row r="6705" spans="1:12">
      <c r="A6705" s="20" t="s">
        <v>1011</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row>
    <row r="6707" spans="1:12">
      <c r="A6707" s="20" t="s">
        <v>2419</v>
      </c>
    </row>
    <row r="6708" spans="1:12">
      <c r="A6708" s="20" t="s">
        <v>1074</v>
      </c>
      <c r="B6708" s="21" t="s">
        <v>994</v>
      </c>
      <c r="C6708" s="21" t="s">
        <v>1005</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t="s">
        <v>998</v>
      </c>
      <c r="E6709" s="22">
        <f>IF(D6709="?OLD","!!!","")</f>
        <v/>
      </c>
      <c r="F6709" s="23" t="str">
        <f>IF(OR(E6709="",E6709="!!!"),"",IF(NOT(ISNA(VLOOKUP(E6709,E$1:E6708,1,FALSE()))),"OLD",IF(AND(E6709&lt;&gt;"",E6709&lt;&gt;"!!!"),"NEW","")))</f>
        <v> </v>
      </c>
      <c r="G6709" s="24" t="str">
        <f>IF(OR(E6709="",E6709="!!!"),"",IF(OR(J6709=0,AND(J6709=1,K6709=1),AND(J6709=1,I6709="SBJ"),AND(J6709=1,I6709=0)),"?IN_FOCUS",IF(J6709&lt;=2,"?ACTIVATED",IF(J6709&lt;&gt;"","?FAMILIAR",IF(F6709="NEW",IF(ISNA(VLOOKUP(E6709,#REF!,1,FALSE())),"?TYPE_IDENTIFIABLE","?REFERENTIAL"),"_")))))</f>
        <v> </v>
      </c>
      <c r="H6709" s="25" t="str">
        <f>IF(J6709&lt;&gt;1,"",IF(I6709="SBJ","CB","?"))</f>
        <v> </v>
      </c>
      <c r="I6709" s="26" t="str">
        <f>IF(OR(E6709="",E6709="!!!",F6709="NEW"),"",INDEX(B6708:B$2,-1+SUMPRODUCT(MAX(ROW(E6708:E$2)*(E6709=E6708:E$2)))))</f>
        <v> </v>
      </c>
      <c r="J6709" s="26" t="str">
        <f>IF(OR(E6709="",E6709="!!!",F6709="NEW"),"",COUNTBLANK(OFFSET(A$1,,,SUMPRODUCT(MAX(ROW(E$2:E6709)*(E6709=E$2:E6709)))))-COUNTBLANK(OFFSET(A$1,,,SUMPRODUCT(MAX(ROW(E$1:E6708)*(E2=E$1:E6708))))))</f>
        <v> </v>
      </c>
      <c r="K6709" s="26" t="str">
        <f>IF(OR(E6709="",E6709="!!!",F6709="NEW"),"",INDEX(J$1:J6708,SUMPRODUCT(MAX(ROW(E$1:E6708)*(E6709=E$1:E6708)))))</f>
        <v> </v>
      </c>
      <c r="L6709" s="27"/>
    </row>
    <row r="6710" spans="1:12">
      <c r="A6710" s="20" t="s">
        <v>29</v>
      </c>
      <c r="B6710" s="21" t="s">
        <v>994</v>
      </c>
      <c r="C6710" s="21" t="s">
        <v>995</v>
      </c>
      <c r="D6710" s="21" t="s">
        <v>996</v>
      </c>
      <c r="E6710" s="22">
        <f>IF(D6710="?OLD","!!!","")</f>
        <v/>
      </c>
      <c r="F6710" s="23" t="str">
        <f>IF(OR(E6710="",E6710="!!!"),"",IF(NOT(ISNA(VLOOKUP(E6710,E$1:E6709,1,FALSE()))),"OLD",IF(AND(E6710&lt;&gt;"",E6710&lt;&gt;"!!!"),"NEW","")))</f>
        <v> </v>
      </c>
      <c r="G6710" s="24" t="str">
        <f>IF(OR(E6710="",E6710="!!!"),"",IF(OR(J6710=0,AND(J6710=1,K6710=1),AND(J6710=1,I6710="SBJ"),AND(J6710=1,I6710=0)),"?IN_FOCUS",IF(J6710&lt;=2,"?ACTIVATED",IF(J6710&lt;&gt;"","?FAMILIAR",IF(F6710="NEW",IF(ISNA(VLOOKUP(E6710,#REF!,1,FALSE())),"?TYPE_IDENTIFIABLE","?REFERENTIAL"),"_")))))</f>
        <v> </v>
      </c>
      <c r="H6710" s="25" t="str">
        <f>IF(J6710&lt;&gt;1,"",IF(I6710="SBJ","CB","?"))</f>
        <v> </v>
      </c>
      <c r="I6710" s="26" t="str">
        <f>IF(OR(E6710="",E6710="!!!",F6710="NEW"),"",INDEX(B6709:B$2,-1+SUMPRODUCT(MAX(ROW(E6709:E$2)*(E6710=E6709:E$2)))))</f>
        <v> </v>
      </c>
      <c r="J6710" s="26" t="str">
        <f>IF(OR(E6710="",E6710="!!!",F6710="NEW"),"",COUNTBLANK(OFFSET(A$1,,,SUMPRODUCT(MAX(ROW(E$2:E6710)*(E6710=E$2:E6710)))))-COUNTBLANK(OFFSET(A$1,,,SUMPRODUCT(MAX(ROW(E$1:E6709)*(E2=E$1:E6709))))))</f>
        <v> </v>
      </c>
      <c r="K6710" s="26" t="str">
        <f>IF(OR(E6710="",E6710="!!!",F6710="NEW"),"",INDEX(J$1:J6709,SUMPRODUCT(MAX(ROW(E$1:E6709)*(E6710=E$1:E6709)))))</f>
        <v> </v>
      </c>
      <c r="L6710" s="27"/>
    </row>
    <row r="6711" spans="1:12">
      <c r="A6711" s="20" t="s">
        <v>1006</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467</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1058</v>
      </c>
      <c r="B6713" s="21" t="s">
        <v>1022</v>
      </c>
      <c r="C6713" s="21" t="s">
        <v>1016</v>
      </c>
      <c r="D6713" s="21" t="s">
        <v>996</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1011</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2024-05-20T13:17:19Z</dcterms:created>
  <dcterms:modified xsi:type="dcterms:W3CDTF">2024-05-20T13:17:19Z</dcterms:modified>
</cp:coreProperties>
</file>