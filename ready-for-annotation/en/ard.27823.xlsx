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<sst xmlns="http://schemas.openxmlformats.org/spreadsheetml/2006/main" count="1361" uniqueCount="472">
  <si>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</si>
  <si>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</si>
  <si>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</si>
  <si>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</si>
  <si>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</si>
  <si>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</si>
  <si>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</si>
  <si>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</si>
  <si>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</si>
  <si>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</si>
  <si>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</si>
  <si>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</si>
  <si>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compare</t>
  </si>
  <si>
    <t>Comparing Clinton 's and Trump 's economic policies :</t>
  </si>
  <si>
    <t>file://conllu/en/ard.27823.conllu#s1_0</t>
  </si>
  <si>
    <t>2</t>
  </si>
  <si>
    <t>and?</t>
  </si>
  <si>
    <t>be (be money)</t>
  </si>
  <si>
    <t>It 's all about the money Both Clinton and Trump want to invest in infrastructure and prevent the TTP trade agreement .</t>
  </si>
  <si>
    <t>file://conllu/en/ard.27823.conllu#s2_0</t>
  </si>
  <si>
    <t>3</t>
  </si>
  <si>
    <t>4</t>
  </si>
  <si>
    <t>for?</t>
  </si>
  <si>
    <t>candidate</t>
  </si>
  <si>
    <t>But the two candidates for the US presidency disagree on taxes and energy policies , as well as on one fundamental issue .</t>
  </si>
  <si>
    <t>file://conllu/en/ard.27823.conllu#s3_0</t>
  </si>
  <si>
    <t>be</t>
  </si>
  <si>
    <t>There is a fundamental philosophical reason for the differences between Donald Trump 's and Hillary Clinton 's economic policies .</t>
  </si>
  <si>
    <t>file://conllu/en/ard.27823.conllu#s4_0</t>
  </si>
  <si>
    <t>5</t>
  </si>
  <si>
    <t>be (be role)</t>
  </si>
  <si>
    <t>This is the role of the state .</t>
  </si>
  <si>
    <t>file://conllu/en/ard.27823.conllu#s5_0</t>
  </si>
  <si>
    <t>6</t>
  </si>
  <si>
    <t>want</t>
  </si>
  <si>
    <t>If in doubt , Trump wants the state 's role to be minor , and warns of how the state can damage the economy with taxes and regulations .</t>
  </si>
  <si>
    <t>file://conllu/en/ard.27823.conllu#s6_0</t>
  </si>
  <si>
    <t>7</t>
  </si>
  <si>
    <t>want (want say)</t>
  </si>
  <si>
    <t>Clinton wants to lead the economy to its death and regulate it to its death , he says .</t>
  </si>
  <si>
    <t>file://conllu/en/ard.27823.conllu#s7_0</t>
  </si>
  <si>
    <t>8</t>
  </si>
  <si>
    <t>9</t>
  </si>
  <si>
    <t>say</t>
  </si>
  <si>
    <t>He would do things totally differently , Trump says .</t>
  </si>
  <si>
    <t>file://conllu/en/ard.27823.conllu#s8_0</t>
  </si>
  <si>
    <t>repeal</t>
  </si>
  <si>
    <t>He would repeal regulations , and lead a wide reaching tax reform with low rates for private individuals and companies .</t>
  </si>
  <si>
    <t>file://conllu/en/ard.27823.conllu#s9_0</t>
  </si>
  <si>
    <t>10</t>
  </si>
  <si>
    <t>Conversely?</t>
  </si>
  <si>
    <t>Conversely , Clinton says that the state has particular tasks to fulfil , giving disadvantaged people opportunities and it needs money to do so .</t>
  </si>
  <si>
    <t>file://conllu/en/ard.27823.conllu#s10_0</t>
  </si>
  <si>
    <t>11</t>
  </si>
  <si>
    <t>This would increase taxes for the rich , she says .</t>
  </si>
  <si>
    <t>file://conllu/en/ard.27823.conllu#s11_0</t>
  </si>
  <si>
    <t>12</t>
  </si>
  <si>
    <t>have</t>
  </si>
  <si>
    <t>Interestingly , they have similar views on infrastructure .</t>
  </si>
  <si>
    <t>file://conllu/en/ard.27823.conllu#s12_0</t>
  </si>
  <si>
    <t>13</t>
  </si>
  <si>
    <t>There has to be investment in infrastructure , Trump and Clinton say almost verbatim .</t>
  </si>
  <si>
    <t>file://conllu/en/ard.27823.conllu#s13_0</t>
  </si>
  <si>
    <t>14</t>
  </si>
  <si>
    <t>since?</t>
  </si>
  <si>
    <t>announce</t>
  </si>
  <si>
    <t>The Democratic candidate has even announced the largest investment in jobs since the Second World War .</t>
  </si>
  <si>
    <t>file://conllu/en/ard.27823.conllu#s14_0</t>
  </si>
  <si>
    <t>15</t>
  </si>
  <si>
    <t>be (be policy)</t>
  </si>
  <si>
    <t>State programs investing in infrastructure are classic Democrat policies , and are rejected by the tea party wing of the Republican party , which is critical of the state .</t>
  </si>
  <si>
    <t>file://conllu/en/ard.27823.conllu#s15_0</t>
  </si>
  <si>
    <t>16</t>
  </si>
  <si>
    <t>consequently?</t>
  </si>
  <si>
    <t>lead</t>
  </si>
  <si>
    <t>Consequently , Trump could lead to discussions within the party .</t>
  </si>
  <si>
    <t>file://conllu/en/ard.27823.conllu#s16_0</t>
  </si>
  <si>
    <t>17</t>
  </si>
  <si>
    <t>There are clearer differences to be seen in terms of energy and climate policies .</t>
  </si>
  <si>
    <t>file://conllu/en/ard.27823.conllu#s17_0</t>
  </si>
  <si>
    <t>18</t>
  </si>
  <si>
    <t>Trump wants to build coal fired power stations and bring coal production in the USA back up .</t>
  </si>
  <si>
    <t>file://conllu/en/ard.27823.conllu#s18_0</t>
  </si>
  <si>
    <t>19</t>
  </si>
  <si>
    <t>permit</t>
  </si>
  <si>
    <t>Drilling for oil should be permitted in protected areas , and he wants to withdraw from the Paris Climate Change Treaty .</t>
  </si>
  <si>
    <t>file://conllu/en/ard.27823.conllu#s19_0</t>
  </si>
  <si>
    <t>20</t>
  </si>
  <si>
    <t>on the other hand?</t>
  </si>
  <si>
    <t>use (use want)</t>
  </si>
  <si>
    <t>On the other hand , Clinton wants to use her investment program to extend renewable energies , saying : &amp;quot; One country will become the superpower of renewable energies , and create millions of jobs . &amp;quot;</t>
  </si>
  <si>
    <t>file://conllu/en/ard.27823.conllu#s20_0</t>
  </si>
  <si>
    <t>21</t>
  </si>
  <si>
    <t>be (be China)</t>
  </si>
  <si>
    <t>&amp;quot; It will either be China , Germany or America and I want it to be us . &amp;quot;</t>
  </si>
  <si>
    <t>file://conllu/en/ard.27823.conllu#s21_0</t>
  </si>
  <si>
    <t>22</t>
  </si>
  <si>
    <t>but?</t>
  </si>
  <si>
    <t>be (be infrastructure)</t>
  </si>
  <si>
    <t>But it 's not just infrastructure that sees the two candidates taking a rather similar stance they agree in terms of international trade agreements as well .</t>
  </si>
  <si>
    <t>file://conllu/en/ard.27823.conllu#s22_0</t>
  </si>
  <si>
    <t>23</t>
  </si>
  <si>
    <t>Neither want to sign TTP , the trans Pacific trade agreement .</t>
  </si>
  <si>
    <t>file://conllu/en/ard.27823.conllu#s23_0</t>
  </si>
  <si>
    <t>24</t>
  </si>
  <si>
    <t>want (want want)</t>
  </si>
  <si>
    <t>At the same time , neither want to cut the USA off from international trade they just want to protect American jobs better .</t>
  </si>
  <si>
    <t>file://conllu/en/ard.27823.conllu#s24_0</t>
  </si>
  <si>
    <t>25</t>
  </si>
  <si>
    <t>then?</t>
  </si>
  <si>
    <t>be (be better)</t>
  </si>
  <si>
    <t>They should then also be better paid , Clinton demands .</t>
  </si>
  <si>
    <t>file://conllu/en/ard.27823.conllu#s25_0</t>
  </si>
  <si>
    <t>26</t>
  </si>
  <si>
    <t>The current minimum wage of 7.25 US dollars is a pittance , she says .</t>
  </si>
  <si>
    <t>file://conllu/en/ard.27823.conllu#s26_0</t>
  </si>
  <si>
    <t>27</t>
  </si>
  <si>
    <t>She wants to raise it to 15 dollars an hour .</t>
  </si>
  <si>
    <t>file://conllu/en/ard.27823.conllu#s27_0</t>
  </si>
  <si>
    <t>28</t>
  </si>
  <si>
    <t>be (be clear)</t>
  </si>
  <si>
    <t>It is not quite clear what Trump wants to do on this score :</t>
  </si>
  <si>
    <t>file://conllu/en/ard.27823.conllu#s28_0</t>
  </si>
  <si>
    <t>29</t>
  </si>
  <si>
    <t>say (say say)</t>
  </si>
  <si>
    <t>Once he said that the minimum wage had to be raised , then he said it should stay the same .</t>
  </si>
  <si>
    <t>file://conllu/en/ard.27823.conllu#s29_0</t>
  </si>
  <si>
    <t>30</t>
  </si>
  <si>
    <t>revolve</t>
  </si>
  <si>
    <t>But the big discussion of the months to come will likely revolve around both parties ' tax policies .</t>
  </si>
  <si>
    <t>file://conllu/en/ard.27823.conllu#s30_0</t>
  </si>
  <si>
    <t>31</t>
  </si>
  <si>
    <t>be (be side)</t>
  </si>
  <si>
    <t>Trump is on one side , wanting to relieve the burden on the economy and citizens to boost growth .</t>
  </si>
  <si>
    <t>file://conllu/en/ard.27823.conllu#s31_0</t>
  </si>
  <si>
    <t>32</t>
  </si>
  <si>
    <t>critic</t>
  </si>
  <si>
    <t>His critics state that this will just increase the budgetary deficit .</t>
  </si>
  <si>
    <t>file://conllu/en/ard.27823.conllu#s32_0</t>
  </si>
  <si>
    <t>33</t>
  </si>
  <si>
    <t>Clinton is on the opposite side : as a minimum , she wants the rich to pay more taxes , and her critics say that more taxes are not the solution either .</t>
  </si>
  <si>
    <t>file://conllu/en/ard.27823.conllu#s33_0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</si>
  <si>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</si>
  <si>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</si>
  <si>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</si>
  <si>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</si>
  <si>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</si>
  <si>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</si>
  <si>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</si>
  <si>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</si>
  <si>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</si>
  <si>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</si>
  <si>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</si>
  <si>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Comparing Clinton's and Trump's economic policies:</t>
  </si>
  <si>
    <t>Comparing</t>
  </si>
  <si>
    <t>Clinton</t>
  </si>
  <si>
    <t>other_2</t>
  </si>
  <si>
    <t>ne</t>
  </si>
  <si>
    <t>?OLD</t>
  </si>
  <si>
    <t>'s</t>
  </si>
  <si>
    <t>and</t>
  </si>
  <si>
    <t>Trump</t>
  </si>
  <si>
    <t>other_3</t>
  </si>
  <si>
    <t>economic</t>
  </si>
  <si>
    <t>policies</t>
  </si>
  <si>
    <t>OBJ</t>
  </si>
  <si>
    <t>def-np.poss</t>
  </si>
  <si>
    <t>:</t>
  </si>
  <si>
    <t># text = It's all about the money Both Clinton and Trump want to invest in infrastructure and prevent the TTP trade agreement.</t>
  </si>
  <si>
    <t>It</t>
  </si>
  <si>
    <t>SBJ</t>
  </si>
  <si>
    <t>pron.pper</t>
  </si>
  <si>
    <t>all</t>
  </si>
  <si>
    <t>about</t>
  </si>
  <si>
    <t>the</t>
  </si>
  <si>
    <t>money</t>
  </si>
  <si>
    <t>other</t>
  </si>
  <si>
    <t>def-np.the</t>
  </si>
  <si>
    <t>Both</t>
  </si>
  <si>
    <t>SBJ_2</t>
  </si>
  <si>
    <t>to</t>
  </si>
  <si>
    <t>invest</t>
  </si>
  <si>
    <t>in</t>
  </si>
  <si>
    <t>infrastructure</t>
  </si>
  <si>
    <t>indef-np.bare</t>
  </si>
  <si>
    <t>prevent</t>
  </si>
  <si>
    <t>TTP</t>
  </si>
  <si>
    <t>trade</t>
  </si>
  <si>
    <t>agreement</t>
  </si>
  <si>
    <t>OBJ_2</t>
  </si>
  <si>
    <t>.</t>
  </si>
  <si>
    <t># text = But the two candidates for the US presidency disagree on taxes and energy policies, as well as on one fundamental issue.</t>
  </si>
  <si>
    <t>But</t>
  </si>
  <si>
    <t>two</t>
  </si>
  <si>
    <t>candidates</t>
  </si>
  <si>
    <t>def-np.quant</t>
  </si>
  <si>
    <t>for</t>
  </si>
  <si>
    <t>US</t>
  </si>
  <si>
    <t>presidency</t>
  </si>
  <si>
    <t>disagree</t>
  </si>
  <si>
    <t>on</t>
  </si>
  <si>
    <t>taxes</t>
  </si>
  <si>
    <t>energy</t>
  </si>
  <si>
    <t>,</t>
  </si>
  <si>
    <t>as</t>
  </si>
  <si>
    <t>well</t>
  </si>
  <si>
    <t>one</t>
  </si>
  <si>
    <t>fundamental</t>
  </si>
  <si>
    <t>issue</t>
  </si>
  <si>
    <t>indef-np.quant</t>
  </si>
  <si>
    <t># text = There is a fundamental philosophical reason for the differences between Donald Trump's and Hillary Clinton's economic policies.</t>
  </si>
  <si>
    <t>There</t>
  </si>
  <si>
    <t>is</t>
  </si>
  <si>
    <t>a</t>
  </si>
  <si>
    <t>philosophical</t>
  </si>
  <si>
    <t>reason</t>
  </si>
  <si>
    <t>indef-np.a</t>
  </si>
  <si>
    <t>differences</t>
  </si>
  <si>
    <t>between</t>
  </si>
  <si>
    <t>Donald</t>
  </si>
  <si>
    <t>other_4</t>
  </si>
  <si>
    <t>Hillary</t>
  </si>
  <si>
    <t>other_5</t>
  </si>
  <si>
    <t># text = This is the role of the state.</t>
  </si>
  <si>
    <t>This</t>
  </si>
  <si>
    <t>pron.pds</t>
  </si>
  <si>
    <t>role</t>
  </si>
  <si>
    <t>of</t>
  </si>
  <si>
    <t>state</t>
  </si>
  <si>
    <t># text = If in doubt, Trump wants the state's role to be minor, and warns of how the state can damage the economy with taxes and regulations.</t>
  </si>
  <si>
    <t>If</t>
  </si>
  <si>
    <t>doubt</t>
  </si>
  <si>
    <t>wants</t>
  </si>
  <si>
    <t>minor</t>
  </si>
  <si>
    <t>warns</t>
  </si>
  <si>
    <t>how</t>
  </si>
  <si>
    <t>SBJ_3</t>
  </si>
  <si>
    <t>can</t>
  </si>
  <si>
    <t>damage</t>
  </si>
  <si>
    <t>economy</t>
  </si>
  <si>
    <t>OBJ_3</t>
  </si>
  <si>
    <t>with</t>
  </si>
  <si>
    <t>regulations</t>
  </si>
  <si>
    <t># text = Clinton wants to lead the economy to its death and regulate it to its death, he says.</t>
  </si>
  <si>
    <t>its</t>
  </si>
  <si>
    <t>pron.ppos</t>
  </si>
  <si>
    <t>death</t>
  </si>
  <si>
    <t>regulate</t>
  </si>
  <si>
    <t>it</t>
  </si>
  <si>
    <t>he</t>
  </si>
  <si>
    <t>says</t>
  </si>
  <si>
    <t># text = He would do things totally differently, Trump says.</t>
  </si>
  <si>
    <t>He</t>
  </si>
  <si>
    <t>would</t>
  </si>
  <si>
    <t>do</t>
  </si>
  <si>
    <t>things</t>
  </si>
  <si>
    <t>totally</t>
  </si>
  <si>
    <t>differently</t>
  </si>
  <si>
    <t># text = He would repeal regulations, and lead a wide-reaching tax reform with low rates for private individuals and companies.</t>
  </si>
  <si>
    <t>wide</t>
  </si>
  <si>
    <t>reaching</t>
  </si>
  <si>
    <t>tax</t>
  </si>
  <si>
    <t>reform</t>
  </si>
  <si>
    <t>low</t>
  </si>
  <si>
    <t>rates</t>
  </si>
  <si>
    <t>private</t>
  </si>
  <si>
    <t>individuals</t>
  </si>
  <si>
    <t>companies</t>
  </si>
  <si>
    <t># text = Conversely, Clinton says that the state has particular tasks to fulfil, giving disadvantaged people opportunities - and it needs money to do so.</t>
  </si>
  <si>
    <t>Conversely</t>
  </si>
  <si>
    <t>that</t>
  </si>
  <si>
    <t>has</t>
  </si>
  <si>
    <t>particular</t>
  </si>
  <si>
    <t>tasks</t>
  </si>
  <si>
    <t>fulfil</t>
  </si>
  <si>
    <t>giving</t>
  </si>
  <si>
    <t>disadvantaged</t>
  </si>
  <si>
    <t>people</t>
  </si>
  <si>
    <t>opportunities</t>
  </si>
  <si>
    <t>OBJ_5</t>
  </si>
  <si>
    <t>needs</t>
  </si>
  <si>
    <t>so</t>
  </si>
  <si>
    <t># text = This would increase taxes for the rich, she says.</t>
  </si>
  <si>
    <t>increase</t>
  </si>
  <si>
    <t>rich</t>
  </si>
  <si>
    <t>she</t>
  </si>
  <si>
    <t># text = Interestingly, they have similar views on infrastructure.</t>
  </si>
  <si>
    <t>Interestingly</t>
  </si>
  <si>
    <t>they</t>
  </si>
  <si>
    <t>similar</t>
  </si>
  <si>
    <t>views</t>
  </si>
  <si>
    <t># text = There has to be investment in infrastructure, Trump and Clinton say almost verbatim.</t>
  </si>
  <si>
    <t>investment</t>
  </si>
  <si>
    <t>almost</t>
  </si>
  <si>
    <t>verbatim</t>
  </si>
  <si>
    <t># text = The Democratic candidate has even announced the largest investment in jobs since the Second World War.</t>
  </si>
  <si>
    <t>The</t>
  </si>
  <si>
    <t>Democratic</t>
  </si>
  <si>
    <t>even</t>
  </si>
  <si>
    <t>announced</t>
  </si>
  <si>
    <t>largest</t>
  </si>
  <si>
    <t>jobs</t>
  </si>
  <si>
    <t>since</t>
  </si>
  <si>
    <t>Second</t>
  </si>
  <si>
    <t>World</t>
  </si>
  <si>
    <t>War</t>
  </si>
  <si>
    <t># text = State programs investing in infrastructure are classic Democrat policies, and are rejected by the tea party wing of the Republican party, which is critical of the state.</t>
  </si>
  <si>
    <t>State</t>
  </si>
  <si>
    <t>programs</t>
  </si>
  <si>
    <t>investing</t>
  </si>
  <si>
    <t>are</t>
  </si>
  <si>
    <t>classic</t>
  </si>
  <si>
    <t>Democrat</t>
  </si>
  <si>
    <t>rejected</t>
  </si>
  <si>
    <t>by</t>
  </si>
  <si>
    <t>tea</t>
  </si>
  <si>
    <t>party</t>
  </si>
  <si>
    <t>wing</t>
  </si>
  <si>
    <t>Republican</t>
  </si>
  <si>
    <t>which</t>
  </si>
  <si>
    <t>SBJ_5</t>
  </si>
  <si>
    <t>critical</t>
  </si>
  <si>
    <t># text = Consequently, Trump could lead to discussions within the party.</t>
  </si>
  <si>
    <t>Consequently</t>
  </si>
  <si>
    <t>could</t>
  </si>
  <si>
    <t>discussions</t>
  </si>
  <si>
    <t>within</t>
  </si>
  <si>
    <t># text = There are clearer differences to be seen in terms of energy and climate policies.</t>
  </si>
  <si>
    <t>clearer</t>
  </si>
  <si>
    <t>seen</t>
  </si>
  <si>
    <t>terms</t>
  </si>
  <si>
    <t>climate</t>
  </si>
  <si>
    <t>other_6</t>
  </si>
  <si>
    <t># text = Trump wants to build coal-fired power stations and bring coal production in the USA back up.</t>
  </si>
  <si>
    <t>build</t>
  </si>
  <si>
    <t>coal</t>
  </si>
  <si>
    <t>fired</t>
  </si>
  <si>
    <t>power</t>
  </si>
  <si>
    <t>stations</t>
  </si>
  <si>
    <t>bring</t>
  </si>
  <si>
    <t>production</t>
  </si>
  <si>
    <t>USA</t>
  </si>
  <si>
    <t>back</t>
  </si>
  <si>
    <t>up</t>
  </si>
  <si>
    <t># text = Drilling for oil should be permitted in protected areas, and he wants to withdraw from the Paris Climate Change Treaty.</t>
  </si>
  <si>
    <t>Drilling</t>
  </si>
  <si>
    <t>oil</t>
  </si>
  <si>
    <t>should</t>
  </si>
  <si>
    <t>permitted</t>
  </si>
  <si>
    <t>protected</t>
  </si>
  <si>
    <t>areas</t>
  </si>
  <si>
    <t>withdraw</t>
  </si>
  <si>
    <t>from</t>
  </si>
  <si>
    <t>Paris</t>
  </si>
  <si>
    <t>Climate</t>
  </si>
  <si>
    <t>Change</t>
  </si>
  <si>
    <t>Treaty</t>
  </si>
  <si>
    <t>--</t>
  </si>
  <si>
    <t># text = On the other hand, Clinton wants to use her investment program to extend renewable energies, saying: "One country will become the superpower of renewable energies, and create millions of jobs."</t>
  </si>
  <si>
    <t>On</t>
  </si>
  <si>
    <t>hand</t>
  </si>
  <si>
    <t>def-np.the.other</t>
  </si>
  <si>
    <t>use</t>
  </si>
  <si>
    <t>her</t>
  </si>
  <si>
    <t>program</t>
  </si>
  <si>
    <t>extend</t>
  </si>
  <si>
    <t>renewable</t>
  </si>
  <si>
    <t>energies</t>
  </si>
  <si>
    <t>saying</t>
  </si>
  <si>
    <t>&amp;quot;</t>
  </si>
  <si>
    <t>One</t>
  </si>
  <si>
    <t>country</t>
  </si>
  <si>
    <t>will</t>
  </si>
  <si>
    <t>become</t>
  </si>
  <si>
    <t>superpower</t>
  </si>
  <si>
    <t>create</t>
  </si>
  <si>
    <t>millions</t>
  </si>
  <si>
    <t># text = \"It will either be China, Germany or America - and I want it to be us.\"</t>
  </si>
  <si>
    <t>either</t>
  </si>
  <si>
    <t>China</t>
  </si>
  <si>
    <t>Germany</t>
  </si>
  <si>
    <t>or</t>
  </si>
  <si>
    <t>America</t>
  </si>
  <si>
    <t>I</t>
  </si>
  <si>
    <t>us</t>
  </si>
  <si>
    <t># text = But it's not just infrastructure that sees the two candidates taking a rather similar stance - they agree in terms of international trade agreements as well.</t>
  </si>
  <si>
    <t>not</t>
  </si>
  <si>
    <t>just</t>
  </si>
  <si>
    <t>sees</t>
  </si>
  <si>
    <t>taking</t>
  </si>
  <si>
    <t>rather</t>
  </si>
  <si>
    <t>stance</t>
  </si>
  <si>
    <t>OBJ_4</t>
  </si>
  <si>
    <t>agree</t>
  </si>
  <si>
    <t>international</t>
  </si>
  <si>
    <t>agreements</t>
  </si>
  <si>
    <t># text = Neither want to sign TTP, the trans-Pacific trade agreement.</t>
  </si>
  <si>
    <t>Neither</t>
  </si>
  <si>
    <t>sign</t>
  </si>
  <si>
    <t>trans</t>
  </si>
  <si>
    <t>Pacific</t>
  </si>
  <si>
    <t># text = At the same time, neither want to cut the USA off from international trade - they just want to protect American jobs better.</t>
  </si>
  <si>
    <t>At</t>
  </si>
  <si>
    <t>same</t>
  </si>
  <si>
    <t>time</t>
  </si>
  <si>
    <t>neither</t>
  </si>
  <si>
    <t>cut</t>
  </si>
  <si>
    <t>off</t>
  </si>
  <si>
    <t>protect</t>
  </si>
  <si>
    <t>American</t>
  </si>
  <si>
    <t>better</t>
  </si>
  <si>
    <t># text = They should then also be better paid, Clinton demands.</t>
  </si>
  <si>
    <t>They</t>
  </si>
  <si>
    <t>then</t>
  </si>
  <si>
    <t>also</t>
  </si>
  <si>
    <t>paid</t>
  </si>
  <si>
    <t>demands</t>
  </si>
  <si>
    <t># text = The current minimum wage of 7.25 US dollars is a pittance, she says.</t>
  </si>
  <si>
    <t>current</t>
  </si>
  <si>
    <t>minimum</t>
  </si>
  <si>
    <t>wage</t>
  </si>
  <si>
    <t>7.25</t>
  </si>
  <si>
    <t>dollars</t>
  </si>
  <si>
    <t>pittance</t>
  </si>
  <si>
    <t># text = She wants to raise it to 15 dollars an hour.</t>
  </si>
  <si>
    <t>She</t>
  </si>
  <si>
    <t>raise</t>
  </si>
  <si>
    <t>an</t>
  </si>
  <si>
    <t>hour</t>
  </si>
  <si>
    <t># text = It is not quite clear what Trump wants to do on this score:</t>
  </si>
  <si>
    <t>quite</t>
  </si>
  <si>
    <t>clear</t>
  </si>
  <si>
    <t>what</t>
  </si>
  <si>
    <t>pron.pint</t>
  </si>
  <si>
    <t>indef-np</t>
  </si>
  <si>
    <t>this</t>
  </si>
  <si>
    <t>score</t>
  </si>
  <si>
    <t>def-np.dem</t>
  </si>
  <si>
    <t># text = Once he said that the minimum wage had to be raised, then he said it should stay the same.</t>
  </si>
  <si>
    <t>Once</t>
  </si>
  <si>
    <t>said</t>
  </si>
  <si>
    <t>had</t>
  </si>
  <si>
    <t>raised</t>
  </si>
  <si>
    <t>stay</t>
  </si>
  <si>
    <t># text = But the big discussion of the months to come will likely revolve around both parties' tax policies.</t>
  </si>
  <si>
    <t>big</t>
  </si>
  <si>
    <t>discussion</t>
  </si>
  <si>
    <t>months</t>
  </si>
  <si>
    <t>come</t>
  </si>
  <si>
    <t>likely</t>
  </si>
  <si>
    <t>around</t>
  </si>
  <si>
    <t>both</t>
  </si>
  <si>
    <t>parties</t>
  </si>
  <si>
    <t>'</t>
  </si>
  <si>
    <t># text = Trump is on one side, wanting to relieve the burden on the economy and citizens to boost growth.</t>
  </si>
  <si>
    <t>side</t>
  </si>
  <si>
    <t>wanting</t>
  </si>
  <si>
    <t>relieve</t>
  </si>
  <si>
    <t>burden</t>
  </si>
  <si>
    <t>citizens</t>
  </si>
  <si>
    <t>boost</t>
  </si>
  <si>
    <t>growth</t>
  </si>
  <si>
    <t># text = His critics state that this will just increase the budgetary deficit.</t>
  </si>
  <si>
    <t>His</t>
  </si>
  <si>
    <t>critics</t>
  </si>
  <si>
    <t>budgetary</t>
  </si>
  <si>
    <t>deficit</t>
  </si>
  <si>
    <t># text = Clinton is on the opposite side: as a minimum, she wants the rich to pay more taxes, and her critics say that more taxes are not the solution either.</t>
  </si>
  <si>
    <t>opposite</t>
  </si>
  <si>
    <t>pay</t>
  </si>
  <si>
    <t>more</t>
  </si>
  <si>
    <t>solution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</si>
</sst>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10</v>
      </c>
      <c r="C2" s="6" t="s">
        <v>11</v>
      </c>
      <c r="D2" s="7" t="s">
        <v>12</v>
      </c>
      <c r="E2" s="8" t="s">
        <v>13</v>
      </c>
      <c r="F2" s="6" t="s">
        <v>14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15</v>
      </c>
      <c r="B3" s="6" t="s">
        <v>15</v>
      </c>
      <c r="C3" s="6" t="s">
        <v>16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11</v>
      </c>
      <c r="I3" s="11" t="s">
        <v>11</v>
      </c>
      <c r="J3" s="12"/>
    </row>
    <row r="4" spans="1:10" ht="60" customHeight="1">
      <c r="A4" s="6" t="s">
        <v>20</v>
      </c>
      <c r="B4" s="6" t="s">
        <v>21</v>
      </c>
      <c r="C4" s="6" t="s">
        <v>22</v>
      </c>
      <c r="D4" s="7" t="s">
        <v>23</v>
      </c>
      <c r="E4" s="8" t="s">
        <v>24</v>
      </c>
      <c r="F4" s="6" t="s">
        <v>25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15</v>
      </c>
      <c r="C5" s="6" t="s">
        <v>11</v>
      </c>
      <c r="D5" s="7" t="s">
        <v>26</v>
      </c>
      <c r="E5" s="8" t="s">
        <v>27</v>
      </c>
      <c r="F5" s="6" t="s">
        <v>28</v>
      </c>
      <c r="G5" s="9">
        <f>IF(A5=1,"_",IF(C5="_","???",C5))</f>
        <v/>
      </c>
      <c r="H5" s="10" t="s">
        <v>11</v>
      </c>
      <c r="I5" s="11" t="s">
        <v>11</v>
      </c>
      <c r="J5" s="12"/>
    </row>
    <row r="6" spans="1:10" ht="60" customHeight="1">
      <c r="A6" s="6" t="s">
        <v>29</v>
      </c>
      <c r="B6" s="6" t="s">
        <v>15</v>
      </c>
      <c r="C6" s="6" t="s">
        <v>11</v>
      </c>
      <c r="D6" s="7" t="s">
        <v>30</v>
      </c>
      <c r="E6" s="8" t="s">
        <v>31</v>
      </c>
      <c r="F6" s="6" t="s">
        <v>32</v>
      </c>
      <c r="G6" s="9">
        <f>IF(A6=1,"_",IF(C6="_","???",C6))</f>
        <v/>
      </c>
      <c r="H6" s="10" t="s">
        <v>11</v>
      </c>
      <c r="I6" s="11" t="s">
        <v>11</v>
      </c>
      <c r="J6" s="12"/>
    </row>
    <row r="7" spans="1:10" ht="60" customHeight="1">
      <c r="A7" s="6" t="s">
        <v>33</v>
      </c>
      <c r="B7" s="6" t="s">
        <v>33</v>
      </c>
      <c r="C7" s="6" t="s">
        <v>16</v>
      </c>
      <c r="D7" s="7" t="s">
        <v>34</v>
      </c>
      <c r="E7" s="8" t="s">
        <v>35</v>
      </c>
      <c r="F7" s="6" t="s">
        <v>36</v>
      </c>
      <c r="G7" s="9">
        <f>IF(A7=1,"_",IF(C7="_","???",C7))</f>
        <v/>
      </c>
      <c r="H7" s="10" t="s">
        <v>11</v>
      </c>
      <c r="I7" s="11" t="s">
        <v>11</v>
      </c>
      <c r="J7" s="12"/>
    </row>
    <row r="8" spans="1:10" ht="60" customHeight="1">
      <c r="A8" s="6" t="s">
        <v>37</v>
      </c>
      <c r="B8" s="6" t="s">
        <v>15</v>
      </c>
      <c r="C8" s="6" t="s">
        <v>11</v>
      </c>
      <c r="D8" s="7" t="s">
        <v>38</v>
      </c>
      <c r="E8" s="8" t="s">
        <v>39</v>
      </c>
      <c r="F8" s="6" t="s">
        <v>40</v>
      </c>
      <c r="G8" s="9">
        <f>IF(A8=1,"_",IF(C8="_","???",C8))</f>
        <v/>
      </c>
      <c r="H8" s="10" t="s">
        <v>11</v>
      </c>
      <c r="I8" s="11" t="s">
        <v>11</v>
      </c>
      <c r="J8" s="12"/>
    </row>
    <row r="9" spans="1:10" ht="60" customHeight="1">
      <c r="A9" s="6" t="s">
        <v>41</v>
      </c>
      <c r="B9" s="6" t="s">
        <v>42</v>
      </c>
      <c r="C9" s="6" t="s">
        <v>11</v>
      </c>
      <c r="D9" s="7" t="s">
        <v>43</v>
      </c>
      <c r="E9" s="8" t="s">
        <v>44</v>
      </c>
      <c r="F9" s="6" t="s">
        <v>45</v>
      </c>
      <c r="G9" s="9">
        <f>IF(A9=1,"_",IF(C9="_","???",C9))</f>
        <v/>
      </c>
      <c r="H9" s="10" t="s">
        <v>11</v>
      </c>
      <c r="I9" s="11" t="s">
        <v>11</v>
      </c>
      <c r="J9" s="12"/>
    </row>
    <row r="10" spans="1:10" ht="60" customHeight="1">
      <c r="A10" s="6" t="s">
        <v>42</v>
      </c>
      <c r="B10" s="6" t="s">
        <v>20</v>
      </c>
      <c r="C10" s="6" t="s">
        <v>16</v>
      </c>
      <c r="D10" s="7" t="s">
        <v>46</v>
      </c>
      <c r="E10" s="8" t="s">
        <v>47</v>
      </c>
      <c r="F10" s="6" t="s">
        <v>48</v>
      </c>
      <c r="G10" s="9">
        <f>IF(A10=1,"_",IF(C10="_","???",C10))</f>
        <v/>
      </c>
      <c r="H10" s="10" t="s">
        <v>11</v>
      </c>
      <c r="I10" s="11" t="s">
        <v>11</v>
      </c>
      <c r="J10" s="12"/>
    </row>
    <row r="11" spans="1:10" ht="60" customHeight="1">
      <c r="A11" s="6" t="s">
        <v>49</v>
      </c>
      <c r="B11" s="6" t="s">
        <v>21</v>
      </c>
      <c r="C11" s="6" t="s">
        <v>50</v>
      </c>
      <c r="D11" s="7" t="s">
        <v>43</v>
      </c>
      <c r="E11" s="8" t="s">
        <v>51</v>
      </c>
      <c r="F11" s="6" t="s">
        <v>52</v>
      </c>
      <c r="G11" s="9">
        <f>IF(A11=1,"_",IF(C11="_","???",C11))</f>
        <v/>
      </c>
      <c r="H11" s="10" t="s">
        <v>11</v>
      </c>
      <c r="I11" s="11" t="s">
        <v>11</v>
      </c>
      <c r="J11" s="12"/>
    </row>
    <row r="12" spans="1:10" ht="60" customHeight="1">
      <c r="A12" s="6" t="s">
        <v>53</v>
      </c>
      <c r="B12" s="6" t="s">
        <v>49</v>
      </c>
      <c r="C12" s="6" t="s">
        <v>11</v>
      </c>
      <c r="D12" s="7" t="s">
        <v>43</v>
      </c>
      <c r="E12" s="8" t="s">
        <v>54</v>
      </c>
      <c r="F12" s="6" t="s">
        <v>55</v>
      </c>
      <c r="G12" s="9">
        <f>IF(A12=1,"_",IF(C12="_","???",C12))</f>
        <v/>
      </c>
      <c r="H12" s="10" t="s">
        <v>11</v>
      </c>
      <c r="I12" s="11" t="s">
        <v>11</v>
      </c>
      <c r="J12" s="12"/>
    </row>
    <row r="13" spans="1:10" ht="60" customHeight="1">
      <c r="A13" s="6" t="s">
        <v>56</v>
      </c>
      <c r="B13" s="6" t="s">
        <v>21</v>
      </c>
      <c r="C13" s="6" t="s">
        <v>11</v>
      </c>
      <c r="D13" s="7" t="s">
        <v>57</v>
      </c>
      <c r="E13" s="8" t="s">
        <v>58</v>
      </c>
      <c r="F13" s="6" t="s">
        <v>59</v>
      </c>
      <c r="G13" s="9">
        <f>IF(A13=1,"_",IF(C13="_","???",C13))</f>
        <v/>
      </c>
      <c r="H13" s="10" t="s">
        <v>11</v>
      </c>
      <c r="I13" s="11" t="s">
        <v>11</v>
      </c>
      <c r="J13" s="12"/>
    </row>
    <row r="14" spans="1:10" ht="60" customHeight="1">
      <c r="A14" s="6" t="s">
        <v>60</v>
      </c>
      <c r="B14" s="6" t="s">
        <v>15</v>
      </c>
      <c r="C14" s="6" t="s">
        <v>11</v>
      </c>
      <c r="D14" s="7" t="s">
        <v>57</v>
      </c>
      <c r="E14" s="8" t="s">
        <v>61</v>
      </c>
      <c r="F14" s="6" t="s">
        <v>62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63</v>
      </c>
      <c r="B15" s="6" t="s">
        <v>33</v>
      </c>
      <c r="C15" s="6" t="s">
        <v>64</v>
      </c>
      <c r="D15" s="7" t="s">
        <v>65</v>
      </c>
      <c r="E15" s="8" t="s">
        <v>66</v>
      </c>
      <c r="F15" s="6" t="s">
        <v>67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68</v>
      </c>
      <c r="B16" s="6" t="s">
        <v>33</v>
      </c>
      <c r="C16" s="6" t="s">
        <v>16</v>
      </c>
      <c r="D16" s="7" t="s">
        <v>69</v>
      </c>
      <c r="E16" s="8" t="s">
        <v>70</v>
      </c>
      <c r="F16" s="6" t="s">
        <v>71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72</v>
      </c>
      <c r="B17" s="6" t="s">
        <v>29</v>
      </c>
      <c r="C17" s="6" t="s">
        <v>73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11</v>
      </c>
      <c r="I17" s="11" t="s">
        <v>11</v>
      </c>
      <c r="J17" s="12"/>
    </row>
    <row r="18" spans="1:10" ht="60" customHeight="1">
      <c r="A18" s="6" t="s">
        <v>77</v>
      </c>
      <c r="B18" s="6" t="s">
        <v>15</v>
      </c>
      <c r="C18" s="6" t="s">
        <v>11</v>
      </c>
      <c r="D18" s="7" t="s">
        <v>26</v>
      </c>
      <c r="E18" s="8" t="s">
        <v>78</v>
      </c>
      <c r="F18" s="6" t="s">
        <v>79</v>
      </c>
      <c r="G18" s="9">
        <f>IF(A18=1,"_",IF(C18="_","???",C18))</f>
        <v/>
      </c>
      <c r="H18" s="10" t="s">
        <v>11</v>
      </c>
      <c r="I18" s="11" t="s">
        <v>11</v>
      </c>
      <c r="J18" s="12"/>
    </row>
    <row r="19" spans="1:10" ht="60" customHeight="1">
      <c r="A19" s="6" t="s">
        <v>80</v>
      </c>
      <c r="B19" s="6" t="s">
        <v>15</v>
      </c>
      <c r="C19" s="6" t="s">
        <v>11</v>
      </c>
      <c r="D19" s="7" t="s">
        <v>34</v>
      </c>
      <c r="E19" s="8" t="s">
        <v>81</v>
      </c>
      <c r="F19" s="6" t="s">
        <v>82</v>
      </c>
      <c r="G19" s="9">
        <f>IF(A19=1,"_",IF(C19="_","???",C19))</f>
        <v/>
      </c>
      <c r="H19" s="10" t="s">
        <v>11</v>
      </c>
      <c r="I19" s="11" t="s">
        <v>11</v>
      </c>
      <c r="J19" s="12"/>
    </row>
    <row r="20" spans="1:10" ht="60" customHeight="1">
      <c r="A20" s="6" t="s">
        <v>83</v>
      </c>
      <c r="B20" s="6" t="s">
        <v>33</v>
      </c>
      <c r="C20" s="6" t="s">
        <v>16</v>
      </c>
      <c r="D20" s="7" t="s">
        <v>84</v>
      </c>
      <c r="E20" s="8" t="s">
        <v>85</v>
      </c>
      <c r="F20" s="6" t="s">
        <v>86</v>
      </c>
      <c r="G20" s="9">
        <f>IF(A20=1,"_",IF(C20="_","???",C20))</f>
        <v/>
      </c>
      <c r="H20" s="10" t="s">
        <v>11</v>
      </c>
      <c r="I20" s="11" t="s">
        <v>11</v>
      </c>
      <c r="J20" s="12"/>
    </row>
    <row r="21" spans="1:10" ht="60" customHeight="1">
      <c r="A21" s="6" t="s">
        <v>87</v>
      </c>
      <c r="B21" s="6" t="s">
        <v>42</v>
      </c>
      <c r="C21" s="6" t="s">
        <v>88</v>
      </c>
      <c r="D21" s="7" t="s">
        <v>89</v>
      </c>
      <c r="E21" s="8" t="s">
        <v>90</v>
      </c>
      <c r="F21" s="6" t="s">
        <v>91</v>
      </c>
      <c r="G21" s="9">
        <f>IF(A21=1,"_",IF(C21="_","???",C21))</f>
        <v/>
      </c>
      <c r="H21" s="10" t="s">
        <v>11</v>
      </c>
      <c r="I21" s="11" t="s">
        <v>11</v>
      </c>
      <c r="J21" s="12"/>
    </row>
    <row r="22" spans="1:10" ht="60" customHeight="1">
      <c r="A22" s="6" t="s">
        <v>92</v>
      </c>
      <c r="B22" s="6" t="s">
        <v>29</v>
      </c>
      <c r="C22" s="6" t="s">
        <v>16</v>
      </c>
      <c r="D22" s="7" t="s">
        <v>93</v>
      </c>
      <c r="E22" s="8" t="s">
        <v>94</v>
      </c>
      <c r="F22" s="6" t="s">
        <v>95</v>
      </c>
      <c r="G22" s="9">
        <f>IF(A22=1,"_",IF(C22="_","???",C22))</f>
        <v/>
      </c>
      <c r="H22" s="10" t="s">
        <v>11</v>
      </c>
      <c r="I22" s="11" t="s">
        <v>11</v>
      </c>
      <c r="J22" s="12"/>
    </row>
    <row r="23" spans="1:10" ht="60" customHeight="1">
      <c r="A23" s="6" t="s">
        <v>96</v>
      </c>
      <c r="B23" s="6" t="s">
        <v>20</v>
      </c>
      <c r="C23" s="6" t="s">
        <v>97</v>
      </c>
      <c r="D23" s="7" t="s">
        <v>98</v>
      </c>
      <c r="E23" s="8" t="s">
        <v>99</v>
      </c>
      <c r="F23" s="6" t="s">
        <v>100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101</v>
      </c>
      <c r="B24" s="6" t="s">
        <v>15</v>
      </c>
      <c r="C24" s="6" t="s">
        <v>11</v>
      </c>
      <c r="D24" s="7" t="s">
        <v>34</v>
      </c>
      <c r="E24" s="8" t="s">
        <v>102</v>
      </c>
      <c r="F24" s="6" t="s">
        <v>103</v>
      </c>
      <c r="G24" s="9">
        <f>IF(A24=1,"_",IF(C24="_","???",C24))</f>
        <v/>
      </c>
      <c r="H24" s="10" t="s">
        <v>11</v>
      </c>
      <c r="I24" s="11" t="s">
        <v>11</v>
      </c>
      <c r="J24" s="12"/>
    </row>
    <row r="25" spans="1:10" ht="60" customHeight="1">
      <c r="A25" s="6" t="s">
        <v>104</v>
      </c>
      <c r="B25" s="6" t="s">
        <v>83</v>
      </c>
      <c r="C25" s="6" t="s">
        <v>11</v>
      </c>
      <c r="D25" s="7" t="s">
        <v>105</v>
      </c>
      <c r="E25" s="8" t="s">
        <v>106</v>
      </c>
      <c r="F25" s="6" t="s">
        <v>107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108</v>
      </c>
      <c r="B26" s="6" t="s">
        <v>29</v>
      </c>
      <c r="C26" s="6" t="s">
        <v>109</v>
      </c>
      <c r="D26" s="7" t="s">
        <v>110</v>
      </c>
      <c r="E26" s="8" t="s">
        <v>111</v>
      </c>
      <c r="F26" s="6" t="s">
        <v>112</v>
      </c>
      <c r="G26" s="9">
        <f>IF(A26=1,"_",IF(C26="_","???",C26))</f>
        <v/>
      </c>
      <c r="H26" s="10" t="s">
        <v>11</v>
      </c>
      <c r="I26" s="11" t="s">
        <v>11</v>
      </c>
      <c r="J26" s="12"/>
    </row>
    <row r="27" spans="1:10" ht="60" customHeight="1">
      <c r="A27" s="6" t="s">
        <v>113</v>
      </c>
      <c r="B27" s="6" t="s">
        <v>63</v>
      </c>
      <c r="C27" s="6" t="s">
        <v>11</v>
      </c>
      <c r="D27" s="7" t="s">
        <v>43</v>
      </c>
      <c r="E27" s="8" t="s">
        <v>114</v>
      </c>
      <c r="F27" s="6" t="s">
        <v>115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116</v>
      </c>
      <c r="B28" s="6" t="s">
        <v>15</v>
      </c>
      <c r="C28" s="6" t="s">
        <v>11</v>
      </c>
      <c r="D28" s="7" t="s">
        <v>34</v>
      </c>
      <c r="E28" s="8" t="s">
        <v>117</v>
      </c>
      <c r="F28" s="6" t="s">
        <v>118</v>
      </c>
      <c r="G28" s="9">
        <f>IF(A28=1,"_",IF(C28="_","???",C28))</f>
        <v/>
      </c>
      <c r="H28" s="10" t="s">
        <v>11</v>
      </c>
      <c r="I28" s="11" t="s">
        <v>11</v>
      </c>
      <c r="J28" s="12"/>
    </row>
    <row r="29" spans="1:10" ht="60" customHeight="1">
      <c r="A29" s="6" t="s">
        <v>119</v>
      </c>
      <c r="B29" s="6" t="s">
        <v>15</v>
      </c>
      <c r="C29" s="6" t="s">
        <v>11</v>
      </c>
      <c r="D29" s="7" t="s">
        <v>120</v>
      </c>
      <c r="E29" s="8" t="s">
        <v>121</v>
      </c>
      <c r="F29" s="6" t="s">
        <v>122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123</v>
      </c>
      <c r="B30" s="6" t="s">
        <v>20</v>
      </c>
      <c r="C30" s="6" t="s">
        <v>109</v>
      </c>
      <c r="D30" s="7" t="s">
        <v>124</v>
      </c>
      <c r="E30" s="8" t="s">
        <v>125</v>
      </c>
      <c r="F30" s="6" t="s">
        <v>126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127</v>
      </c>
      <c r="B31" s="6" t="s">
        <v>56</v>
      </c>
      <c r="C31" s="6" t="s">
        <v>97</v>
      </c>
      <c r="D31" s="7" t="s">
        <v>128</v>
      </c>
      <c r="E31" s="8" t="s">
        <v>129</v>
      </c>
      <c r="F31" s="6" t="s">
        <v>130</v>
      </c>
      <c r="G31" s="9">
        <f>IF(A31=1,"_",IF(C31="_","???",C31))</f>
        <v/>
      </c>
      <c r="H31" s="10" t="s">
        <v>11</v>
      </c>
      <c r="I31" s="11" t="s">
        <v>11</v>
      </c>
      <c r="J31" s="12"/>
    </row>
    <row r="32" spans="1:10" ht="60" customHeight="1">
      <c r="A32" s="6" t="s">
        <v>131</v>
      </c>
      <c r="B32" s="6" t="s">
        <v>15</v>
      </c>
      <c r="C32" s="6" t="s">
        <v>16</v>
      </c>
      <c r="D32" s="7" t="s">
        <v>132</v>
      </c>
      <c r="E32" s="8" t="s">
        <v>133</v>
      </c>
      <c r="F32" s="6" t="s">
        <v>134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135</v>
      </c>
      <c r="B33" s="6" t="s">
        <v>15</v>
      </c>
      <c r="C33" s="6" t="s">
        <v>11</v>
      </c>
      <c r="D33" s="7" t="s">
        <v>136</v>
      </c>
      <c r="E33" s="8" t="s">
        <v>137</v>
      </c>
      <c r="F33" s="6" t="s">
        <v>138</v>
      </c>
      <c r="G33" s="9">
        <f>IF(A33=1,"_",IF(C33="_","???",C33))</f>
        <v/>
      </c>
      <c r="H33" s="10" t="s">
        <v>11</v>
      </c>
      <c r="I33" s="11" t="s">
        <v>11</v>
      </c>
      <c r="J33" s="12"/>
    </row>
    <row r="34" spans="1:10" ht="60" customHeight="1">
      <c r="A34" s="6" t="s">
        <v>139</v>
      </c>
      <c r="B34" s="6" t="s">
        <v>15</v>
      </c>
      <c r="C34" s="6" t="s">
        <v>16</v>
      </c>
      <c r="D34" s="7" t="s">
        <v>132</v>
      </c>
      <c r="E34" s="8" t="s">
        <v>140</v>
      </c>
      <c r="F34" s="6" t="s">
        <v>141</v>
      </c>
      <c r="G34" s="9">
        <f>IF(A34=1,"_",IF(C34="_","???",C34))</f>
        <v/>
      </c>
      <c r="H34" s="10" t="s">
        <v>11</v>
      </c>
      <c r="I34" s="11" t="s">
        <v>11</v>
      </c>
      <c r="J34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8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142</v>
      </c>
      <c r="B1" s="13" t="s">
        <v>143</v>
      </c>
      <c r="C1" s="13" t="s">
        <v>144</v>
      </c>
      <c r="D1" s="13" t="s">
        <v>145</v>
      </c>
      <c r="E1" s="14" t="s">
        <v>146</v>
      </c>
      <c r="F1" s="15" t="s">
        <v>147</v>
      </c>
      <c r="G1" s="16" t="s">
        <v>148</v>
      </c>
      <c r="H1" s="17" t="s">
        <v>149</v>
      </c>
      <c r="I1" s="18" t="s">
        <v>150</v>
      </c>
      <c r="J1" s="18" t="s">
        <v>151</v>
      </c>
      <c r="K1" s="18" t="s">
        <v>152</v>
      </c>
      <c r="L1" s="19" t="s">
        <v>9</v>
      </c>
    </row>
    <row r="2" spans="1:12">
      <c r="A2" s="20" t="s">
        <v>153</v>
      </c>
    </row>
    <row r="3" spans="1:12">
      <c r="A3" s="20" t="s">
        <v>154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155</v>
      </c>
      <c r="B4" s="27" t="s">
        <v>156</v>
      </c>
      <c r="C4" s="27" t="s">
        <v>157</v>
      </c>
      <c r="D4" s="27" t="s">
        <v>158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159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160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161</v>
      </c>
      <c r="B7" s="27" t="s">
        <v>162</v>
      </c>
      <c r="C7" s="27" t="s">
        <v>157</v>
      </c>
      <c r="D7" s="27" t="s">
        <v>158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159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163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164</v>
      </c>
      <c r="B10" s="27" t="s">
        <v>165</v>
      </c>
      <c r="C10" s="27" t="s">
        <v>166</v>
      </c>
      <c r="D10" s="27" t="s">
        <v>158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167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/>
    </row>
    <row r="13" spans="1:12">
      <c r="A13" s="20" t="s">
        <v>168</v>
      </c>
    </row>
    <row r="14" spans="1:12">
      <c r="A14" s="20" t="s">
        <v>169</v>
      </c>
      <c r="B14" s="27" t="s">
        <v>170</v>
      </c>
      <c r="C14" s="27" t="s">
        <v>171</v>
      </c>
      <c r="D14" s="27" t="s">
        <v>158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159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172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173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174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175</v>
      </c>
      <c r="B19" s="27" t="s">
        <v>176</v>
      </c>
      <c r="C19" s="27" t="s">
        <v>177</v>
      </c>
      <c r="D19" s="27" t="s">
        <v>158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178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155</v>
      </c>
      <c r="B21" s="27" t="s">
        <v>179</v>
      </c>
      <c r="C21" s="27" t="s">
        <v>157</v>
      </c>
      <c r="D21" s="27" t="s">
        <v>158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160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161</v>
      </c>
      <c r="B23" s="27" t="s">
        <v>162</v>
      </c>
      <c r="C23" s="27" t="s">
        <v>157</v>
      </c>
      <c r="D23" s="27" t="s">
        <v>158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34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180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181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182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183</v>
      </c>
      <c r="B28" s="27" t="s">
        <v>162</v>
      </c>
      <c r="C28" s="27" t="s">
        <v>184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160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185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174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186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187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188</v>
      </c>
      <c r="B34" s="27" t="s">
        <v>189</v>
      </c>
      <c r="C34" s="27" t="s">
        <v>177</v>
      </c>
      <c r="D34" s="27" t="s">
        <v>158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190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/>
    </row>
    <row r="37" spans="1:12">
      <c r="A37" s="20" t="s">
        <v>191</v>
      </c>
    </row>
    <row r="38" spans="1:12">
      <c r="A38" s="20" t="s">
        <v>192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174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193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194</v>
      </c>
      <c r="B41" s="27" t="s">
        <v>176</v>
      </c>
      <c r="C41" s="27" t="s">
        <v>195</v>
      </c>
      <c r="D41" s="27" t="s">
        <v>158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196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174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197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198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199</v>
      </c>
      <c r="B46" s="27" t="s">
        <v>176</v>
      </c>
      <c r="C46" s="27" t="s">
        <v>177</v>
      </c>
      <c r="D46" s="27" t="s">
        <v>158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200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201</v>
      </c>
      <c r="B48" s="27" t="s">
        <v>156</v>
      </c>
      <c r="C48" s="27" t="s">
        <v>184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160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202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164</v>
      </c>
      <c r="B51" s="27" t="s">
        <v>162</v>
      </c>
      <c r="C51" s="27" t="s">
        <v>184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203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 t="s">
        <v>204</v>
      </c>
      <c r="E53" s="21">
        <f>IF(D53="?OLD","!!!","")</f>
        <v/>
      </c>
      <c r="F53" s="22" t="str">
        <f>IF(OR(E53="",E53="!!!"),"",IF(NOT(ISNA(VLOOKUP(E53,E$1:E52,1,FALSE()))),"OLD",IF(AND(E53&lt;&gt;"",E53&lt;&gt;"!!!"),"NEW","")))</f>
        <v> </v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4" t="str">
        <f>IF(J53&lt;&gt;1,"",IF(I53="SBJ","CB","?"))</f>
        <v> </v>
      </c>
      <c r="I53" s="25" t="str">
        <f>IF(OR(E53="",E53="!!!",F53="NEW"),"",INDEX(B52:B$2,-1+SUMPRODUCT(MAX(ROW(E52:E$2)*(E53=E52:E$2)))))</f>
        <v> </v>
      </c>
      <c r="J53" s="25" t="str">
        <f>IF(OR(E53="",E53="!!!",F53="NEW"),"",COUNTBLANK(OFFSET(A$1,,,SUMPRODUCT(MAX(ROW(E$2:E53)*(E53=E$2:E53)))))-COUNTBLANK(OFFSET(A$1,,,SUMPRODUCT(MAX(ROW(E$1:E52)*(E2=E$1:E52))))))</f>
        <v> </v>
      </c>
      <c r="K53" s="25" t="str">
        <f>IF(OR(E53="",E53="!!!",F53="NEW"),"",INDEX(J$1:J52,SUMPRODUCT(MAX(ROW(E$1:E52)*(E53=E$1:E52)))))</f>
        <v> </v>
      </c>
      <c r="L53" s="26"/>
    </row>
    <row r="54" spans="1:12">
      <c r="A54" s="20" t="s">
        <v>205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204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200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206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207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208</v>
      </c>
      <c r="B59" s="27" t="s">
        <v>176</v>
      </c>
      <c r="C59" s="27" t="s">
        <v>209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190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/>
    </row>
    <row r="62" spans="1:12">
      <c r="A62" s="20" t="s">
        <v>210</v>
      </c>
    </row>
    <row r="63" spans="1:12">
      <c r="A63" s="20" t="s">
        <v>211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212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213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207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214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215</v>
      </c>
      <c r="B68" s="27" t="s">
        <v>170</v>
      </c>
      <c r="C68" s="27" t="s">
        <v>216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196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174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217</v>
      </c>
      <c r="B71" s="27" t="s">
        <v>156</v>
      </c>
      <c r="C71" s="27" t="s">
        <v>177</v>
      </c>
      <c r="D71" s="27" t="s">
        <v>158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218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219</v>
      </c>
      <c r="B73" s="27" t="s">
        <v>220</v>
      </c>
      <c r="C73" s="27" t="s">
        <v>157</v>
      </c>
      <c r="D73" s="27" t="s">
        <v>158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161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159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160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221</v>
      </c>
      <c r="B77" s="27" t="s">
        <v>222</v>
      </c>
      <c r="C77" s="27" t="s">
        <v>157</v>
      </c>
      <c r="D77" s="27" t="s">
        <v>158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155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159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163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164</v>
      </c>
      <c r="B81" s="27" t="s">
        <v>162</v>
      </c>
      <c r="C81" s="27" t="s">
        <v>166</v>
      </c>
      <c r="D81" s="27" t="s">
        <v>158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190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/>
    </row>
    <row r="84" spans="1:12">
      <c r="A84" s="20" t="s">
        <v>223</v>
      </c>
    </row>
    <row r="85" spans="1:12">
      <c r="A85" s="20" t="s">
        <v>224</v>
      </c>
      <c r="B85" s="27" t="s">
        <v>170</v>
      </c>
      <c r="C85" s="27" t="s">
        <v>225</v>
      </c>
      <c r="D85" s="27" t="s">
        <v>158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212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174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 t="s">
        <v>226</v>
      </c>
      <c r="B88" s="27" t="s">
        <v>176</v>
      </c>
      <c r="C88" s="27" t="s">
        <v>177</v>
      </c>
      <c r="D88" s="27" t="s">
        <v>158</v>
      </c>
      <c r="E88" s="21">
        <f>IF(D88="?OLD","!!!","")</f>
        <v/>
      </c>
      <c r="F88" s="22" t="str">
        <f>IF(OR(E88="",E88="!!!"),"",IF(NOT(ISNA(VLOOKUP(E88,E$1:E87,1,FALSE()))),"OLD",IF(AND(E88&lt;&gt;"",E88&lt;&gt;"!!!"),"NEW","")))</f>
        <v> </v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4" t="str">
        <f>IF(J88&lt;&gt;1,"",IF(I88="SBJ","CB","?"))</f>
        <v> </v>
      </c>
      <c r="I88" s="25" t="str">
        <f>IF(OR(E88="",E88="!!!",F88="NEW"),"",INDEX(B87:B$2,-1+SUMPRODUCT(MAX(ROW(E87:E$2)*(E88=E87:E$2)))))</f>
        <v> </v>
      </c>
      <c r="J88" s="25" t="str">
        <f>IF(OR(E88="",E88="!!!",F88="NEW"),"",COUNTBLANK(OFFSET(A$1,,,SUMPRODUCT(MAX(ROW(E$2:E88)*(E88=E$2:E88)))))-COUNTBLANK(OFFSET(A$1,,,SUMPRODUCT(MAX(ROW(E$1:E87)*(E2=E$1:E87))))))</f>
        <v> </v>
      </c>
      <c r="K88" s="25" t="str">
        <f>IF(OR(E88="",E88="!!!",F88="NEW"),"",INDEX(J$1:J87,SUMPRODUCT(MAX(ROW(E$1:E87)*(E88=E$1:E87)))))</f>
        <v> </v>
      </c>
      <c r="L88" s="26"/>
    </row>
    <row r="89" spans="1:12">
      <c r="A89" s="20" t="s">
        <v>227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174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228</v>
      </c>
      <c r="B91" s="27" t="s">
        <v>176</v>
      </c>
      <c r="C91" s="27" t="s">
        <v>177</v>
      </c>
      <c r="D91" s="27" t="s">
        <v>158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190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/>
    </row>
    <row r="94" spans="1:12">
      <c r="A94" s="20" t="s">
        <v>229</v>
      </c>
    </row>
    <row r="95" spans="1:12">
      <c r="A95" s="20" t="s">
        <v>230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182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231</v>
      </c>
      <c r="B97" s="27" t="s">
        <v>176</v>
      </c>
      <c r="C97" s="27" t="s">
        <v>157</v>
      </c>
      <c r="D97" s="27" t="s">
        <v>158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203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161</v>
      </c>
      <c r="B99" s="27" t="s">
        <v>170</v>
      </c>
      <c r="C99" s="27" t="s">
        <v>157</v>
      </c>
      <c r="D99" s="27" t="s">
        <v>158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232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174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228</v>
      </c>
      <c r="B102" s="27" t="s">
        <v>156</v>
      </c>
      <c r="C102" s="27" t="s">
        <v>177</v>
      </c>
      <c r="D102" s="27" t="s">
        <v>158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159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226</v>
      </c>
      <c r="B104" s="27" t="s">
        <v>165</v>
      </c>
      <c r="C104" s="27" t="s">
        <v>166</v>
      </c>
      <c r="D104" s="27" t="s">
        <v>158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180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26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233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203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160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234</v>
      </c>
      <c r="B110" s="27" t="s">
        <v>176</v>
      </c>
      <c r="C110" s="27" t="s">
        <v>184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227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235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174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228</v>
      </c>
      <c r="B114" s="27" t="s">
        <v>236</v>
      </c>
      <c r="C114" s="27" t="s">
        <v>177</v>
      </c>
      <c r="D114" s="27" t="s">
        <v>158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237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238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174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239</v>
      </c>
      <c r="B118" s="27" t="s">
        <v>240</v>
      </c>
      <c r="C118" s="27" t="s">
        <v>177</v>
      </c>
      <c r="D118" s="27" t="s">
        <v>158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241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201</v>
      </c>
      <c r="B120" s="27" t="s">
        <v>162</v>
      </c>
      <c r="C120" s="27" t="s">
        <v>184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160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242</v>
      </c>
      <c r="B122" s="27" t="s">
        <v>220</v>
      </c>
      <c r="C122" s="27" t="s">
        <v>184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190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/>
    </row>
    <row r="125" spans="1:12">
      <c r="A125" s="20" t="s">
        <v>243</v>
      </c>
    </row>
    <row r="126" spans="1:12">
      <c r="A126" s="20" t="s">
        <v>155</v>
      </c>
      <c r="B126" s="27" t="s">
        <v>179</v>
      </c>
      <c r="C126" s="27" t="s">
        <v>157</v>
      </c>
      <c r="D126" s="27" t="s">
        <v>158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232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180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74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174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239</v>
      </c>
      <c r="B131" s="27" t="s">
        <v>240</v>
      </c>
      <c r="C131" s="27" t="s">
        <v>177</v>
      </c>
      <c r="D131" s="27" t="s">
        <v>158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180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244</v>
      </c>
      <c r="B133" s="27" t="s">
        <v>220</v>
      </c>
      <c r="C133" s="27" t="s">
        <v>245</v>
      </c>
      <c r="D133" s="27" t="s">
        <v>158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246</v>
      </c>
      <c r="B134" s="27" t="s">
        <v>162</v>
      </c>
      <c r="C134" s="27" t="s">
        <v>166</v>
      </c>
      <c r="D134" s="27" t="s">
        <v>158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160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247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248</v>
      </c>
      <c r="B137" s="27" t="s">
        <v>240</v>
      </c>
      <c r="C137" s="27" t="s">
        <v>171</v>
      </c>
      <c r="D137" s="27" t="s">
        <v>158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180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244</v>
      </c>
      <c r="B139" s="27" t="s">
        <v>220</v>
      </c>
      <c r="C139" s="27" t="s">
        <v>245</v>
      </c>
      <c r="D139" s="27" t="s">
        <v>158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246</v>
      </c>
      <c r="B140" s="27" t="s">
        <v>162</v>
      </c>
      <c r="C140" s="27" t="s">
        <v>166</v>
      </c>
      <c r="D140" s="27" t="s">
        <v>158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 t="s">
        <v>203</v>
      </c>
      <c r="E141" s="21">
        <f>IF(D141="?OLD","!!!","")</f>
        <v/>
      </c>
      <c r="F141" s="22" t="str">
        <f>IF(OR(E141="",E141="!!!"),"",IF(NOT(ISNA(VLOOKUP(E141,E$1:E140,1,FALSE()))),"OLD",IF(AND(E141&lt;&gt;"",E141&lt;&gt;"!!!"),"NEW","")))</f>
        <v> </v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4" t="str">
        <f>IF(J141&lt;&gt;1,"",IF(I141="SBJ","CB","?"))</f>
        <v> </v>
      </c>
      <c r="I141" s="25" t="str">
        <f>IF(OR(E141="",E141="!!!",F141="NEW"),"",INDEX(B140:B$2,-1+SUMPRODUCT(MAX(ROW(E140:E$2)*(E141=E140:E$2)))))</f>
        <v> </v>
      </c>
      <c r="J141" s="25" t="str">
        <f>IF(OR(E141="",E141="!!!",F141="NEW"),"",COUNTBLANK(OFFSET(A$1,,,SUMPRODUCT(MAX(ROW(E$2:E141)*(E141=E$2:E141)))))-COUNTBLANK(OFFSET(A$1,,,SUMPRODUCT(MAX(ROW(E$1:E140)*(E2=E$1:E140))))))</f>
        <v> </v>
      </c>
      <c r="K141" s="25" t="str">
        <f>IF(OR(E141="",E141="!!!",F141="NEW"),"",INDEX(J$1:J140,SUMPRODUCT(MAX(ROW(E$1:E140)*(E141=E$1:E140)))))</f>
        <v> </v>
      </c>
      <c r="L141" s="26"/>
    </row>
    <row r="142" spans="1:12">
      <c r="A142" s="20" t="s">
        <v>249</v>
      </c>
      <c r="B142" s="27" t="s">
        <v>170</v>
      </c>
      <c r="C142" s="27" t="s">
        <v>171</v>
      </c>
      <c r="D142" s="27" t="s">
        <v>158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250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190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/>
    </row>
    <row r="146" spans="1:12">
      <c r="A146" s="20" t="s">
        <v>251</v>
      </c>
    </row>
    <row r="147" spans="1:12">
      <c r="A147" s="20" t="s">
        <v>252</v>
      </c>
      <c r="B147" s="27" t="s">
        <v>179</v>
      </c>
      <c r="C147" s="27" t="s">
        <v>171</v>
      </c>
      <c r="D147" s="27" t="s">
        <v>158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253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254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255</v>
      </c>
      <c r="B150" s="27" t="s">
        <v>189</v>
      </c>
      <c r="C150" s="27" t="s">
        <v>184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256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257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203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161</v>
      </c>
      <c r="B154" s="27" t="s">
        <v>170</v>
      </c>
      <c r="C154" s="27" t="s">
        <v>184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250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190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/>
    </row>
    <row r="158" spans="1:12">
      <c r="A158" s="20" t="s">
        <v>258</v>
      </c>
    </row>
    <row r="159" spans="1:12">
      <c r="A159" s="20" t="s">
        <v>252</v>
      </c>
      <c r="B159" s="27" t="s">
        <v>170</v>
      </c>
      <c r="C159" s="27" t="s">
        <v>171</v>
      </c>
      <c r="D159" s="27" t="s">
        <v>158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253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46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242</v>
      </c>
      <c r="B162" s="27" t="s">
        <v>165</v>
      </c>
      <c r="C162" s="27" t="s">
        <v>184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203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160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74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 t="s">
        <v>213</v>
      </c>
      <c r="E166" s="21">
        <f>IF(D166="?OLD","!!!","")</f>
        <v/>
      </c>
      <c r="F166" s="22" t="str">
        <f>IF(OR(E166="",E166="!!!"),"",IF(NOT(ISNA(VLOOKUP(E166,E$1:E165,1,FALSE()))),"OLD",IF(AND(E166&lt;&gt;"",E166&lt;&gt;"!!!"),"NEW","")))</f>
        <v> </v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4" t="str">
        <f>IF(J166&lt;&gt;1,"",IF(I166="SBJ","CB","?"))</f>
        <v> </v>
      </c>
      <c r="I166" s="25" t="str">
        <f>IF(OR(E166="",E166="!!!",F166="NEW"),"",INDEX(B165:B$2,-1+SUMPRODUCT(MAX(ROW(E165:E$2)*(E166=E165:E$2)))))</f>
        <v> </v>
      </c>
      <c r="J166" s="25" t="str">
        <f>IF(OR(E166="",E166="!!!",F166="NEW"),"",COUNTBLANK(OFFSET(A$1,,,SUMPRODUCT(MAX(ROW(E$2:E166)*(E166=E$2:E166)))))-COUNTBLANK(OFFSET(A$1,,,SUMPRODUCT(MAX(ROW(E$1:E165)*(E2=E$1:E165))))))</f>
        <v> </v>
      </c>
      <c r="K166" s="25" t="str">
        <f>IF(OR(E166="",E166="!!!",F166="NEW"),"",INDEX(J$1:J165,SUMPRODUCT(MAX(ROW(E$1:E165)*(E166=E$1:E165)))))</f>
        <v> </v>
      </c>
      <c r="L166" s="26"/>
    </row>
    <row r="167" spans="1:12">
      <c r="A167" s="20" t="s">
        <v>259</v>
      </c>
      <c r="E167" s="21">
        <f>IF(D167="?OLD","!!!","")</f>
        <v/>
      </c>
      <c r="F167" s="22" t="str">
        <f>IF(OR(E167="",E167="!!!"),"",IF(NOT(ISNA(VLOOKUP(E167,E$1:E166,1,FALSE()))),"OLD",IF(AND(E167&lt;&gt;"",E167&lt;&gt;"!!!"),"NEW","")))</f>
        <v> </v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4" t="str">
        <f>IF(J167&lt;&gt;1,"",IF(I167="SBJ","CB","?"))</f>
        <v> </v>
      </c>
      <c r="I167" s="25" t="str">
        <f>IF(OR(E167="",E167="!!!",F167="NEW"),"",INDEX(B166:B$2,-1+SUMPRODUCT(MAX(ROW(E166:E$2)*(E167=E166:E$2)))))</f>
        <v> </v>
      </c>
      <c r="J167" s="25" t="str">
        <f>IF(OR(E167="",E167="!!!",F167="NEW"),"",COUNTBLANK(OFFSET(A$1,,,SUMPRODUCT(MAX(ROW(E$2:E167)*(E167=E$2:E167)))))-COUNTBLANK(OFFSET(A$1,,,SUMPRODUCT(MAX(ROW(E$1:E166)*(E2=E$1:E166))))))</f>
        <v> </v>
      </c>
      <c r="K167" s="25" t="str">
        <f>IF(OR(E167="",E167="!!!",F167="NEW"),"",INDEX(J$1:J166,SUMPRODUCT(MAX(ROW(E$1:E166)*(E167=E$1:E166)))))</f>
        <v> </v>
      </c>
      <c r="L167" s="26"/>
    </row>
    <row r="168" spans="1:12">
      <c r="A168" s="20" t="s">
        <v>11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260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261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262</v>
      </c>
      <c r="B171" s="27" t="s">
        <v>189</v>
      </c>
      <c r="C171" s="27" t="s">
        <v>216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241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263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264</v>
      </c>
      <c r="B174" s="27" t="s">
        <v>162</v>
      </c>
      <c r="C174" s="27" t="s">
        <v>184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196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265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266</v>
      </c>
      <c r="B177" s="27" t="s">
        <v>220</v>
      </c>
      <c r="C177" s="27" t="s">
        <v>184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160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267</v>
      </c>
      <c r="B179" s="27" t="s">
        <v>222</v>
      </c>
      <c r="C179" s="27" t="s">
        <v>184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190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/>
    </row>
    <row r="182" spans="1:12">
      <c r="A182" s="20" t="s">
        <v>268</v>
      </c>
    </row>
    <row r="183" spans="1:12">
      <c r="A183" s="20" t="s">
        <v>269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203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155</v>
      </c>
      <c r="B185" s="27" t="s">
        <v>170</v>
      </c>
      <c r="C185" s="27" t="s">
        <v>157</v>
      </c>
      <c r="D185" s="27" t="s">
        <v>158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250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270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174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228</v>
      </c>
      <c r="B189" s="27" t="s">
        <v>179</v>
      </c>
      <c r="C189" s="27" t="s">
        <v>177</v>
      </c>
      <c r="D189" s="27" t="s">
        <v>158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271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272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273</v>
      </c>
      <c r="B192" s="27" t="s">
        <v>189</v>
      </c>
      <c r="C192" s="27" t="s">
        <v>184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180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274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203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275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276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277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278</v>
      </c>
      <c r="B199" s="27" t="s">
        <v>279</v>
      </c>
      <c r="C199" s="27" t="s">
        <v>184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11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160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248</v>
      </c>
      <c r="B202" s="27" t="s">
        <v>179</v>
      </c>
      <c r="C202" s="27" t="s">
        <v>171</v>
      </c>
      <c r="D202" s="27" t="s">
        <v>158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280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175</v>
      </c>
      <c r="B204" s="27" t="s">
        <v>189</v>
      </c>
      <c r="C204" s="27" t="s">
        <v>184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180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254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281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190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/>
    </row>
    <row r="210" spans="1:12">
      <c r="A210" s="20" t="s">
        <v>282</v>
      </c>
    </row>
    <row r="211" spans="1:12">
      <c r="A211" s="20" t="s">
        <v>224</v>
      </c>
      <c r="B211" s="27" t="s">
        <v>179</v>
      </c>
      <c r="C211" s="27" t="s">
        <v>225</v>
      </c>
      <c r="D211" s="27" t="s">
        <v>158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253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283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201</v>
      </c>
      <c r="B214" s="27" t="s">
        <v>189</v>
      </c>
      <c r="C214" s="27" t="s">
        <v>184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196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174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284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203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285</v>
      </c>
      <c r="B219" s="27" t="s">
        <v>170</v>
      </c>
      <c r="C219" s="27" t="s">
        <v>171</v>
      </c>
      <c r="D219" s="27" t="s">
        <v>158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250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190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286</v>
      </c>
    </row>
    <row r="224" spans="1:12">
      <c r="A224" s="20" t="s">
        <v>287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203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288</v>
      </c>
      <c r="B226" s="27" t="s">
        <v>170</v>
      </c>
      <c r="C226" s="27" t="s">
        <v>171</v>
      </c>
      <c r="D226" s="27" t="s">
        <v>158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57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289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290</v>
      </c>
      <c r="B229" s="27" t="s">
        <v>165</v>
      </c>
      <c r="C229" s="27" t="s">
        <v>184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200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183</v>
      </c>
      <c r="B231" s="27" t="s">
        <v>176</v>
      </c>
      <c r="C231" s="27" t="s">
        <v>184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190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/>
    </row>
    <row r="234" spans="1:12">
      <c r="A234" s="20" t="s">
        <v>291</v>
      </c>
    </row>
    <row r="235" spans="1:12">
      <c r="A235" s="20" t="s">
        <v>211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271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180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26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292</v>
      </c>
      <c r="B239" s="27" t="s">
        <v>176</v>
      </c>
      <c r="C239" s="27" t="s">
        <v>184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 t="s">
        <v>182</v>
      </c>
      <c r="E240" s="21">
        <f>IF(D240="?OLD","!!!","")</f>
        <v/>
      </c>
      <c r="F240" s="22" t="str">
        <f>IF(OR(E240="",E240="!!!"),"",IF(NOT(ISNA(VLOOKUP(E240,E$1:E239,1,FALSE()))),"OLD",IF(AND(E240&lt;&gt;"",E240&lt;&gt;"!!!"),"NEW","")))</f>
        <v> </v>
      </c>
      <c r="G240" s="23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4" t="str">
        <f>IF(J240&lt;&gt;1,"",IF(I240="SBJ","CB","?"))</f>
        <v> </v>
      </c>
      <c r="I240" s="25" t="str">
        <f>IF(OR(E240="",E240="!!!",F240="NEW"),"",INDEX(B239:B$2,-1+SUMPRODUCT(MAX(ROW(E239:E$2)*(E240=E239:E$2)))))</f>
        <v> </v>
      </c>
      <c r="J240" s="25" t="str">
        <f>IF(OR(E240="",E240="!!!",F240="NEW"),"",COUNTBLANK(OFFSET(A$1,,,SUMPRODUCT(MAX(ROW(E$2:E240)*(E240=E$2:E240)))))-COUNTBLANK(OFFSET(A$1,,,SUMPRODUCT(MAX(ROW(E$1:E239)*(E2=E$1:E239))))))</f>
        <v> </v>
      </c>
      <c r="K240" s="25" t="str">
        <f>IF(OR(E240="",E240="!!!",F240="NEW"),"",INDEX(J$1:J239,SUMPRODUCT(MAX(ROW(E$1:E239)*(E240=E$1:E239)))))</f>
        <v> </v>
      </c>
      <c r="L240" s="26"/>
    </row>
    <row r="241" spans="1:12">
      <c r="A241" s="20" t="s">
        <v>183</v>
      </c>
      <c r="B241" s="27" t="s">
        <v>156</v>
      </c>
      <c r="C241" s="27" t="s">
        <v>184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203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161</v>
      </c>
      <c r="B243" s="27" t="s">
        <v>156</v>
      </c>
      <c r="C243" s="27" t="s">
        <v>157</v>
      </c>
      <c r="D243" s="27" t="s">
        <v>158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160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155</v>
      </c>
      <c r="B245" s="27" t="s">
        <v>156</v>
      </c>
      <c r="C245" s="27" t="s">
        <v>157</v>
      </c>
      <c r="D245" s="27" t="s">
        <v>158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43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293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294</v>
      </c>
      <c r="B248" s="27" t="s">
        <v>162</v>
      </c>
      <c r="C248" s="27" t="s">
        <v>184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190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/>
    </row>
    <row r="251" spans="1:12">
      <c r="A251" s="20" t="s">
        <v>295</v>
      </c>
    </row>
    <row r="252" spans="1:12">
      <c r="A252" s="20" t="s">
        <v>296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297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23</v>
      </c>
      <c r="B254" s="27" t="s">
        <v>170</v>
      </c>
      <c r="C254" s="27" t="s">
        <v>177</v>
      </c>
      <c r="D254" s="27" t="s">
        <v>158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271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298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299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174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300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292</v>
      </c>
      <c r="B260" s="27" t="s">
        <v>165</v>
      </c>
      <c r="C260" s="27" t="s">
        <v>177</v>
      </c>
      <c r="D260" s="27" t="s">
        <v>158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182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301</v>
      </c>
      <c r="B262" s="27" t="s">
        <v>156</v>
      </c>
      <c r="C262" s="27" t="s">
        <v>184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302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174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303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304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305</v>
      </c>
      <c r="B267" s="27" t="s">
        <v>176</v>
      </c>
      <c r="C267" s="27" t="s">
        <v>157</v>
      </c>
      <c r="D267" s="27" t="s">
        <v>158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190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/>
    </row>
    <row r="270" spans="1:12">
      <c r="A270" s="20" t="s">
        <v>306</v>
      </c>
    </row>
    <row r="271" spans="1:12">
      <c r="A271" s="20" t="s">
        <v>307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308</v>
      </c>
      <c r="B272" s="27" t="s">
        <v>170</v>
      </c>
      <c r="C272" s="27" t="s">
        <v>184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309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182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183</v>
      </c>
      <c r="B275" s="27" t="s">
        <v>162</v>
      </c>
      <c r="C275" s="27" t="s">
        <v>184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310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311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312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164</v>
      </c>
      <c r="B279" s="27" t="s">
        <v>176</v>
      </c>
      <c r="C279" s="27" t="s">
        <v>184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203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160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310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313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314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174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315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316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317</v>
      </c>
      <c r="B288" s="27" t="s">
        <v>156</v>
      </c>
      <c r="C288" s="27" t="s">
        <v>166</v>
      </c>
      <c r="D288" s="27" t="s">
        <v>158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227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174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318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316</v>
      </c>
      <c r="B292" s="27" t="s">
        <v>162</v>
      </c>
      <c r="C292" s="27" t="s">
        <v>157</v>
      </c>
      <c r="D292" s="27" t="s">
        <v>158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203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319</v>
      </c>
      <c r="B294" s="27" t="s">
        <v>320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212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321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227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174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228</v>
      </c>
      <c r="B299" s="27" t="s">
        <v>222</v>
      </c>
      <c r="C299" s="27" t="s">
        <v>177</v>
      </c>
      <c r="D299" s="27" t="s">
        <v>158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190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/>
    </row>
    <row r="302" spans="1:12">
      <c r="A302" s="20" t="s">
        <v>322</v>
      </c>
    </row>
    <row r="303" spans="1:12">
      <c r="A303" s="20" t="s">
        <v>323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203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161</v>
      </c>
      <c r="B305" s="27" t="s">
        <v>170</v>
      </c>
      <c r="C305" s="27" t="s">
        <v>157</v>
      </c>
      <c r="D305" s="27" t="s">
        <v>158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324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74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180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325</v>
      </c>
      <c r="B309" s="27" t="s">
        <v>176</v>
      </c>
      <c r="C309" s="27" t="s">
        <v>184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326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174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316</v>
      </c>
      <c r="B312" s="27" t="s">
        <v>176</v>
      </c>
      <c r="C312" s="27" t="s">
        <v>177</v>
      </c>
      <c r="D312" s="27" t="s">
        <v>158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190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/>
    </row>
    <row r="315" spans="1:12">
      <c r="A315" s="20" t="s">
        <v>327</v>
      </c>
    </row>
    <row r="316" spans="1:12">
      <c r="A316" s="20" t="s">
        <v>211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310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328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217</v>
      </c>
      <c r="B319" s="27" t="s">
        <v>170</v>
      </c>
      <c r="C319" s="27" t="s">
        <v>184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 t="s">
        <v>180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26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329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182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330</v>
      </c>
      <c r="B324" s="27" t="s">
        <v>162</v>
      </c>
      <c r="C324" s="27" t="s">
        <v>184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227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202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160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331</v>
      </c>
      <c r="B328" s="27" t="s">
        <v>332</v>
      </c>
      <c r="C328" s="27" t="s">
        <v>184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164</v>
      </c>
      <c r="B329" s="27" t="s">
        <v>220</v>
      </c>
      <c r="C329" s="27" t="s">
        <v>184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190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/>
    </row>
    <row r="332" spans="1:12">
      <c r="A332" s="20" t="s">
        <v>333</v>
      </c>
    </row>
    <row r="333" spans="1:12">
      <c r="A333" s="20" t="s">
        <v>161</v>
      </c>
      <c r="B333" s="27" t="s">
        <v>170</v>
      </c>
      <c r="C333" s="27" t="s">
        <v>184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232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180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334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335</v>
      </c>
      <c r="B337" s="27" t="s">
        <v>220</v>
      </c>
      <c r="C337" s="27" t="s">
        <v>184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11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336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337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338</v>
      </c>
      <c r="B341" s="27" t="s">
        <v>189</v>
      </c>
      <c r="C341" s="27" t="s">
        <v>184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160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339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335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340</v>
      </c>
      <c r="B345" s="27" t="s">
        <v>240</v>
      </c>
      <c r="C345" s="27" t="s">
        <v>184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182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174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341</v>
      </c>
      <c r="B348" s="27" t="s">
        <v>162</v>
      </c>
      <c r="C348" s="27" t="s">
        <v>157</v>
      </c>
      <c r="D348" s="27" t="s">
        <v>158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342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343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190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/>
    </row>
    <row r="353" spans="1:12">
      <c r="A353" s="20" t="s">
        <v>344</v>
      </c>
    </row>
    <row r="354" spans="1:12">
      <c r="A354" s="20" t="s">
        <v>345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196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346</v>
      </c>
      <c r="B356" s="27" t="s">
        <v>156</v>
      </c>
      <c r="C356" s="27" t="s">
        <v>184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347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26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348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182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349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350</v>
      </c>
      <c r="B362" s="27" t="s">
        <v>176</v>
      </c>
      <c r="C362" s="27" t="s">
        <v>184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203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160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249</v>
      </c>
      <c r="B365" s="27" t="s">
        <v>179</v>
      </c>
      <c r="C365" s="27" t="s">
        <v>171</v>
      </c>
      <c r="D365" s="27" t="s">
        <v>158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232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180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351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352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174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353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354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355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356</v>
      </c>
      <c r="B374" s="27" t="s">
        <v>162</v>
      </c>
      <c r="C374" s="27" t="s">
        <v>157</v>
      </c>
      <c r="D374" s="27" t="s">
        <v>158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190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/>
    </row>
    <row r="377" spans="1:12">
      <c r="A377" s="20" t="s">
        <v>357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358</v>
      </c>
    </row>
    <row r="379" spans="1:12">
      <c r="A379" s="20" t="s">
        <v>359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174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176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360</v>
      </c>
      <c r="B382" s="27" t="s">
        <v>176</v>
      </c>
      <c r="C382" s="27" t="s">
        <v>361</v>
      </c>
      <c r="D382" s="27" t="s">
        <v>158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203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155</v>
      </c>
      <c r="B384" s="27" t="s">
        <v>170</v>
      </c>
      <c r="C384" s="27" t="s">
        <v>157</v>
      </c>
      <c r="D384" s="27" t="s">
        <v>158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232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180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362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363</v>
      </c>
      <c r="B388" s="27" t="s">
        <v>162</v>
      </c>
      <c r="C388" s="27" t="s">
        <v>245</v>
      </c>
      <c r="D388" s="27" t="s">
        <v>158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292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364</v>
      </c>
      <c r="B390" s="27" t="s">
        <v>189</v>
      </c>
      <c r="C390" s="27" t="s">
        <v>166</v>
      </c>
      <c r="D390" s="27" t="s">
        <v>158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180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365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366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367</v>
      </c>
      <c r="B394" s="27" t="s">
        <v>240</v>
      </c>
      <c r="C394" s="27" t="s">
        <v>184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203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368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167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369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370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371</v>
      </c>
      <c r="B400" s="27" t="s">
        <v>236</v>
      </c>
      <c r="C400" s="27" t="s">
        <v>209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372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373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174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374</v>
      </c>
      <c r="B404" s="27" t="s">
        <v>240</v>
      </c>
      <c r="C404" s="27" t="s">
        <v>177</v>
      </c>
      <c r="D404" s="27" t="s">
        <v>158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227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366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367</v>
      </c>
      <c r="B407" s="27" t="s">
        <v>220</v>
      </c>
      <c r="C407" s="27" t="s">
        <v>184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203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160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375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376</v>
      </c>
      <c r="B411" s="27" t="s">
        <v>279</v>
      </c>
      <c r="C411" s="27" t="s">
        <v>184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227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301</v>
      </c>
      <c r="B413" s="27" t="s">
        <v>332</v>
      </c>
      <c r="C413" s="27" t="s">
        <v>184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190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369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/>
    </row>
    <row r="417" spans="1:12">
      <c r="A417" s="20" t="s">
        <v>357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377</v>
      </c>
    </row>
    <row r="419" spans="1:12">
      <c r="A419" s="20" t="s">
        <v>369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169</v>
      </c>
      <c r="B420" s="27" t="s">
        <v>170</v>
      </c>
      <c r="C420" s="27" t="s">
        <v>171</v>
      </c>
      <c r="D420" s="27" t="s">
        <v>158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372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378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26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379</v>
      </c>
      <c r="B424" s="27" t="s">
        <v>176</v>
      </c>
      <c r="C424" s="27" t="s">
        <v>157</v>
      </c>
      <c r="D424" s="27" t="s">
        <v>158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203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380</v>
      </c>
      <c r="B426" s="27" t="s">
        <v>176</v>
      </c>
      <c r="C426" s="27" t="s">
        <v>157</v>
      </c>
      <c r="D426" s="27" t="s">
        <v>158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381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382</v>
      </c>
      <c r="B428" s="27" t="s">
        <v>176</v>
      </c>
      <c r="C428" s="27" t="s">
        <v>157</v>
      </c>
      <c r="D428" s="27" t="s">
        <v>158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11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160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383</v>
      </c>
      <c r="B431" s="27" t="s">
        <v>179</v>
      </c>
      <c r="C431" s="27" t="s">
        <v>171</v>
      </c>
      <c r="D431" s="27" t="s">
        <v>158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248</v>
      </c>
      <c r="B433" s="27" t="s">
        <v>189</v>
      </c>
      <c r="C433" s="27" t="s">
        <v>171</v>
      </c>
      <c r="D433" s="27" t="s">
        <v>158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180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26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384</v>
      </c>
      <c r="B436" s="27" t="s">
        <v>156</v>
      </c>
      <c r="C436" s="27" t="s">
        <v>171</v>
      </c>
      <c r="D436" s="27" t="s">
        <v>158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190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369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/>
    </row>
    <row r="440" spans="1:12">
      <c r="A440" s="20" t="s">
        <v>385</v>
      </c>
    </row>
    <row r="441" spans="1:12">
      <c r="A441" s="20" t="s">
        <v>192</v>
      </c>
      <c r="E441" s="21">
        <f>IF(D441="?OLD","!!!","")</f>
        <v/>
      </c>
      <c r="F441" s="22" t="str">
        <f>IF(OR(E441="",E441="!!!"),"",IF(NOT(ISNA(VLOOKUP(E441,E$1:E440,1,FALSE()))),"OLD",IF(AND(E441&lt;&gt;"",E441&lt;&gt;"!!!"),"NEW","")))</f>
        <v> </v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4" t="str">
        <f>IF(J441&lt;&gt;1,"",IF(I441="SBJ","CB","?"))</f>
        <v> </v>
      </c>
      <c r="I441" s="25" t="str">
        <f>IF(OR(E441="",E441="!!!",F441="NEW"),"",INDEX(B440:B$2,-1+SUMPRODUCT(MAX(ROW(E440:E$2)*(E441=E440:E$2)))))</f>
        <v> </v>
      </c>
      <c r="J441" s="25" t="str">
        <f>IF(OR(E441="",E441="!!!",F441="NEW"),"",COUNTBLANK(OFFSET(A$1,,,SUMPRODUCT(MAX(ROW(E$2:E441)*(E441=E$2:E441)))))-COUNTBLANK(OFFSET(A$1,,,SUMPRODUCT(MAX(ROW(E$1:E440)*(E2=E$1:E440))))))</f>
        <v> </v>
      </c>
      <c r="K441" s="25" t="str">
        <f>IF(OR(E441="",E441="!!!",F441="NEW"),"",INDEX(J$1:J440,SUMPRODUCT(MAX(ROW(E$1:E440)*(E441=E$1:E440)))))</f>
        <v> </v>
      </c>
      <c r="L441" s="26"/>
    </row>
    <row r="442" spans="1:12">
      <c r="A442" s="20" t="s">
        <v>248</v>
      </c>
      <c r="B442" s="27" t="s">
        <v>170</v>
      </c>
      <c r="C442" s="27" t="s">
        <v>171</v>
      </c>
      <c r="D442" s="27" t="s">
        <v>158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159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386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387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183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270</v>
      </c>
      <c r="B447" s="27" t="s">
        <v>179</v>
      </c>
      <c r="C447" s="27" t="s">
        <v>225</v>
      </c>
      <c r="D447" s="27" t="s">
        <v>158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388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174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193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194</v>
      </c>
      <c r="B451" s="27" t="s">
        <v>189</v>
      </c>
      <c r="C451" s="27" t="s">
        <v>195</v>
      </c>
      <c r="D451" s="27" t="s">
        <v>158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389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213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390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289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391</v>
      </c>
      <c r="B456" s="27" t="s">
        <v>392</v>
      </c>
      <c r="C456" s="27" t="s">
        <v>216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11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288</v>
      </c>
      <c r="B458" s="27" t="s">
        <v>236</v>
      </c>
      <c r="C458" s="27" t="s">
        <v>171</v>
      </c>
      <c r="D458" s="27" t="s">
        <v>158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393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182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330</v>
      </c>
      <c r="B461" s="27" t="s">
        <v>162</v>
      </c>
      <c r="C461" s="27" t="s">
        <v>184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227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394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187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395</v>
      </c>
      <c r="B465" s="27" t="s">
        <v>220</v>
      </c>
      <c r="C465" s="27" t="s">
        <v>184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 t="s">
        <v>204</v>
      </c>
      <c r="E466" s="21">
        <f>IF(D466="?OLD","!!!","")</f>
        <v/>
      </c>
      <c r="F466" s="22" t="str">
        <f>IF(OR(E466="",E466="!!!"),"",IF(NOT(ISNA(VLOOKUP(E466,E$1:E465,1,FALSE()))),"OLD",IF(AND(E466&lt;&gt;"",E466&lt;&gt;"!!!"),"NEW","")))</f>
        <v> </v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4" t="str">
        <f>IF(J466&lt;&gt;1,"",IF(I466="SBJ","CB","?"))</f>
        <v> </v>
      </c>
      <c r="I466" s="25" t="str">
        <f>IF(OR(E466="",E466="!!!",F466="NEW"),"",INDEX(B465:B$2,-1+SUMPRODUCT(MAX(ROW(E465:E$2)*(E466=E465:E$2)))))</f>
        <v> </v>
      </c>
      <c r="J466" s="25" t="str">
        <f>IF(OR(E466="",E466="!!!",F466="NEW"),"",COUNTBLANK(OFFSET(A$1,,,SUMPRODUCT(MAX(ROW(E$2:E466)*(E466=E$2:E466)))))-COUNTBLANK(OFFSET(A$1,,,SUMPRODUCT(MAX(ROW(E$1:E465)*(E2=E$1:E465))))))</f>
        <v> </v>
      </c>
      <c r="K466" s="25" t="str">
        <f>IF(OR(E466="",E466="!!!",F466="NEW"),"",INDEX(J$1:J465,SUMPRODUCT(MAX(ROW(E$1:E465)*(E466=E$1:E465)))))</f>
        <v> </v>
      </c>
      <c r="L466" s="26"/>
    </row>
    <row r="467" spans="1:12">
      <c r="A467" s="20" t="s">
        <v>205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190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/>
    </row>
    <row r="470" spans="1:12">
      <c r="A470" s="20" t="s">
        <v>396</v>
      </c>
    </row>
    <row r="471" spans="1:12">
      <c r="A471" s="20" t="s">
        <v>397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34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180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398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186</v>
      </c>
      <c r="B475" s="27" t="s">
        <v>189</v>
      </c>
      <c r="C475" s="27" t="s">
        <v>157</v>
      </c>
      <c r="D475" s="27" t="s">
        <v>158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203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174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399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400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187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188</v>
      </c>
      <c r="B482" s="27" t="s">
        <v>176</v>
      </c>
      <c r="C482" s="27" t="s">
        <v>177</v>
      </c>
      <c r="D482" s="27" t="s">
        <v>158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190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/>
    </row>
    <row r="485" spans="1:12">
      <c r="A485" s="20" t="s">
        <v>401</v>
      </c>
    </row>
    <row r="486" spans="1:12">
      <c r="A486" s="20" t="s">
        <v>402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174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403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404</v>
      </c>
      <c r="B489" s="27" t="s">
        <v>176</v>
      </c>
      <c r="C489" s="27" t="s">
        <v>177</v>
      </c>
      <c r="D489" s="27" t="s">
        <v>158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203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405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180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406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174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341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407</v>
      </c>
      <c r="B497" s="27" t="s">
        <v>189</v>
      </c>
      <c r="C497" s="27" t="s">
        <v>177</v>
      </c>
      <c r="D497" s="27" t="s">
        <v>158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352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394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187</v>
      </c>
      <c r="B500" s="27" t="s">
        <v>156</v>
      </c>
      <c r="C500" s="27" t="s">
        <v>184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11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288</v>
      </c>
      <c r="B502" s="27" t="s">
        <v>179</v>
      </c>
      <c r="C502" s="27" t="s">
        <v>171</v>
      </c>
      <c r="D502" s="27" t="s">
        <v>158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387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34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180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408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409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301</v>
      </c>
      <c r="B508" s="27" t="s">
        <v>240</v>
      </c>
      <c r="C508" s="27" t="s">
        <v>184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410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190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/>
    </row>
    <row r="512" spans="1:12">
      <c r="A512" s="20" t="s">
        <v>411</v>
      </c>
    </row>
    <row r="513" spans="1:12">
      <c r="A513" s="20" t="s">
        <v>412</v>
      </c>
      <c r="B513" s="27" t="s">
        <v>170</v>
      </c>
      <c r="C513" s="27" t="s">
        <v>171</v>
      </c>
      <c r="D513" s="27" t="s">
        <v>158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347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413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414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26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410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415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203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155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416</v>
      </c>
      <c r="B522" s="27" t="s">
        <v>189</v>
      </c>
      <c r="C522" s="27" t="s">
        <v>184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190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/>
    </row>
    <row r="525" spans="1:12">
      <c r="A525" s="20" t="s">
        <v>417</v>
      </c>
    </row>
    <row r="526" spans="1:12">
      <c r="A526" s="20" t="s">
        <v>296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418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419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420</v>
      </c>
      <c r="B529" s="27" t="s">
        <v>179</v>
      </c>
      <c r="C529" s="27" t="s">
        <v>177</v>
      </c>
      <c r="D529" s="27" t="s">
        <v>158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227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421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197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422</v>
      </c>
      <c r="B533" s="27" t="s">
        <v>162</v>
      </c>
      <c r="C533" s="27" t="s">
        <v>209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212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213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423</v>
      </c>
      <c r="B536" s="27" t="s">
        <v>176</v>
      </c>
      <c r="C536" s="27" t="s">
        <v>216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203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285</v>
      </c>
      <c r="B538" s="27" t="s">
        <v>170</v>
      </c>
      <c r="C538" s="27" t="s">
        <v>171</v>
      </c>
      <c r="D538" s="27" t="s">
        <v>158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250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190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/>
    </row>
    <row r="542" spans="1:12">
      <c r="A542" s="20" t="s">
        <v>424</v>
      </c>
    </row>
    <row r="543" spans="1:12">
      <c r="A543" s="20" t="s">
        <v>425</v>
      </c>
      <c r="B543" s="27" t="s">
        <v>170</v>
      </c>
      <c r="C543" s="27" t="s">
        <v>171</v>
      </c>
      <c r="D543" s="27" t="s">
        <v>158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232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180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426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248</v>
      </c>
      <c r="B547" s="27" t="s">
        <v>189</v>
      </c>
      <c r="C547" s="27" t="s">
        <v>171</v>
      </c>
      <c r="D547" s="27" t="s">
        <v>158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180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68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422</v>
      </c>
      <c r="B550" s="27" t="s">
        <v>156</v>
      </c>
      <c r="C550" s="27" t="s">
        <v>209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427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428</v>
      </c>
      <c r="B552" s="27" t="s">
        <v>162</v>
      </c>
      <c r="C552" s="27" t="s">
        <v>216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190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/>
    </row>
    <row r="555" spans="1:12">
      <c r="A555" s="20" t="s">
        <v>429</v>
      </c>
    </row>
    <row r="556" spans="1:12">
      <c r="A556" s="20" t="s">
        <v>169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212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386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430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431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432</v>
      </c>
      <c r="B561" s="27" t="s">
        <v>162</v>
      </c>
      <c r="C561" s="27" t="s">
        <v>433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161</v>
      </c>
      <c r="B562" s="27" t="s">
        <v>179</v>
      </c>
      <c r="C562" s="27" t="s">
        <v>434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232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180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254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200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435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436</v>
      </c>
      <c r="B568" s="27" t="s">
        <v>162</v>
      </c>
      <c r="C568" s="27" t="s">
        <v>437</v>
      </c>
      <c r="D568" s="27" t="s">
        <v>158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167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438</v>
      </c>
    </row>
    <row r="572" spans="1:12">
      <c r="A572" s="20" t="s">
        <v>439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249</v>
      </c>
      <c r="B573" s="27" t="s">
        <v>179</v>
      </c>
      <c r="C573" s="27" t="s">
        <v>171</v>
      </c>
      <c r="D573" s="27" t="s">
        <v>158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440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270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174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419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420</v>
      </c>
      <c r="B578" s="27" t="s">
        <v>236</v>
      </c>
      <c r="C578" s="27" t="s">
        <v>177</v>
      </c>
      <c r="D578" s="27" t="s">
        <v>158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441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180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26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442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203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413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249</v>
      </c>
      <c r="B585" s="27" t="s">
        <v>170</v>
      </c>
      <c r="C585" s="27" t="s">
        <v>171</v>
      </c>
      <c r="D585" s="27" t="s">
        <v>158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440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248</v>
      </c>
      <c r="B587" s="27" t="s">
        <v>179</v>
      </c>
      <c r="C587" s="27" t="s">
        <v>171</v>
      </c>
      <c r="D587" s="27" t="s">
        <v>158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347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443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174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403</v>
      </c>
      <c r="B591" s="27" t="s">
        <v>189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190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/>
    </row>
    <row r="594" spans="1:12">
      <c r="A594" s="20" t="s">
        <v>444</v>
      </c>
    </row>
    <row r="595" spans="1:12">
      <c r="A595" s="20" t="s">
        <v>192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174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445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446</v>
      </c>
      <c r="B598" s="27" t="s">
        <v>170</v>
      </c>
      <c r="C598" s="27" t="s">
        <v>177</v>
      </c>
      <c r="D598" s="27" t="s">
        <v>158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227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174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447</v>
      </c>
      <c r="B601" s="27" t="s">
        <v>156</v>
      </c>
      <c r="C601" s="27" t="s">
        <v>177</v>
      </c>
      <c r="D601" s="27" t="s">
        <v>158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180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448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372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449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128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450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451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452</v>
      </c>
      <c r="B609" s="27" t="s">
        <v>156</v>
      </c>
      <c r="C609" s="27" t="s">
        <v>195</v>
      </c>
      <c r="D609" s="27" t="s">
        <v>158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453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261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164</v>
      </c>
      <c r="B612" s="27" t="s">
        <v>176</v>
      </c>
      <c r="C612" s="27" t="s">
        <v>166</v>
      </c>
      <c r="D612" s="27" t="s">
        <v>158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190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/>
    </row>
    <row r="615" spans="1:12">
      <c r="A615" s="20" t="s">
        <v>454</v>
      </c>
    </row>
    <row r="616" spans="1:12">
      <c r="A616" s="20" t="s">
        <v>161</v>
      </c>
      <c r="B616" s="27" t="s">
        <v>170</v>
      </c>
      <c r="C616" s="27" t="s">
        <v>184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212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200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206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455</v>
      </c>
      <c r="B620" s="27" t="s">
        <v>176</v>
      </c>
      <c r="C620" s="27" t="s">
        <v>209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203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456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180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457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174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458</v>
      </c>
      <c r="B626" s="27" t="s">
        <v>240</v>
      </c>
      <c r="C626" s="27" t="s">
        <v>177</v>
      </c>
      <c r="D626" s="27" t="s">
        <v>158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200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174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239</v>
      </c>
      <c r="B629" s="27" t="s">
        <v>162</v>
      </c>
      <c r="C629" s="27" t="s">
        <v>177</v>
      </c>
      <c r="D629" s="27" t="s">
        <v>158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160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459</v>
      </c>
      <c r="B631" s="27" t="s">
        <v>176</v>
      </c>
      <c r="C631" s="27" t="s">
        <v>184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180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460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461</v>
      </c>
      <c r="B634" s="27" t="s">
        <v>156</v>
      </c>
      <c r="C634" s="27" t="s">
        <v>184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190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462</v>
      </c>
    </row>
    <row r="638" spans="1:12">
      <c r="A638" s="20" t="s">
        <v>463</v>
      </c>
      <c r="B638" s="27" t="s">
        <v>170</v>
      </c>
      <c r="C638" s="27" t="s">
        <v>171</v>
      </c>
      <c r="D638" s="27" t="s">
        <v>158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464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228</v>
      </c>
      <c r="B640" s="27" t="s">
        <v>165</v>
      </c>
      <c r="C640" s="27" t="s">
        <v>184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270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435</v>
      </c>
      <c r="B642" s="27" t="s">
        <v>179</v>
      </c>
      <c r="C642" s="27" t="s">
        <v>225</v>
      </c>
      <c r="D642" s="27" t="s">
        <v>158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372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387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283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174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465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466</v>
      </c>
      <c r="B648" s="27" t="s">
        <v>189</v>
      </c>
      <c r="C648" s="27" t="s">
        <v>177</v>
      </c>
      <c r="D648" s="27" t="s">
        <v>158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190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/>
    </row>
    <row r="651" spans="1:12">
      <c r="A651" s="20" t="s">
        <v>467</v>
      </c>
    </row>
    <row r="652" spans="1:12">
      <c r="A652" s="20" t="s">
        <v>155</v>
      </c>
      <c r="B652" s="27" t="s">
        <v>170</v>
      </c>
      <c r="C652" s="27" t="s">
        <v>157</v>
      </c>
      <c r="D652" s="27" t="s">
        <v>158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212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200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174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468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455</v>
      </c>
      <c r="B657" s="27" t="s">
        <v>176</v>
      </c>
      <c r="C657" s="27" t="s">
        <v>177</v>
      </c>
      <c r="D657" s="27" t="s">
        <v>158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167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204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 t="s">
        <v>213</v>
      </c>
      <c r="E660" s="21">
        <f>IF(D660="?OLD","!!!","")</f>
        <v/>
      </c>
      <c r="F660" s="22" t="str">
        <f>IF(OR(E660="",E660="!!!"),"",IF(NOT(ISNA(VLOOKUP(E660,E$1:E659,1,FALSE()))),"OLD",IF(AND(E660&lt;&gt;"",E660&lt;&gt;"!!!"),"NEW","")))</f>
        <v> </v>
      </c>
      <c r="G660" s="23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4" t="str">
        <f>IF(J660&lt;&gt;1,"",IF(I660="SBJ","CB","?"))</f>
        <v> </v>
      </c>
      <c r="I660" s="25" t="str">
        <f>IF(OR(E660="",E660="!!!",F660="NEW"),"",INDEX(B659:B$2,-1+SUMPRODUCT(MAX(ROW(E659:E$2)*(E660=E659:E$2)))))</f>
        <v> </v>
      </c>
      <c r="J660" s="25" t="str">
        <f>IF(OR(E660="",E660="!!!",F660="NEW"),"",COUNTBLANK(OFFSET(A$1,,,SUMPRODUCT(MAX(ROW(E$2:E660)*(E660=E$2:E660)))))-COUNTBLANK(OFFSET(A$1,,,SUMPRODUCT(MAX(ROW(E$1:E659)*(E2=E$1:E659))))))</f>
        <v> </v>
      </c>
      <c r="K660" s="25" t="str">
        <f>IF(OR(E660="",E660="!!!",F660="NEW"),"",INDEX(J$1:J659,SUMPRODUCT(MAX(ROW(E$1:E659)*(E660=E$1:E659)))))</f>
        <v> </v>
      </c>
      <c r="L660" s="26"/>
    </row>
    <row r="661" spans="1:12">
      <c r="A661" s="20" t="s">
        <v>419</v>
      </c>
      <c r="B661" s="27" t="s">
        <v>176</v>
      </c>
      <c r="C661" s="27" t="s">
        <v>216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203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285</v>
      </c>
      <c r="B663" s="27" t="s">
        <v>179</v>
      </c>
      <c r="C663" s="27" t="s">
        <v>171</v>
      </c>
      <c r="D663" s="27" t="s">
        <v>158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232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174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284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180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469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470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201</v>
      </c>
      <c r="B670" s="27" t="s">
        <v>240</v>
      </c>
      <c r="C670" s="27" t="s">
        <v>184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203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160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363</v>
      </c>
      <c r="B673" s="27" t="s">
        <v>162</v>
      </c>
      <c r="C673" s="27" t="s">
        <v>245</v>
      </c>
      <c r="D673" s="27" t="s">
        <v>158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464</v>
      </c>
      <c r="B674" s="27" t="s">
        <v>179</v>
      </c>
      <c r="C674" s="27" t="s">
        <v>166</v>
      </c>
      <c r="D674" s="27" t="s">
        <v>158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43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270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470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201</v>
      </c>
      <c r="B678" s="27" t="s">
        <v>236</v>
      </c>
      <c r="C678" s="27" t="s">
        <v>184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310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386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174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471</v>
      </c>
      <c r="B682" s="27" t="s">
        <v>156</v>
      </c>
      <c r="C682" s="27" t="s">
        <v>177</v>
      </c>
      <c r="D682" s="27" t="s">
        <v>158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378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190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2025-07-10T18:04:23Z</dcterms:created>
  <dcterms:modified xsi:type="dcterms:W3CDTF">2025-07-10T18:04:23Z</dcterms:modified>
</cp:coreProperties>
</file>