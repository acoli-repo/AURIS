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<sst xmlns="http://schemas.openxmlformats.org/spreadsheetml/2006/main" count="9596" uniqueCount="1945">
  <si>
    <t>ID</t>
  </si>
  <si>
    <t>PRED_ID</t>
  </si>
  <si>
    <t>MARKER_AUTO</t>
  </si>
  <si>
    <t>PREDICATE</t>
  </si>
  <si>
    <t>TEXT</t>
  </si>
  <si>
    <t>SENTENCE</t>
  </si>
  <si>
    <t>MARKER</t>
  </si>
  <si>
    <t>TARGET</t>
  </si>
  <si>
    <t>RELATION</t>
  </si>
  <si>
    <t>COMMENT</t>
  </si>
  <si>
    <t>1</t>
  </si>
  <si>
    <t>9</t>
  </si>
  <si>
    <t>_</t>
  </si>
  <si>
    <t>represent</t>
  </si>
  <si>
    <t>&amp;quot; Even in purely nonreligious terms , homosexuality represents a misuse of the sexual faculty .</t>
  </si>
  <si>
    <t>file://conllu/en/teddy-1322.conllu#s1_0</t>
  </si>
  <si>
    <t>2</t>
  </si>
  <si>
    <t>for?</t>
  </si>
  <si>
    <t>be (be substitute)</t>
  </si>
  <si>
    <t>It is a pathetic little second rate substitute for reality a pitiable flight from life .</t>
  </si>
  <si>
    <t>file://conllu/en/teddy-1322.conllu#s2_0</t>
  </si>
  <si>
    <t>3</t>
  </si>
  <si>
    <t>5</t>
  </si>
  <si>
    <t>and?</t>
  </si>
  <si>
    <t>deserve</t>
  </si>
  <si>
    <t>As such , it deserves no compassion , it deserves no treatment as minority martyrdom , and it deserves not to be deemed anything but a pernicious sickness . &amp;quot;</t>
  </si>
  <si>
    <t>file://conllu/en/teddy-1322.conllu#s3_0</t>
  </si>
  <si>
    <t>4</t>
  </si>
  <si>
    <t>when?</t>
  </si>
  <si>
    <t>be (be magazine)</t>
  </si>
  <si>
    <t>That 's from &amp;quot; Time &amp;quot; magazine in 1966 , when I was three years old .</t>
  </si>
  <si>
    <t>file://conllu/en/teddy-1322.conllu#s4_0</t>
  </si>
  <si>
    <t>11</t>
  </si>
  <si>
    <t>come</t>
  </si>
  <si>
    <t>And last year , the president of the United States came out in favor of gay marriage .</t>
  </si>
  <si>
    <t>file://conllu/en/teddy-1322.conllu#s5_0</t>
  </si>
  <si>
    <t>6</t>
  </si>
  <si>
    <t>Applause</t>
  </si>
  <si>
    <t>( Applause )</t>
  </si>
  <si>
    <t>file://conllu/en/teddy-1322.conllu#s6_0</t>
  </si>
  <si>
    <t>7</t>
  </si>
  <si>
    <t>be</t>
  </si>
  <si>
    <t>And my question is : How did we get from there to here ?</t>
  </si>
  <si>
    <t>file://conllu/en/teddy-1322.conllu#s7_0</t>
  </si>
  <si>
    <t>8</t>
  </si>
  <si>
    <t>do</t>
  </si>
  <si>
    <t>How did an illness become an identity ?</t>
  </si>
  <si>
    <t>file://conllu/en/teddy-1322.conllu#s8_0</t>
  </si>
  <si>
    <t>10</t>
  </si>
  <si>
    <t>go</t>
  </si>
  <si>
    <t>When I was perhaps six years old , I went to a shoe store with my mother and my brother .</t>
  </si>
  <si>
    <t>file://conllu/en/teddy-1322.conllu#s9_0</t>
  </si>
  <si>
    <t>12</t>
  </si>
  <si>
    <t>say</t>
  </si>
  <si>
    <t>And at the end of buying our shoes , the salesman said to us that we could each have a balloon to take home .</t>
  </si>
  <si>
    <t>file://conllu/en/teddy-1322.conllu#s10_0</t>
  </si>
  <si>
    <t>want (want want)</t>
  </si>
  <si>
    <t>My brother wanted a red balloon , and I wanted a pink balloon .</t>
  </si>
  <si>
    <t>file://conllu/en/teddy-1322.conllu#s11_0</t>
  </si>
  <si>
    <t>think (think say)</t>
  </si>
  <si>
    <t>My mother said that she thought I 'd really rather have a blue balloon .</t>
  </si>
  <si>
    <t>file://conllu/en/teddy-1322.conllu#s12_0</t>
  </si>
  <si>
    <t>13</t>
  </si>
  <si>
    <t>laughter</t>
  </si>
  <si>
    <t>( Laughter )</t>
  </si>
  <si>
    <t>file://conllu/en/teddy-1322.conllu#s13_0</t>
  </si>
  <si>
    <t>14</t>
  </si>
  <si>
    <t>but?</t>
  </si>
  <si>
    <t>want (want say)</t>
  </si>
  <si>
    <t>But I said that I definitely wanted the pink one .</t>
  </si>
  <si>
    <t>file://conllu/en/teddy-1322.conllu#s14_0</t>
  </si>
  <si>
    <t>15</t>
  </si>
  <si>
    <t>remind</t>
  </si>
  <si>
    <t>And she reminded me that my favorite color was blue .</t>
  </si>
  <si>
    <t>file://conllu/en/teddy-1322.conllu#s15_0</t>
  </si>
  <si>
    <t>16</t>
  </si>
  <si>
    <t>17</t>
  </si>
  <si>
    <t>be (be evidence)</t>
  </si>
  <si>
    <t>The fact that my favorite color now is blue , but I 'm still gay is evidence of both my mother 's influence and its limits .</t>
  </si>
  <si>
    <t>file://conllu/en/teddy-1322.conllu#s16_0</t>
  </si>
  <si>
    <t>say (say use)</t>
  </si>
  <si>
    <t>When I was little , my mother used to say , &amp;quot; The love you have for your children is like no other feeling in the world .</t>
  </si>
  <si>
    <t>file://conllu/en/teddy-1322.conllu#s17_0</t>
  </si>
  <si>
    <t>18</t>
  </si>
  <si>
    <t>until?</t>
  </si>
  <si>
    <t>know</t>
  </si>
  <si>
    <t>And until you have children , you do n't know what it 's like . &amp;quot;</t>
  </si>
  <si>
    <t>file://conllu/en/teddy-1322.conllu#s18_0</t>
  </si>
  <si>
    <t>19</t>
  </si>
  <si>
    <t>take</t>
  </si>
  <si>
    <t>And when I was little , I took it as the greatest compliment in the world that she would say that about parenting my brother and me .</t>
  </si>
  <si>
    <t>file://conllu/en/teddy-1322.conllu#s19_0</t>
  </si>
  <si>
    <t>20</t>
  </si>
  <si>
    <t>think</t>
  </si>
  <si>
    <t>And when I was an adolescent , I thought , &amp;quot; But I 'm gay , and so I probably ca n't have a family . &amp;quot;</t>
  </si>
  <si>
    <t>file://conllu/en/teddy-1322.conllu#s20_0</t>
  </si>
  <si>
    <t>21</t>
  </si>
  <si>
    <t>make</t>
  </si>
  <si>
    <t>And when she said it , it made me anxious .</t>
  </si>
  <si>
    <t>file://conllu/en/teddy-1322.conllu#s21_0</t>
  </si>
  <si>
    <t>22</t>
  </si>
  <si>
    <t>after?</t>
  </si>
  <si>
    <t>And after I came out of the closet , when she continued to say it , it made me furious .</t>
  </si>
  <si>
    <t>file://conllu/en/teddy-1322.conllu#s22_0</t>
  </si>
  <si>
    <t>23</t>
  </si>
  <si>
    <t>I said , &amp;quot; I 'm gay .</t>
  </si>
  <si>
    <t>file://conllu/en/teddy-1322.conllu#s23_0</t>
  </si>
  <si>
    <t>24</t>
  </si>
  <si>
    <t>be (be direction)</t>
  </si>
  <si>
    <t>That 's not the direction that I 'm headed in .</t>
  </si>
  <si>
    <t>file://conllu/en/teddy-1322.conllu#s24_0</t>
  </si>
  <si>
    <t>25</t>
  </si>
  <si>
    <t>want</t>
  </si>
  <si>
    <t>And I want you to stop saying that . &amp;quot;</t>
  </si>
  <si>
    <t>file://conllu/en/teddy-1322.conllu#s25_0</t>
  </si>
  <si>
    <t>26</t>
  </si>
  <si>
    <t>write (write ask)</t>
  </si>
  <si>
    <t>About 20 years ago , I was asked by my editors at the &amp;quot; New York Times Magazine &amp;quot; to write a piece about Deaf culture .</t>
  </si>
  <si>
    <t>file://conllu/en/teddy-1322.conllu#s26_0</t>
  </si>
  <si>
    <t>27</t>
  </si>
  <si>
    <t>rather?</t>
  </si>
  <si>
    <t>And I was rather taken aback .</t>
  </si>
  <si>
    <t>file://conllu/en/teddy-1322.conllu#s27_0</t>
  </si>
  <si>
    <t>28</t>
  </si>
  <si>
    <t>I had thought of deafness entirely as an illness :</t>
  </si>
  <si>
    <t>file://conllu/en/teddy-1322.conllu#s28_0</t>
  </si>
  <si>
    <t>29</t>
  </si>
  <si>
    <t>hear</t>
  </si>
  <si>
    <t>those poor people , they could n't hear , they lacked hearing , and what could we do for them ?</t>
  </si>
  <si>
    <t>file://conllu/en/teddy-1322.conllu#s29_0</t>
  </si>
  <si>
    <t>30</t>
  </si>
  <si>
    <t>then?</t>
  </si>
  <si>
    <t>And then I went out into the Deaf world .</t>
  </si>
  <si>
    <t>file://conllu/en/teddy-1322.conllu#s30_0</t>
  </si>
  <si>
    <t>31</t>
  </si>
  <si>
    <t>I went to Deaf clubs .</t>
  </si>
  <si>
    <t>file://conllu/en/teddy-1322.conllu#s31_0</t>
  </si>
  <si>
    <t>32</t>
  </si>
  <si>
    <t>see</t>
  </si>
  <si>
    <t>I saw performances of Deaf theater and of Deaf poetry .</t>
  </si>
  <si>
    <t>file://conllu/en/teddy-1322.conllu#s32_0</t>
  </si>
  <si>
    <t>33</t>
  </si>
  <si>
    <t>I even went to the Miss Deaf America contest in Nashville , Tennessee , where people complained about that slurry Southern signing .</t>
  </si>
  <si>
    <t>file://conllu/en/teddy-1322.conllu#s33_0</t>
  </si>
  <si>
    <t>34</t>
  </si>
  <si>
    <t>become</t>
  </si>
  <si>
    <t>And as I plunged deeper and deeper into the Deaf world , I became convinced that Deafness was a culture and that the people in the Deaf world who said , &amp;quot; We do n't lack hearing ; we have membership in a culture , &amp;quot; were saying something that was viable .</t>
  </si>
  <si>
    <t>file://conllu/en/teddy-1322.conllu#s34_0</t>
  </si>
  <si>
    <t>35</t>
  </si>
  <si>
    <t>be (be culture)</t>
  </si>
  <si>
    <t>It was n't my culture , and I did n't particularly want to rush off and join it , but I appreciated that it was a culture and that for the people who were members of it , it felt as valuable as Latino culture or gay culture or Jewish culture .</t>
  </si>
  <si>
    <t>file://conllu/en/teddy-1322.conllu#s35_0</t>
  </si>
  <si>
    <t>36</t>
  </si>
  <si>
    <t>as?</t>
  </si>
  <si>
    <t>feel</t>
  </si>
  <si>
    <t>It felt as valid , perhaps , even as American culture .</t>
  </si>
  <si>
    <t>file://conllu/en/teddy-1322.conllu#s36_0</t>
  </si>
  <si>
    <t>37</t>
  </si>
  <si>
    <t>have</t>
  </si>
  <si>
    <t>Then a friend of a friend of mine had a daughter who was a dwarf .</t>
  </si>
  <si>
    <t>file://conllu/en/teddy-1322.conllu#s37_0</t>
  </si>
  <si>
    <t>38</t>
  </si>
  <si>
    <t>find</t>
  </si>
  <si>
    <t>And when her daughter was born , she suddenly found herself confronting questions that now began to seem quite resonant to me .</t>
  </si>
  <si>
    <t>file://conllu/en/teddy-1322.conllu#s38_0</t>
  </si>
  <si>
    <t>39</t>
  </si>
  <si>
    <t>face</t>
  </si>
  <si>
    <t>She was facing the question of what to do with this child .</t>
  </si>
  <si>
    <t>file://conllu/en/teddy-1322.conllu#s39_0</t>
  </si>
  <si>
    <t>40</t>
  </si>
  <si>
    <t>else?</t>
  </si>
  <si>
    <t>Should she say , &amp;quot; You 're just like everyone else but a little bit shorter ? &amp;quot;</t>
  </si>
  <si>
    <t>file://conllu/en/teddy-1322.conllu#s40_0</t>
  </si>
  <si>
    <t>41</t>
  </si>
  <si>
    <t>or?</t>
  </si>
  <si>
    <t>try</t>
  </si>
  <si>
    <t>Or should she try to construct some kind of dwarf identity , get involved in the Little People of America , become aware of what was happening for dwarfs ?</t>
  </si>
  <si>
    <t>file://conllu/en/teddy-1322.conllu#s41_0</t>
  </si>
  <si>
    <t>42</t>
  </si>
  <si>
    <t>And I suddenly thought , &amp;quot; Most deaf children are born to hearing parents .</t>
  </si>
  <si>
    <t>file://conllu/en/teddy-1322.conllu#s42_0</t>
  </si>
  <si>
    <t>43</t>
  </si>
  <si>
    <t>tend</t>
  </si>
  <si>
    <t>Those hearing parents tend to try to cure them .</t>
  </si>
  <si>
    <t>file://conllu/en/teddy-1322.conllu#s43_0</t>
  </si>
  <si>
    <t>44</t>
  </si>
  <si>
    <t>discover</t>
  </si>
  <si>
    <t>Those deaf people discover community somehow in adolescence .</t>
  </si>
  <si>
    <t>file://conllu/en/teddy-1322.conllu#s44_0</t>
  </si>
  <si>
    <t>45</t>
  </si>
  <si>
    <t>bear</t>
  </si>
  <si>
    <t>Most gay people are born to straight parents .</t>
  </si>
  <si>
    <t>file://conllu/en/teddy-1322.conllu#s45_0</t>
  </si>
  <si>
    <t>46</t>
  </si>
  <si>
    <t>Those straight parents often want them to function in what they think of as the mainstream world , and those gay people have to discover identity later on .</t>
  </si>
  <si>
    <t>file://conllu/en/teddy-1322.conllu#s46_0</t>
  </si>
  <si>
    <t>47</t>
  </si>
  <si>
    <t>be (be friend)</t>
  </si>
  <si>
    <t>And here was this friend of mine , looking at these questions of identity with her dwarf daughter .</t>
  </si>
  <si>
    <t>file://conllu/en/teddy-1322.conllu#s47_0</t>
  </si>
  <si>
    <t>48</t>
  </si>
  <si>
    <t>And I thought , &amp;quot; There it is again : a family that perceives itself to be normal with a child who seems to be extraordinary . &amp;quot;</t>
  </si>
  <si>
    <t>file://conllu/en/teddy-1322.conllu#s48_0</t>
  </si>
  <si>
    <t>49</t>
  </si>
  <si>
    <t>hatch</t>
  </si>
  <si>
    <t>And I hatched the idea that there are really two kinds of identity .</t>
  </si>
  <si>
    <t>file://conllu/en/teddy-1322.conllu#s49_0</t>
  </si>
  <si>
    <t>50</t>
  </si>
  <si>
    <t>There are vertical identities , which are passed down generationally from parent to child .</t>
  </si>
  <si>
    <t>file://conllu/en/teddy-1322.conllu#s50_0</t>
  </si>
  <si>
    <t>51</t>
  </si>
  <si>
    <t>be (be thing)</t>
  </si>
  <si>
    <t>Those are things like ethnicity , frequently nationality , language , often religion .</t>
  </si>
  <si>
    <t>file://conllu/en/teddy-1322.conllu#s51_0</t>
  </si>
  <si>
    <t>52</t>
  </si>
  <si>
    <t>Those are things you have in common with your parents and with your children .</t>
  </si>
  <si>
    <t>file://conllu/en/teddy-1322.conllu#s52_0</t>
  </si>
  <si>
    <t>53</t>
  </si>
  <si>
    <t>while?</t>
  </si>
  <si>
    <t>And while some of them can be difficult , there 's no attempt to cure them .</t>
  </si>
  <si>
    <t>file://conllu/en/teddy-1322.conllu#s53_0</t>
  </si>
  <si>
    <t>54</t>
  </si>
  <si>
    <t>argue</t>
  </si>
  <si>
    <t>You can argue that it 's harder in the United States our current presidency notwithstanding to be a person of color .</t>
  </si>
  <si>
    <t>file://conllu/en/teddy-1322.conllu#s54_0</t>
  </si>
  <si>
    <t>55</t>
  </si>
  <si>
    <t>yet?</t>
  </si>
  <si>
    <t>And yet , we have nobody who is trying to ensure that the next generation of children born to African Americans and Asians come out with creamy skin and yellow hair .</t>
  </si>
  <si>
    <t>file://conllu/en/teddy-1322.conllu#s55_0</t>
  </si>
  <si>
    <t>56</t>
  </si>
  <si>
    <t>because?</t>
  </si>
  <si>
    <t>There are these other identities which you have to learn from a peer group , and I call them &amp;quot; horizontal identities , &amp;quot; because the peer group is the horizontal experience .</t>
  </si>
  <si>
    <t>file://conllu/en/teddy-1322.conllu#s56_0</t>
  </si>
  <si>
    <t>57</t>
  </si>
  <si>
    <t>be (be identity)</t>
  </si>
  <si>
    <t>These are identities that are alien to your parents and that you have to discover when you get to see them in peers .</t>
  </si>
  <si>
    <t>file://conllu/en/teddy-1322.conllu#s57_0</t>
  </si>
  <si>
    <t>58</t>
  </si>
  <si>
    <t>And those identities , those horizontal identities , people have almost always tried to cure .</t>
  </si>
  <si>
    <t>file://conllu/en/teddy-1322.conllu#s58_0</t>
  </si>
  <si>
    <t>59</t>
  </si>
  <si>
    <t>And I wanted to look at what the process is through which people who have those identities come to a good relationship with them .</t>
  </si>
  <si>
    <t>file://conllu/en/teddy-1322.conllu#s59_0</t>
  </si>
  <si>
    <t>60</t>
  </si>
  <si>
    <t>seem</t>
  </si>
  <si>
    <t>And it seemed to me that there were three levels of acceptance that needed to take place .</t>
  </si>
  <si>
    <t>file://conllu/en/teddy-1322.conllu#s60_0</t>
  </si>
  <si>
    <t>61</t>
  </si>
  <si>
    <t>There 's self acceptance , there 's family acceptance , and there 's social acceptance .</t>
  </si>
  <si>
    <t>file://conllu/en/teddy-1322.conllu#s61_0</t>
  </si>
  <si>
    <t>62</t>
  </si>
  <si>
    <t>coincide</t>
  </si>
  <si>
    <t>And they do n't always coincide .</t>
  </si>
  <si>
    <t>file://conllu/en/teddy-1322.conllu#s62_0</t>
  </si>
  <si>
    <t>63</t>
  </si>
  <si>
    <t>be (be angry)</t>
  </si>
  <si>
    <t>And a lot of the time , people who have these conditions are very angry , because they feel as though their parents do n't love them , when what actually has happened is that their parents do n't accept them .</t>
  </si>
  <si>
    <t>file://conllu/en/teddy-1322.conllu#s63_0</t>
  </si>
  <si>
    <t>64</t>
  </si>
  <si>
    <t>be (be something)</t>
  </si>
  <si>
    <t>Love is something that , ideally , is there unconditionally throughout the relationship between a parent and a child .</t>
  </si>
  <si>
    <t>file://conllu/en/teddy-1322.conllu#s64_0</t>
  </si>
  <si>
    <t>65</t>
  </si>
  <si>
    <t>But acceptance is something that takes time .</t>
  </si>
  <si>
    <t>file://conllu/en/teddy-1322.conllu#s65_0</t>
  </si>
  <si>
    <t>66</t>
  </si>
  <si>
    <t>It always takes time .</t>
  </si>
  <si>
    <t>file://conllu/en/teddy-1322.conllu#s66_0</t>
  </si>
  <si>
    <t>67</t>
  </si>
  <si>
    <t>be (be guy)</t>
  </si>
  <si>
    <t>One of the dwarfs I got to know was a guy named Clinton Brown .</t>
  </si>
  <si>
    <t>file://conllu/en/teddy-1322.conllu#s67_0</t>
  </si>
  <si>
    <t>68</t>
  </si>
  <si>
    <t>diagnose</t>
  </si>
  <si>
    <t>When he was born , he was diagnosed with diastrophic dwarfism , a very disabling condition , and his parents were told that he would never walk , he would never talk , he would have no intellectual capacity , and he would probably not even recognize them .</t>
  </si>
  <si>
    <t>file://conllu/en/teddy-1322.conllu#s68_0</t>
  </si>
  <si>
    <t>69</t>
  </si>
  <si>
    <t>suggest</t>
  </si>
  <si>
    <t>And it was suggested to them that they leave him at the hospital so that he could die there quietly .</t>
  </si>
  <si>
    <t>file://conllu/en/teddy-1322.conllu#s69_0</t>
  </si>
  <si>
    <t>70</t>
  </si>
  <si>
    <t>His mother said she was n't going to do it , and she took her son home .</t>
  </si>
  <si>
    <t>file://conllu/en/teddy-1322.conllu#s70_0</t>
  </si>
  <si>
    <t>71</t>
  </si>
  <si>
    <t>though?</t>
  </si>
  <si>
    <t>And even though she did n't have a lot of educational or financial advantages , she found the best doctor in the country for dealing with diastrophic dwarfism , and she got Clinton enrolled with him .</t>
  </si>
  <si>
    <t>file://conllu/en/teddy-1322.conllu#s71_0</t>
  </si>
  <si>
    <t>72</t>
  </si>
  <si>
    <t>And in the course of his childhood , he had 30 major surgical procedures .</t>
  </si>
  <si>
    <t>file://conllu/en/teddy-1322.conllu#s72_0</t>
  </si>
  <si>
    <t>73</t>
  </si>
  <si>
    <t>spend</t>
  </si>
  <si>
    <t>And he spent all this time stuck in the hospital while he was having those procedures , as a result of which , he now can walk .</t>
  </si>
  <si>
    <t>file://conllu/en/teddy-1322.conllu#s73_0</t>
  </si>
  <si>
    <t>74</t>
  </si>
  <si>
    <t>send</t>
  </si>
  <si>
    <t>While he was there , they sent tutors around to help him with his schoolwork , and he worked very hard , because there was nothing else to do .</t>
  </si>
  <si>
    <t>file://conllu/en/teddy-1322.conllu#s74_0</t>
  </si>
  <si>
    <t>75</t>
  </si>
  <si>
    <t>end</t>
  </si>
  <si>
    <t>He ended up achieving at a level that had never before been contemplated by any member of his family .</t>
  </si>
  <si>
    <t>file://conllu/en/teddy-1322.conllu#s75_0</t>
  </si>
  <si>
    <t>76</t>
  </si>
  <si>
    <t>in fact?</t>
  </si>
  <si>
    <t>be (be one)</t>
  </si>
  <si>
    <t>He was the first one in his family , in fact , to go to college , where he lived on campus and drove a specially fitted car that accommodated his unusual body .</t>
  </si>
  <si>
    <t>file://conllu/en/teddy-1322.conllu#s76_0</t>
  </si>
  <si>
    <t>77</t>
  </si>
  <si>
    <t>see (see say tell say)</t>
  </si>
  <si>
    <t>And his mother told me the story of coming home one day and he went to college nearby and she said , &amp;quot; I saw that car , which you can always recognize , in the parking lot of a bar , &amp;quot; she said .</t>
  </si>
  <si>
    <t>file://conllu/en/teddy-1322.conllu#s77_0</t>
  </si>
  <si>
    <t>78</t>
  </si>
  <si>
    <t>&amp;quot; And I thought to myself , ' They 're six feet tall , he 's three feet tall .</t>
  </si>
  <si>
    <t>file://conllu/en/teddy-1322.conllu#s78_0</t>
  </si>
  <si>
    <t>79</t>
  </si>
  <si>
    <t>be (be beer)</t>
  </si>
  <si>
    <t>Two beers for them is four beers for him . ' &amp;quot;</t>
  </si>
  <si>
    <t>file://conllu/en/teddy-1322.conllu#s79_0</t>
  </si>
  <si>
    <t>80</t>
  </si>
  <si>
    <t>know (know say)</t>
  </si>
  <si>
    <t>She said , &amp;quot; I knew I could n't go in there and interrupt him , but I went home , and I left him eight messages on his cell phone . &amp;quot;</t>
  </si>
  <si>
    <t>file://conllu/en/teddy-1322.conllu#s80_0</t>
  </si>
  <si>
    <t>81</t>
  </si>
  <si>
    <t>say (say think say)</t>
  </si>
  <si>
    <t>She said , &amp;quot; And then I thought , if someone had said to me , when he was born , that my future worry would be that he 'd go drinking and driving with his college buddies ... &amp;quot;</t>
  </si>
  <si>
    <t>file://conllu/en/teddy-1322.conllu#s81_0</t>
  </si>
  <si>
    <t>82</t>
  </si>
  <si>
    <t>And I said to her , &amp;quot; What do you think you did that helped him to emerge as this charming , accomplished , wonderful person ? &amp;quot;</t>
  </si>
  <si>
    <t>file://conllu/en/teddy-1322.conllu#s82_0</t>
  </si>
  <si>
    <t>83</t>
  </si>
  <si>
    <t>And she said , &amp;quot; What did I do ?</t>
  </si>
  <si>
    <t>file://conllu/en/teddy-1322.conllu#s83_0</t>
  </si>
  <si>
    <t>84</t>
  </si>
  <si>
    <t>love</t>
  </si>
  <si>
    <t>I loved him , that 's all .</t>
  </si>
  <si>
    <t>file://conllu/en/teddy-1322.conllu#s84_0</t>
  </si>
  <si>
    <t>85</t>
  </si>
  <si>
    <t>Clinton just always had that light in him .</t>
  </si>
  <si>
    <t>file://conllu/en/teddy-1322.conllu#s85_0</t>
  </si>
  <si>
    <t>86</t>
  </si>
  <si>
    <t>and</t>
  </si>
  <si>
    <t>And his father and</t>
  </si>
  <si>
    <t>file://conllu/en/teddy-1322.conllu#s86_0</t>
  </si>
  <si>
    <t>87</t>
  </si>
  <si>
    <t>be (be lucky)</t>
  </si>
  <si>
    <t>I were lucky enough to be the first to see it there . &amp;quot;</t>
  </si>
  <si>
    <t>file://conllu/en/teddy-1322.conllu#s87_0</t>
  </si>
  <si>
    <t>88</t>
  </si>
  <si>
    <t>I 'm going to quote from another magazine of the '60s .</t>
  </si>
  <si>
    <t>file://conllu/en/teddy-1322.conllu#s88_0</t>
  </si>
  <si>
    <t>89</t>
  </si>
  <si>
    <t>be (be 1968)</t>
  </si>
  <si>
    <t>This one is from 1968 &amp;quot; The Atlantic Monthly , &amp;quot; voice of liberal America written by an important bioethicist .</t>
  </si>
  <si>
    <t>file://conllu/en/teddy-1322.conllu#s89_0</t>
  </si>
  <si>
    <t>90</t>
  </si>
  <si>
    <t>He said , &amp;quot; There is no reason to feel guilty about putting a Down 's syndrome child away , whether it is ' put away ' in the sense of hidden in a sanitarium or in a more responsible , lethal sense .</t>
  </si>
  <si>
    <t>file://conllu/en/teddy-1322.conllu#s90_0</t>
  </si>
  <si>
    <t>91</t>
  </si>
  <si>
    <t>be (be sad)</t>
  </si>
  <si>
    <t>It is sad , yes .</t>
  </si>
  <si>
    <t>file://conllu/en/teddy-1322.conllu#s91_0</t>
  </si>
  <si>
    <t>92</t>
  </si>
  <si>
    <t>Dreadful</t>
  </si>
  <si>
    <t>Dreadful .</t>
  </si>
  <si>
    <t>file://conllu/en/teddy-1322.conllu#s92_0</t>
  </si>
  <si>
    <t>93</t>
  </si>
  <si>
    <t>carry</t>
  </si>
  <si>
    <t>But it carries no guilt .</t>
  </si>
  <si>
    <t>file://conllu/en/teddy-1322.conllu#s93_0</t>
  </si>
  <si>
    <t>94</t>
  </si>
  <si>
    <t>arise</t>
  </si>
  <si>
    <t>True guilt arises only from an offense against a person , and a Down 's is not a person . &amp;quot;</t>
  </si>
  <si>
    <t>file://conllu/en/teddy-1322.conllu#s94_0</t>
  </si>
  <si>
    <t>95</t>
  </si>
  <si>
    <t>There 's been a lot of ink given to the enormous progress that we 've made in the treatment of gay people .</t>
  </si>
  <si>
    <t>file://conllu/en/teddy-1322.conllu#s95_0</t>
  </si>
  <si>
    <t>96</t>
  </si>
  <si>
    <t>be (be headline)</t>
  </si>
  <si>
    <t>The fact that our attitude has changed is in the headlines every day .</t>
  </si>
  <si>
    <t>file://conllu/en/teddy-1322.conllu#s96_0</t>
  </si>
  <si>
    <t>97</t>
  </si>
  <si>
    <t>forget</t>
  </si>
  <si>
    <t>But we forget how we used to see people who had other differences , how we used to see people who were disabled , how inhuman we held people to be .</t>
  </si>
  <si>
    <t>file://conllu/en/teddy-1322.conllu#s97_0</t>
  </si>
  <si>
    <t>98</t>
  </si>
  <si>
    <t>And the change that 's been accomplished there , which is almost equally radical , is one that we pay not very much attention to .</t>
  </si>
  <si>
    <t>file://conllu/en/teddy-1322.conllu#s98_0</t>
  </si>
  <si>
    <t>99</t>
  </si>
  <si>
    <t>One of the families I interviewed , Tom and Karen Robards , were taken aback when , as young and successful New Yorkers , their first child was diagnosed with Down syndrome .</t>
  </si>
  <si>
    <t>file://conllu/en/teddy-1322.conllu#s99_0</t>
  </si>
  <si>
    <t>100</t>
  </si>
  <si>
    <t>decide (decide think)</t>
  </si>
  <si>
    <t>They thought the educational opportunities for him were not what they should be , and so they decided they would build a little center two classrooms that they started with a few other parents to educate kids with DS .</t>
  </si>
  <si>
    <t>file://conllu/en/teddy-1322.conllu#s100_0</t>
  </si>
  <si>
    <t>101</t>
  </si>
  <si>
    <t>grow</t>
  </si>
  <si>
    <t>And over the years , that center grew into something called the Cooke Center , where there are now thousands upon thousands of children with intellectual disabilities who are being taught .</t>
  </si>
  <si>
    <t>file://conllu/en/teddy-1322.conllu#s101_0</t>
  </si>
  <si>
    <t>102</t>
  </si>
  <si>
    <t>since?</t>
  </si>
  <si>
    <t>trip</t>
  </si>
  <si>
    <t>In the time since that &amp;quot; Atlantic Monthly &amp;quot; story ran , the life expectancy for people with Down syndrome has tripled .</t>
  </si>
  <si>
    <t>file://conllu/en/teddy-1322.conllu#s102_0</t>
  </si>
  <si>
    <t>103</t>
  </si>
  <si>
    <t>include</t>
  </si>
  <si>
    <t>The experience of Down syndrome people includes those who are actors , those who are writers , some who are able to live fully independently in adulthood .</t>
  </si>
  <si>
    <t>file://conllu/en/teddy-1322.conllu#s103_0</t>
  </si>
  <si>
    <t>104</t>
  </si>
  <si>
    <t>The Robards had a lot to do with that .</t>
  </si>
  <si>
    <t>file://conllu/en/teddy-1322.conllu#s104_0</t>
  </si>
  <si>
    <t>105</t>
  </si>
  <si>
    <t>And I said , &amp;quot; Do you regret it ?</t>
  </si>
  <si>
    <t>file://conllu/en/teddy-1322.conllu#s105_0</t>
  </si>
  <si>
    <t>106</t>
  </si>
  <si>
    <t>wish</t>
  </si>
  <si>
    <t>Do you wish your child did n't have Down syndrome ?</t>
  </si>
  <si>
    <t>file://conllu/en/teddy-1322.conllu#s106_0</t>
  </si>
  <si>
    <t>107</t>
  </si>
  <si>
    <t>hear (hear wish)</t>
  </si>
  <si>
    <t>Do you wish you 'd never heard of it ? &amp;quot;</t>
  </si>
  <si>
    <t>file://conllu/en/teddy-1322.conllu#s107_0</t>
  </si>
  <si>
    <t>108</t>
  </si>
  <si>
    <t>And interestingly , his father said , &amp;quot; Well , for David , our son , I regret it , because for David , it 's a difficult way to be in the world , and I 'd like to give David an easier life .</t>
  </si>
  <si>
    <t>file://conllu/en/teddy-1322.conllu#s108_0</t>
  </si>
  <si>
    <t>109</t>
  </si>
  <si>
    <t>But I think if we lost everyone with Down syndrome , it would be a catastrophic loss . &amp;quot;</t>
  </si>
  <si>
    <t>file://conllu/en/teddy-1322.conllu#s109_0</t>
  </si>
  <si>
    <t>110</t>
  </si>
  <si>
    <t>And Karen Robards said to me , &amp;quot; I 'm with Tom .</t>
  </si>
  <si>
    <t>file://conllu/en/teddy-1322.conllu#s110_0</t>
  </si>
  <si>
    <t>111</t>
  </si>
  <si>
    <t>cure</t>
  </si>
  <si>
    <t>For David , I would cure it in an instant , to give him an easier life .</t>
  </si>
  <si>
    <t>file://conllu/en/teddy-1322.conllu#s111_0</t>
  </si>
  <si>
    <t>112</t>
  </si>
  <si>
    <t>speak (speak believe)</t>
  </si>
  <si>
    <t>But speaking for myself well , I would never have believed 23 years ago when he was born that I could come to such a point .</t>
  </si>
  <si>
    <t>file://conllu/en/teddy-1322.conllu#s112_0</t>
  </si>
  <si>
    <t>113</t>
  </si>
  <si>
    <t>Speaking for myself , it 's made me so much better and so much kinder and so much more purposeful in my whole life that , speaking for myself , I would n't give it up for anything in the world . &amp;quot;</t>
  </si>
  <si>
    <t>file://conllu/en/teddy-1322.conllu#s113_0</t>
  </si>
  <si>
    <t>114</t>
  </si>
  <si>
    <t>live</t>
  </si>
  <si>
    <t>We live at a point when social acceptance for these and many other conditions is on the up and up .</t>
  </si>
  <si>
    <t>file://conllu/en/teddy-1322.conllu#s114_0</t>
  </si>
  <si>
    <t>115</t>
  </si>
  <si>
    <t>And yet we also live at the moment when our ability to eliminate those conditions has reached a height we never imagined before .</t>
  </si>
  <si>
    <t>file://conllu/en/teddy-1322.conllu#s115_0</t>
  </si>
  <si>
    <t>116</t>
  </si>
  <si>
    <t>receive</t>
  </si>
  <si>
    <t>Most deaf infants born in the United States now will receive cochlear implants , which are put into the brain and connected to a receiver , and which allow them to acquire a facsimile of hearing and to use oral speech .</t>
  </si>
  <si>
    <t>file://conllu/en/teddy-1322.conllu#s116_0</t>
  </si>
  <si>
    <t>117</t>
  </si>
  <si>
    <t>be (be useful)</t>
  </si>
  <si>
    <t>A compound that has been tested in mice , BMN 111 , is useful in preventing the action of the achondroplasia gene .</t>
  </si>
  <si>
    <t>file://conllu/en/teddy-1322.conllu#s117_0</t>
  </si>
  <si>
    <t>118</t>
  </si>
  <si>
    <t>be (be form)</t>
  </si>
  <si>
    <t>Achondroplasia is the most common form of dwarfism , and mice who have been given that substance and who have the achondroplasia gene grow to full size .</t>
  </si>
  <si>
    <t>file://conllu/en/teddy-1322.conllu#s118_0</t>
  </si>
  <si>
    <t>119</t>
  </si>
  <si>
    <t>test</t>
  </si>
  <si>
    <t>Testing in humans is around the corner .</t>
  </si>
  <si>
    <t>file://conllu/en/teddy-1322.conllu#s119_0</t>
  </si>
  <si>
    <t>120</t>
  </si>
  <si>
    <t>There are blood tests which are making progress that would pick up Down syndrome more clearly and earlier in pregnancies than ever before , making it easier and easier for people to eliminate those pregnancies , or to terminate them .</t>
  </si>
  <si>
    <t>file://conllu/en/teddy-1322.conllu#s120_0</t>
  </si>
  <si>
    <t>121</t>
  </si>
  <si>
    <t>so?</t>
  </si>
  <si>
    <t>So we have both social progress and medical progress .</t>
  </si>
  <si>
    <t>file://conllu/en/teddy-1322.conllu#s121_0</t>
  </si>
  <si>
    <t>122</t>
  </si>
  <si>
    <t>believe</t>
  </si>
  <si>
    <t>And I believe in both of them .</t>
  </si>
  <si>
    <t>file://conllu/en/teddy-1322.conllu#s122_0</t>
  </si>
  <si>
    <t>123</t>
  </si>
  <si>
    <t>think (think believe)</t>
  </si>
  <si>
    <t>I believe the social progress is fantastic and meaningful and wonderful , and I think the same thing about the medical progress .</t>
  </si>
  <si>
    <t>file://conllu/en/teddy-1322.conllu#s123_0</t>
  </si>
  <si>
    <t>124</t>
  </si>
  <si>
    <t>But I think it 's a tragedy when one of them does n't see the other .</t>
  </si>
  <si>
    <t>file://conllu/en/teddy-1322.conllu#s124_0</t>
  </si>
  <si>
    <t>125</t>
  </si>
  <si>
    <t>see (see think)</t>
  </si>
  <si>
    <t>And when I see the way they 're intersecting in conditions like the three I 've just described , I sometimes think it 's like those moments in grand opera when the hero realizes he loves the heroine at the exact moment that she lies expiring on a divan .</t>
  </si>
  <si>
    <t>file://conllu/en/teddy-1322.conllu#s125_0</t>
  </si>
  <si>
    <t>126</t>
  </si>
  <si>
    <t>We have to think about how we feel about cures altogether .</t>
  </si>
  <si>
    <t>file://conllu/en/teddy-1322.conllu#s126_0</t>
  </si>
  <si>
    <t>127</t>
  </si>
  <si>
    <t>lot</t>
  </si>
  <si>
    <t>And a lot of the time the question of parenthood is : What do we validate in our children , and what do we cure in them ?</t>
  </si>
  <si>
    <t>file://conllu/en/teddy-1322.conllu#s127_0</t>
  </si>
  <si>
    <t>128</t>
  </si>
  <si>
    <t>say (say wish say)</t>
  </si>
  <si>
    <t>Jim Sinclair , a prominent autism activist , said , &amp;quot; When parents say , 'I wish my child did not have autism , ' what they 're really saying is , 'I wish the child I have did not exist and I had a different , nonautistic child instead . '</t>
  </si>
  <si>
    <t>file://conllu/en/teddy-1322.conllu#s128_0</t>
  </si>
  <si>
    <t>129</t>
  </si>
  <si>
    <t>read</t>
  </si>
  <si>
    <t>Read that again .</t>
  </si>
  <si>
    <t>file://conllu/en/teddy-1322.conllu#s129_0</t>
  </si>
  <si>
    <t>130</t>
  </si>
  <si>
    <t>be (be what)</t>
  </si>
  <si>
    <t>This is what we hear when you mourn over our existence .</t>
  </si>
  <si>
    <t>file://conllu/en/teddy-1322.conllu#s130_0</t>
  </si>
  <si>
    <t>131</t>
  </si>
  <si>
    <t>This is what we hear when you pray for a cure : that your fondest wish for us is that someday we will cease to be , and strangers you can love will move in behind our faces . &amp;quot;</t>
  </si>
  <si>
    <t>file://conllu/en/teddy-1322.conllu#s131_0</t>
  </si>
  <si>
    <t>132</t>
  </si>
  <si>
    <t>view (view point)</t>
  </si>
  <si>
    <t>It 's a very extreme point of view , but it points to the reality that people engage with the life they have and they do n't want to be cured or changed or eliminated .</t>
  </si>
  <si>
    <t>file://conllu/en/teddy-1322.conllu#s132_0</t>
  </si>
  <si>
    <t>133</t>
  </si>
  <si>
    <t>They want to be whoever it is that they 've come to be .</t>
  </si>
  <si>
    <t>file://conllu/en/teddy-1322.conllu#s133_0</t>
  </si>
  <si>
    <t>134</t>
  </si>
  <si>
    <t>be (be family)</t>
  </si>
  <si>
    <t>One of the families I interviewed for this project was the family of Dylan Klebold , who was one of the perpetrators of the Columbine massacre .</t>
  </si>
  <si>
    <t>file://conllu/en/teddy-1322.conllu#s134_0</t>
  </si>
  <si>
    <t>135</t>
  </si>
  <si>
    <t>It took a long time to persuade them to talk to me , and once they agreed , they were so full of their story that they could n't stop telling it , and the first weekend I spent with them , the first of many , I recorded more than 20 hours of conversation .</t>
  </si>
  <si>
    <t>file://conllu/en/teddy-1322.conllu#s135_0</t>
  </si>
  <si>
    <t>136</t>
  </si>
  <si>
    <t>exhaust</t>
  </si>
  <si>
    <t>And on Sunday night , we were all exhausted .</t>
  </si>
  <si>
    <t>file://conllu/en/teddy-1322.conllu#s136_0</t>
  </si>
  <si>
    <t>137</t>
  </si>
  <si>
    <t>sit</t>
  </si>
  <si>
    <t>We were sitting in the kitchen .</t>
  </si>
  <si>
    <t>file://conllu/en/teddy-1322.conllu#s137_0</t>
  </si>
  <si>
    <t>138</t>
  </si>
  <si>
    <t>fix</t>
  </si>
  <si>
    <t>Sue Klebold was fixing dinner .</t>
  </si>
  <si>
    <t>file://conllu/en/teddy-1322.conllu#s138_0</t>
  </si>
  <si>
    <t>139</t>
  </si>
  <si>
    <t>And I said , &amp;quot; If Dylan were here now , do you have a sense of what you 'd want to ask him ? &amp;quot;</t>
  </si>
  <si>
    <t>file://conllu/en/teddy-1322.conllu#s139_0</t>
  </si>
  <si>
    <t>140</t>
  </si>
  <si>
    <t>And his father said , &amp;quot; I sure do .</t>
  </si>
  <si>
    <t>file://conllu/en/teddy-1322.conllu#s140_0</t>
  </si>
  <si>
    <t>141</t>
  </si>
  <si>
    <t>ask (ask want)</t>
  </si>
  <si>
    <t>I 'd want to ask him what the hell he thought he was doing . &amp;quot;</t>
  </si>
  <si>
    <t>file://conllu/en/teddy-1322.conllu#s141_0</t>
  </si>
  <si>
    <t>142</t>
  </si>
  <si>
    <t>look</t>
  </si>
  <si>
    <t>And Sue looked at the floor , and she thought for a minute .</t>
  </si>
  <si>
    <t>file://conllu/en/teddy-1322.conllu#s142_0</t>
  </si>
  <si>
    <t>143</t>
  </si>
  <si>
    <t>And then she looked back up and said , &amp;quot; I would ask him to forgive me for being his mother and never knowing what was going on inside his head . &amp;quot;</t>
  </si>
  <si>
    <t>file://conllu/en/teddy-1322.conllu#s143_0</t>
  </si>
  <si>
    <t>144</t>
  </si>
  <si>
    <t>later?</t>
  </si>
  <si>
    <t>wish (wish use know say)</t>
  </si>
  <si>
    <t>When I had dinner with her a couple of years later one of many dinners that we had together she said , &amp;quot; You know , when it first happened , I used to wish that I had never married , that I had never had children .</t>
  </si>
  <si>
    <t>file://conllu/en/teddy-1322.conllu#s144_0</t>
  </si>
  <si>
    <t>145</t>
  </si>
  <si>
    <t>exist</t>
  </si>
  <si>
    <t>If I had n't gone to Ohio State and crossed paths with Tom , this child would n't have existed , and this terrible thing would n't have happened .</t>
  </si>
  <si>
    <t>file://conllu/en/teddy-1322.conllu#s145_0</t>
  </si>
  <si>
    <t>146</t>
  </si>
  <si>
    <t>But I 've come to feel that I love the children I had so much that I do n't want to imagine a life without them .</t>
  </si>
  <si>
    <t>file://conllu/en/teddy-1322.conllu#s146_0</t>
  </si>
  <si>
    <t>147</t>
  </si>
  <si>
    <t>recognize (recognize say)</t>
  </si>
  <si>
    <t>I recognize the pain they caused to others , for which there can be no forgiveness , but the pain they caused to me , there is , &amp;quot; she said .</t>
  </si>
  <si>
    <t>file://conllu/en/teddy-1322.conllu#s147_0</t>
  </si>
  <si>
    <t>148</t>
  </si>
  <si>
    <t>so</t>
  </si>
  <si>
    <t>&amp;quot; So while I recognize that it would have been better for the world if Dylan had never been born , I 've decided that it would not have been better for me . &amp;quot;</t>
  </si>
  <si>
    <t>file://conllu/en/teddy-1322.conllu#s148_0</t>
  </si>
  <si>
    <t>149</t>
  </si>
  <si>
    <t>I thought it was surprising how all of these families had all of these children with all of these problems , problems that they mostly would have done anything to avoid , and that they had all found so much meaning in that experience of parenting .</t>
  </si>
  <si>
    <t>file://conllu/en/teddy-1322.conllu#s149_0</t>
  </si>
  <si>
    <t>150</t>
  </si>
  <si>
    <t>And then I thought , all of us who have children love the children we have , with their flaws .</t>
  </si>
  <si>
    <t>file://conllu/en/teddy-1322.conllu#s150_0</t>
  </si>
  <si>
    <t>151</t>
  </si>
  <si>
    <t>if?</t>
  </si>
  <si>
    <t>cling</t>
  </si>
  <si>
    <t>If some glorious angel suddenly descended through my living room ceiling and offered to take away the children I have and give me other , better children more polite , funnier , nicer , smarter I would cling to the children I have and pray away that atrocious spectacle .</t>
  </si>
  <si>
    <t>file://conllu/en/teddy-1322.conllu#s151_0</t>
  </si>
  <si>
    <t>152</t>
  </si>
  <si>
    <t>ultimately?</t>
  </si>
  <si>
    <t>And ultimately , I feel that in the same way that we test flame retardant pajamas in an inferno to ensure they wo n't catch fire when our child reaches across the stove , so these stories of families negotiating these extreme differences reflect on the universal experience of parenting , which is always that sometimes , you look at your child , and you think , &amp;quot; Where did you come from ? &amp;quot;</t>
  </si>
  <si>
    <t>file://conllu/en/teddy-1322.conllu#s152_0</t>
  </si>
  <si>
    <t>153</t>
  </si>
  <si>
    <t>turn</t>
  </si>
  <si>
    <t>It turns out that while each of these individual differences is siloed there are only so many families dealing with schizophrenia , only so many families of children who are transgender , only so many families of prodigies who also face similar challenges in many ways in each of those categories .</t>
  </si>
  <si>
    <t>file://conllu/en/teddy-1322.conllu#s153_0</t>
  </si>
  <si>
    <t>154</t>
  </si>
  <si>
    <t>But if you start to think that the experience of negotiating difference within your family is what people are addressing , then you discover that it 's a nearly universal phenomenon .</t>
  </si>
  <si>
    <t>file://conllu/en/teddy-1322.conllu#s154_0</t>
  </si>
  <si>
    <t>155</t>
  </si>
  <si>
    <t>Ironically , it turns out , that it 's our differences and our negotiation of difference that unite us .</t>
  </si>
  <si>
    <t>file://conllu/en/teddy-1322.conllu#s155_0</t>
  </si>
  <si>
    <t>156</t>
  </si>
  <si>
    <t>decide</t>
  </si>
  <si>
    <t>I decided to have children while I was working on this project .</t>
  </si>
  <si>
    <t>file://conllu/en/teddy-1322.conllu#s156_0</t>
  </si>
  <si>
    <t>157</t>
  </si>
  <si>
    <t>be (be astonish)</t>
  </si>
  <si>
    <t>And many people were astonished and said , &amp;quot; But how can you decide to have children in the midst of studying everything that can go wrong ? &amp;quot;</t>
  </si>
  <si>
    <t>file://conllu/en/teddy-1322.conllu#s157_0</t>
  </si>
  <si>
    <t>158</t>
  </si>
  <si>
    <t>And I said , &amp;quot; I 'm not studying everything that can go wrong .</t>
  </si>
  <si>
    <t>file://conllu/en/teddy-1322.conllu#s158_0</t>
  </si>
  <si>
    <t>159</t>
  </si>
  <si>
    <t>be (be there)</t>
  </si>
  <si>
    <t>What I 'm studying is how much love there can be , even when everything appears to be going wrong . &amp;quot;</t>
  </si>
  <si>
    <t>file://conllu/en/teddy-1322.conllu#s159_0</t>
  </si>
  <si>
    <t>160</t>
  </si>
  <si>
    <t>I thought a lot about the mother of one disabled child I had seen , a severely disabled child who died through caregiver neglect .</t>
  </si>
  <si>
    <t>file://conllu/en/teddy-1322.conllu#s160_0</t>
  </si>
  <si>
    <t>161</t>
  </si>
  <si>
    <t>pray (pray say)</t>
  </si>
  <si>
    <t>And when his ashes were interred , his mother said , &amp;quot; I pray here for forgiveness for having been twice robbed : once of the child I wanted , and once of the son I loved . &amp;quot;</t>
  </si>
  <si>
    <t>file://conllu/en/teddy-1322.conllu#s161_0</t>
  </si>
  <si>
    <t>162</t>
  </si>
  <si>
    <t>figure</t>
  </si>
  <si>
    <t>And I figured it was possible , then , for anyone to love any child , if they had the effective will to do so .</t>
  </si>
  <si>
    <t>file://conllu/en/teddy-1322.conllu#s162_0</t>
  </si>
  <si>
    <t>163</t>
  </si>
  <si>
    <t>be (be father)</t>
  </si>
  <si>
    <t>So , my husband is the biological father of two children with some lesbian friends in Minneapolis .</t>
  </si>
  <si>
    <t>file://conllu/en/teddy-1322.conllu#s163_0</t>
  </si>
  <si>
    <t>164</t>
  </si>
  <si>
    <t>I had a close friend from college who 'd gone through a divorce and wanted to have children .</t>
  </si>
  <si>
    <t>file://conllu/en/teddy-1322.conllu#s164_0</t>
  </si>
  <si>
    <t>165</t>
  </si>
  <si>
    <t>And so she and I have a daughter , and mother and daughter live in Texas .</t>
  </si>
  <si>
    <t>file://conllu/en/teddy-1322.conllu#s165_0</t>
  </si>
  <si>
    <t>166</t>
  </si>
  <si>
    <t>And my husband and I have a son who lives with us all the time , of whom I am the biological father , and our surrogate for the pregnancy was Laura , the lesbian mother of Oliver and Lucy in Minneapolis .</t>
  </si>
  <si>
    <t>file://conllu/en/teddy-1322.conllu#s166_0</t>
  </si>
  <si>
    <t>167</t>
  </si>
  <si>
    <t>So</t>
  </si>
  <si>
    <t>file://conllu/en/teddy-1322.conllu#s167_0</t>
  </si>
  <si>
    <t>168</t>
  </si>
  <si>
    <t>be (be parent)</t>
  </si>
  <si>
    <t>The shorthand is : five parents of four children in three states .</t>
  </si>
  <si>
    <t>file://conllu/en/teddy-1322.conllu#s168_0</t>
  </si>
  <si>
    <t>169</t>
  </si>
  <si>
    <t>And there are people who think that the existence of my family somehow undermines or weakens or damages their family .</t>
  </si>
  <si>
    <t>file://conllu/en/teddy-1322.conllu#s169_0</t>
  </si>
  <si>
    <t>170</t>
  </si>
  <si>
    <t>family</t>
  </si>
  <si>
    <t>that families like mine should n't be allowed to exist .</t>
  </si>
  <si>
    <t>file://conllu/en/teddy-1322.conllu#s170_0</t>
  </si>
  <si>
    <t>171</t>
  </si>
  <si>
    <t>accept</t>
  </si>
  <si>
    <t>And I do n't accept subtractive models of love , only additive ones .</t>
  </si>
  <si>
    <t>file://conllu/en/teddy-1322.conllu#s171_0</t>
  </si>
  <si>
    <t>172</t>
  </si>
  <si>
    <t>And I believe that in the same way that we need species diversity to ensure that the planet can go on , so we need this diversity of affection and diversity of family in order to strengthen the ecosphere of kindness .</t>
  </si>
  <si>
    <t>file://conllu/en/teddy-1322.conllu#s172_0</t>
  </si>
  <si>
    <t>173</t>
  </si>
  <si>
    <t>The day after our son was born , the pediatrician came into the hospital room and said she was concerned .</t>
  </si>
  <si>
    <t>file://conllu/en/teddy-1322.conllu#s173_0</t>
  </si>
  <si>
    <t>174</t>
  </si>
  <si>
    <t>extend</t>
  </si>
  <si>
    <t>He was n't extending his legs appropriately .</t>
  </si>
  <si>
    <t>file://conllu/en/teddy-1322.conllu#s174_0</t>
  </si>
  <si>
    <t>175</t>
  </si>
  <si>
    <t>She said that might mean that he had brain damage .</t>
  </si>
  <si>
    <t>file://conllu/en/teddy-1322.conllu#s175_0</t>
  </si>
  <si>
    <t>176</t>
  </si>
  <si>
    <t>Insofar as he was extending them , he was doing so asymmetrically , which she thought could mean that there was a tumor of some kind in action .</t>
  </si>
  <si>
    <t>file://conllu/en/teddy-1322.conllu#s176_0</t>
  </si>
  <si>
    <t>177</t>
  </si>
  <si>
    <t>And he had a very large head , which she thought might indicate hydrocephalus .</t>
  </si>
  <si>
    <t>file://conllu/en/teddy-1322.conllu#s177_0</t>
  </si>
  <si>
    <t>178</t>
  </si>
  <si>
    <t>And as she told me all of these things , I felt the very center of my being pouring out onto the floor .</t>
  </si>
  <si>
    <t>file://conllu/en/teddy-1322.conllu#s178_0</t>
  </si>
  <si>
    <t>179</t>
  </si>
  <si>
    <t>And I thought , &amp;quot; Here I had been working for years on a book about how much meaning people had found in the experience of parenting children who were disabled , and I did n't want to join their number because what I was encountering was an idea of illness . &amp;quot;</t>
  </si>
  <si>
    <t>file://conllu/en/teddy-1322.conllu#s179_0</t>
  </si>
  <si>
    <t>180</t>
  </si>
  <si>
    <t>And like all parents since the dawn of time , I wanted to protect my child from illness .</t>
  </si>
  <si>
    <t>file://conllu/en/teddy-1322.conllu#s180_0</t>
  </si>
  <si>
    <t>181</t>
  </si>
  <si>
    <t>also?</t>
  </si>
  <si>
    <t>And I wanted , also , to protect myself from illness .</t>
  </si>
  <si>
    <t>file://conllu/en/teddy-1322.conllu#s181_0</t>
  </si>
  <si>
    <t>182</t>
  </si>
  <si>
    <t>And yet , I knew from the work I had done that if he had any of the things we were about to start testing for , that those would ultimately be his identity , and if they were his identity , they would become my identity , that that illness was going to take a very different shape as it unfolded .</t>
  </si>
  <si>
    <t>file://conllu/en/teddy-1322.conllu#s182_0</t>
  </si>
  <si>
    <t>183</t>
  </si>
  <si>
    <t>We took him to the MRI machine , we took him to the CAT scanner , we took this day old child and gave him over for an arterial blood draw .</t>
  </si>
  <si>
    <t>file://conllu/en/teddy-1322.conllu#s183_0</t>
  </si>
  <si>
    <t>184</t>
  </si>
  <si>
    <t>We felt helpless .</t>
  </si>
  <si>
    <t>file://conllu/en/teddy-1322.conllu#s184_0</t>
  </si>
  <si>
    <t>185</t>
  </si>
  <si>
    <t>And at the end of five hours , they said that his brain was completely clear and that he was by then extending his legs correctly .</t>
  </si>
  <si>
    <t>file://conllu/en/teddy-1322.conllu#s185_0</t>
  </si>
  <si>
    <t>186</t>
  </si>
  <si>
    <t>ask (ask say)</t>
  </si>
  <si>
    <t>And when I asked the pediatrician what had been going on , she said she thought in the morning , he had probably had a cramp .</t>
  </si>
  <si>
    <t>file://conllu/en/teddy-1322.conllu#s186_0</t>
  </si>
  <si>
    <t>187</t>
  </si>
  <si>
    <t>think (think think)</t>
  </si>
  <si>
    <t>But I thought I thought how my mother was right .</t>
  </si>
  <si>
    <t>file://conllu/en/teddy-1322.conllu#s187_0</t>
  </si>
  <si>
    <t>188</t>
  </si>
  <si>
    <t>I thought , &amp;quot; The love you have for your children is unlike any other feeling in the world .</t>
  </si>
  <si>
    <t>file://conllu/en/teddy-1322.conllu#s188_0</t>
  </si>
  <si>
    <t>189</t>
  </si>
  <si>
    <t>you do n't know what it feels like .</t>
  </si>
  <si>
    <t>file://conllu/en/teddy-1322.conllu#s189_0</t>
  </si>
  <si>
    <t>190</t>
  </si>
  <si>
    <t>I think children had ensnared me the moment I connected fatherhood with loss .</t>
  </si>
  <si>
    <t>file://conllu/en/teddy-1322.conllu#s190_0</t>
  </si>
  <si>
    <t>191</t>
  </si>
  <si>
    <t>be (be sure)</t>
  </si>
  <si>
    <t>But I 'm not sure I would have noticed that if I had n't been so in the thick of this research project of mine .</t>
  </si>
  <si>
    <t>file://conllu/en/teddy-1322.conllu#s191_0</t>
  </si>
  <si>
    <t>192</t>
  </si>
  <si>
    <t>encountere</t>
  </si>
  <si>
    <t>I 'd encountered so much strange love , and I fell very naturally into its bewitching patterns .</t>
  </si>
  <si>
    <t>file://conllu/en/teddy-1322.conllu#s192_0</t>
  </si>
  <si>
    <t>193</t>
  </si>
  <si>
    <t>And I saw how splendor can illuminate even the most abject vulnerabilities .</t>
  </si>
  <si>
    <t>file://conllu/en/teddy-1322.conllu#s193_0</t>
  </si>
  <si>
    <t>194</t>
  </si>
  <si>
    <t>witness</t>
  </si>
  <si>
    <t>During these 10 years , I had witnessed and learned the terrifying joy of unbearable responsibility , and I had come to see how it conquers everything else .</t>
  </si>
  <si>
    <t>file://conllu/en/teddy-1322.conllu#s194_0</t>
  </si>
  <si>
    <t>195</t>
  </si>
  <si>
    <t>think (think realize)</t>
  </si>
  <si>
    <t>And while I had sometimes thought the parents I was interviewing were fools , enslaving themselves to a lifetime 's journey with their thankless children and trying to breed identity out of misery , I realized that day that my research had built me a plank and that I was ready to join them on their ship .</t>
  </si>
  <si>
    <t>file://conllu/en/teddy-1322.conllu#s195_0</t>
  </si>
  <si>
    <t>196</t>
  </si>
  <si>
    <t>thank</t>
  </si>
  <si>
    <t>Thank you .</t>
  </si>
  <si>
    <t>file://conllu/en/teddy-1322.conllu#s196_0</t>
  </si>
  <si>
    <t>197</t>
  </si>
  <si>
    <t>( Applause and cheers )</t>
  </si>
  <si>
    <t>file://conllu/en/teddy-1322.conllu#s197_0</t>
  </si>
  <si>
    <t>WORD</t>
  </si>
  <si>
    <t>GR</t>
  </si>
  <si>
    <t>NP_TYPE</t>
  </si>
  <si>
    <t>REF_AUTO</t>
  </si>
  <si>
    <t>COREF</t>
  </si>
  <si>
    <t>REF</t>
  </si>
  <si>
    <t>IS</t>
  </si>
  <si>
    <t>CB</t>
  </si>
  <si>
    <t>GR_ANTE</t>
  </si>
  <si>
    <t>REF_DIST</t>
  </si>
  <si>
    <t>REF_DIST_ANTE</t>
  </si>
  <si>
    <t># text = "Even in purely nonreligious terms, homosexuality represents a misuse of the sexual faculty.</t>
  </si>
  <si>
    <t>&amp;quot;</t>
  </si>
  <si>
    <t>Even</t>
  </si>
  <si>
    <t>in</t>
  </si>
  <si>
    <t>purely</t>
  </si>
  <si>
    <t>nonreligious</t>
  </si>
  <si>
    <t>terms</t>
  </si>
  <si>
    <t>other</t>
  </si>
  <si>
    <t>indef-np.bare</t>
  </si>
  <si>
    <t>,</t>
  </si>
  <si>
    <t>homosexuality</t>
  </si>
  <si>
    <t>SBJ</t>
  </si>
  <si>
    <t>represents</t>
  </si>
  <si>
    <t>a</t>
  </si>
  <si>
    <t>misuse</t>
  </si>
  <si>
    <t>OBJ</t>
  </si>
  <si>
    <t>indef-np.a</t>
  </si>
  <si>
    <t>of</t>
  </si>
  <si>
    <t>the</t>
  </si>
  <si>
    <t>sexual</t>
  </si>
  <si>
    <t>faculty</t>
  </si>
  <si>
    <t>other_2</t>
  </si>
  <si>
    <t>def-np.the</t>
  </si>
  <si>
    <t>?OLD</t>
  </si>
  <si>
    <t>.</t>
  </si>
  <si>
    <t># text = It is a pathetic little second-rate substitute for reality -- a pitiable flight from life.</t>
  </si>
  <si>
    <t>It</t>
  </si>
  <si>
    <t>pron.pper</t>
  </si>
  <si>
    <t>is</t>
  </si>
  <si>
    <t>pathetic</t>
  </si>
  <si>
    <t>little</t>
  </si>
  <si>
    <t>second</t>
  </si>
  <si>
    <t>rate</t>
  </si>
  <si>
    <t>substitute</t>
  </si>
  <si>
    <t>for</t>
  </si>
  <si>
    <t>reality</t>
  </si>
  <si>
    <t>pitiable</t>
  </si>
  <si>
    <t>flight</t>
  </si>
  <si>
    <t>from</t>
  </si>
  <si>
    <t>life</t>
  </si>
  <si>
    <t>--</t>
  </si>
  <si>
    <t># text = As such, it deserves no compassion, it deserves no treatment as minority martyrdom, and it deserves not to be deemed anything but a pernicious sickness."</t>
  </si>
  <si>
    <t>As</t>
  </si>
  <si>
    <t>such</t>
  </si>
  <si>
    <t>it</t>
  </si>
  <si>
    <t>deserves</t>
  </si>
  <si>
    <t>no</t>
  </si>
  <si>
    <t>compassion</t>
  </si>
  <si>
    <t>indef-np.quant</t>
  </si>
  <si>
    <t>SBJ_2</t>
  </si>
  <si>
    <t>treatment</t>
  </si>
  <si>
    <t>OBJ_2</t>
  </si>
  <si>
    <t>as</t>
  </si>
  <si>
    <t>minority</t>
  </si>
  <si>
    <t>martyrdom</t>
  </si>
  <si>
    <t>not</t>
  </si>
  <si>
    <t>to</t>
  </si>
  <si>
    <t>deemed</t>
  </si>
  <si>
    <t>anything</t>
  </si>
  <si>
    <t>OBJ_3</t>
  </si>
  <si>
    <t>pron</t>
  </si>
  <si>
    <t>but</t>
  </si>
  <si>
    <t>pernicious</t>
  </si>
  <si>
    <t>sickness</t>
  </si>
  <si>
    <t>other_4</t>
  </si>
  <si>
    <t># text = That's from "Time" magazine in 1966, when I was three years old.</t>
  </si>
  <si>
    <t>That</t>
  </si>
  <si>
    <t>pron.pds</t>
  </si>
  <si>
    <t>'s</t>
  </si>
  <si>
    <t>Time</t>
  </si>
  <si>
    <t>magazine</t>
  </si>
  <si>
    <t>1966</t>
  </si>
  <si>
    <t>when</t>
  </si>
  <si>
    <t>I</t>
  </si>
  <si>
    <t>was</t>
  </si>
  <si>
    <t>three</t>
  </si>
  <si>
    <t>years</t>
  </si>
  <si>
    <t>old</t>
  </si>
  <si>
    <t># text = And last year, the president of the United States came out in favor of gay marriage.</t>
  </si>
  <si>
    <t>And</t>
  </si>
  <si>
    <t>last</t>
  </si>
  <si>
    <t>year</t>
  </si>
  <si>
    <t>president</t>
  </si>
  <si>
    <t>def-np.poss</t>
  </si>
  <si>
    <t>United</t>
  </si>
  <si>
    <t>States</t>
  </si>
  <si>
    <t>ne</t>
  </si>
  <si>
    <t>came</t>
  </si>
  <si>
    <t>out</t>
  </si>
  <si>
    <t>favor</t>
  </si>
  <si>
    <t>gay</t>
  </si>
  <si>
    <t>marriage</t>
  </si>
  <si>
    <t># text = (Applause)</t>
  </si>
  <si>
    <t>(</t>
  </si>
  <si>
    <t>)</t>
  </si>
  <si>
    <t># text = And my question is: How did we get from there to here?</t>
  </si>
  <si>
    <t>my</t>
  </si>
  <si>
    <t>pron.ppos</t>
  </si>
  <si>
    <t>question</t>
  </si>
  <si>
    <t>:</t>
  </si>
  <si>
    <t>How</t>
  </si>
  <si>
    <t>did</t>
  </si>
  <si>
    <t>we</t>
  </si>
  <si>
    <t>get</t>
  </si>
  <si>
    <t>there</t>
  </si>
  <si>
    <t>pron.padv</t>
  </si>
  <si>
    <t>here</t>
  </si>
  <si>
    <t>?</t>
  </si>
  <si>
    <t># text = How did an illness become an identity?</t>
  </si>
  <si>
    <t>an</t>
  </si>
  <si>
    <t>illness</t>
  </si>
  <si>
    <t>identity</t>
  </si>
  <si>
    <t>other_3</t>
  </si>
  <si>
    <t># text = When I was perhaps six years old, I went to a shoe store with my mother and my brother.</t>
  </si>
  <si>
    <t>When</t>
  </si>
  <si>
    <t>perhaps</t>
  </si>
  <si>
    <t>six</t>
  </si>
  <si>
    <t>went</t>
  </si>
  <si>
    <t>shoe</t>
  </si>
  <si>
    <t>store</t>
  </si>
  <si>
    <t>with</t>
  </si>
  <si>
    <t>mother</t>
  </si>
  <si>
    <t>brother</t>
  </si>
  <si>
    <t># text = And at the end of buying our shoes, the salesman said to us that we could each have a balloon to take home.</t>
  </si>
  <si>
    <t>at</t>
  </si>
  <si>
    <t>buying</t>
  </si>
  <si>
    <t>our</t>
  </si>
  <si>
    <t>shoes</t>
  </si>
  <si>
    <t>salesman</t>
  </si>
  <si>
    <t>said</t>
  </si>
  <si>
    <t>us</t>
  </si>
  <si>
    <t>that</t>
  </si>
  <si>
    <t>could</t>
  </si>
  <si>
    <t>each</t>
  </si>
  <si>
    <t>balloon</t>
  </si>
  <si>
    <t>home</t>
  </si>
  <si>
    <t># text = My brother wanted a red balloon, and I wanted a pink balloon.</t>
  </si>
  <si>
    <t>My</t>
  </si>
  <si>
    <t>wanted</t>
  </si>
  <si>
    <t>red</t>
  </si>
  <si>
    <t>pink</t>
  </si>
  <si>
    <t># text = My mother said that she thought I'd really rather have a blue balloon.</t>
  </si>
  <si>
    <t>she</t>
  </si>
  <si>
    <t>thought</t>
  </si>
  <si>
    <t>SBJ_3</t>
  </si>
  <si>
    <t>'d</t>
  </si>
  <si>
    <t>really</t>
  </si>
  <si>
    <t>rather</t>
  </si>
  <si>
    <t>blue</t>
  </si>
  <si>
    <t># text = (Laughter)</t>
  </si>
  <si>
    <t>Laughter</t>
  </si>
  <si>
    <t># text = But I said that I definitely wanted the pink one.</t>
  </si>
  <si>
    <t>But</t>
  </si>
  <si>
    <t>definitely</t>
  </si>
  <si>
    <t>one</t>
  </si>
  <si>
    <t># text = And she reminded me that my favorite color was blue.</t>
  </si>
  <si>
    <t>reminded</t>
  </si>
  <si>
    <t>me</t>
  </si>
  <si>
    <t>favorite</t>
  </si>
  <si>
    <t>color</t>
  </si>
  <si>
    <t># text = The fact that my favorite color now is blue, but I'm still gay -- is evidence of both my mother's influence and its limits.</t>
  </si>
  <si>
    <t>The</t>
  </si>
  <si>
    <t>fact</t>
  </si>
  <si>
    <t>now</t>
  </si>
  <si>
    <t>'m</t>
  </si>
  <si>
    <t>still</t>
  </si>
  <si>
    <t>evidence</t>
  </si>
  <si>
    <t>both</t>
  </si>
  <si>
    <t>influence</t>
  </si>
  <si>
    <t>its</t>
  </si>
  <si>
    <t>limits</t>
  </si>
  <si>
    <t># text = When I was little, my mother used to say, "The love you have for your children is like no other feeling in the world.</t>
  </si>
  <si>
    <t>used</t>
  </si>
  <si>
    <t>you</t>
  </si>
  <si>
    <t>SBJ_5</t>
  </si>
  <si>
    <t>your</t>
  </si>
  <si>
    <t>other_6</t>
  </si>
  <si>
    <t>children</t>
  </si>
  <si>
    <t>other_5</t>
  </si>
  <si>
    <t>like</t>
  </si>
  <si>
    <t>feeling</t>
  </si>
  <si>
    <t>world</t>
  </si>
  <si>
    <t># text = And until you have children, you don't know what it's like.\"</t>
  </si>
  <si>
    <t>until</t>
  </si>
  <si>
    <t>n't</t>
  </si>
  <si>
    <t>what</t>
  </si>
  <si>
    <t>pron.pint</t>
  </si>
  <si>
    <t># text = And when I was little, I took it as the greatest compliment in the world that she would say that about parenting my brother and me.</t>
  </si>
  <si>
    <t>took</t>
  </si>
  <si>
    <t>greatest</t>
  </si>
  <si>
    <t>compliment</t>
  </si>
  <si>
    <t>would</t>
  </si>
  <si>
    <t>about</t>
  </si>
  <si>
    <t>parenting</t>
  </si>
  <si>
    <t># text = And when I was an adolescent, I thought, "But I'm gay, and so I probably can't have a family."</t>
  </si>
  <si>
    <t>adolescent</t>
  </si>
  <si>
    <t>probably</t>
  </si>
  <si>
    <t>ca</t>
  </si>
  <si>
    <t># text = And when she said it, it made me anxious.</t>
  </si>
  <si>
    <t>made</t>
  </si>
  <si>
    <t>anxious</t>
  </si>
  <si>
    <t># text = And after I came out of the closet, when she continued to say it, it made me furious.</t>
  </si>
  <si>
    <t>after</t>
  </si>
  <si>
    <t>closet</t>
  </si>
  <si>
    <t>continued</t>
  </si>
  <si>
    <t>furious</t>
  </si>
  <si>
    <t># text = I said, "I'm gay.</t>
  </si>
  <si>
    <t># text = That's not the direction that I'm headed in.</t>
  </si>
  <si>
    <t>direction</t>
  </si>
  <si>
    <t>headed</t>
  </si>
  <si>
    <t># text = And I want you to stop saying that.\"</t>
  </si>
  <si>
    <t>stop</t>
  </si>
  <si>
    <t>saying</t>
  </si>
  <si>
    <t># text = About 20 years ago, I was asked by my editors at the \"New York Times Magazine\" to write a piece about Deaf culture.</t>
  </si>
  <si>
    <t>About</t>
  </si>
  <si>
    <t>ago</t>
  </si>
  <si>
    <t>asked</t>
  </si>
  <si>
    <t>by</t>
  </si>
  <si>
    <t>editors</t>
  </si>
  <si>
    <t>New</t>
  </si>
  <si>
    <t>York</t>
  </si>
  <si>
    <t>Times</t>
  </si>
  <si>
    <t>Magazine</t>
  </si>
  <si>
    <t>write</t>
  </si>
  <si>
    <t>piece</t>
  </si>
  <si>
    <t>Deaf</t>
  </si>
  <si>
    <t>culture</t>
  </si>
  <si>
    <t># text = And I was rather taken aback.</t>
  </si>
  <si>
    <t>taken</t>
  </si>
  <si>
    <t>aback</t>
  </si>
  <si>
    <t># text = I had thought of deafness entirely as an illness:</t>
  </si>
  <si>
    <t>had</t>
  </si>
  <si>
    <t>deafness</t>
  </si>
  <si>
    <t>entirely</t>
  </si>
  <si>
    <t># text = those poor people, they couldn't hear, they lacked hearing, and what could we do for them?</t>
  </si>
  <si>
    <t>those</t>
  </si>
  <si>
    <t>poor</t>
  </si>
  <si>
    <t>people</t>
  </si>
  <si>
    <t>def-np.dem</t>
  </si>
  <si>
    <t>they</t>
  </si>
  <si>
    <t>lacked</t>
  </si>
  <si>
    <t>hearing</t>
  </si>
  <si>
    <t>them</t>
  </si>
  <si>
    <t># text = And then I went out into the Deaf world.</t>
  </si>
  <si>
    <t>then</t>
  </si>
  <si>
    <t>into</t>
  </si>
  <si>
    <t># text = I went to Deaf clubs.</t>
  </si>
  <si>
    <t>clubs</t>
  </si>
  <si>
    <t># text = I saw performances of Deaf theater and of Deaf poetry.</t>
  </si>
  <si>
    <t>saw</t>
  </si>
  <si>
    <t>performances</t>
  </si>
  <si>
    <t>theater</t>
  </si>
  <si>
    <t>poetry</t>
  </si>
  <si>
    <t># text = I even went to the Miss Deaf America contest in Nashville, Tennessee, where people complained about that slurry Southern signing.</t>
  </si>
  <si>
    <t>even</t>
  </si>
  <si>
    <t>Miss</t>
  </si>
  <si>
    <t>America</t>
  </si>
  <si>
    <t>contest</t>
  </si>
  <si>
    <t>Nashville</t>
  </si>
  <si>
    <t>Tennessee</t>
  </si>
  <si>
    <t>where</t>
  </si>
  <si>
    <t>complained</t>
  </si>
  <si>
    <t>slurry</t>
  </si>
  <si>
    <t>Southern</t>
  </si>
  <si>
    <t>signing</t>
  </si>
  <si>
    <t># text = And as I plunged deeper and deeper into the Deaf world, I became convinced that Deafness was a culture and that the people in the Deaf world who said, "We don't lack hearing; we have membership in a culture," were saying something that was viable.</t>
  </si>
  <si>
    <t>plunged</t>
  </si>
  <si>
    <t>deeper</t>
  </si>
  <si>
    <t>became</t>
  </si>
  <si>
    <t>convinced</t>
  </si>
  <si>
    <t>Deafness</t>
  </si>
  <si>
    <t>SBJ_4</t>
  </si>
  <si>
    <t>who</t>
  </si>
  <si>
    <t>SBJ_6</t>
  </si>
  <si>
    <t>We</t>
  </si>
  <si>
    <t>SBJ_7</t>
  </si>
  <si>
    <t>lack</t>
  </si>
  <si>
    <t>OBJ_7</t>
  </si>
  <si>
    <t>;</t>
  </si>
  <si>
    <t>SBJ_8</t>
  </si>
  <si>
    <t>membership</t>
  </si>
  <si>
    <t>OBJ_8</t>
  </si>
  <si>
    <t>other_8</t>
  </si>
  <si>
    <t>were</t>
  </si>
  <si>
    <t>something</t>
  </si>
  <si>
    <t>OBJ_4</t>
  </si>
  <si>
    <t>viable</t>
  </si>
  <si>
    <t># text = It wasn't my culture, and I didn't particularly want to rush off and join it, but I appreciated that it was a culture and that for the people who were members of it, it felt as valuable as Latino culture or gay culture or Jewish culture.</t>
  </si>
  <si>
    <t>particularly</t>
  </si>
  <si>
    <t>rush</t>
  </si>
  <si>
    <t>off</t>
  </si>
  <si>
    <t>join</t>
  </si>
  <si>
    <t>appreciated</t>
  </si>
  <si>
    <t>members</t>
  </si>
  <si>
    <t>felt</t>
  </si>
  <si>
    <t>valuable</t>
  </si>
  <si>
    <t>Latino</t>
  </si>
  <si>
    <t>or</t>
  </si>
  <si>
    <t>Jewish</t>
  </si>
  <si>
    <t># text = It felt as valid, perhaps, even as American culture.</t>
  </si>
  <si>
    <t>valid</t>
  </si>
  <si>
    <t>American</t>
  </si>
  <si>
    <t># text = Then a friend of a friend of mine had a daughter who was a dwarf.</t>
  </si>
  <si>
    <t>Then</t>
  </si>
  <si>
    <t>friend</t>
  </si>
  <si>
    <t>mine</t>
  </si>
  <si>
    <t>daughter</t>
  </si>
  <si>
    <t>dwarf</t>
  </si>
  <si>
    <t># text = And when her daughter was born, she suddenly found herself confronting questions that now began to seem quite resonant to me.</t>
  </si>
  <si>
    <t>her</t>
  </si>
  <si>
    <t>born</t>
  </si>
  <si>
    <t>suddenly</t>
  </si>
  <si>
    <t>found</t>
  </si>
  <si>
    <t>herself</t>
  </si>
  <si>
    <t>confronting</t>
  </si>
  <si>
    <t>questions</t>
  </si>
  <si>
    <t>began</t>
  </si>
  <si>
    <t>quite</t>
  </si>
  <si>
    <t>resonant</t>
  </si>
  <si>
    <t># text = She was facing the question of what to do with this child.</t>
  </si>
  <si>
    <t>She</t>
  </si>
  <si>
    <t>facing</t>
  </si>
  <si>
    <t>this</t>
  </si>
  <si>
    <t>child</t>
  </si>
  <si>
    <t># text = Should she say, "You're just like everyone else but a little bit shorter?"</t>
  </si>
  <si>
    <t>Should</t>
  </si>
  <si>
    <t>You</t>
  </si>
  <si>
    <t>'re</t>
  </si>
  <si>
    <t>just</t>
  </si>
  <si>
    <t>everyone</t>
  </si>
  <si>
    <t>pron.pind</t>
  </si>
  <si>
    <t>else</t>
  </si>
  <si>
    <t>bit</t>
  </si>
  <si>
    <t>shorter</t>
  </si>
  <si>
    <t># text = Or should she try to construct some kind of dwarf identity, get involved in the Little People of America, become aware of what was happening for dwarfs?</t>
  </si>
  <si>
    <t>Or</t>
  </si>
  <si>
    <t>should</t>
  </si>
  <si>
    <t>construct</t>
  </si>
  <si>
    <t>some</t>
  </si>
  <si>
    <t>kind</t>
  </si>
  <si>
    <t>involved</t>
  </si>
  <si>
    <t>Little</t>
  </si>
  <si>
    <t>People</t>
  </si>
  <si>
    <t>aware</t>
  </si>
  <si>
    <t>happening</t>
  </si>
  <si>
    <t>dwarfs</t>
  </si>
  <si>
    <t># text = And I suddenly thought, \"Most deaf children are born to hearing parents.</t>
  </si>
  <si>
    <t>Most</t>
  </si>
  <si>
    <t>deaf</t>
  </si>
  <si>
    <t>are</t>
  </si>
  <si>
    <t>parents</t>
  </si>
  <si>
    <t># text = Those hearing parents tend to try to cure them.</t>
  </si>
  <si>
    <t>Those</t>
  </si>
  <si>
    <t># text = Those deaf people discover community somehow in adolescence.</t>
  </si>
  <si>
    <t>community</t>
  </si>
  <si>
    <t>somehow</t>
  </si>
  <si>
    <t>adolescence</t>
  </si>
  <si>
    <t># text = Most gay people are born to straight parents.</t>
  </si>
  <si>
    <t>straight</t>
  </si>
  <si>
    <t># text = Those straight parents often want them to function in what they think of as the mainstream world, and those gay people have to discover identity later on.</t>
  </si>
  <si>
    <t>often</t>
  </si>
  <si>
    <t>function</t>
  </si>
  <si>
    <t>mainstream</t>
  </si>
  <si>
    <t>later</t>
  </si>
  <si>
    <t>on</t>
  </si>
  <si>
    <t># text = And here was this friend of mine, looking at these questions of identity with her dwarf daughter.</t>
  </si>
  <si>
    <t>looking</t>
  </si>
  <si>
    <t>these</t>
  </si>
  <si>
    <t># text = And I thought, \"There it is again: a family that perceives itself to be normal with a child who seems to be extraordinary.\"</t>
  </si>
  <si>
    <t>There</t>
  </si>
  <si>
    <t>again</t>
  </si>
  <si>
    <t>perceives</t>
  </si>
  <si>
    <t>itself</t>
  </si>
  <si>
    <t>normal</t>
  </si>
  <si>
    <t>seems</t>
  </si>
  <si>
    <t>extraordinary</t>
  </si>
  <si>
    <t># text = And I hatched the idea that there are really two kinds of identity.</t>
  </si>
  <si>
    <t>hatched</t>
  </si>
  <si>
    <t>idea</t>
  </si>
  <si>
    <t>two</t>
  </si>
  <si>
    <t>kinds</t>
  </si>
  <si>
    <t># text = There are vertical identities, which are passed down generationally from parent to child.</t>
  </si>
  <si>
    <t>vertical</t>
  </si>
  <si>
    <t>identities</t>
  </si>
  <si>
    <t>which</t>
  </si>
  <si>
    <t>passed</t>
  </si>
  <si>
    <t>down</t>
  </si>
  <si>
    <t>generationally</t>
  </si>
  <si>
    <t>parent</t>
  </si>
  <si>
    <t># text = Those are things like ethnicity, frequently nationality, language, often religion.</t>
  </si>
  <si>
    <t>things</t>
  </si>
  <si>
    <t>ethnicity</t>
  </si>
  <si>
    <t>frequently</t>
  </si>
  <si>
    <t>nationality</t>
  </si>
  <si>
    <t>language</t>
  </si>
  <si>
    <t>religion</t>
  </si>
  <si>
    <t># text = Those are things you have in common with your parents and with your children.</t>
  </si>
  <si>
    <t>common</t>
  </si>
  <si>
    <t># text = And while some of them can be difficult, there's no attempt to cure them.</t>
  </si>
  <si>
    <t>while</t>
  </si>
  <si>
    <t>can</t>
  </si>
  <si>
    <t>difficult</t>
  </si>
  <si>
    <t>attempt</t>
  </si>
  <si>
    <t># text = You can argue that it's harder in the United States -- our current presidency notwithstanding -- to be a person of color.</t>
  </si>
  <si>
    <t>harder</t>
  </si>
  <si>
    <t>current</t>
  </si>
  <si>
    <t>presidency</t>
  </si>
  <si>
    <t>notwithstanding</t>
  </si>
  <si>
    <t>person</t>
  </si>
  <si>
    <t># text = And yet, we have nobody who is trying to ensure that the next generation of children born to African-Americans and Asians come out with creamy skin and yellow hair.</t>
  </si>
  <si>
    <t>yet</t>
  </si>
  <si>
    <t>nobody</t>
  </si>
  <si>
    <t>trying</t>
  </si>
  <si>
    <t>ensure</t>
  </si>
  <si>
    <t>next</t>
  </si>
  <si>
    <t>generation</t>
  </si>
  <si>
    <t>African</t>
  </si>
  <si>
    <t>Americans</t>
  </si>
  <si>
    <t>Asians</t>
  </si>
  <si>
    <t>other_9</t>
  </si>
  <si>
    <t>creamy</t>
  </si>
  <si>
    <t>skin</t>
  </si>
  <si>
    <t>yellow</t>
  </si>
  <si>
    <t>hair</t>
  </si>
  <si>
    <t># text = There are these other identities which you have to learn from a peer group, and I call them "horizontal identities," because the peer group is the horizontal experience.</t>
  </si>
  <si>
    <t>def-np.dem.other</t>
  </si>
  <si>
    <t>learn</t>
  </si>
  <si>
    <t>peer</t>
  </si>
  <si>
    <t>group</t>
  </si>
  <si>
    <t>call</t>
  </si>
  <si>
    <t>horizontal</t>
  </si>
  <si>
    <t>because</t>
  </si>
  <si>
    <t>experience</t>
  </si>
  <si>
    <t># text = These are identities that are alien to your parents and that you have to discover when you get to see them in peers.</t>
  </si>
  <si>
    <t>These</t>
  </si>
  <si>
    <t>alien</t>
  </si>
  <si>
    <t>OBJ_5</t>
  </si>
  <si>
    <t>peers</t>
  </si>
  <si>
    <t># text = And those identities, those horizontal identities, people have almost always tried to cure.</t>
  </si>
  <si>
    <t>almost</t>
  </si>
  <si>
    <t>always</t>
  </si>
  <si>
    <t>tried</t>
  </si>
  <si>
    <t># text = And I wanted to look at what the process is through which people who have those identities come to a good relationship with them.</t>
  </si>
  <si>
    <t>process</t>
  </si>
  <si>
    <t>through</t>
  </si>
  <si>
    <t>indef-np</t>
  </si>
  <si>
    <t>good</t>
  </si>
  <si>
    <t>relationship</t>
  </si>
  <si>
    <t># text = And it seemed to me that there were three levels of acceptance that needed to take place.</t>
  </si>
  <si>
    <t>seemed</t>
  </si>
  <si>
    <t>levels</t>
  </si>
  <si>
    <t>acceptance</t>
  </si>
  <si>
    <t>needed</t>
  </si>
  <si>
    <t>place</t>
  </si>
  <si>
    <t># text = There's self-acceptance, there's family acceptance, and there's social acceptance.</t>
  </si>
  <si>
    <t>self</t>
  </si>
  <si>
    <t>social</t>
  </si>
  <si>
    <t># text = And they don't always coincide.</t>
  </si>
  <si>
    <t># text = And a lot of the time, people who have these conditions are very angry, because they feel as though their parents don't love them, when what actually has happened is that their parents don't accept them.</t>
  </si>
  <si>
    <t>time</t>
  </si>
  <si>
    <t>conditions</t>
  </si>
  <si>
    <t>very</t>
  </si>
  <si>
    <t>angry</t>
  </si>
  <si>
    <t>though</t>
  </si>
  <si>
    <t>their</t>
  </si>
  <si>
    <t>actually</t>
  </si>
  <si>
    <t>has</t>
  </si>
  <si>
    <t>happened</t>
  </si>
  <si>
    <t># text = Love is something that, ideally, is there unconditionally throughout the relationship between a parent and a child.</t>
  </si>
  <si>
    <t>Love</t>
  </si>
  <si>
    <t>ideally</t>
  </si>
  <si>
    <t>unconditionally</t>
  </si>
  <si>
    <t>throughout</t>
  </si>
  <si>
    <t>between</t>
  </si>
  <si>
    <t># text = But acceptance is something that takes time.</t>
  </si>
  <si>
    <t>takes</t>
  </si>
  <si>
    <t># text = It always takes time.</t>
  </si>
  <si>
    <t># text = One of the dwarfs I got to know was a guy named Clinton Brown.</t>
  </si>
  <si>
    <t>One</t>
  </si>
  <si>
    <t>got</t>
  </si>
  <si>
    <t>guy</t>
  </si>
  <si>
    <t>named</t>
  </si>
  <si>
    <t>Clinton</t>
  </si>
  <si>
    <t>Brown</t>
  </si>
  <si>
    <t># text = When he was born, he was diagnosed with diastrophic dwarfism, a very disabling condition, and his parents were told that he would never walk, he would never talk, he would have no intellectual capacity, and he would probably not even recognize them.</t>
  </si>
  <si>
    <t>he</t>
  </si>
  <si>
    <t>diagnosed</t>
  </si>
  <si>
    <t>diastrophic</t>
  </si>
  <si>
    <t>dwarfism</t>
  </si>
  <si>
    <t>disabling</t>
  </si>
  <si>
    <t>condition</t>
  </si>
  <si>
    <t>his</t>
  </si>
  <si>
    <t>told</t>
  </si>
  <si>
    <t>never</t>
  </si>
  <si>
    <t>walk</t>
  </si>
  <si>
    <t>talk</t>
  </si>
  <si>
    <t>intellectual</t>
  </si>
  <si>
    <t>capacity</t>
  </si>
  <si>
    <t>recognize</t>
  </si>
  <si>
    <t># text = And it was suggested to them that they leave him at the hospital so that he could die there quietly.</t>
  </si>
  <si>
    <t>suggested</t>
  </si>
  <si>
    <t>leave</t>
  </si>
  <si>
    <t>him</t>
  </si>
  <si>
    <t>hospital</t>
  </si>
  <si>
    <t>die</t>
  </si>
  <si>
    <t>quietly</t>
  </si>
  <si>
    <t># text = His mother said she wasn't going to do it, and she took her son home.</t>
  </si>
  <si>
    <t>His</t>
  </si>
  <si>
    <t>going</t>
  </si>
  <si>
    <t>son</t>
  </si>
  <si>
    <t># text = And even though she didn't have a lot of educational or financial advantages, she found the best doctor in the country for dealing with diastrophic dwarfism, and she got Clinton enrolled with him.</t>
  </si>
  <si>
    <t>educational</t>
  </si>
  <si>
    <t>financial</t>
  </si>
  <si>
    <t>advantages</t>
  </si>
  <si>
    <t>best</t>
  </si>
  <si>
    <t>doctor</t>
  </si>
  <si>
    <t>country</t>
  </si>
  <si>
    <t>dealing</t>
  </si>
  <si>
    <t>enrolled</t>
  </si>
  <si>
    <t># text = And in the course of his childhood, he had 30 major surgical procedures.</t>
  </si>
  <si>
    <t>course</t>
  </si>
  <si>
    <t>childhood</t>
  </si>
  <si>
    <t>major</t>
  </si>
  <si>
    <t>surgical</t>
  </si>
  <si>
    <t>procedures</t>
  </si>
  <si>
    <t># text = And he spent all this time stuck in the hospital while he was having those procedures, as a result of which, he now can walk.</t>
  </si>
  <si>
    <t>spent</t>
  </si>
  <si>
    <t>all</t>
  </si>
  <si>
    <t>stuck</t>
  </si>
  <si>
    <t>having</t>
  </si>
  <si>
    <t>result</t>
  </si>
  <si>
    <t># text = While he was there, they sent tutors around to help him with his schoolwork, and he worked very hard, because there was nothing else to do.</t>
  </si>
  <si>
    <t>While</t>
  </si>
  <si>
    <t>sent</t>
  </si>
  <si>
    <t>tutors</t>
  </si>
  <si>
    <t>around</t>
  </si>
  <si>
    <t>help</t>
  </si>
  <si>
    <t>schoolwork</t>
  </si>
  <si>
    <t>worked</t>
  </si>
  <si>
    <t>hard</t>
  </si>
  <si>
    <t>nothing</t>
  </si>
  <si>
    <t># text = He ended up achieving at a level that had never before been contemplated by any member of his family.</t>
  </si>
  <si>
    <t>He</t>
  </si>
  <si>
    <t>ended</t>
  </si>
  <si>
    <t>up</t>
  </si>
  <si>
    <t>achieving</t>
  </si>
  <si>
    <t>level</t>
  </si>
  <si>
    <t>before</t>
  </si>
  <si>
    <t>been</t>
  </si>
  <si>
    <t>contemplated</t>
  </si>
  <si>
    <t>any</t>
  </si>
  <si>
    <t>member</t>
  </si>
  <si>
    <t>other_7</t>
  </si>
  <si>
    <t># text = He was the first one in his family, in fact, to go to college, where he lived on campus and drove a specially fitted car that accommodated his unusual body.</t>
  </si>
  <si>
    <t>first</t>
  </si>
  <si>
    <t>college</t>
  </si>
  <si>
    <t>lived</t>
  </si>
  <si>
    <t>campus</t>
  </si>
  <si>
    <t>drove</t>
  </si>
  <si>
    <t>specially</t>
  </si>
  <si>
    <t>fitted</t>
  </si>
  <si>
    <t>car</t>
  </si>
  <si>
    <t>OBJ_6</t>
  </si>
  <si>
    <t>accommodated</t>
  </si>
  <si>
    <t>unusual</t>
  </si>
  <si>
    <t>body</t>
  </si>
  <si>
    <t># text = And his mother told me the story of coming home one day -- and he went to college nearby -- and she said, \"I saw that car, which you can always recognize, in the parking lot of a bar,\" she said.</t>
  </si>
  <si>
    <t>story</t>
  </si>
  <si>
    <t>coming</t>
  </si>
  <si>
    <t>day</t>
  </si>
  <si>
    <t>nearby</t>
  </si>
  <si>
    <t>parking</t>
  </si>
  <si>
    <t>bar</t>
  </si>
  <si>
    <t># text = "And I thought to myself, 'They're six feet tall, he's three feet tall.</t>
  </si>
  <si>
    <t>myself</t>
  </si>
  <si>
    <t>'</t>
  </si>
  <si>
    <t>They</t>
  </si>
  <si>
    <t>feet</t>
  </si>
  <si>
    <t>tall</t>
  </si>
  <si>
    <t># text = Two beers for them is four beers for him.'\"</t>
  </si>
  <si>
    <t>Two</t>
  </si>
  <si>
    <t>beers</t>
  </si>
  <si>
    <t>four</t>
  </si>
  <si>
    <t># text = She said, \"I knew I couldn't go in there and interrupt him, but I went home, and I left him eight messages on his cell phone.\"</t>
  </si>
  <si>
    <t>knew</t>
  </si>
  <si>
    <t>interrupt</t>
  </si>
  <si>
    <t>left</t>
  </si>
  <si>
    <t>eight</t>
  </si>
  <si>
    <t>messages</t>
  </si>
  <si>
    <t>cell</t>
  </si>
  <si>
    <t>phone</t>
  </si>
  <si>
    <t># text = She said, "And then I thought, if someone had said to me, when he was born, that my future worry would be that he'd go drinking and driving with his college buddies ..."</t>
  </si>
  <si>
    <t>if</t>
  </si>
  <si>
    <t>someone</t>
  </si>
  <si>
    <t>future</t>
  </si>
  <si>
    <t>worry</t>
  </si>
  <si>
    <t>drinking</t>
  </si>
  <si>
    <t>driving</t>
  </si>
  <si>
    <t>buddies</t>
  </si>
  <si>
    <t>...</t>
  </si>
  <si>
    <t># text = And I said to her, \"What do you think you did that helped him to emerge as this charming, accomplished, wonderful person?\"</t>
  </si>
  <si>
    <t>What</t>
  </si>
  <si>
    <t>helped</t>
  </si>
  <si>
    <t>emerge</t>
  </si>
  <si>
    <t>charming</t>
  </si>
  <si>
    <t>accomplished</t>
  </si>
  <si>
    <t>wonderful</t>
  </si>
  <si>
    <t># text = And she said, \"What did I do?</t>
  </si>
  <si>
    <t># text = I loved him, that's all.</t>
  </si>
  <si>
    <t>loved</t>
  </si>
  <si>
    <t># text = Clinton just always had that light in him.</t>
  </si>
  <si>
    <t>light</t>
  </si>
  <si>
    <t># text = And his father and</t>
  </si>
  <si>
    <t>father</t>
  </si>
  <si>
    <t># text = I were lucky enough to be the first to see it there.\"</t>
  </si>
  <si>
    <t>lucky</t>
  </si>
  <si>
    <t>enough</t>
  </si>
  <si>
    <t># text = I'm going to quote from another magazine of the '60s.</t>
  </si>
  <si>
    <t>quote</t>
  </si>
  <si>
    <t>another</t>
  </si>
  <si>
    <t>'60s</t>
  </si>
  <si>
    <t># text = This one is from 1968 -- "The Atlantic Monthly," voice of liberal America -- written by an important bioethicist.</t>
  </si>
  <si>
    <t>This</t>
  </si>
  <si>
    <t>1968</t>
  </si>
  <si>
    <t>Atlantic</t>
  </si>
  <si>
    <t>Monthly</t>
  </si>
  <si>
    <t>voice</t>
  </si>
  <si>
    <t>liberal</t>
  </si>
  <si>
    <t>written</t>
  </si>
  <si>
    <t>important</t>
  </si>
  <si>
    <t>bioethicist</t>
  </si>
  <si>
    <t># text = He said, \"There is no reason to feel guilty about putting a Down's syndrome child away, whether it is 'put away' in the sense of hidden in a sanitarium or in a more responsible, lethal sense.</t>
  </si>
  <si>
    <t>reason</t>
  </si>
  <si>
    <t>guilty</t>
  </si>
  <si>
    <t>putting</t>
  </si>
  <si>
    <t>Down</t>
  </si>
  <si>
    <t>syndrome</t>
  </si>
  <si>
    <t>away</t>
  </si>
  <si>
    <t>whether</t>
  </si>
  <si>
    <t>put</t>
  </si>
  <si>
    <t>sense</t>
  </si>
  <si>
    <t>hidden</t>
  </si>
  <si>
    <t>sanitarium</t>
  </si>
  <si>
    <t>more</t>
  </si>
  <si>
    <t>responsible</t>
  </si>
  <si>
    <t>lethal</t>
  </si>
  <si>
    <t># text = It is sad, yes.</t>
  </si>
  <si>
    <t>sad</t>
  </si>
  <si>
    <t>yes</t>
  </si>
  <si>
    <t># text = Dreadful.</t>
  </si>
  <si>
    <t># text = But it carries no guilt.</t>
  </si>
  <si>
    <t>carries</t>
  </si>
  <si>
    <t>guilt</t>
  </si>
  <si>
    <t># text = True guilt arises only from an offense against a person, and a Down's is not a person."</t>
  </si>
  <si>
    <t>True</t>
  </si>
  <si>
    <t>arises</t>
  </si>
  <si>
    <t>only</t>
  </si>
  <si>
    <t>offense</t>
  </si>
  <si>
    <t>against</t>
  </si>
  <si>
    <t># text = There's been a lot of ink given to the enormous progress that we've made in the treatment of gay people.</t>
  </si>
  <si>
    <t>ink</t>
  </si>
  <si>
    <t>given</t>
  </si>
  <si>
    <t>enormous</t>
  </si>
  <si>
    <t>progress</t>
  </si>
  <si>
    <t>'ve</t>
  </si>
  <si>
    <t># text = The fact that our attitude has changed is in the headlines every day.</t>
  </si>
  <si>
    <t>attitude</t>
  </si>
  <si>
    <t>changed</t>
  </si>
  <si>
    <t>headlines</t>
  </si>
  <si>
    <t>every</t>
  </si>
  <si>
    <t># text = But we forget how we used to see people who had other differences, how we used to see people who were disabled, how inhuman we held people to be.</t>
  </si>
  <si>
    <t>how</t>
  </si>
  <si>
    <t>differences</t>
  </si>
  <si>
    <t>disabled</t>
  </si>
  <si>
    <t>inhuman</t>
  </si>
  <si>
    <t>held</t>
  </si>
  <si>
    <t># text = And the change that's been accomplished there, which is almost equally radical, is one that we pay not very much attention to.</t>
  </si>
  <si>
    <t>change</t>
  </si>
  <si>
    <t>equally</t>
  </si>
  <si>
    <t>radical</t>
  </si>
  <si>
    <t>pay</t>
  </si>
  <si>
    <t>much</t>
  </si>
  <si>
    <t>attention</t>
  </si>
  <si>
    <t># text = One of the families I interviewed, Tom and Karen Robards, were taken aback when, as young and successful New Yorkers, their first child was diagnosed with Down syndrome.</t>
  </si>
  <si>
    <t>families</t>
  </si>
  <si>
    <t>interviewed</t>
  </si>
  <si>
    <t>Tom</t>
  </si>
  <si>
    <t>Karen</t>
  </si>
  <si>
    <t>Robards</t>
  </si>
  <si>
    <t>young</t>
  </si>
  <si>
    <t>successful</t>
  </si>
  <si>
    <t>Yorkers</t>
  </si>
  <si>
    <t># text = They thought the educational opportunities for him were not what they should be, and so they decided they would build a little center -- two classrooms that they started with a few other parents -- to educate kids with DS.</t>
  </si>
  <si>
    <t>opportunities</t>
  </si>
  <si>
    <t>decided</t>
  </si>
  <si>
    <t>build</t>
  </si>
  <si>
    <t>center</t>
  </si>
  <si>
    <t>classrooms</t>
  </si>
  <si>
    <t>started</t>
  </si>
  <si>
    <t>few</t>
  </si>
  <si>
    <t>educate</t>
  </si>
  <si>
    <t>kids</t>
  </si>
  <si>
    <t>DS</t>
  </si>
  <si>
    <t># text = And over the years, that center grew into something called the Cooke Center, where there are now thousands upon thousands of children with intellectual disabilities who are being taught.</t>
  </si>
  <si>
    <t>over</t>
  </si>
  <si>
    <t>grew</t>
  </si>
  <si>
    <t>called</t>
  </si>
  <si>
    <t>Cooke</t>
  </si>
  <si>
    <t>Center</t>
  </si>
  <si>
    <t>thousands</t>
  </si>
  <si>
    <t>upon</t>
  </si>
  <si>
    <t>disabilities</t>
  </si>
  <si>
    <t>SBJ_9</t>
  </si>
  <si>
    <t>being</t>
  </si>
  <si>
    <t>taught</t>
  </si>
  <si>
    <t># text = In the time since that "Atlantic Monthly" story ran, the life expectancy for people with Down syndrome has tripled.</t>
  </si>
  <si>
    <t>In</t>
  </si>
  <si>
    <t>since</t>
  </si>
  <si>
    <t>ran</t>
  </si>
  <si>
    <t>expectancy</t>
  </si>
  <si>
    <t>tripled</t>
  </si>
  <si>
    <t># text = The experience of Down syndrome people includes those who are actors, those who are writers, some who are able to live fully independently in adulthood.</t>
  </si>
  <si>
    <t>includes</t>
  </si>
  <si>
    <t>actors</t>
  </si>
  <si>
    <t>writers</t>
  </si>
  <si>
    <t>able</t>
  </si>
  <si>
    <t>fully</t>
  </si>
  <si>
    <t>independently</t>
  </si>
  <si>
    <t>adulthood</t>
  </si>
  <si>
    <t># text = The Robards had a lot to do with that.</t>
  </si>
  <si>
    <t># text = And I said, \"Do you regret it?</t>
  </si>
  <si>
    <t>Do</t>
  </si>
  <si>
    <t>regret</t>
  </si>
  <si>
    <t># text = Do you wish your child didn't have Down syndrome?</t>
  </si>
  <si>
    <t># text = Do you wish you'd never heard of it?"</t>
  </si>
  <si>
    <t>heard</t>
  </si>
  <si>
    <t># text = And interestingly, his father said, "Well, for David, our son, I regret it, because for David, it's a difficult way to be in the world, and I'd like to give David an easier life.</t>
  </si>
  <si>
    <t>interestingly</t>
  </si>
  <si>
    <t>Well</t>
  </si>
  <si>
    <t>David</t>
  </si>
  <si>
    <t>way</t>
  </si>
  <si>
    <t>give</t>
  </si>
  <si>
    <t>easier</t>
  </si>
  <si>
    <t># text = But I think if we lost everyone with Down syndrome, it would be a catastrophic loss."</t>
  </si>
  <si>
    <t>lost</t>
  </si>
  <si>
    <t>catastrophic</t>
  </si>
  <si>
    <t>loss</t>
  </si>
  <si>
    <t># text = And Karen Robards said to me, \"I'm with Tom.</t>
  </si>
  <si>
    <t># text = For David, I would cure it in an instant, to give him an easier life.</t>
  </si>
  <si>
    <t>For</t>
  </si>
  <si>
    <t>instant</t>
  </si>
  <si>
    <t># text = But speaking for myself -- well, I would never have believed 23 years ago when he was born that I could come to such a point.</t>
  </si>
  <si>
    <t>speaking</t>
  </si>
  <si>
    <t>well</t>
  </si>
  <si>
    <t>believed</t>
  </si>
  <si>
    <t>point</t>
  </si>
  <si>
    <t># text = Speaking for myself, it's made me so much better and so much kinder and so much more purposeful in my whole life that, speaking for myself, I wouldn't give it up for anything in the world."</t>
  </si>
  <si>
    <t>Speaking</t>
  </si>
  <si>
    <t>better</t>
  </si>
  <si>
    <t>kinder</t>
  </si>
  <si>
    <t>purposeful</t>
  </si>
  <si>
    <t>whole</t>
  </si>
  <si>
    <t># text = We live at a point when social acceptance for these and many other conditions is on the up and up.</t>
  </si>
  <si>
    <t>many</t>
  </si>
  <si>
    <t># text = And yet we also live at the moment when our ability to eliminate those conditions has reached a height we never imagined before.</t>
  </si>
  <si>
    <t>also</t>
  </si>
  <si>
    <t>moment</t>
  </si>
  <si>
    <t>ability</t>
  </si>
  <si>
    <t>eliminate</t>
  </si>
  <si>
    <t>reached</t>
  </si>
  <si>
    <t>height</t>
  </si>
  <si>
    <t>imagined</t>
  </si>
  <si>
    <t># text = Most deaf infants born in the United States now will receive cochlear implants, which are put into the brain and connected to a receiver, and which allow them to acquire a facsimile of hearing and to use oral speech.</t>
  </si>
  <si>
    <t>infants</t>
  </si>
  <si>
    <t>will</t>
  </si>
  <si>
    <t>cochlear</t>
  </si>
  <si>
    <t>implants</t>
  </si>
  <si>
    <t>brain</t>
  </si>
  <si>
    <t>connected</t>
  </si>
  <si>
    <t>receiver</t>
  </si>
  <si>
    <t>allow</t>
  </si>
  <si>
    <t>acquire</t>
  </si>
  <si>
    <t>facsimile</t>
  </si>
  <si>
    <t>use</t>
  </si>
  <si>
    <t>oral</t>
  </si>
  <si>
    <t>speech</t>
  </si>
  <si>
    <t># text = A compound that has been tested in mice, BMN-111, is useful in preventing the action of the achondroplasia gene.</t>
  </si>
  <si>
    <t>A</t>
  </si>
  <si>
    <t>compound</t>
  </si>
  <si>
    <t>tested</t>
  </si>
  <si>
    <t>mice</t>
  </si>
  <si>
    <t>BMN</t>
  </si>
  <si>
    <t>useful</t>
  </si>
  <si>
    <t>preventing</t>
  </si>
  <si>
    <t>action</t>
  </si>
  <si>
    <t>achondroplasia</t>
  </si>
  <si>
    <t>gene</t>
  </si>
  <si>
    <t># text = Achondroplasia is the most common form of dwarfism, and mice who have been given that substance and who have the achondroplasia gene grow to full size.</t>
  </si>
  <si>
    <t>Achondroplasia</t>
  </si>
  <si>
    <t>most</t>
  </si>
  <si>
    <t>form</t>
  </si>
  <si>
    <t>substance</t>
  </si>
  <si>
    <t>full</t>
  </si>
  <si>
    <t>size</t>
  </si>
  <si>
    <t># text = Testing in humans is around the corner.</t>
  </si>
  <si>
    <t>Testing</t>
  </si>
  <si>
    <t>humans</t>
  </si>
  <si>
    <t>corner</t>
  </si>
  <si>
    <t># text = There are blood tests which are making progress that would pick up Down syndrome more clearly and earlier in pregnancies than ever before, making it easier and easier for people to eliminate those pregnancies, or to terminate them.</t>
  </si>
  <si>
    <t>blood</t>
  </si>
  <si>
    <t>tests</t>
  </si>
  <si>
    <t>making</t>
  </si>
  <si>
    <t>pick</t>
  </si>
  <si>
    <t>clearly</t>
  </si>
  <si>
    <t>earlier</t>
  </si>
  <si>
    <t>pregnancies</t>
  </si>
  <si>
    <t>than</t>
  </si>
  <si>
    <t>ever</t>
  </si>
  <si>
    <t>terminate</t>
  </si>
  <si>
    <t># text = So we have both social progress and medical progress.</t>
  </si>
  <si>
    <t>def-np.quant</t>
  </si>
  <si>
    <t>medical</t>
  </si>
  <si>
    <t># text = And I believe in both of them.</t>
  </si>
  <si>
    <t># text = I believe the social progress is fantastic and meaningful and wonderful, and I think the same thing about the medical progress.</t>
  </si>
  <si>
    <t>fantastic</t>
  </si>
  <si>
    <t>meaningful</t>
  </si>
  <si>
    <t>same</t>
  </si>
  <si>
    <t>thing</t>
  </si>
  <si>
    <t># text = But I think it's a tragedy when one of them doesn't see the other.</t>
  </si>
  <si>
    <t>tragedy</t>
  </si>
  <si>
    <t>does</t>
  </si>
  <si>
    <t># text = And when I see the way they're intersecting in conditions like the three I've just described, I sometimes think it's like those moments in grand opera when the hero realizes he loves the heroine at the exact moment that she lies expiring on a divan.</t>
  </si>
  <si>
    <t>intersecting</t>
  </si>
  <si>
    <t>described</t>
  </si>
  <si>
    <t>sometimes</t>
  </si>
  <si>
    <t>moments</t>
  </si>
  <si>
    <t>grand</t>
  </si>
  <si>
    <t>opera</t>
  </si>
  <si>
    <t>hero</t>
  </si>
  <si>
    <t>realizes</t>
  </si>
  <si>
    <t>loves</t>
  </si>
  <si>
    <t>heroine</t>
  </si>
  <si>
    <t>exact</t>
  </si>
  <si>
    <t>lies</t>
  </si>
  <si>
    <t>expiring</t>
  </si>
  <si>
    <t>divan</t>
  </si>
  <si>
    <t># text = We have to think about how we feel about cures altogether.</t>
  </si>
  <si>
    <t>cures</t>
  </si>
  <si>
    <t>altogether</t>
  </si>
  <si>
    <t># text = And a lot of the time the question of parenthood is: What do we validate in our children, and what do we cure in them?</t>
  </si>
  <si>
    <t>parenthood</t>
  </si>
  <si>
    <t>validate</t>
  </si>
  <si>
    <t># text = Jim Sinclair, a prominent autism activist, said, \"When parents say, 'I wish my child did not have autism,' what they're really saying is, 'I wish the child I have did not exist and I had a different, nonautistic child instead.'</t>
  </si>
  <si>
    <t>Jim</t>
  </si>
  <si>
    <t>Sinclair</t>
  </si>
  <si>
    <t>prominent</t>
  </si>
  <si>
    <t>autism</t>
  </si>
  <si>
    <t>activist</t>
  </si>
  <si>
    <t>'I</t>
  </si>
  <si>
    <t>different</t>
  </si>
  <si>
    <t>nonautistic</t>
  </si>
  <si>
    <t>instead</t>
  </si>
  <si>
    <t># text = Read that again.</t>
  </si>
  <si>
    <t>Read</t>
  </si>
  <si>
    <t># text = This is what we hear when you mourn over our existence.</t>
  </si>
  <si>
    <t>mourn</t>
  </si>
  <si>
    <t>existence</t>
  </si>
  <si>
    <t># text = This is what we hear when you pray for a cure: that your fondest wish for us is that someday we will cease to be, and strangers you can love will move in behind our faces."</t>
  </si>
  <si>
    <t>pray</t>
  </si>
  <si>
    <t>fondest</t>
  </si>
  <si>
    <t>someday</t>
  </si>
  <si>
    <t>cease</t>
  </si>
  <si>
    <t>strangers</t>
  </si>
  <si>
    <t>move</t>
  </si>
  <si>
    <t>behind</t>
  </si>
  <si>
    <t>faces</t>
  </si>
  <si>
    <t># text = It's a very extreme point of view, but it points to the reality that people engage with the life they have and they don't want to be cured or changed or eliminated.</t>
  </si>
  <si>
    <t>extreme</t>
  </si>
  <si>
    <t>view</t>
  </si>
  <si>
    <t>points</t>
  </si>
  <si>
    <t>engage</t>
  </si>
  <si>
    <t>cured</t>
  </si>
  <si>
    <t>eliminated</t>
  </si>
  <si>
    <t># text = They want to be whoever it is that they've come to be.</t>
  </si>
  <si>
    <t>whoever</t>
  </si>
  <si>
    <t># text = One of the families I interviewed for this project was the family of Dylan Klebold, who was one of the perpetrators of the Columbine massacre.</t>
  </si>
  <si>
    <t>project</t>
  </si>
  <si>
    <t>Dylan</t>
  </si>
  <si>
    <t>Klebold</t>
  </si>
  <si>
    <t>perpetrators</t>
  </si>
  <si>
    <t>Columbine</t>
  </si>
  <si>
    <t>massacre</t>
  </si>
  <si>
    <t># text = It took a long time to persuade them to talk to me, and once they agreed, they were so full of their story that they couldn't stop telling it, and the first weekend I spent with them, the first of many, I recorded more than 20 hours of conversation.</t>
  </si>
  <si>
    <t>long</t>
  </si>
  <si>
    <t>persuade</t>
  </si>
  <si>
    <t>once</t>
  </si>
  <si>
    <t>agreed</t>
  </si>
  <si>
    <t>telling</t>
  </si>
  <si>
    <t>weekend</t>
  </si>
  <si>
    <t>recorded</t>
  </si>
  <si>
    <t>hours</t>
  </si>
  <si>
    <t>conversation</t>
  </si>
  <si>
    <t># text = And on Sunday night, we were all exhausted.</t>
  </si>
  <si>
    <t>Sunday</t>
  </si>
  <si>
    <t>night</t>
  </si>
  <si>
    <t>exhausted</t>
  </si>
  <si>
    <t># text = We were sitting in the kitchen.</t>
  </si>
  <si>
    <t>sitting</t>
  </si>
  <si>
    <t>kitchen</t>
  </si>
  <si>
    <t># text = Sue Klebold was fixing dinner.</t>
  </si>
  <si>
    <t>Sue</t>
  </si>
  <si>
    <t>fixing</t>
  </si>
  <si>
    <t>dinner</t>
  </si>
  <si>
    <t># text = And I said, \"If Dylan were here now, do you have a sense of what you'd want to ask him?\"</t>
  </si>
  <si>
    <t>If</t>
  </si>
  <si>
    <t>ask</t>
  </si>
  <si>
    <t># text = And his father said, \"I sure do.</t>
  </si>
  <si>
    <t>sure</t>
  </si>
  <si>
    <t># text = I'd want to ask him what the hell he thought he was doing."</t>
  </si>
  <si>
    <t>hell</t>
  </si>
  <si>
    <t>doing</t>
  </si>
  <si>
    <t># text = And Sue looked at the floor, and she thought for a minute.</t>
  </si>
  <si>
    <t>looked</t>
  </si>
  <si>
    <t>floor</t>
  </si>
  <si>
    <t>minute</t>
  </si>
  <si>
    <t># text = And then she looked back up and said, \"I would ask him to forgive me for being his mother and never knowing what was going on inside his head.\"</t>
  </si>
  <si>
    <t>back</t>
  </si>
  <si>
    <t>forgive</t>
  </si>
  <si>
    <t>knowing</t>
  </si>
  <si>
    <t>inside</t>
  </si>
  <si>
    <t>head</t>
  </si>
  <si>
    <t># text = When I had dinner with her a couple of years later -- one of many dinners that we had together -- she said, "You know, when it first happened, I used to wish that I had never married, that I had never had children.</t>
  </si>
  <si>
    <t>couple</t>
  </si>
  <si>
    <t>dinners</t>
  </si>
  <si>
    <t>together</t>
  </si>
  <si>
    <t>married</t>
  </si>
  <si>
    <t># text = If I hadn't gone to Ohio State and crossed paths with Tom, this child wouldn't have existed, and this terrible thing wouldn't have happened.</t>
  </si>
  <si>
    <t>gone</t>
  </si>
  <si>
    <t>Ohio</t>
  </si>
  <si>
    <t>State</t>
  </si>
  <si>
    <t>crossed</t>
  </si>
  <si>
    <t>paths</t>
  </si>
  <si>
    <t>existed</t>
  </si>
  <si>
    <t>terrible</t>
  </si>
  <si>
    <t># text = But I've come to feel that I love the children I had so much that I don't want to imagine a life without them.</t>
  </si>
  <si>
    <t>imagine</t>
  </si>
  <si>
    <t>without</t>
  </si>
  <si>
    <t># text = I recognize the pain they caused to others, for which there can be no forgiveness, but the pain they caused to me, there is," she said.</t>
  </si>
  <si>
    <t>pain</t>
  </si>
  <si>
    <t>caused</t>
  </si>
  <si>
    <t>others</t>
  </si>
  <si>
    <t>forgiveness</t>
  </si>
  <si>
    <t># text = "So while I recognize that it would have been better for the world if Dylan had never been born, I've decided that it would not have been better for me."</t>
  </si>
  <si>
    <t># text = I thought it was surprising how all of these families had all of these children with all of these problems, problems that they mostly would have done anything to avoid, and that they had all found so much meaning in that experience of parenting.</t>
  </si>
  <si>
    <t>surprising</t>
  </si>
  <si>
    <t>problems</t>
  </si>
  <si>
    <t>mostly</t>
  </si>
  <si>
    <t>done</t>
  </si>
  <si>
    <t>avoid</t>
  </si>
  <si>
    <t>meaning</t>
  </si>
  <si>
    <t># text = And then I thought, all of us who have children love the children we have, with their flaws.</t>
  </si>
  <si>
    <t>flaws</t>
  </si>
  <si>
    <t># text = If some glorious angel suddenly descended through my living-room ceiling and offered to take away the children I have and give me other, better children -- more polite, funnier, nicer, smarter -- I would cling to the children I have and pray away that atrocious spectacle.</t>
  </si>
  <si>
    <t>glorious</t>
  </si>
  <si>
    <t>angel</t>
  </si>
  <si>
    <t>descended</t>
  </si>
  <si>
    <t>living</t>
  </si>
  <si>
    <t>room</t>
  </si>
  <si>
    <t>ceiling</t>
  </si>
  <si>
    <t>offered</t>
  </si>
  <si>
    <t>polite</t>
  </si>
  <si>
    <t>funnier</t>
  </si>
  <si>
    <t>nicer</t>
  </si>
  <si>
    <t>smarter</t>
  </si>
  <si>
    <t>atrocious</t>
  </si>
  <si>
    <t>spectacle</t>
  </si>
  <si>
    <t># text = And ultimately, I feel that in the same way that we test flame-retardant pajamas in an inferno to ensure they won't catch fire when our child reaches across the stove, so these stories of families negotiating these extreme differences reflect on the universal experience of parenting, which is always that sometimes, you look at your child, and you think, "Where did you come from?"</t>
  </si>
  <si>
    <t>ultimately</t>
  </si>
  <si>
    <t>flame</t>
  </si>
  <si>
    <t>retardant</t>
  </si>
  <si>
    <t>pajamas</t>
  </si>
  <si>
    <t>inferno</t>
  </si>
  <si>
    <t>wo</t>
  </si>
  <si>
    <t>catch</t>
  </si>
  <si>
    <t>fire</t>
  </si>
  <si>
    <t>reaches</t>
  </si>
  <si>
    <t>across</t>
  </si>
  <si>
    <t>stove</t>
  </si>
  <si>
    <t>stories</t>
  </si>
  <si>
    <t>negotiating</t>
  </si>
  <si>
    <t>reflect</t>
  </si>
  <si>
    <t>universal</t>
  </si>
  <si>
    <t>Where</t>
  </si>
  <si>
    <t># text = It turns out that while each of these individual differences is siloed -- there are only so many families dealing with schizophrenia, only so many families of children who are transgender, only so many families of prodigies -- who also face similar challenges in many ways -- in each of those categories.</t>
  </si>
  <si>
    <t>turns</t>
  </si>
  <si>
    <t>individual</t>
  </si>
  <si>
    <t>siloed</t>
  </si>
  <si>
    <t>schizophrenia</t>
  </si>
  <si>
    <t>transgender</t>
  </si>
  <si>
    <t>prodigies</t>
  </si>
  <si>
    <t>similar</t>
  </si>
  <si>
    <t>challenges</t>
  </si>
  <si>
    <t>ways</t>
  </si>
  <si>
    <t>categories</t>
  </si>
  <si>
    <t># text = But if you start to think that the experience of negotiating difference within your family is what people are addressing, then you discover that it's a nearly universal phenomenon.</t>
  </si>
  <si>
    <t>start</t>
  </si>
  <si>
    <t>difference</t>
  </si>
  <si>
    <t>within</t>
  </si>
  <si>
    <t>addressing</t>
  </si>
  <si>
    <t>nearly</t>
  </si>
  <si>
    <t>phenomenon</t>
  </si>
  <si>
    <t># text = Ironically, it turns out, that it's our differences and our negotiation of difference that unite us.</t>
  </si>
  <si>
    <t>Ironically</t>
  </si>
  <si>
    <t>negotiation</t>
  </si>
  <si>
    <t>unite</t>
  </si>
  <si>
    <t># text = I decided to have children while I was working on this project.</t>
  </si>
  <si>
    <t>working</t>
  </si>
  <si>
    <t># text = And many people were astonished and said, "But how can you decide to have children in the midst of studying everything that can go wrong?"</t>
  </si>
  <si>
    <t>astonished</t>
  </si>
  <si>
    <t>midst</t>
  </si>
  <si>
    <t>studying</t>
  </si>
  <si>
    <t>everything</t>
  </si>
  <si>
    <t>wrong</t>
  </si>
  <si>
    <t># text = And I said, "I'm not studying everything that can go wrong.</t>
  </si>
  <si>
    <t># text = What I'm studying is how much love there can be, even when everything appears to be going wrong."</t>
  </si>
  <si>
    <t>appears</t>
  </si>
  <si>
    <t># text = I thought a lot about the mother of one disabled child I had seen, a severely disabled child who died through caregiver neglect.</t>
  </si>
  <si>
    <t>seen</t>
  </si>
  <si>
    <t>severely</t>
  </si>
  <si>
    <t>died</t>
  </si>
  <si>
    <t>caregiver</t>
  </si>
  <si>
    <t>neglect</t>
  </si>
  <si>
    <t># text = And when his ashes were interred, his mother said, \"I pray here for forgiveness for having been twice robbed: once of the child I wanted, and once of the son I loved.\"</t>
  </si>
  <si>
    <t>ashes</t>
  </si>
  <si>
    <t>interred</t>
  </si>
  <si>
    <t>twice</t>
  </si>
  <si>
    <t>robbed</t>
  </si>
  <si>
    <t># text = And I figured it was possible, then, for anyone to love any child, if they had the effective will to do so.</t>
  </si>
  <si>
    <t>figured</t>
  </si>
  <si>
    <t>possible</t>
  </si>
  <si>
    <t>anyone</t>
  </si>
  <si>
    <t>effective</t>
  </si>
  <si>
    <t># text = So, my husband is the biological father of two children with some lesbian friends in Minneapolis.</t>
  </si>
  <si>
    <t>husband</t>
  </si>
  <si>
    <t>biological</t>
  </si>
  <si>
    <t>lesbian</t>
  </si>
  <si>
    <t>friends</t>
  </si>
  <si>
    <t>Minneapolis</t>
  </si>
  <si>
    <t># text = I had a close friend from college who'd gone through a divorce and wanted to have children.</t>
  </si>
  <si>
    <t>close</t>
  </si>
  <si>
    <t>divorce</t>
  </si>
  <si>
    <t># text = And so she and I have a daughter, and mother and daughter live in Texas.</t>
  </si>
  <si>
    <t>Texas</t>
  </si>
  <si>
    <t># text = And my husband and I have a son who lives with us all the time, of whom I am the biological father, and our surrogate for the pregnancy was Laura, the lesbian mother of Oliver and Lucy in Minneapolis.</t>
  </si>
  <si>
    <t>lives</t>
  </si>
  <si>
    <t>whom</t>
  </si>
  <si>
    <t>am</t>
  </si>
  <si>
    <t>surrogate</t>
  </si>
  <si>
    <t>pregnancy</t>
  </si>
  <si>
    <t>Laura</t>
  </si>
  <si>
    <t>Oliver</t>
  </si>
  <si>
    <t>Lucy</t>
  </si>
  <si>
    <t># text = So --</t>
  </si>
  <si>
    <t># text = The shorthand is: five parents of four children in three states.</t>
  </si>
  <si>
    <t>shorthand</t>
  </si>
  <si>
    <t>five</t>
  </si>
  <si>
    <t>states</t>
  </si>
  <si>
    <t># text = And there are people who think that the existence of my family somehow undermines or weakens or damages their family.</t>
  </si>
  <si>
    <t>undermines</t>
  </si>
  <si>
    <t>weakens</t>
  </si>
  <si>
    <t>damages</t>
  </si>
  <si>
    <t># text = that families like mine shouldn't be allowed to exist.</t>
  </si>
  <si>
    <t>allowed</t>
  </si>
  <si>
    <t># text = And I don't accept subtractive models of love, only additive ones.</t>
  </si>
  <si>
    <t>subtractive</t>
  </si>
  <si>
    <t>models</t>
  </si>
  <si>
    <t>additive</t>
  </si>
  <si>
    <t>ones</t>
  </si>
  <si>
    <t># text = And I believe that in the same way that we need species diversity to ensure that the planet can go on, so we need this diversity of affection and diversity of family in order to strengthen the ecosphere of kindness.</t>
  </si>
  <si>
    <t>need</t>
  </si>
  <si>
    <t>species</t>
  </si>
  <si>
    <t>diversity</t>
  </si>
  <si>
    <t>planet</t>
  </si>
  <si>
    <t>affection</t>
  </si>
  <si>
    <t>order</t>
  </si>
  <si>
    <t>strengthen</t>
  </si>
  <si>
    <t>ecosphere</t>
  </si>
  <si>
    <t>kindness</t>
  </si>
  <si>
    <t># text = The day after our son was born, the pediatrician came into the hospital room and said she was concerned.</t>
  </si>
  <si>
    <t>pediatrician</t>
  </si>
  <si>
    <t>concerned</t>
  </si>
  <si>
    <t># text = He wasn't extending his legs appropriately.</t>
  </si>
  <si>
    <t>extending</t>
  </si>
  <si>
    <t>legs</t>
  </si>
  <si>
    <t>appropriately</t>
  </si>
  <si>
    <t># text = She said that might mean that he had brain damage.</t>
  </si>
  <si>
    <t>might</t>
  </si>
  <si>
    <t>mean</t>
  </si>
  <si>
    <t>damage</t>
  </si>
  <si>
    <t># text = Insofar as he was extending them, he was doing so asymmetrically, which she thought could mean that there was a tumor of some kind in action.</t>
  </si>
  <si>
    <t>Insofar</t>
  </si>
  <si>
    <t>asymmetrically</t>
  </si>
  <si>
    <t>tumor</t>
  </si>
  <si>
    <t># text = And he had a very large head, which she thought might indicate hydrocephalus.</t>
  </si>
  <si>
    <t>large</t>
  </si>
  <si>
    <t>indicate</t>
  </si>
  <si>
    <t>hydrocephalus</t>
  </si>
  <si>
    <t># text = And as she told me all of these things, I felt the very center of my being pouring out onto the floor.</t>
  </si>
  <si>
    <t>pouring</t>
  </si>
  <si>
    <t>onto</t>
  </si>
  <si>
    <t># text = And I thought, \"Here I had been working for years on a book about how much meaning people had found in the experience of parenting children who were disabled, and I didn't want to join their number because what I was encountering was an idea of illness.\"</t>
  </si>
  <si>
    <t>Here</t>
  </si>
  <si>
    <t>book</t>
  </si>
  <si>
    <t>number</t>
  </si>
  <si>
    <t>encountering</t>
  </si>
  <si>
    <t># text = And like all parents since the dawn of time, I wanted to protect my child from illness.</t>
  </si>
  <si>
    <t>dawn</t>
  </si>
  <si>
    <t>protect</t>
  </si>
  <si>
    <t># text = And I wanted, also, to protect myself from illness.</t>
  </si>
  <si>
    <t># text = And yet, I knew from the work I had done that if he had any of the things we were about to start testing for, that those would ultimately be his identity, and if they were his identity, they would become my identity, that that illness was going to take a very different shape as it unfolded.</t>
  </si>
  <si>
    <t>work</t>
  </si>
  <si>
    <t>testing</t>
  </si>
  <si>
    <t>shape</t>
  </si>
  <si>
    <t>unfolded</t>
  </si>
  <si>
    <t># text = We took him to the MRI machine, we took him to the CAT scanner, we took this day-old child and gave him over for an arterial blood draw.</t>
  </si>
  <si>
    <t>MRI</t>
  </si>
  <si>
    <t>machine</t>
  </si>
  <si>
    <t>CAT</t>
  </si>
  <si>
    <t>scanner</t>
  </si>
  <si>
    <t>gave</t>
  </si>
  <si>
    <t>arterial</t>
  </si>
  <si>
    <t>draw</t>
  </si>
  <si>
    <t># text = We felt helpless.</t>
  </si>
  <si>
    <t>helpless</t>
  </si>
  <si>
    <t># text = And at the end of five hours, they said that his brain was completely clear and that he was by then extending his legs correctly.</t>
  </si>
  <si>
    <t>completely</t>
  </si>
  <si>
    <t>clear</t>
  </si>
  <si>
    <t>correctly</t>
  </si>
  <si>
    <t># text = And when I asked the pediatrician what had been going on, she said she thought in the morning, he had probably had a cramp.</t>
  </si>
  <si>
    <t>morning</t>
  </si>
  <si>
    <t>cramp</t>
  </si>
  <si>
    <t># text = But I thought -- I thought how my mother was right.</t>
  </si>
  <si>
    <t>right</t>
  </si>
  <si>
    <t># text = I thought, \"The love you have for your children is unlike any other feeling in the world.</t>
  </si>
  <si>
    <t>unlike</t>
  </si>
  <si>
    <t># text = you don't know what it feels like.</t>
  </si>
  <si>
    <t>feels</t>
  </si>
  <si>
    <t># text = I think children had ensnared me the moment I connected fatherhood with loss.</t>
  </si>
  <si>
    <t>ensnared</t>
  </si>
  <si>
    <t>fatherhood</t>
  </si>
  <si>
    <t># text = But I'm not sure I would have noticed that if I hadn't been so in the thick of this research project of mine.</t>
  </si>
  <si>
    <t>noticed</t>
  </si>
  <si>
    <t>thick</t>
  </si>
  <si>
    <t>research</t>
  </si>
  <si>
    <t># text = I'd encountered so much strange love, and I fell very naturally into its bewitching patterns.</t>
  </si>
  <si>
    <t>encountered</t>
  </si>
  <si>
    <t>strange</t>
  </si>
  <si>
    <t>fell</t>
  </si>
  <si>
    <t>naturally</t>
  </si>
  <si>
    <t>bewitching</t>
  </si>
  <si>
    <t>patterns</t>
  </si>
  <si>
    <t># text = And I saw how splendor can illuminate even the most abject vulnerabilities.</t>
  </si>
  <si>
    <t>splendor</t>
  </si>
  <si>
    <t>illuminate</t>
  </si>
  <si>
    <t>abject</t>
  </si>
  <si>
    <t>vulnerabilities</t>
  </si>
  <si>
    <t># text = During these 10 years, I had witnessed and learned the terrifying joy of unbearable responsibility, and I had come to see how it conquers everything else.</t>
  </si>
  <si>
    <t>During</t>
  </si>
  <si>
    <t>witnessed</t>
  </si>
  <si>
    <t>learned</t>
  </si>
  <si>
    <t>terrifying</t>
  </si>
  <si>
    <t>joy</t>
  </si>
  <si>
    <t>unbearable</t>
  </si>
  <si>
    <t>responsibility</t>
  </si>
  <si>
    <t>conquers</t>
  </si>
  <si>
    <t># text = And while I had sometimes thought the parents I was interviewing were fools, enslaving themselves to a lifetime's journey with their thankless children and trying to breed identity out of misery, I realized that day that my research had built me a plank and that I was ready to join them on their ship.</t>
  </si>
  <si>
    <t>interviewing</t>
  </si>
  <si>
    <t>fools</t>
  </si>
  <si>
    <t>enslaving</t>
  </si>
  <si>
    <t>themselves</t>
  </si>
  <si>
    <t>lifetime</t>
  </si>
  <si>
    <t>journey</t>
  </si>
  <si>
    <t>thankless</t>
  </si>
  <si>
    <t>breed</t>
  </si>
  <si>
    <t>misery</t>
  </si>
  <si>
    <t>realized</t>
  </si>
  <si>
    <t>built</t>
  </si>
  <si>
    <t>plank</t>
  </si>
  <si>
    <t>ready</t>
  </si>
  <si>
    <t>ship</t>
  </si>
  <si>
    <t># text = Thank you.</t>
  </si>
  <si>
    <t>Thank</t>
  </si>
  <si>
    <t># text = (Applause and cheers)</t>
  </si>
  <si>
    <t>cheers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</si>
</sst>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17</v>
      </c>
      <c r="D3" s="7" t="s">
        <v>18</v>
      </c>
      <c r="E3" s="8" t="s">
        <v>19</v>
      </c>
      <c r="F3" s="6" t="s">
        <v>20</v>
      </c>
      <c r="G3" s="9">
        <f>IF(A3=1,"_",IF(C3="_","???",C3))</f>
        <v/>
      </c>
      <c r="H3" s="10" t="s">
        <v>12</v>
      </c>
      <c r="I3" s="11" t="s">
        <v>12</v>
      </c>
      <c r="J3" s="12"/>
    </row>
    <row r="4" spans="1:10" ht="60" customHeight="1">
      <c r="A4" s="6" t="s">
        <v>21</v>
      </c>
      <c r="B4" s="6" t="s">
        <v>22</v>
      </c>
      <c r="C4" s="6" t="s">
        <v>23</v>
      </c>
      <c r="D4" s="7" t="s">
        <v>24</v>
      </c>
      <c r="E4" s="8" t="s">
        <v>25</v>
      </c>
      <c r="F4" s="6" t="s">
        <v>26</v>
      </c>
      <c r="G4" s="9">
        <f>IF(A4=1,"_",IF(C4="_","???",C4))</f>
        <v/>
      </c>
      <c r="H4" s="10" t="s">
        <v>12</v>
      </c>
      <c r="I4" s="11" t="s">
        <v>12</v>
      </c>
      <c r="J4" s="12"/>
    </row>
    <row r="5" spans="1:10" ht="60" customHeight="1">
      <c r="A5" s="6" t="s">
        <v>27</v>
      </c>
      <c r="B5" s="6" t="s">
        <v>16</v>
      </c>
      <c r="C5" s="6" t="s">
        <v>28</v>
      </c>
      <c r="D5" s="7" t="s">
        <v>29</v>
      </c>
      <c r="E5" s="8" t="s">
        <v>30</v>
      </c>
      <c r="F5" s="6" t="s">
        <v>31</v>
      </c>
      <c r="G5" s="9">
        <f>IF(A5=1,"_",IF(C5="_","???",C5))</f>
        <v/>
      </c>
      <c r="H5" s="10" t="s">
        <v>12</v>
      </c>
      <c r="I5" s="11" t="s">
        <v>12</v>
      </c>
      <c r="J5" s="12"/>
    </row>
    <row r="6" spans="1:10" ht="60" customHeight="1">
      <c r="A6" s="6" t="s">
        <v>22</v>
      </c>
      <c r="B6" s="6" t="s">
        <v>32</v>
      </c>
      <c r="C6" s="6" t="s">
        <v>23</v>
      </c>
      <c r="D6" s="7" t="s">
        <v>33</v>
      </c>
      <c r="E6" s="8" t="s">
        <v>34</v>
      </c>
      <c r="F6" s="6" t="s">
        <v>35</v>
      </c>
      <c r="G6" s="9">
        <f>IF(A6=1,"_",IF(C6="_","???",C6))</f>
        <v/>
      </c>
      <c r="H6" s="10" t="s">
        <v>12</v>
      </c>
      <c r="I6" s="11" t="s">
        <v>12</v>
      </c>
      <c r="J6" s="12"/>
    </row>
    <row r="7" spans="1:10" ht="60" customHeight="1">
      <c r="A7" s="6" t="s">
        <v>36</v>
      </c>
      <c r="B7" s="6" t="s">
        <v>16</v>
      </c>
      <c r="C7" s="6" t="s">
        <v>12</v>
      </c>
      <c r="D7" s="7" t="s">
        <v>37</v>
      </c>
      <c r="E7" s="8" t="s">
        <v>38</v>
      </c>
      <c r="F7" s="6" t="s">
        <v>39</v>
      </c>
      <c r="G7" s="9">
        <f>IF(A7=1,"_",IF(C7="_","???",C7))</f>
        <v/>
      </c>
      <c r="H7" s="10" t="s">
        <v>12</v>
      </c>
      <c r="I7" s="11" t="s">
        <v>12</v>
      </c>
      <c r="J7" s="12"/>
    </row>
    <row r="8" spans="1:10" ht="60" customHeight="1">
      <c r="A8" s="6" t="s">
        <v>40</v>
      </c>
      <c r="B8" s="6" t="s">
        <v>27</v>
      </c>
      <c r="C8" s="6" t="s">
        <v>23</v>
      </c>
      <c r="D8" s="7" t="s">
        <v>41</v>
      </c>
      <c r="E8" s="8" t="s">
        <v>42</v>
      </c>
      <c r="F8" s="6" t="s">
        <v>43</v>
      </c>
      <c r="G8" s="9">
        <f>IF(A8=1,"_",IF(C8="_","???",C8))</f>
        <v/>
      </c>
      <c r="H8" s="10" t="s">
        <v>12</v>
      </c>
      <c r="I8" s="11" t="s">
        <v>12</v>
      </c>
      <c r="J8" s="12"/>
    </row>
    <row r="9" spans="1:10" ht="60" customHeight="1">
      <c r="A9" s="6" t="s">
        <v>44</v>
      </c>
      <c r="B9" s="6" t="s">
        <v>16</v>
      </c>
      <c r="C9" s="6" t="s">
        <v>12</v>
      </c>
      <c r="D9" s="7" t="s">
        <v>45</v>
      </c>
      <c r="E9" s="8" t="s">
        <v>46</v>
      </c>
      <c r="F9" s="6" t="s">
        <v>47</v>
      </c>
      <c r="G9" s="9">
        <f>IF(A9=1,"_",IF(C9="_","???",C9))</f>
        <v/>
      </c>
      <c r="H9" s="10" t="s">
        <v>12</v>
      </c>
      <c r="I9" s="11" t="s">
        <v>12</v>
      </c>
      <c r="J9" s="12"/>
    </row>
    <row r="10" spans="1:10" ht="60" customHeight="1">
      <c r="A10" s="6" t="s">
        <v>11</v>
      </c>
      <c r="B10" s="6" t="s">
        <v>48</v>
      </c>
      <c r="C10" s="6" t="s">
        <v>28</v>
      </c>
      <c r="D10" s="7" t="s">
        <v>49</v>
      </c>
      <c r="E10" s="8" t="s">
        <v>50</v>
      </c>
      <c r="F10" s="6" t="s">
        <v>51</v>
      </c>
      <c r="G10" s="9">
        <f>IF(A10=1,"_",IF(C10="_","???",C10))</f>
        <v/>
      </c>
      <c r="H10" s="10" t="s">
        <v>12</v>
      </c>
      <c r="I10" s="11" t="s">
        <v>12</v>
      </c>
      <c r="J10" s="12"/>
    </row>
    <row r="11" spans="1:10" ht="60" customHeight="1">
      <c r="A11" s="6" t="s">
        <v>48</v>
      </c>
      <c r="B11" s="6" t="s">
        <v>52</v>
      </c>
      <c r="C11" s="6" t="s">
        <v>23</v>
      </c>
      <c r="D11" s="7" t="s">
        <v>53</v>
      </c>
      <c r="E11" s="8" t="s">
        <v>54</v>
      </c>
      <c r="F11" s="6" t="s">
        <v>55</v>
      </c>
      <c r="G11" s="9">
        <f>IF(A11=1,"_",IF(C11="_","???",C11))</f>
        <v/>
      </c>
      <c r="H11" s="10" t="s">
        <v>12</v>
      </c>
      <c r="I11" s="11" t="s">
        <v>12</v>
      </c>
      <c r="J11" s="12"/>
    </row>
    <row r="12" spans="1:10" ht="60" customHeight="1">
      <c r="A12" s="6" t="s">
        <v>32</v>
      </c>
      <c r="B12" s="6" t="s">
        <v>48</v>
      </c>
      <c r="C12" s="6" t="s">
        <v>23</v>
      </c>
      <c r="D12" s="7" t="s">
        <v>56</v>
      </c>
      <c r="E12" s="8" t="s">
        <v>57</v>
      </c>
      <c r="F12" s="6" t="s">
        <v>58</v>
      </c>
      <c r="G12" s="9">
        <f>IF(A12=1,"_",IF(C12="_","???",C12))</f>
        <v/>
      </c>
      <c r="H12" s="10" t="s">
        <v>12</v>
      </c>
      <c r="I12" s="11" t="s">
        <v>12</v>
      </c>
      <c r="J12" s="12"/>
    </row>
    <row r="13" spans="1:10" ht="60" customHeight="1">
      <c r="A13" s="6" t="s">
        <v>52</v>
      </c>
      <c r="B13" s="6" t="s">
        <v>36</v>
      </c>
      <c r="C13" s="6" t="s">
        <v>12</v>
      </c>
      <c r="D13" s="7" t="s">
        <v>59</v>
      </c>
      <c r="E13" s="8" t="s">
        <v>60</v>
      </c>
      <c r="F13" s="6" t="s">
        <v>61</v>
      </c>
      <c r="G13" s="9">
        <f>IF(A13=1,"_",IF(C13="_","???",C13))</f>
        <v/>
      </c>
      <c r="H13" s="10" t="s">
        <v>12</v>
      </c>
      <c r="I13" s="11" t="s">
        <v>12</v>
      </c>
      <c r="J13" s="12"/>
    </row>
    <row r="14" spans="1:10" ht="60" customHeight="1">
      <c r="A14" s="6" t="s">
        <v>62</v>
      </c>
      <c r="B14" s="6" t="s">
        <v>16</v>
      </c>
      <c r="C14" s="6" t="s">
        <v>12</v>
      </c>
      <c r="D14" s="7" t="s">
        <v>63</v>
      </c>
      <c r="E14" s="8" t="s">
        <v>64</v>
      </c>
      <c r="F14" s="6" t="s">
        <v>65</v>
      </c>
      <c r="G14" s="9">
        <f>IF(A14=1,"_",IF(C14="_","???",C14))</f>
        <v/>
      </c>
      <c r="H14" s="10" t="s">
        <v>12</v>
      </c>
      <c r="I14" s="11" t="s">
        <v>12</v>
      </c>
      <c r="J14" s="12"/>
    </row>
    <row r="15" spans="1:10" ht="60" customHeight="1">
      <c r="A15" s="6" t="s">
        <v>66</v>
      </c>
      <c r="B15" s="6" t="s">
        <v>40</v>
      </c>
      <c r="C15" s="6" t="s">
        <v>67</v>
      </c>
      <c r="D15" s="7" t="s">
        <v>68</v>
      </c>
      <c r="E15" s="8" t="s">
        <v>69</v>
      </c>
      <c r="F15" s="6" t="s">
        <v>70</v>
      </c>
      <c r="G15" s="9">
        <f>IF(A15=1,"_",IF(C15="_","???",C15))</f>
        <v/>
      </c>
      <c r="H15" s="10" t="s">
        <v>12</v>
      </c>
      <c r="I15" s="11" t="s">
        <v>12</v>
      </c>
      <c r="J15" s="12"/>
    </row>
    <row r="16" spans="1:10" ht="60" customHeight="1">
      <c r="A16" s="6" t="s">
        <v>71</v>
      </c>
      <c r="B16" s="6" t="s">
        <v>21</v>
      </c>
      <c r="C16" s="6" t="s">
        <v>23</v>
      </c>
      <c r="D16" s="7" t="s">
        <v>72</v>
      </c>
      <c r="E16" s="8" t="s">
        <v>73</v>
      </c>
      <c r="F16" s="6" t="s">
        <v>74</v>
      </c>
      <c r="G16" s="9">
        <f>IF(A16=1,"_",IF(C16="_","???",C16))</f>
        <v/>
      </c>
      <c r="H16" s="10" t="s">
        <v>12</v>
      </c>
      <c r="I16" s="11" t="s">
        <v>12</v>
      </c>
      <c r="J16" s="12"/>
    </row>
    <row r="17" spans="1:10" ht="60" customHeight="1">
      <c r="A17" s="6" t="s">
        <v>75</v>
      </c>
      <c r="B17" s="6" t="s">
        <v>76</v>
      </c>
      <c r="C17" s="6" t="s">
        <v>12</v>
      </c>
      <c r="D17" s="7" t="s">
        <v>77</v>
      </c>
      <c r="E17" s="8" t="s">
        <v>78</v>
      </c>
      <c r="F17" s="6" t="s">
        <v>79</v>
      </c>
      <c r="G17" s="9">
        <f>IF(A17=1,"_",IF(C17="_","???",C17))</f>
        <v/>
      </c>
      <c r="H17" s="10" t="s">
        <v>12</v>
      </c>
      <c r="I17" s="11" t="s">
        <v>12</v>
      </c>
      <c r="J17" s="12"/>
    </row>
    <row r="18" spans="1:10" ht="60" customHeight="1">
      <c r="A18" s="6" t="s">
        <v>76</v>
      </c>
      <c r="B18" s="6" t="s">
        <v>48</v>
      </c>
      <c r="C18" s="6" t="s">
        <v>28</v>
      </c>
      <c r="D18" s="7" t="s">
        <v>80</v>
      </c>
      <c r="E18" s="8" t="s">
        <v>81</v>
      </c>
      <c r="F18" s="6" t="s">
        <v>82</v>
      </c>
      <c r="G18" s="9">
        <f>IF(A18=1,"_",IF(C18="_","???",C18))</f>
        <v/>
      </c>
      <c r="H18" s="10" t="s">
        <v>12</v>
      </c>
      <c r="I18" s="11" t="s">
        <v>12</v>
      </c>
      <c r="J18" s="12"/>
    </row>
    <row r="19" spans="1:10" ht="60" customHeight="1">
      <c r="A19" s="6" t="s">
        <v>83</v>
      </c>
      <c r="B19" s="6" t="s">
        <v>48</v>
      </c>
      <c r="C19" s="6" t="s">
        <v>84</v>
      </c>
      <c r="D19" s="7" t="s">
        <v>85</v>
      </c>
      <c r="E19" s="8" t="s">
        <v>86</v>
      </c>
      <c r="F19" s="6" t="s">
        <v>87</v>
      </c>
      <c r="G19" s="9">
        <f>IF(A19=1,"_",IF(C19="_","???",C19))</f>
        <v/>
      </c>
      <c r="H19" s="10" t="s">
        <v>12</v>
      </c>
      <c r="I19" s="11" t="s">
        <v>12</v>
      </c>
      <c r="J19" s="12"/>
    </row>
    <row r="20" spans="1:10" ht="60" customHeight="1">
      <c r="A20" s="6" t="s">
        <v>88</v>
      </c>
      <c r="B20" s="6" t="s">
        <v>44</v>
      </c>
      <c r="C20" s="6" t="s">
        <v>28</v>
      </c>
      <c r="D20" s="7" t="s">
        <v>89</v>
      </c>
      <c r="E20" s="8" t="s">
        <v>90</v>
      </c>
      <c r="F20" s="6" t="s">
        <v>91</v>
      </c>
      <c r="G20" s="9">
        <f>IF(A20=1,"_",IF(C20="_","???",C20))</f>
        <v/>
      </c>
      <c r="H20" s="10" t="s">
        <v>12</v>
      </c>
      <c r="I20" s="11" t="s">
        <v>12</v>
      </c>
      <c r="J20" s="12"/>
    </row>
    <row r="21" spans="1:10" ht="60" customHeight="1">
      <c r="A21" s="6" t="s">
        <v>92</v>
      </c>
      <c r="B21" s="6" t="s">
        <v>11</v>
      </c>
      <c r="C21" s="6" t="s">
        <v>28</v>
      </c>
      <c r="D21" s="7" t="s">
        <v>93</v>
      </c>
      <c r="E21" s="8" t="s">
        <v>94</v>
      </c>
      <c r="F21" s="6" t="s">
        <v>95</v>
      </c>
      <c r="G21" s="9">
        <f>IF(A21=1,"_",IF(C21="_","???",C21))</f>
        <v/>
      </c>
      <c r="H21" s="10" t="s">
        <v>12</v>
      </c>
      <c r="I21" s="11" t="s">
        <v>12</v>
      </c>
      <c r="J21" s="12"/>
    </row>
    <row r="22" spans="1:10" ht="60" customHeight="1">
      <c r="A22" s="6" t="s">
        <v>96</v>
      </c>
      <c r="B22" s="6" t="s">
        <v>44</v>
      </c>
      <c r="C22" s="6" t="s">
        <v>28</v>
      </c>
      <c r="D22" s="7" t="s">
        <v>97</v>
      </c>
      <c r="E22" s="8" t="s">
        <v>98</v>
      </c>
      <c r="F22" s="6" t="s">
        <v>99</v>
      </c>
      <c r="G22" s="9">
        <f>IF(A22=1,"_",IF(C22="_","???",C22))</f>
        <v/>
      </c>
      <c r="H22" s="10" t="s">
        <v>12</v>
      </c>
      <c r="I22" s="11" t="s">
        <v>12</v>
      </c>
      <c r="J22" s="12"/>
    </row>
    <row r="23" spans="1:10" ht="60" customHeight="1">
      <c r="A23" s="6" t="s">
        <v>100</v>
      </c>
      <c r="B23" s="6" t="s">
        <v>83</v>
      </c>
      <c r="C23" s="6" t="s">
        <v>101</v>
      </c>
      <c r="D23" s="7" t="s">
        <v>97</v>
      </c>
      <c r="E23" s="8" t="s">
        <v>102</v>
      </c>
      <c r="F23" s="6" t="s">
        <v>103</v>
      </c>
      <c r="G23" s="9">
        <f>IF(A23=1,"_",IF(C23="_","???",C23))</f>
        <v/>
      </c>
      <c r="H23" s="10" t="s">
        <v>12</v>
      </c>
      <c r="I23" s="11" t="s">
        <v>12</v>
      </c>
      <c r="J23" s="12"/>
    </row>
    <row r="24" spans="1:10" ht="60" customHeight="1">
      <c r="A24" s="6" t="s">
        <v>104</v>
      </c>
      <c r="B24" s="6" t="s">
        <v>16</v>
      </c>
      <c r="C24" s="6" t="s">
        <v>12</v>
      </c>
      <c r="D24" s="7" t="s">
        <v>53</v>
      </c>
      <c r="E24" s="8" t="s">
        <v>105</v>
      </c>
      <c r="F24" s="6" t="s">
        <v>106</v>
      </c>
      <c r="G24" s="9">
        <f>IF(A24=1,"_",IF(C24="_","???",C24))</f>
        <v/>
      </c>
      <c r="H24" s="10" t="s">
        <v>12</v>
      </c>
      <c r="I24" s="11" t="s">
        <v>12</v>
      </c>
      <c r="J24" s="12"/>
    </row>
    <row r="25" spans="1:10" ht="60" customHeight="1">
      <c r="A25" s="6" t="s">
        <v>107</v>
      </c>
      <c r="B25" s="6" t="s">
        <v>16</v>
      </c>
      <c r="C25" s="6" t="s">
        <v>12</v>
      </c>
      <c r="D25" s="7" t="s">
        <v>108</v>
      </c>
      <c r="E25" s="8" t="s">
        <v>109</v>
      </c>
      <c r="F25" s="6" t="s">
        <v>110</v>
      </c>
      <c r="G25" s="9">
        <f>IF(A25=1,"_",IF(C25="_","???",C25))</f>
        <v/>
      </c>
      <c r="H25" s="10" t="s">
        <v>12</v>
      </c>
      <c r="I25" s="11" t="s">
        <v>12</v>
      </c>
      <c r="J25" s="12"/>
    </row>
    <row r="26" spans="1:10" ht="60" customHeight="1">
      <c r="A26" s="6" t="s">
        <v>111</v>
      </c>
      <c r="B26" s="6" t="s">
        <v>21</v>
      </c>
      <c r="C26" s="6" t="s">
        <v>23</v>
      </c>
      <c r="D26" s="7" t="s">
        <v>112</v>
      </c>
      <c r="E26" s="8" t="s">
        <v>113</v>
      </c>
      <c r="F26" s="6" t="s">
        <v>114</v>
      </c>
      <c r="G26" s="9">
        <f>IF(A26=1,"_",IF(C26="_","???",C26))</f>
        <v/>
      </c>
      <c r="H26" s="10" t="s">
        <v>12</v>
      </c>
      <c r="I26" s="11" t="s">
        <v>12</v>
      </c>
      <c r="J26" s="12"/>
    </row>
    <row r="27" spans="1:10" ht="60" customHeight="1">
      <c r="A27" s="6" t="s">
        <v>115</v>
      </c>
      <c r="B27" s="6" t="s">
        <v>96</v>
      </c>
      <c r="C27" s="6" t="s">
        <v>12</v>
      </c>
      <c r="D27" s="7" t="s">
        <v>116</v>
      </c>
      <c r="E27" s="8" t="s">
        <v>117</v>
      </c>
      <c r="F27" s="6" t="s">
        <v>118</v>
      </c>
      <c r="G27" s="9">
        <f>IF(A27=1,"_",IF(C27="_","???",C27))</f>
        <v/>
      </c>
      <c r="H27" s="10" t="s">
        <v>12</v>
      </c>
      <c r="I27" s="11" t="s">
        <v>12</v>
      </c>
      <c r="J27" s="12"/>
    </row>
    <row r="28" spans="1:10" ht="60" customHeight="1">
      <c r="A28" s="6" t="s">
        <v>119</v>
      </c>
      <c r="B28" s="6" t="s">
        <v>22</v>
      </c>
      <c r="C28" s="6" t="s">
        <v>120</v>
      </c>
      <c r="D28" s="7" t="s">
        <v>89</v>
      </c>
      <c r="E28" s="8" t="s">
        <v>121</v>
      </c>
      <c r="F28" s="6" t="s">
        <v>122</v>
      </c>
      <c r="G28" s="9">
        <f>IF(A28=1,"_",IF(C28="_","???",C28))</f>
        <v/>
      </c>
      <c r="H28" s="10" t="s">
        <v>12</v>
      </c>
      <c r="I28" s="11" t="s">
        <v>12</v>
      </c>
      <c r="J28" s="12"/>
    </row>
    <row r="29" spans="1:10" ht="60" customHeight="1">
      <c r="A29" s="6" t="s">
        <v>123</v>
      </c>
      <c r="B29" s="6" t="s">
        <v>21</v>
      </c>
      <c r="C29" s="6" t="s">
        <v>12</v>
      </c>
      <c r="D29" s="7" t="s">
        <v>93</v>
      </c>
      <c r="E29" s="8" t="s">
        <v>124</v>
      </c>
      <c r="F29" s="6" t="s">
        <v>125</v>
      </c>
      <c r="G29" s="9">
        <f>IF(A29=1,"_",IF(C29="_","???",C29))</f>
        <v/>
      </c>
      <c r="H29" s="10" t="s">
        <v>12</v>
      </c>
      <c r="I29" s="11" t="s">
        <v>12</v>
      </c>
      <c r="J29" s="12"/>
    </row>
    <row r="30" spans="1:10" ht="60" customHeight="1">
      <c r="A30" s="6" t="s">
        <v>126</v>
      </c>
      <c r="B30" s="6" t="s">
        <v>44</v>
      </c>
      <c r="C30" s="6" t="s">
        <v>12</v>
      </c>
      <c r="D30" s="7" t="s">
        <v>127</v>
      </c>
      <c r="E30" s="8" t="s">
        <v>128</v>
      </c>
      <c r="F30" s="6" t="s">
        <v>129</v>
      </c>
      <c r="G30" s="9">
        <f>IF(A30=1,"_",IF(C30="_","???",C30))</f>
        <v/>
      </c>
      <c r="H30" s="10" t="s">
        <v>12</v>
      </c>
      <c r="I30" s="11" t="s">
        <v>12</v>
      </c>
      <c r="J30" s="12"/>
    </row>
    <row r="31" spans="1:10" ht="60" customHeight="1">
      <c r="A31" s="6" t="s">
        <v>130</v>
      </c>
      <c r="B31" s="6" t="s">
        <v>27</v>
      </c>
      <c r="C31" s="6" t="s">
        <v>131</v>
      </c>
      <c r="D31" s="7" t="s">
        <v>49</v>
      </c>
      <c r="E31" s="8" t="s">
        <v>132</v>
      </c>
      <c r="F31" s="6" t="s">
        <v>133</v>
      </c>
      <c r="G31" s="9">
        <f>IF(A31=1,"_",IF(C31="_","???",C31))</f>
        <v/>
      </c>
      <c r="H31" s="10" t="s">
        <v>12</v>
      </c>
      <c r="I31" s="11" t="s">
        <v>12</v>
      </c>
      <c r="J31" s="12"/>
    </row>
    <row r="32" spans="1:10" ht="60" customHeight="1">
      <c r="A32" s="6" t="s">
        <v>134</v>
      </c>
      <c r="B32" s="6" t="s">
        <v>16</v>
      </c>
      <c r="C32" s="6" t="s">
        <v>12</v>
      </c>
      <c r="D32" s="7" t="s">
        <v>49</v>
      </c>
      <c r="E32" s="8" t="s">
        <v>135</v>
      </c>
      <c r="F32" s="6" t="s">
        <v>136</v>
      </c>
      <c r="G32" s="9">
        <f>IF(A32=1,"_",IF(C32="_","???",C32))</f>
        <v/>
      </c>
      <c r="H32" s="10" t="s">
        <v>12</v>
      </c>
      <c r="I32" s="11" t="s">
        <v>12</v>
      </c>
      <c r="J32" s="12"/>
    </row>
    <row r="33" spans="1:10" ht="60" customHeight="1">
      <c r="A33" s="6" t="s">
        <v>137</v>
      </c>
      <c r="B33" s="6" t="s">
        <v>16</v>
      </c>
      <c r="C33" s="6" t="s">
        <v>12</v>
      </c>
      <c r="D33" s="7" t="s">
        <v>138</v>
      </c>
      <c r="E33" s="8" t="s">
        <v>139</v>
      </c>
      <c r="F33" s="6" t="s">
        <v>140</v>
      </c>
      <c r="G33" s="9">
        <f>IF(A33=1,"_",IF(C33="_","???",C33))</f>
        <v/>
      </c>
      <c r="H33" s="10" t="s">
        <v>12</v>
      </c>
      <c r="I33" s="11" t="s">
        <v>12</v>
      </c>
      <c r="J33" s="12"/>
    </row>
    <row r="34" spans="1:10" ht="60" customHeight="1">
      <c r="A34" s="6" t="s">
        <v>141</v>
      </c>
      <c r="B34" s="6" t="s">
        <v>21</v>
      </c>
      <c r="C34" s="6" t="s">
        <v>12</v>
      </c>
      <c r="D34" s="7" t="s">
        <v>49</v>
      </c>
      <c r="E34" s="8" t="s">
        <v>142</v>
      </c>
      <c r="F34" s="6" t="s">
        <v>143</v>
      </c>
      <c r="G34" s="9">
        <f>IF(A34=1,"_",IF(C34="_","???",C34))</f>
        <v/>
      </c>
      <c r="H34" s="10" t="s">
        <v>12</v>
      </c>
      <c r="I34" s="11" t="s">
        <v>12</v>
      </c>
      <c r="J34" s="12"/>
    </row>
    <row r="35" spans="1:10" ht="60" customHeight="1">
      <c r="A35" s="6" t="s">
        <v>144</v>
      </c>
      <c r="B35" s="6" t="s">
        <v>66</v>
      </c>
      <c r="C35" s="6" t="s">
        <v>23</v>
      </c>
      <c r="D35" s="7" t="s">
        <v>145</v>
      </c>
      <c r="E35" s="8" t="s">
        <v>146</v>
      </c>
      <c r="F35" s="6" t="s">
        <v>147</v>
      </c>
      <c r="G35" s="9">
        <f>IF(A35=1,"_",IF(C35="_","???",C35))</f>
        <v/>
      </c>
      <c r="H35" s="10" t="s">
        <v>12</v>
      </c>
      <c r="I35" s="11" t="s">
        <v>12</v>
      </c>
      <c r="J35" s="12"/>
    </row>
    <row r="36" spans="1:10" ht="60" customHeight="1">
      <c r="A36" s="6" t="s">
        <v>148</v>
      </c>
      <c r="B36" s="6" t="s">
        <v>16</v>
      </c>
      <c r="C36" s="6" t="s">
        <v>67</v>
      </c>
      <c r="D36" s="7" t="s">
        <v>149</v>
      </c>
      <c r="E36" s="8" t="s">
        <v>150</v>
      </c>
      <c r="F36" s="6" t="s">
        <v>151</v>
      </c>
      <c r="G36" s="9">
        <f>IF(A36=1,"_",IF(C36="_","???",C36))</f>
        <v/>
      </c>
      <c r="H36" s="10" t="s">
        <v>12</v>
      </c>
      <c r="I36" s="11" t="s">
        <v>12</v>
      </c>
      <c r="J36" s="12"/>
    </row>
    <row r="37" spans="1:10" ht="60" customHeight="1">
      <c r="A37" s="6" t="s">
        <v>152</v>
      </c>
      <c r="B37" s="6" t="s">
        <v>16</v>
      </c>
      <c r="C37" s="6" t="s">
        <v>153</v>
      </c>
      <c r="D37" s="7" t="s">
        <v>154</v>
      </c>
      <c r="E37" s="8" t="s">
        <v>155</v>
      </c>
      <c r="F37" s="6" t="s">
        <v>156</v>
      </c>
      <c r="G37" s="9">
        <f>IF(A37=1,"_",IF(C37="_","???",C37))</f>
        <v/>
      </c>
      <c r="H37" s="10" t="s">
        <v>12</v>
      </c>
      <c r="I37" s="11" t="s">
        <v>12</v>
      </c>
      <c r="J37" s="12"/>
    </row>
    <row r="38" spans="1:10" ht="60" customHeight="1">
      <c r="A38" s="6" t="s">
        <v>157</v>
      </c>
      <c r="B38" s="6" t="s">
        <v>11</v>
      </c>
      <c r="C38" s="6" t="s">
        <v>131</v>
      </c>
      <c r="D38" s="7" t="s">
        <v>158</v>
      </c>
      <c r="E38" s="8" t="s">
        <v>159</v>
      </c>
      <c r="F38" s="6" t="s">
        <v>160</v>
      </c>
      <c r="G38" s="9">
        <f>IF(A38=1,"_",IF(C38="_","???",C38))</f>
        <v/>
      </c>
      <c r="H38" s="10" t="s">
        <v>12</v>
      </c>
      <c r="I38" s="11" t="s">
        <v>12</v>
      </c>
      <c r="J38" s="12"/>
    </row>
    <row r="39" spans="1:10" ht="60" customHeight="1">
      <c r="A39" s="6" t="s">
        <v>161</v>
      </c>
      <c r="B39" s="6" t="s">
        <v>48</v>
      </c>
      <c r="C39" s="6" t="s">
        <v>28</v>
      </c>
      <c r="D39" s="7" t="s">
        <v>162</v>
      </c>
      <c r="E39" s="8" t="s">
        <v>163</v>
      </c>
      <c r="F39" s="6" t="s">
        <v>164</v>
      </c>
      <c r="G39" s="9">
        <f>IF(A39=1,"_",IF(C39="_","???",C39))</f>
        <v/>
      </c>
      <c r="H39" s="10" t="s">
        <v>12</v>
      </c>
      <c r="I39" s="11" t="s">
        <v>12</v>
      </c>
      <c r="J39" s="12"/>
    </row>
    <row r="40" spans="1:10" ht="60" customHeight="1">
      <c r="A40" s="6" t="s">
        <v>165</v>
      </c>
      <c r="B40" s="6" t="s">
        <v>21</v>
      </c>
      <c r="C40" s="6" t="s">
        <v>12</v>
      </c>
      <c r="D40" s="7" t="s">
        <v>166</v>
      </c>
      <c r="E40" s="8" t="s">
        <v>167</v>
      </c>
      <c r="F40" s="6" t="s">
        <v>168</v>
      </c>
      <c r="G40" s="9">
        <f>IF(A40=1,"_",IF(C40="_","???",C40))</f>
        <v/>
      </c>
      <c r="H40" s="10" t="s">
        <v>12</v>
      </c>
      <c r="I40" s="11" t="s">
        <v>12</v>
      </c>
      <c r="J40" s="12"/>
    </row>
    <row r="41" spans="1:10" ht="60" customHeight="1">
      <c r="A41" s="6" t="s">
        <v>169</v>
      </c>
      <c r="B41" s="6" t="s">
        <v>21</v>
      </c>
      <c r="C41" s="6" t="s">
        <v>170</v>
      </c>
      <c r="D41" s="7" t="s">
        <v>53</v>
      </c>
      <c r="E41" s="8" t="s">
        <v>171</v>
      </c>
      <c r="F41" s="6" t="s">
        <v>172</v>
      </c>
      <c r="G41" s="9">
        <f>IF(A41=1,"_",IF(C41="_","???",C41))</f>
        <v/>
      </c>
      <c r="H41" s="10" t="s">
        <v>12</v>
      </c>
      <c r="I41" s="11" t="s">
        <v>12</v>
      </c>
      <c r="J41" s="12"/>
    </row>
    <row r="42" spans="1:10" ht="60" customHeight="1">
      <c r="A42" s="6" t="s">
        <v>173</v>
      </c>
      <c r="B42" s="6" t="s">
        <v>27</v>
      </c>
      <c r="C42" s="6" t="s">
        <v>174</v>
      </c>
      <c r="D42" s="7" t="s">
        <v>175</v>
      </c>
      <c r="E42" s="8" t="s">
        <v>176</v>
      </c>
      <c r="F42" s="6" t="s">
        <v>177</v>
      </c>
      <c r="G42" s="9">
        <f>IF(A42=1,"_",IF(C42="_","???",C42))</f>
        <v/>
      </c>
      <c r="H42" s="10" t="s">
        <v>12</v>
      </c>
      <c r="I42" s="11" t="s">
        <v>12</v>
      </c>
      <c r="J42" s="12"/>
    </row>
    <row r="43" spans="1:10" ht="60" customHeight="1">
      <c r="A43" s="6" t="s">
        <v>178</v>
      </c>
      <c r="B43" s="6" t="s">
        <v>27</v>
      </c>
      <c r="C43" s="6" t="s">
        <v>23</v>
      </c>
      <c r="D43" s="7" t="s">
        <v>93</v>
      </c>
      <c r="E43" s="8" t="s">
        <v>179</v>
      </c>
      <c r="F43" s="6" t="s">
        <v>180</v>
      </c>
      <c r="G43" s="9">
        <f>IF(A43=1,"_",IF(C43="_","???",C43))</f>
        <v/>
      </c>
      <c r="H43" s="10" t="s">
        <v>12</v>
      </c>
      <c r="I43" s="11" t="s">
        <v>12</v>
      </c>
      <c r="J43" s="12"/>
    </row>
    <row r="44" spans="1:10" ht="60" customHeight="1">
      <c r="A44" s="6" t="s">
        <v>181</v>
      </c>
      <c r="B44" s="6" t="s">
        <v>27</v>
      </c>
      <c r="C44" s="6" t="s">
        <v>12</v>
      </c>
      <c r="D44" s="7" t="s">
        <v>182</v>
      </c>
      <c r="E44" s="8" t="s">
        <v>183</v>
      </c>
      <c r="F44" s="6" t="s">
        <v>184</v>
      </c>
      <c r="G44" s="9">
        <f>IF(A44=1,"_",IF(C44="_","???",C44))</f>
        <v/>
      </c>
      <c r="H44" s="10" t="s">
        <v>12</v>
      </c>
      <c r="I44" s="11" t="s">
        <v>12</v>
      </c>
      <c r="J44" s="12"/>
    </row>
    <row r="45" spans="1:10" ht="60" customHeight="1">
      <c r="A45" s="6" t="s">
        <v>185</v>
      </c>
      <c r="B45" s="6" t="s">
        <v>27</v>
      </c>
      <c r="C45" s="6" t="s">
        <v>12</v>
      </c>
      <c r="D45" s="7" t="s">
        <v>186</v>
      </c>
      <c r="E45" s="8" t="s">
        <v>187</v>
      </c>
      <c r="F45" s="6" t="s">
        <v>188</v>
      </c>
      <c r="G45" s="9">
        <f>IF(A45=1,"_",IF(C45="_","???",C45))</f>
        <v/>
      </c>
      <c r="H45" s="10" t="s">
        <v>12</v>
      </c>
      <c r="I45" s="11" t="s">
        <v>12</v>
      </c>
      <c r="J45" s="12"/>
    </row>
    <row r="46" spans="1:10" ht="60" customHeight="1">
      <c r="A46" s="6" t="s">
        <v>189</v>
      </c>
      <c r="B46" s="6" t="s">
        <v>22</v>
      </c>
      <c r="C46" s="6" t="s">
        <v>12</v>
      </c>
      <c r="D46" s="7" t="s">
        <v>190</v>
      </c>
      <c r="E46" s="8" t="s">
        <v>191</v>
      </c>
      <c r="F46" s="6" t="s">
        <v>192</v>
      </c>
      <c r="G46" s="9">
        <f>IF(A46=1,"_",IF(C46="_","???",C46))</f>
        <v/>
      </c>
      <c r="H46" s="10" t="s">
        <v>12</v>
      </c>
      <c r="I46" s="11" t="s">
        <v>12</v>
      </c>
      <c r="J46" s="12"/>
    </row>
    <row r="47" spans="1:10" ht="60" customHeight="1">
      <c r="A47" s="6" t="s">
        <v>193</v>
      </c>
      <c r="B47" s="6" t="s">
        <v>22</v>
      </c>
      <c r="C47" s="6" t="s">
        <v>23</v>
      </c>
      <c r="D47" s="7" t="s">
        <v>112</v>
      </c>
      <c r="E47" s="8" t="s">
        <v>194</v>
      </c>
      <c r="F47" s="6" t="s">
        <v>195</v>
      </c>
      <c r="G47" s="9">
        <f>IF(A47=1,"_",IF(C47="_","???",C47))</f>
        <v/>
      </c>
      <c r="H47" s="10" t="s">
        <v>12</v>
      </c>
      <c r="I47" s="11" t="s">
        <v>12</v>
      </c>
      <c r="J47" s="12"/>
    </row>
    <row r="48" spans="1:10" ht="60" customHeight="1">
      <c r="A48" s="6" t="s">
        <v>196</v>
      </c>
      <c r="B48" s="6" t="s">
        <v>21</v>
      </c>
      <c r="C48" s="6" t="s">
        <v>23</v>
      </c>
      <c r="D48" s="7" t="s">
        <v>197</v>
      </c>
      <c r="E48" s="8" t="s">
        <v>198</v>
      </c>
      <c r="F48" s="6" t="s">
        <v>199</v>
      </c>
      <c r="G48" s="9">
        <f>IF(A48=1,"_",IF(C48="_","???",C48))</f>
        <v/>
      </c>
      <c r="H48" s="10" t="s">
        <v>12</v>
      </c>
      <c r="I48" s="11" t="s">
        <v>12</v>
      </c>
      <c r="J48" s="12"/>
    </row>
    <row r="49" spans="1:10" ht="60" customHeight="1">
      <c r="A49" s="6" t="s">
        <v>200</v>
      </c>
      <c r="B49" s="6" t="s">
        <v>21</v>
      </c>
      <c r="C49" s="6" t="s">
        <v>23</v>
      </c>
      <c r="D49" s="7" t="s">
        <v>93</v>
      </c>
      <c r="E49" s="8" t="s">
        <v>201</v>
      </c>
      <c r="F49" s="6" t="s">
        <v>202</v>
      </c>
      <c r="G49" s="9">
        <f>IF(A49=1,"_",IF(C49="_","???",C49))</f>
        <v/>
      </c>
      <c r="H49" s="10" t="s">
        <v>12</v>
      </c>
      <c r="I49" s="11" t="s">
        <v>12</v>
      </c>
      <c r="J49" s="12"/>
    </row>
    <row r="50" spans="1:10" ht="60" customHeight="1">
      <c r="A50" s="6" t="s">
        <v>203</v>
      </c>
      <c r="B50" s="6" t="s">
        <v>21</v>
      </c>
      <c r="C50" s="6" t="s">
        <v>23</v>
      </c>
      <c r="D50" s="7" t="s">
        <v>204</v>
      </c>
      <c r="E50" s="8" t="s">
        <v>205</v>
      </c>
      <c r="F50" s="6" t="s">
        <v>206</v>
      </c>
      <c r="G50" s="9">
        <f>IF(A50=1,"_",IF(C50="_","???",C50))</f>
        <v/>
      </c>
      <c r="H50" s="10" t="s">
        <v>12</v>
      </c>
      <c r="I50" s="11" t="s">
        <v>12</v>
      </c>
      <c r="J50" s="12"/>
    </row>
    <row r="51" spans="1:10" ht="60" customHeight="1">
      <c r="A51" s="6" t="s">
        <v>207</v>
      </c>
      <c r="B51" s="6" t="s">
        <v>16</v>
      </c>
      <c r="C51" s="6" t="s">
        <v>12</v>
      </c>
      <c r="D51" s="7" t="s">
        <v>41</v>
      </c>
      <c r="E51" s="8" t="s">
        <v>208</v>
      </c>
      <c r="F51" s="6" t="s">
        <v>209</v>
      </c>
      <c r="G51" s="9">
        <f>IF(A51=1,"_",IF(C51="_","???",C51))</f>
        <v/>
      </c>
      <c r="H51" s="10" t="s">
        <v>12</v>
      </c>
      <c r="I51" s="11" t="s">
        <v>12</v>
      </c>
      <c r="J51" s="12"/>
    </row>
    <row r="52" spans="1:10" ht="60" customHeight="1">
      <c r="A52" s="6" t="s">
        <v>210</v>
      </c>
      <c r="B52" s="6" t="s">
        <v>16</v>
      </c>
      <c r="C52" s="6" t="s">
        <v>12</v>
      </c>
      <c r="D52" s="7" t="s">
        <v>211</v>
      </c>
      <c r="E52" s="8" t="s">
        <v>212</v>
      </c>
      <c r="F52" s="6" t="s">
        <v>213</v>
      </c>
      <c r="G52" s="9">
        <f>IF(A52=1,"_",IF(C52="_","???",C52))</f>
        <v/>
      </c>
      <c r="H52" s="10" t="s">
        <v>12</v>
      </c>
      <c r="I52" s="11" t="s">
        <v>12</v>
      </c>
      <c r="J52" s="12"/>
    </row>
    <row r="53" spans="1:10" ht="60" customHeight="1">
      <c r="A53" s="6" t="s">
        <v>214</v>
      </c>
      <c r="B53" s="6" t="s">
        <v>16</v>
      </c>
      <c r="C53" s="6" t="s">
        <v>23</v>
      </c>
      <c r="D53" s="7" t="s">
        <v>211</v>
      </c>
      <c r="E53" s="8" t="s">
        <v>215</v>
      </c>
      <c r="F53" s="6" t="s">
        <v>216</v>
      </c>
      <c r="G53" s="9">
        <f>IF(A53=1,"_",IF(C53="_","???",C53))</f>
        <v/>
      </c>
      <c r="H53" s="10" t="s">
        <v>12</v>
      </c>
      <c r="I53" s="11" t="s">
        <v>12</v>
      </c>
      <c r="J53" s="12"/>
    </row>
    <row r="54" spans="1:10" ht="60" customHeight="1">
      <c r="A54" s="6" t="s">
        <v>217</v>
      </c>
      <c r="B54" s="6" t="s">
        <v>32</v>
      </c>
      <c r="C54" s="6" t="s">
        <v>218</v>
      </c>
      <c r="D54" s="7" t="s">
        <v>41</v>
      </c>
      <c r="E54" s="8" t="s">
        <v>219</v>
      </c>
      <c r="F54" s="6" t="s">
        <v>220</v>
      </c>
      <c r="G54" s="9">
        <f>IF(A54=1,"_",IF(C54="_","???",C54))</f>
        <v/>
      </c>
      <c r="H54" s="10" t="s">
        <v>12</v>
      </c>
      <c r="I54" s="11" t="s">
        <v>12</v>
      </c>
      <c r="J54" s="12"/>
    </row>
    <row r="55" spans="1:10" ht="60" customHeight="1">
      <c r="A55" s="6" t="s">
        <v>221</v>
      </c>
      <c r="B55" s="6" t="s">
        <v>21</v>
      </c>
      <c r="C55" s="6" t="s">
        <v>12</v>
      </c>
      <c r="D55" s="7" t="s">
        <v>222</v>
      </c>
      <c r="E55" s="8" t="s">
        <v>223</v>
      </c>
      <c r="F55" s="6" t="s">
        <v>224</v>
      </c>
      <c r="G55" s="9">
        <f>IF(A55=1,"_",IF(C55="_","???",C55))</f>
        <v/>
      </c>
      <c r="H55" s="10" t="s">
        <v>12</v>
      </c>
      <c r="I55" s="11" t="s">
        <v>12</v>
      </c>
      <c r="J55" s="12"/>
    </row>
    <row r="56" spans="1:10" ht="60" customHeight="1">
      <c r="A56" s="6" t="s">
        <v>225</v>
      </c>
      <c r="B56" s="6" t="s">
        <v>22</v>
      </c>
      <c r="C56" s="6" t="s">
        <v>226</v>
      </c>
      <c r="D56" s="7" t="s">
        <v>158</v>
      </c>
      <c r="E56" s="8" t="s">
        <v>227</v>
      </c>
      <c r="F56" s="6" t="s">
        <v>228</v>
      </c>
      <c r="G56" s="9">
        <f>IF(A56=1,"_",IF(C56="_","???",C56))</f>
        <v/>
      </c>
      <c r="H56" s="10" t="s">
        <v>12</v>
      </c>
      <c r="I56" s="11" t="s">
        <v>12</v>
      </c>
      <c r="J56" s="12"/>
    </row>
    <row r="57" spans="1:10" ht="60" customHeight="1">
      <c r="A57" s="6" t="s">
        <v>229</v>
      </c>
      <c r="B57" s="6" t="s">
        <v>16</v>
      </c>
      <c r="C57" s="6" t="s">
        <v>230</v>
      </c>
      <c r="D57" s="7" t="s">
        <v>41</v>
      </c>
      <c r="E57" s="8" t="s">
        <v>231</v>
      </c>
      <c r="F57" s="6" t="s">
        <v>232</v>
      </c>
      <c r="G57" s="9">
        <f>IF(A57=1,"_",IF(C57="_","???",C57))</f>
        <v/>
      </c>
      <c r="H57" s="10" t="s">
        <v>12</v>
      </c>
      <c r="I57" s="11" t="s">
        <v>12</v>
      </c>
      <c r="J57" s="12"/>
    </row>
    <row r="58" spans="1:10" ht="60" customHeight="1">
      <c r="A58" s="6" t="s">
        <v>233</v>
      </c>
      <c r="B58" s="6" t="s">
        <v>16</v>
      </c>
      <c r="C58" s="6" t="s">
        <v>23</v>
      </c>
      <c r="D58" s="7" t="s">
        <v>234</v>
      </c>
      <c r="E58" s="8" t="s">
        <v>235</v>
      </c>
      <c r="F58" s="6" t="s">
        <v>236</v>
      </c>
      <c r="G58" s="9">
        <f>IF(A58=1,"_",IF(C58="_","???",C58))</f>
        <v/>
      </c>
      <c r="H58" s="10" t="s">
        <v>12</v>
      </c>
      <c r="I58" s="11" t="s">
        <v>12</v>
      </c>
      <c r="J58" s="12"/>
    </row>
    <row r="59" spans="1:10" ht="60" customHeight="1">
      <c r="A59" s="6" t="s">
        <v>237</v>
      </c>
      <c r="B59" s="6" t="s">
        <v>48</v>
      </c>
      <c r="C59" s="6" t="s">
        <v>23</v>
      </c>
      <c r="D59" s="7" t="s">
        <v>158</v>
      </c>
      <c r="E59" s="8" t="s">
        <v>238</v>
      </c>
      <c r="F59" s="6" t="s">
        <v>239</v>
      </c>
      <c r="G59" s="9">
        <f>IF(A59=1,"_",IF(C59="_","???",C59))</f>
        <v/>
      </c>
      <c r="H59" s="10" t="s">
        <v>12</v>
      </c>
      <c r="I59" s="11" t="s">
        <v>12</v>
      </c>
      <c r="J59" s="12"/>
    </row>
    <row r="60" spans="1:10" ht="60" customHeight="1">
      <c r="A60" s="6" t="s">
        <v>240</v>
      </c>
      <c r="B60" s="6" t="s">
        <v>21</v>
      </c>
      <c r="C60" s="6" t="s">
        <v>23</v>
      </c>
      <c r="D60" s="7" t="s">
        <v>112</v>
      </c>
      <c r="E60" s="8" t="s">
        <v>241</v>
      </c>
      <c r="F60" s="6" t="s">
        <v>242</v>
      </c>
      <c r="G60" s="9">
        <f>IF(A60=1,"_",IF(C60="_","???",C60))</f>
        <v/>
      </c>
      <c r="H60" s="10" t="s">
        <v>12</v>
      </c>
      <c r="I60" s="11" t="s">
        <v>12</v>
      </c>
      <c r="J60" s="12"/>
    </row>
    <row r="61" spans="1:10" ht="60" customHeight="1">
      <c r="A61" s="6" t="s">
        <v>243</v>
      </c>
      <c r="B61" s="6" t="s">
        <v>21</v>
      </c>
      <c r="C61" s="6" t="s">
        <v>23</v>
      </c>
      <c r="D61" s="7" t="s">
        <v>244</v>
      </c>
      <c r="E61" s="8" t="s">
        <v>245</v>
      </c>
      <c r="F61" s="6" t="s">
        <v>246</v>
      </c>
      <c r="G61" s="9">
        <f>IF(A61=1,"_",IF(C61="_","???",C61))</f>
        <v/>
      </c>
      <c r="H61" s="10" t="s">
        <v>12</v>
      </c>
      <c r="I61" s="11" t="s">
        <v>12</v>
      </c>
      <c r="J61" s="12"/>
    </row>
    <row r="62" spans="1:10" ht="60" customHeight="1">
      <c r="A62" s="6" t="s">
        <v>247</v>
      </c>
      <c r="B62" s="6" t="s">
        <v>16</v>
      </c>
      <c r="C62" s="6" t="s">
        <v>23</v>
      </c>
      <c r="D62" s="7" t="s">
        <v>41</v>
      </c>
      <c r="E62" s="8" t="s">
        <v>248</v>
      </c>
      <c r="F62" s="6" t="s">
        <v>249</v>
      </c>
      <c r="G62" s="9">
        <f>IF(A62=1,"_",IF(C62="_","???",C62))</f>
        <v/>
      </c>
      <c r="H62" s="10" t="s">
        <v>12</v>
      </c>
      <c r="I62" s="11" t="s">
        <v>12</v>
      </c>
      <c r="J62" s="12"/>
    </row>
    <row r="63" spans="1:10" ht="60" customHeight="1">
      <c r="A63" s="6" t="s">
        <v>250</v>
      </c>
      <c r="B63" s="6" t="s">
        <v>36</v>
      </c>
      <c r="C63" s="6" t="s">
        <v>23</v>
      </c>
      <c r="D63" s="7" t="s">
        <v>251</v>
      </c>
      <c r="E63" s="8" t="s">
        <v>252</v>
      </c>
      <c r="F63" s="6" t="s">
        <v>253</v>
      </c>
      <c r="G63" s="9">
        <f>IF(A63=1,"_",IF(C63="_","???",C63))</f>
        <v/>
      </c>
      <c r="H63" s="10" t="s">
        <v>12</v>
      </c>
      <c r="I63" s="11" t="s">
        <v>12</v>
      </c>
      <c r="J63" s="12"/>
    </row>
    <row r="64" spans="1:10" ht="60" customHeight="1">
      <c r="A64" s="6" t="s">
        <v>254</v>
      </c>
      <c r="B64" s="6" t="s">
        <v>62</v>
      </c>
      <c r="C64" s="6" t="s">
        <v>230</v>
      </c>
      <c r="D64" s="7" t="s">
        <v>255</v>
      </c>
      <c r="E64" s="8" t="s">
        <v>256</v>
      </c>
      <c r="F64" s="6" t="s">
        <v>257</v>
      </c>
      <c r="G64" s="9">
        <f>IF(A64=1,"_",IF(C64="_","???",C64))</f>
        <v/>
      </c>
      <c r="H64" s="10" t="s">
        <v>12</v>
      </c>
      <c r="I64" s="11" t="s">
        <v>12</v>
      </c>
      <c r="J64" s="12"/>
    </row>
    <row r="65" spans="1:10" ht="60" customHeight="1">
      <c r="A65" s="6" t="s">
        <v>258</v>
      </c>
      <c r="B65" s="6" t="s">
        <v>16</v>
      </c>
      <c r="C65" s="6" t="s">
        <v>12</v>
      </c>
      <c r="D65" s="7" t="s">
        <v>259</v>
      </c>
      <c r="E65" s="8" t="s">
        <v>260</v>
      </c>
      <c r="F65" s="6" t="s">
        <v>261</v>
      </c>
      <c r="G65" s="9">
        <f>IF(A65=1,"_",IF(C65="_","???",C65))</f>
        <v/>
      </c>
      <c r="H65" s="10" t="s">
        <v>12</v>
      </c>
      <c r="I65" s="11" t="s">
        <v>12</v>
      </c>
      <c r="J65" s="12"/>
    </row>
    <row r="66" spans="1:10" ht="60" customHeight="1">
      <c r="A66" s="6" t="s">
        <v>262</v>
      </c>
      <c r="B66" s="6" t="s">
        <v>21</v>
      </c>
      <c r="C66" s="6" t="s">
        <v>67</v>
      </c>
      <c r="D66" s="7" t="s">
        <v>259</v>
      </c>
      <c r="E66" s="8" t="s">
        <v>263</v>
      </c>
      <c r="F66" s="6" t="s">
        <v>264</v>
      </c>
      <c r="G66" s="9">
        <f>IF(A66=1,"_",IF(C66="_","???",C66))</f>
        <v/>
      </c>
      <c r="H66" s="10" t="s">
        <v>12</v>
      </c>
      <c r="I66" s="11" t="s">
        <v>12</v>
      </c>
      <c r="J66" s="12"/>
    </row>
    <row r="67" spans="1:10" ht="60" customHeight="1">
      <c r="A67" s="6" t="s">
        <v>265</v>
      </c>
      <c r="B67" s="6" t="s">
        <v>21</v>
      </c>
      <c r="C67" s="6" t="s">
        <v>12</v>
      </c>
      <c r="D67" s="7" t="s">
        <v>89</v>
      </c>
      <c r="E67" s="8" t="s">
        <v>266</v>
      </c>
      <c r="F67" s="6" t="s">
        <v>267</v>
      </c>
      <c r="G67" s="9">
        <f>IF(A67=1,"_",IF(C67="_","???",C67))</f>
        <v/>
      </c>
      <c r="H67" s="10" t="s">
        <v>12</v>
      </c>
      <c r="I67" s="11" t="s">
        <v>12</v>
      </c>
      <c r="J67" s="12"/>
    </row>
    <row r="68" spans="1:10" ht="60" customHeight="1">
      <c r="A68" s="6" t="s">
        <v>268</v>
      </c>
      <c r="B68" s="6" t="s">
        <v>11</v>
      </c>
      <c r="C68" s="6" t="s">
        <v>12</v>
      </c>
      <c r="D68" s="7" t="s">
        <v>269</v>
      </c>
      <c r="E68" s="8" t="s">
        <v>270</v>
      </c>
      <c r="F68" s="6" t="s">
        <v>271</v>
      </c>
      <c r="G68" s="9">
        <f>IF(A68=1,"_",IF(C68="_","???",C68))</f>
        <v/>
      </c>
      <c r="H68" s="10" t="s">
        <v>12</v>
      </c>
      <c r="I68" s="11" t="s">
        <v>12</v>
      </c>
      <c r="J68" s="12"/>
    </row>
    <row r="69" spans="1:10" ht="60" customHeight="1">
      <c r="A69" s="6" t="s">
        <v>272</v>
      </c>
      <c r="B69" s="6" t="s">
        <v>44</v>
      </c>
      <c r="C69" s="6" t="s">
        <v>28</v>
      </c>
      <c r="D69" s="7" t="s">
        <v>273</v>
      </c>
      <c r="E69" s="8" t="s">
        <v>274</v>
      </c>
      <c r="F69" s="6" t="s">
        <v>275</v>
      </c>
      <c r="G69" s="9">
        <f>IF(A69=1,"_",IF(C69="_","???",C69))</f>
        <v/>
      </c>
      <c r="H69" s="10" t="s">
        <v>12</v>
      </c>
      <c r="I69" s="11" t="s">
        <v>12</v>
      </c>
      <c r="J69" s="12"/>
    </row>
    <row r="70" spans="1:10" ht="60" customHeight="1">
      <c r="A70" s="6" t="s">
        <v>276</v>
      </c>
      <c r="B70" s="6" t="s">
        <v>27</v>
      </c>
      <c r="C70" s="6" t="s">
        <v>23</v>
      </c>
      <c r="D70" s="7" t="s">
        <v>277</v>
      </c>
      <c r="E70" s="8" t="s">
        <v>278</v>
      </c>
      <c r="F70" s="6" t="s">
        <v>279</v>
      </c>
      <c r="G70" s="9">
        <f>IF(A70=1,"_",IF(C70="_","???",C70))</f>
        <v/>
      </c>
      <c r="H70" s="10" t="s">
        <v>12</v>
      </c>
      <c r="I70" s="11" t="s">
        <v>12</v>
      </c>
      <c r="J70" s="12"/>
    </row>
    <row r="71" spans="1:10" ht="60" customHeight="1">
      <c r="A71" s="6" t="s">
        <v>280</v>
      </c>
      <c r="B71" s="6" t="s">
        <v>21</v>
      </c>
      <c r="C71" s="6" t="s">
        <v>12</v>
      </c>
      <c r="D71" s="7" t="s">
        <v>53</v>
      </c>
      <c r="E71" s="8" t="s">
        <v>281</v>
      </c>
      <c r="F71" s="6" t="s">
        <v>282</v>
      </c>
      <c r="G71" s="9">
        <f>IF(A71=1,"_",IF(C71="_","???",C71))</f>
        <v/>
      </c>
      <c r="H71" s="10" t="s">
        <v>12</v>
      </c>
      <c r="I71" s="11" t="s">
        <v>12</v>
      </c>
      <c r="J71" s="12"/>
    </row>
    <row r="72" spans="1:10" ht="60" customHeight="1">
      <c r="A72" s="6" t="s">
        <v>283</v>
      </c>
      <c r="B72" s="6" t="s">
        <v>76</v>
      </c>
      <c r="C72" s="6" t="s">
        <v>284</v>
      </c>
      <c r="D72" s="7" t="s">
        <v>162</v>
      </c>
      <c r="E72" s="8" t="s">
        <v>285</v>
      </c>
      <c r="F72" s="6" t="s">
        <v>286</v>
      </c>
      <c r="G72" s="9">
        <f>IF(A72=1,"_",IF(C72="_","???",C72))</f>
        <v/>
      </c>
      <c r="H72" s="10" t="s">
        <v>12</v>
      </c>
      <c r="I72" s="11" t="s">
        <v>12</v>
      </c>
      <c r="J72" s="12"/>
    </row>
    <row r="73" spans="1:10" ht="60" customHeight="1">
      <c r="A73" s="6" t="s">
        <v>287</v>
      </c>
      <c r="B73" s="6" t="s">
        <v>48</v>
      </c>
      <c r="C73" s="6" t="s">
        <v>23</v>
      </c>
      <c r="D73" s="7" t="s">
        <v>158</v>
      </c>
      <c r="E73" s="8" t="s">
        <v>288</v>
      </c>
      <c r="F73" s="6" t="s">
        <v>289</v>
      </c>
      <c r="G73" s="9">
        <f>IF(A73=1,"_",IF(C73="_","???",C73))</f>
        <v/>
      </c>
      <c r="H73" s="10" t="s">
        <v>12</v>
      </c>
      <c r="I73" s="11" t="s">
        <v>12</v>
      </c>
      <c r="J73" s="12"/>
    </row>
    <row r="74" spans="1:10" ht="60" customHeight="1">
      <c r="A74" s="6" t="s">
        <v>290</v>
      </c>
      <c r="B74" s="6" t="s">
        <v>21</v>
      </c>
      <c r="C74" s="6" t="s">
        <v>23</v>
      </c>
      <c r="D74" s="7" t="s">
        <v>291</v>
      </c>
      <c r="E74" s="8" t="s">
        <v>292</v>
      </c>
      <c r="F74" s="6" t="s">
        <v>293</v>
      </c>
      <c r="G74" s="9">
        <f>IF(A74=1,"_",IF(C74="_","???",C74))</f>
        <v/>
      </c>
      <c r="H74" s="10" t="s">
        <v>12</v>
      </c>
      <c r="I74" s="11" t="s">
        <v>12</v>
      </c>
      <c r="J74" s="12"/>
    </row>
    <row r="75" spans="1:10" ht="60" customHeight="1">
      <c r="A75" s="6" t="s">
        <v>294</v>
      </c>
      <c r="B75" s="6" t="s">
        <v>40</v>
      </c>
      <c r="C75" s="6" t="s">
        <v>218</v>
      </c>
      <c r="D75" s="7" t="s">
        <v>295</v>
      </c>
      <c r="E75" s="8" t="s">
        <v>296</v>
      </c>
      <c r="F75" s="6" t="s">
        <v>297</v>
      </c>
      <c r="G75" s="9">
        <f>IF(A75=1,"_",IF(C75="_","???",C75))</f>
        <v/>
      </c>
      <c r="H75" s="10" t="s">
        <v>12</v>
      </c>
      <c r="I75" s="11" t="s">
        <v>12</v>
      </c>
      <c r="J75" s="12"/>
    </row>
    <row r="76" spans="1:10" ht="60" customHeight="1">
      <c r="A76" s="6" t="s">
        <v>298</v>
      </c>
      <c r="B76" s="6" t="s">
        <v>16</v>
      </c>
      <c r="C76" s="6" t="s">
        <v>12</v>
      </c>
      <c r="D76" s="7" t="s">
        <v>299</v>
      </c>
      <c r="E76" s="8" t="s">
        <v>300</v>
      </c>
      <c r="F76" s="6" t="s">
        <v>301</v>
      </c>
      <c r="G76" s="9">
        <f>IF(A76=1,"_",IF(C76="_","???",C76))</f>
        <v/>
      </c>
      <c r="H76" s="10" t="s">
        <v>12</v>
      </c>
      <c r="I76" s="11" t="s">
        <v>12</v>
      </c>
      <c r="J76" s="12"/>
    </row>
    <row r="77" spans="1:10" ht="60" customHeight="1">
      <c r="A77" s="6" t="s">
        <v>302</v>
      </c>
      <c r="B77" s="6" t="s">
        <v>16</v>
      </c>
      <c r="C77" s="6" t="s">
        <v>303</v>
      </c>
      <c r="D77" s="7" t="s">
        <v>304</v>
      </c>
      <c r="E77" s="8" t="s">
        <v>305</v>
      </c>
      <c r="F77" s="6" t="s">
        <v>306</v>
      </c>
      <c r="G77" s="9">
        <f>IF(A77=1,"_",IF(C77="_","???",C77))</f>
        <v/>
      </c>
      <c r="H77" s="10" t="s">
        <v>12</v>
      </c>
      <c r="I77" s="11" t="s">
        <v>12</v>
      </c>
      <c r="J77" s="12"/>
    </row>
    <row r="78" spans="1:10" ht="60" customHeight="1">
      <c r="A78" s="6" t="s">
        <v>307</v>
      </c>
      <c r="B78" s="6" t="s">
        <v>119</v>
      </c>
      <c r="C78" s="6" t="s">
        <v>23</v>
      </c>
      <c r="D78" s="7" t="s">
        <v>308</v>
      </c>
      <c r="E78" s="8" t="s">
        <v>309</v>
      </c>
      <c r="F78" s="6" t="s">
        <v>310</v>
      </c>
      <c r="G78" s="9">
        <f>IF(A78=1,"_",IF(C78="_","???",C78))</f>
        <v/>
      </c>
      <c r="H78" s="10" t="s">
        <v>12</v>
      </c>
      <c r="I78" s="11" t="s">
        <v>12</v>
      </c>
      <c r="J78" s="12"/>
    </row>
    <row r="79" spans="1:10" ht="60" customHeight="1">
      <c r="A79" s="6" t="s">
        <v>311</v>
      </c>
      <c r="B79" s="6" t="s">
        <v>27</v>
      </c>
      <c r="C79" s="6" t="s">
        <v>23</v>
      </c>
      <c r="D79" s="7" t="s">
        <v>93</v>
      </c>
      <c r="E79" s="8" t="s">
        <v>312</v>
      </c>
      <c r="F79" s="6" t="s">
        <v>313</v>
      </c>
      <c r="G79" s="9">
        <f>IF(A79=1,"_",IF(C79="_","???",C79))</f>
        <v/>
      </c>
      <c r="H79" s="10" t="s">
        <v>12</v>
      </c>
      <c r="I79" s="11" t="s">
        <v>12</v>
      </c>
      <c r="J79" s="12"/>
    </row>
    <row r="80" spans="1:10" ht="60" customHeight="1">
      <c r="A80" s="6" t="s">
        <v>314</v>
      </c>
      <c r="B80" s="6" t="s">
        <v>22</v>
      </c>
      <c r="C80" s="6" t="s">
        <v>17</v>
      </c>
      <c r="D80" s="7" t="s">
        <v>315</v>
      </c>
      <c r="E80" s="8" t="s">
        <v>316</v>
      </c>
      <c r="F80" s="6" t="s">
        <v>317</v>
      </c>
      <c r="G80" s="9">
        <f>IF(A80=1,"_",IF(C80="_","???",C80))</f>
        <v/>
      </c>
      <c r="H80" s="10" t="s">
        <v>12</v>
      </c>
      <c r="I80" s="11" t="s">
        <v>12</v>
      </c>
      <c r="J80" s="12"/>
    </row>
    <row r="81" spans="1:10" ht="60" customHeight="1">
      <c r="A81" s="6" t="s">
        <v>318</v>
      </c>
      <c r="B81" s="6" t="s">
        <v>36</v>
      </c>
      <c r="C81" s="6" t="s">
        <v>67</v>
      </c>
      <c r="D81" s="7" t="s">
        <v>319</v>
      </c>
      <c r="E81" s="8" t="s">
        <v>320</v>
      </c>
      <c r="F81" s="6" t="s">
        <v>321</v>
      </c>
      <c r="G81" s="9">
        <f>IF(A81=1,"_",IF(C81="_","???",C81))</f>
        <v/>
      </c>
      <c r="H81" s="10" t="s">
        <v>12</v>
      </c>
      <c r="I81" s="11" t="s">
        <v>12</v>
      </c>
      <c r="J81" s="12"/>
    </row>
    <row r="82" spans="1:10" ht="60" customHeight="1">
      <c r="A82" s="6" t="s">
        <v>322</v>
      </c>
      <c r="B82" s="6" t="s">
        <v>62</v>
      </c>
      <c r="C82" s="6" t="s">
        <v>131</v>
      </c>
      <c r="D82" s="7" t="s">
        <v>323</v>
      </c>
      <c r="E82" s="8" t="s">
        <v>324</v>
      </c>
      <c r="F82" s="6" t="s">
        <v>325</v>
      </c>
      <c r="G82" s="9">
        <f>IF(A82=1,"_",IF(C82="_","???",C82))</f>
        <v/>
      </c>
      <c r="H82" s="10" t="s">
        <v>12</v>
      </c>
      <c r="I82" s="11" t="s">
        <v>12</v>
      </c>
      <c r="J82" s="12"/>
    </row>
    <row r="83" spans="1:10" ht="60" customHeight="1">
      <c r="A83" s="6" t="s">
        <v>326</v>
      </c>
      <c r="B83" s="6" t="s">
        <v>32</v>
      </c>
      <c r="C83" s="6" t="s">
        <v>23</v>
      </c>
      <c r="D83" s="7" t="s">
        <v>59</v>
      </c>
      <c r="E83" s="8" t="s">
        <v>327</v>
      </c>
      <c r="F83" s="6" t="s">
        <v>328</v>
      </c>
      <c r="G83" s="9">
        <f>IF(A83=1,"_",IF(C83="_","???",C83))</f>
        <v/>
      </c>
      <c r="H83" s="10" t="s">
        <v>12</v>
      </c>
      <c r="I83" s="11" t="s">
        <v>12</v>
      </c>
      <c r="J83" s="12"/>
    </row>
    <row r="84" spans="1:10" ht="60" customHeight="1">
      <c r="A84" s="6" t="s">
        <v>329</v>
      </c>
      <c r="B84" s="6" t="s">
        <v>21</v>
      </c>
      <c r="C84" s="6" t="s">
        <v>23</v>
      </c>
      <c r="D84" s="7" t="s">
        <v>53</v>
      </c>
      <c r="E84" s="8" t="s">
        <v>330</v>
      </c>
      <c r="F84" s="6" t="s">
        <v>331</v>
      </c>
      <c r="G84" s="9">
        <f>IF(A84=1,"_",IF(C84="_","???",C84))</f>
        <v/>
      </c>
      <c r="H84" s="10" t="s">
        <v>12</v>
      </c>
      <c r="I84" s="11" t="s">
        <v>12</v>
      </c>
      <c r="J84" s="12"/>
    </row>
    <row r="85" spans="1:10" ht="60" customHeight="1">
      <c r="A85" s="6" t="s">
        <v>332</v>
      </c>
      <c r="B85" s="6" t="s">
        <v>16</v>
      </c>
      <c r="C85" s="6" t="s">
        <v>12</v>
      </c>
      <c r="D85" s="7" t="s">
        <v>333</v>
      </c>
      <c r="E85" s="8" t="s">
        <v>334</v>
      </c>
      <c r="F85" s="6" t="s">
        <v>335</v>
      </c>
      <c r="G85" s="9">
        <f>IF(A85=1,"_",IF(C85="_","???",C85))</f>
        <v/>
      </c>
      <c r="H85" s="10" t="s">
        <v>12</v>
      </c>
      <c r="I85" s="11" t="s">
        <v>12</v>
      </c>
      <c r="J85" s="12"/>
    </row>
    <row r="86" spans="1:10" ht="60" customHeight="1">
      <c r="A86" s="6" t="s">
        <v>336</v>
      </c>
      <c r="B86" s="6" t="s">
        <v>27</v>
      </c>
      <c r="C86" s="6" t="s">
        <v>12</v>
      </c>
      <c r="D86" s="7" t="s">
        <v>158</v>
      </c>
      <c r="E86" s="8" t="s">
        <v>337</v>
      </c>
      <c r="F86" s="6" t="s">
        <v>338</v>
      </c>
      <c r="G86" s="9">
        <f>IF(A86=1,"_",IF(C86="_","???",C86))</f>
        <v/>
      </c>
      <c r="H86" s="10" t="s">
        <v>12</v>
      </c>
      <c r="I86" s="11" t="s">
        <v>12</v>
      </c>
      <c r="J86" s="12"/>
    </row>
    <row r="87" spans="1:10" ht="60" customHeight="1">
      <c r="A87" s="6" t="s">
        <v>339</v>
      </c>
      <c r="B87" s="6" t="s">
        <v>27</v>
      </c>
      <c r="C87" s="6" t="s">
        <v>23</v>
      </c>
      <c r="D87" s="7" t="s">
        <v>340</v>
      </c>
      <c r="E87" s="8" t="s">
        <v>341</v>
      </c>
      <c r="F87" s="6" t="s">
        <v>342</v>
      </c>
      <c r="G87" s="9">
        <f>IF(A87=1,"_",IF(C87="_","???",C87))</f>
        <v/>
      </c>
      <c r="H87" s="10" t="s">
        <v>12</v>
      </c>
      <c r="I87" s="11" t="s">
        <v>12</v>
      </c>
      <c r="J87" s="12"/>
    </row>
    <row r="88" spans="1:10" ht="60" customHeight="1">
      <c r="A88" s="6" t="s">
        <v>343</v>
      </c>
      <c r="B88" s="6" t="s">
        <v>16</v>
      </c>
      <c r="C88" s="6" t="s">
        <v>12</v>
      </c>
      <c r="D88" s="7" t="s">
        <v>344</v>
      </c>
      <c r="E88" s="8" t="s">
        <v>345</v>
      </c>
      <c r="F88" s="6" t="s">
        <v>346</v>
      </c>
      <c r="G88" s="9">
        <f>IF(A88=1,"_",IF(C88="_","???",C88))</f>
        <v/>
      </c>
      <c r="H88" s="10" t="s">
        <v>12</v>
      </c>
      <c r="I88" s="11" t="s">
        <v>12</v>
      </c>
      <c r="J88" s="12"/>
    </row>
    <row r="89" spans="1:10" ht="60" customHeight="1">
      <c r="A89" s="6" t="s">
        <v>347</v>
      </c>
      <c r="B89" s="6" t="s">
        <v>21</v>
      </c>
      <c r="C89" s="6" t="s">
        <v>12</v>
      </c>
      <c r="D89" s="7" t="s">
        <v>49</v>
      </c>
      <c r="E89" s="8" t="s">
        <v>348</v>
      </c>
      <c r="F89" s="6" t="s">
        <v>349</v>
      </c>
      <c r="G89" s="9">
        <f>IF(A89=1,"_",IF(C89="_","???",C89))</f>
        <v/>
      </c>
      <c r="H89" s="10" t="s">
        <v>12</v>
      </c>
      <c r="I89" s="11" t="s">
        <v>12</v>
      </c>
      <c r="J89" s="12"/>
    </row>
    <row r="90" spans="1:10" ht="60" customHeight="1">
      <c r="A90" s="6" t="s">
        <v>350</v>
      </c>
      <c r="B90" s="6" t="s">
        <v>21</v>
      </c>
      <c r="C90" s="6" t="s">
        <v>12</v>
      </c>
      <c r="D90" s="7" t="s">
        <v>351</v>
      </c>
      <c r="E90" s="8" t="s">
        <v>352</v>
      </c>
      <c r="F90" s="6" t="s">
        <v>353</v>
      </c>
      <c r="G90" s="9">
        <f>IF(A90=1,"_",IF(C90="_","???",C90))</f>
        <v/>
      </c>
      <c r="H90" s="10" t="s">
        <v>12</v>
      </c>
      <c r="I90" s="11" t="s">
        <v>12</v>
      </c>
      <c r="J90" s="12"/>
    </row>
    <row r="91" spans="1:10" ht="60" customHeight="1">
      <c r="A91" s="6" t="s">
        <v>354</v>
      </c>
      <c r="B91" s="6" t="s">
        <v>16</v>
      </c>
      <c r="C91" s="6" t="s">
        <v>12</v>
      </c>
      <c r="D91" s="7" t="s">
        <v>53</v>
      </c>
      <c r="E91" s="8" t="s">
        <v>355</v>
      </c>
      <c r="F91" s="6" t="s">
        <v>356</v>
      </c>
      <c r="G91" s="9">
        <f>IF(A91=1,"_",IF(C91="_","???",C91))</f>
        <v/>
      </c>
      <c r="H91" s="10" t="s">
        <v>12</v>
      </c>
      <c r="I91" s="11" t="s">
        <v>12</v>
      </c>
      <c r="J91" s="12"/>
    </row>
    <row r="92" spans="1:10" ht="60" customHeight="1">
      <c r="A92" s="6" t="s">
        <v>357</v>
      </c>
      <c r="B92" s="6" t="s">
        <v>16</v>
      </c>
      <c r="C92" s="6" t="s">
        <v>12</v>
      </c>
      <c r="D92" s="7" t="s">
        <v>358</v>
      </c>
      <c r="E92" s="8" t="s">
        <v>359</v>
      </c>
      <c r="F92" s="6" t="s">
        <v>360</v>
      </c>
      <c r="G92" s="9">
        <f>IF(A92=1,"_",IF(C92="_","???",C92))</f>
        <v/>
      </c>
      <c r="H92" s="10" t="s">
        <v>12</v>
      </c>
      <c r="I92" s="11" t="s">
        <v>12</v>
      </c>
      <c r="J92" s="12"/>
    </row>
    <row r="93" spans="1:10" ht="60" customHeight="1">
      <c r="A93" s="6" t="s">
        <v>361</v>
      </c>
      <c r="B93" s="6" t="s">
        <v>10</v>
      </c>
      <c r="C93" s="6" t="s">
        <v>12</v>
      </c>
      <c r="D93" s="7" t="s">
        <v>362</v>
      </c>
      <c r="E93" s="8" t="s">
        <v>363</v>
      </c>
      <c r="F93" s="6" t="s">
        <v>364</v>
      </c>
      <c r="G93" s="9">
        <f>IF(A93=1,"_",IF(C93="_","???",C93))</f>
        <v/>
      </c>
      <c r="H93" s="10" t="s">
        <v>12</v>
      </c>
      <c r="I93" s="11" t="s">
        <v>12</v>
      </c>
      <c r="J93" s="12"/>
    </row>
    <row r="94" spans="1:10" ht="60" customHeight="1">
      <c r="A94" s="6" t="s">
        <v>365</v>
      </c>
      <c r="B94" s="6" t="s">
        <v>21</v>
      </c>
      <c r="C94" s="6" t="s">
        <v>67</v>
      </c>
      <c r="D94" s="7" t="s">
        <v>366</v>
      </c>
      <c r="E94" s="8" t="s">
        <v>367</v>
      </c>
      <c r="F94" s="6" t="s">
        <v>368</v>
      </c>
      <c r="G94" s="9">
        <f>IF(A94=1,"_",IF(C94="_","???",C94))</f>
        <v/>
      </c>
      <c r="H94" s="10" t="s">
        <v>12</v>
      </c>
      <c r="I94" s="11" t="s">
        <v>12</v>
      </c>
      <c r="J94" s="12"/>
    </row>
    <row r="95" spans="1:10" ht="60" customHeight="1">
      <c r="A95" s="6" t="s">
        <v>369</v>
      </c>
      <c r="B95" s="6" t="s">
        <v>21</v>
      </c>
      <c r="C95" s="6" t="s">
        <v>23</v>
      </c>
      <c r="D95" s="7" t="s">
        <v>370</v>
      </c>
      <c r="E95" s="8" t="s">
        <v>371</v>
      </c>
      <c r="F95" s="6" t="s">
        <v>372</v>
      </c>
      <c r="G95" s="9">
        <f>IF(A95=1,"_",IF(C95="_","???",C95))</f>
        <v/>
      </c>
      <c r="H95" s="10" t="s">
        <v>12</v>
      </c>
      <c r="I95" s="11" t="s">
        <v>12</v>
      </c>
      <c r="J95" s="12"/>
    </row>
    <row r="96" spans="1:10" ht="60" customHeight="1">
      <c r="A96" s="6" t="s">
        <v>373</v>
      </c>
      <c r="B96" s="6" t="s">
        <v>16</v>
      </c>
      <c r="C96" s="6" t="s">
        <v>12</v>
      </c>
      <c r="D96" s="7" t="s">
        <v>41</v>
      </c>
      <c r="E96" s="8" t="s">
        <v>374</v>
      </c>
      <c r="F96" s="6" t="s">
        <v>375</v>
      </c>
      <c r="G96" s="9">
        <f>IF(A96=1,"_",IF(C96="_","???",C96))</f>
        <v/>
      </c>
      <c r="H96" s="10" t="s">
        <v>12</v>
      </c>
      <c r="I96" s="11" t="s">
        <v>12</v>
      </c>
      <c r="J96" s="12"/>
    </row>
    <row r="97" spans="1:10" ht="60" customHeight="1">
      <c r="A97" s="6" t="s">
        <v>376</v>
      </c>
      <c r="B97" s="6" t="s">
        <v>44</v>
      </c>
      <c r="C97" s="6" t="s">
        <v>12</v>
      </c>
      <c r="D97" s="7" t="s">
        <v>377</v>
      </c>
      <c r="E97" s="8" t="s">
        <v>378</v>
      </c>
      <c r="F97" s="6" t="s">
        <v>379</v>
      </c>
      <c r="G97" s="9">
        <f>IF(A97=1,"_",IF(C97="_","???",C97))</f>
        <v/>
      </c>
      <c r="H97" s="10" t="s">
        <v>12</v>
      </c>
      <c r="I97" s="11" t="s">
        <v>12</v>
      </c>
      <c r="J97" s="12"/>
    </row>
    <row r="98" spans="1:10" ht="60" customHeight="1">
      <c r="A98" s="6" t="s">
        <v>380</v>
      </c>
      <c r="B98" s="6" t="s">
        <v>21</v>
      </c>
      <c r="C98" s="6" t="s">
        <v>67</v>
      </c>
      <c r="D98" s="7" t="s">
        <v>381</v>
      </c>
      <c r="E98" s="8" t="s">
        <v>382</v>
      </c>
      <c r="F98" s="6" t="s">
        <v>383</v>
      </c>
      <c r="G98" s="9">
        <f>IF(A98=1,"_",IF(C98="_","???",C98))</f>
        <v/>
      </c>
      <c r="H98" s="10" t="s">
        <v>12</v>
      </c>
      <c r="I98" s="11" t="s">
        <v>12</v>
      </c>
      <c r="J98" s="12"/>
    </row>
    <row r="99" spans="1:10" ht="60" customHeight="1">
      <c r="A99" s="6" t="s">
        <v>384</v>
      </c>
      <c r="B99" s="6" t="s">
        <v>75</v>
      </c>
      <c r="C99" s="6" t="s">
        <v>23</v>
      </c>
      <c r="D99" s="7" t="s">
        <v>304</v>
      </c>
      <c r="E99" s="8" t="s">
        <v>385</v>
      </c>
      <c r="F99" s="6" t="s">
        <v>386</v>
      </c>
      <c r="G99" s="9">
        <f>IF(A99=1,"_",IF(C99="_","???",C99))</f>
        <v/>
      </c>
      <c r="H99" s="10" t="s">
        <v>12</v>
      </c>
      <c r="I99" s="11" t="s">
        <v>12</v>
      </c>
      <c r="J99" s="12"/>
    </row>
    <row r="100" spans="1:10" ht="60" customHeight="1">
      <c r="A100" s="6" t="s">
        <v>387</v>
      </c>
      <c r="B100" s="6" t="s">
        <v>66</v>
      </c>
      <c r="C100" s="6" t="s">
        <v>28</v>
      </c>
      <c r="D100" s="7" t="s">
        <v>89</v>
      </c>
      <c r="E100" s="8" t="s">
        <v>388</v>
      </c>
      <c r="F100" s="6" t="s">
        <v>389</v>
      </c>
      <c r="G100" s="9">
        <f>IF(A100=1,"_",IF(C100="_","???",C100))</f>
        <v/>
      </c>
      <c r="H100" s="10" t="s">
        <v>12</v>
      </c>
      <c r="I100" s="11" t="s">
        <v>12</v>
      </c>
      <c r="J100" s="12"/>
    </row>
    <row r="101" spans="1:10" ht="60" customHeight="1">
      <c r="A101" s="6" t="s">
        <v>390</v>
      </c>
      <c r="B101" s="6" t="s">
        <v>83</v>
      </c>
      <c r="C101" s="6" t="s">
        <v>23</v>
      </c>
      <c r="D101" s="7" t="s">
        <v>391</v>
      </c>
      <c r="E101" s="8" t="s">
        <v>392</v>
      </c>
      <c r="F101" s="6" t="s">
        <v>393</v>
      </c>
      <c r="G101" s="9">
        <f>IF(A101=1,"_",IF(C101="_","???",C101))</f>
        <v/>
      </c>
      <c r="H101" s="10" t="s">
        <v>12</v>
      </c>
      <c r="I101" s="11" t="s">
        <v>12</v>
      </c>
      <c r="J101" s="12"/>
    </row>
    <row r="102" spans="1:10" ht="60" customHeight="1">
      <c r="A102" s="6" t="s">
        <v>394</v>
      </c>
      <c r="B102" s="6" t="s">
        <v>44</v>
      </c>
      <c r="C102" s="6" t="s">
        <v>23</v>
      </c>
      <c r="D102" s="7" t="s">
        <v>395</v>
      </c>
      <c r="E102" s="8" t="s">
        <v>396</v>
      </c>
      <c r="F102" s="6" t="s">
        <v>397</v>
      </c>
      <c r="G102" s="9">
        <f>IF(A102=1,"_",IF(C102="_","???",C102))</f>
        <v/>
      </c>
      <c r="H102" s="10" t="s">
        <v>12</v>
      </c>
      <c r="I102" s="11" t="s">
        <v>12</v>
      </c>
      <c r="J102" s="12"/>
    </row>
    <row r="103" spans="1:10" ht="60" customHeight="1">
      <c r="A103" s="6" t="s">
        <v>398</v>
      </c>
      <c r="B103" s="6" t="s">
        <v>100</v>
      </c>
      <c r="C103" s="6" t="s">
        <v>399</v>
      </c>
      <c r="D103" s="7" t="s">
        <v>400</v>
      </c>
      <c r="E103" s="8" t="s">
        <v>401</v>
      </c>
      <c r="F103" s="6" t="s">
        <v>402</v>
      </c>
      <c r="G103" s="9">
        <f>IF(A103=1,"_",IF(C103="_","???",C103))</f>
        <v/>
      </c>
      <c r="H103" s="10" t="s">
        <v>12</v>
      </c>
      <c r="I103" s="11" t="s">
        <v>12</v>
      </c>
      <c r="J103" s="12"/>
    </row>
    <row r="104" spans="1:10" ht="60" customHeight="1">
      <c r="A104" s="6" t="s">
        <v>403</v>
      </c>
      <c r="B104" s="6" t="s">
        <v>40</v>
      </c>
      <c r="C104" s="6" t="s">
        <v>12</v>
      </c>
      <c r="D104" s="7" t="s">
        <v>404</v>
      </c>
      <c r="E104" s="8" t="s">
        <v>405</v>
      </c>
      <c r="F104" s="6" t="s">
        <v>406</v>
      </c>
      <c r="G104" s="9">
        <f>IF(A104=1,"_",IF(C104="_","???",C104))</f>
        <v/>
      </c>
      <c r="H104" s="10" t="s">
        <v>12</v>
      </c>
      <c r="I104" s="11" t="s">
        <v>12</v>
      </c>
      <c r="J104" s="12"/>
    </row>
    <row r="105" spans="1:10" ht="60" customHeight="1">
      <c r="A105" s="6" t="s">
        <v>407</v>
      </c>
      <c r="B105" s="6" t="s">
        <v>21</v>
      </c>
      <c r="C105" s="6" t="s">
        <v>12</v>
      </c>
      <c r="D105" s="7" t="s">
        <v>158</v>
      </c>
      <c r="E105" s="8" t="s">
        <v>408</v>
      </c>
      <c r="F105" s="6" t="s">
        <v>409</v>
      </c>
      <c r="G105" s="9">
        <f>IF(A105=1,"_",IF(C105="_","???",C105))</f>
        <v/>
      </c>
      <c r="H105" s="10" t="s">
        <v>12</v>
      </c>
      <c r="I105" s="11" t="s">
        <v>12</v>
      </c>
      <c r="J105" s="12"/>
    </row>
    <row r="106" spans="1:10" ht="60" customHeight="1">
      <c r="A106" s="6" t="s">
        <v>410</v>
      </c>
      <c r="B106" s="6" t="s">
        <v>21</v>
      </c>
      <c r="C106" s="6" t="s">
        <v>23</v>
      </c>
      <c r="D106" s="7" t="s">
        <v>53</v>
      </c>
      <c r="E106" s="8" t="s">
        <v>411</v>
      </c>
      <c r="F106" s="6" t="s">
        <v>412</v>
      </c>
      <c r="G106" s="9">
        <f>IF(A106=1,"_",IF(C106="_","???",C106))</f>
        <v/>
      </c>
      <c r="H106" s="10" t="s">
        <v>12</v>
      </c>
      <c r="I106" s="11" t="s">
        <v>12</v>
      </c>
      <c r="J106" s="12"/>
    </row>
    <row r="107" spans="1:10" ht="60" customHeight="1">
      <c r="A107" s="6" t="s">
        <v>413</v>
      </c>
      <c r="B107" s="6" t="s">
        <v>21</v>
      </c>
      <c r="C107" s="6" t="s">
        <v>12</v>
      </c>
      <c r="D107" s="7" t="s">
        <v>414</v>
      </c>
      <c r="E107" s="8" t="s">
        <v>415</v>
      </c>
      <c r="F107" s="6" t="s">
        <v>416</v>
      </c>
      <c r="G107" s="9">
        <f>IF(A107=1,"_",IF(C107="_","???",C107))</f>
        <v/>
      </c>
      <c r="H107" s="10" t="s">
        <v>12</v>
      </c>
      <c r="I107" s="11" t="s">
        <v>12</v>
      </c>
      <c r="J107" s="12"/>
    </row>
    <row r="108" spans="1:10" ht="60" customHeight="1">
      <c r="A108" s="6" t="s">
        <v>417</v>
      </c>
      <c r="B108" s="6" t="s">
        <v>40</v>
      </c>
      <c r="C108" s="6" t="s">
        <v>12</v>
      </c>
      <c r="D108" s="7" t="s">
        <v>418</v>
      </c>
      <c r="E108" s="8" t="s">
        <v>419</v>
      </c>
      <c r="F108" s="6" t="s">
        <v>420</v>
      </c>
      <c r="G108" s="9">
        <f>IF(A108=1,"_",IF(C108="_","???",C108))</f>
        <v/>
      </c>
      <c r="H108" s="10" t="s">
        <v>12</v>
      </c>
      <c r="I108" s="11" t="s">
        <v>12</v>
      </c>
      <c r="J108" s="12"/>
    </row>
    <row r="109" spans="1:10" ht="60" customHeight="1">
      <c r="A109" s="6" t="s">
        <v>421</v>
      </c>
      <c r="B109" s="6" t="s">
        <v>36</v>
      </c>
      <c r="C109" s="6" t="s">
        <v>23</v>
      </c>
      <c r="D109" s="7" t="s">
        <v>53</v>
      </c>
      <c r="E109" s="8" t="s">
        <v>422</v>
      </c>
      <c r="F109" s="6" t="s">
        <v>423</v>
      </c>
      <c r="G109" s="9">
        <f>IF(A109=1,"_",IF(C109="_","???",C109))</f>
        <v/>
      </c>
      <c r="H109" s="10" t="s">
        <v>12</v>
      </c>
      <c r="I109" s="11" t="s">
        <v>12</v>
      </c>
      <c r="J109" s="12"/>
    </row>
    <row r="110" spans="1:10" ht="60" customHeight="1">
      <c r="A110" s="6" t="s">
        <v>424</v>
      </c>
      <c r="B110" s="6" t="s">
        <v>21</v>
      </c>
      <c r="C110" s="6" t="s">
        <v>67</v>
      </c>
      <c r="D110" s="7" t="s">
        <v>93</v>
      </c>
      <c r="E110" s="8" t="s">
        <v>425</v>
      </c>
      <c r="F110" s="6" t="s">
        <v>426</v>
      </c>
      <c r="G110" s="9">
        <f>IF(A110=1,"_",IF(C110="_","???",C110))</f>
        <v/>
      </c>
      <c r="H110" s="10" t="s">
        <v>12</v>
      </c>
      <c r="I110" s="11" t="s">
        <v>12</v>
      </c>
      <c r="J110" s="12"/>
    </row>
    <row r="111" spans="1:10" ht="60" customHeight="1">
      <c r="A111" s="6" t="s">
        <v>427</v>
      </c>
      <c r="B111" s="6" t="s">
        <v>27</v>
      </c>
      <c r="C111" s="6" t="s">
        <v>23</v>
      </c>
      <c r="D111" s="7" t="s">
        <v>53</v>
      </c>
      <c r="E111" s="8" t="s">
        <v>428</v>
      </c>
      <c r="F111" s="6" t="s">
        <v>429</v>
      </c>
      <c r="G111" s="9">
        <f>IF(A111=1,"_",IF(C111="_","???",C111))</f>
        <v/>
      </c>
      <c r="H111" s="10" t="s">
        <v>12</v>
      </c>
      <c r="I111" s="11" t="s">
        <v>12</v>
      </c>
      <c r="J111" s="12"/>
    </row>
    <row r="112" spans="1:10" ht="60" customHeight="1">
      <c r="A112" s="6" t="s">
        <v>430</v>
      </c>
      <c r="B112" s="6" t="s">
        <v>36</v>
      </c>
      <c r="C112" s="6" t="s">
        <v>17</v>
      </c>
      <c r="D112" s="7" t="s">
        <v>431</v>
      </c>
      <c r="E112" s="8" t="s">
        <v>432</v>
      </c>
      <c r="F112" s="6" t="s">
        <v>433</v>
      </c>
      <c r="G112" s="9">
        <f>IF(A112=1,"_",IF(C112="_","???",C112))</f>
        <v/>
      </c>
      <c r="H112" s="10" t="s">
        <v>12</v>
      </c>
      <c r="I112" s="11" t="s">
        <v>12</v>
      </c>
      <c r="J112" s="12"/>
    </row>
    <row r="113" spans="1:10" ht="60" customHeight="1">
      <c r="A113" s="6" t="s">
        <v>434</v>
      </c>
      <c r="B113" s="6" t="s">
        <v>16</v>
      </c>
      <c r="C113" s="6" t="s">
        <v>28</v>
      </c>
      <c r="D113" s="7" t="s">
        <v>435</v>
      </c>
      <c r="E113" s="8" t="s">
        <v>436</v>
      </c>
      <c r="F113" s="6" t="s">
        <v>437</v>
      </c>
      <c r="G113" s="9">
        <f>IF(A113=1,"_",IF(C113="_","???",C113))</f>
        <v/>
      </c>
      <c r="H113" s="10" t="s">
        <v>12</v>
      </c>
      <c r="I113" s="11" t="s">
        <v>12</v>
      </c>
      <c r="J113" s="12"/>
    </row>
    <row r="114" spans="1:10" ht="60" customHeight="1">
      <c r="A114" s="6" t="s">
        <v>438</v>
      </c>
      <c r="B114" s="6" t="s">
        <v>40</v>
      </c>
      <c r="C114" s="6" t="s">
        <v>23</v>
      </c>
      <c r="D114" s="7" t="s">
        <v>97</v>
      </c>
      <c r="E114" s="8" t="s">
        <v>439</v>
      </c>
      <c r="F114" s="6" t="s">
        <v>440</v>
      </c>
      <c r="G114" s="9">
        <f>IF(A114=1,"_",IF(C114="_","???",C114))</f>
        <v/>
      </c>
      <c r="H114" s="10" t="s">
        <v>12</v>
      </c>
      <c r="I114" s="11" t="s">
        <v>12</v>
      </c>
      <c r="J114" s="12"/>
    </row>
    <row r="115" spans="1:10" ht="60" customHeight="1">
      <c r="A115" s="6" t="s">
        <v>441</v>
      </c>
      <c r="B115" s="6" t="s">
        <v>16</v>
      </c>
      <c r="C115" s="6" t="s">
        <v>28</v>
      </c>
      <c r="D115" s="7" t="s">
        <v>442</v>
      </c>
      <c r="E115" s="8" t="s">
        <v>443</v>
      </c>
      <c r="F115" s="6" t="s">
        <v>444</v>
      </c>
      <c r="G115" s="9">
        <f>IF(A115=1,"_",IF(C115="_","???",C115))</f>
        <v/>
      </c>
      <c r="H115" s="10" t="s">
        <v>12</v>
      </c>
      <c r="I115" s="11" t="s">
        <v>12</v>
      </c>
      <c r="J115" s="12"/>
    </row>
    <row r="116" spans="1:10" ht="60" customHeight="1">
      <c r="A116" s="6" t="s">
        <v>445</v>
      </c>
      <c r="B116" s="6" t="s">
        <v>22</v>
      </c>
      <c r="C116" s="6" t="s">
        <v>28</v>
      </c>
      <c r="D116" s="7" t="s">
        <v>442</v>
      </c>
      <c r="E116" s="8" t="s">
        <v>446</v>
      </c>
      <c r="F116" s="6" t="s">
        <v>447</v>
      </c>
      <c r="G116" s="9">
        <f>IF(A116=1,"_",IF(C116="_","???",C116))</f>
        <v/>
      </c>
      <c r="H116" s="10" t="s">
        <v>12</v>
      </c>
      <c r="I116" s="11" t="s">
        <v>12</v>
      </c>
      <c r="J116" s="12"/>
    </row>
    <row r="117" spans="1:10" ht="60" customHeight="1">
      <c r="A117" s="6" t="s">
        <v>448</v>
      </c>
      <c r="B117" s="6" t="s">
        <v>32</v>
      </c>
      <c r="C117" s="6" t="s">
        <v>23</v>
      </c>
      <c r="D117" s="7" t="s">
        <v>449</v>
      </c>
      <c r="E117" s="8" t="s">
        <v>450</v>
      </c>
      <c r="F117" s="6" t="s">
        <v>451</v>
      </c>
      <c r="G117" s="9">
        <f>IF(A117=1,"_",IF(C117="_","???",C117))</f>
        <v/>
      </c>
      <c r="H117" s="10" t="s">
        <v>12</v>
      </c>
      <c r="I117" s="11" t="s">
        <v>12</v>
      </c>
      <c r="J117" s="12"/>
    </row>
    <row r="118" spans="1:10" ht="60" customHeight="1">
      <c r="A118" s="6" t="s">
        <v>452</v>
      </c>
      <c r="B118" s="6" t="s">
        <v>66</v>
      </c>
      <c r="C118" s="6" t="s">
        <v>12</v>
      </c>
      <c r="D118" s="7" t="s">
        <v>453</v>
      </c>
      <c r="E118" s="8" t="s">
        <v>454</v>
      </c>
      <c r="F118" s="6" t="s">
        <v>455</v>
      </c>
      <c r="G118" s="9">
        <f>IF(A118=1,"_",IF(C118="_","???",C118))</f>
        <v/>
      </c>
      <c r="H118" s="10" t="s">
        <v>12</v>
      </c>
      <c r="I118" s="11" t="s">
        <v>12</v>
      </c>
      <c r="J118" s="12"/>
    </row>
    <row r="119" spans="1:10" ht="60" customHeight="1">
      <c r="A119" s="6" t="s">
        <v>456</v>
      </c>
      <c r="B119" s="6" t="s">
        <v>16</v>
      </c>
      <c r="C119" s="6" t="s">
        <v>23</v>
      </c>
      <c r="D119" s="7" t="s">
        <v>457</v>
      </c>
      <c r="E119" s="8" t="s">
        <v>458</v>
      </c>
      <c r="F119" s="6" t="s">
        <v>459</v>
      </c>
      <c r="G119" s="9">
        <f>IF(A119=1,"_",IF(C119="_","???",C119))</f>
        <v/>
      </c>
      <c r="H119" s="10" t="s">
        <v>12</v>
      </c>
      <c r="I119" s="11" t="s">
        <v>12</v>
      </c>
      <c r="J119" s="12"/>
    </row>
    <row r="120" spans="1:10" ht="60" customHeight="1">
      <c r="A120" s="6" t="s">
        <v>460</v>
      </c>
      <c r="B120" s="6" t="s">
        <v>10</v>
      </c>
      <c r="C120" s="6" t="s">
        <v>12</v>
      </c>
      <c r="D120" s="7" t="s">
        <v>461</v>
      </c>
      <c r="E120" s="8" t="s">
        <v>462</v>
      </c>
      <c r="F120" s="6" t="s">
        <v>463</v>
      </c>
      <c r="G120" s="9">
        <f>IF(A120=1,"_",IF(C120="_","???",C120))</f>
        <v/>
      </c>
      <c r="H120" s="10" t="s">
        <v>12</v>
      </c>
      <c r="I120" s="11" t="s">
        <v>12</v>
      </c>
      <c r="J120" s="12"/>
    </row>
    <row r="121" spans="1:10" ht="60" customHeight="1">
      <c r="A121" s="6" t="s">
        <v>464</v>
      </c>
      <c r="B121" s="6" t="s">
        <v>16</v>
      </c>
      <c r="C121" s="6" t="s">
        <v>12</v>
      </c>
      <c r="D121" s="7" t="s">
        <v>41</v>
      </c>
      <c r="E121" s="8" t="s">
        <v>465</v>
      </c>
      <c r="F121" s="6" t="s">
        <v>466</v>
      </c>
      <c r="G121" s="9">
        <f>IF(A121=1,"_",IF(C121="_","???",C121))</f>
        <v/>
      </c>
      <c r="H121" s="10" t="s">
        <v>12</v>
      </c>
      <c r="I121" s="11" t="s">
        <v>12</v>
      </c>
      <c r="J121" s="12"/>
    </row>
    <row r="122" spans="1:10" ht="60" customHeight="1">
      <c r="A122" s="6" t="s">
        <v>467</v>
      </c>
      <c r="B122" s="6" t="s">
        <v>21</v>
      </c>
      <c r="C122" s="6" t="s">
        <v>468</v>
      </c>
      <c r="D122" s="7" t="s">
        <v>158</v>
      </c>
      <c r="E122" s="8" t="s">
        <v>469</v>
      </c>
      <c r="F122" s="6" t="s">
        <v>470</v>
      </c>
      <c r="G122" s="9">
        <f>IF(A122=1,"_",IF(C122="_","???",C122))</f>
        <v/>
      </c>
      <c r="H122" s="10" t="s">
        <v>12</v>
      </c>
      <c r="I122" s="11" t="s">
        <v>12</v>
      </c>
      <c r="J122" s="12"/>
    </row>
    <row r="123" spans="1:10" ht="60" customHeight="1">
      <c r="A123" s="6" t="s">
        <v>471</v>
      </c>
      <c r="B123" s="6" t="s">
        <v>21</v>
      </c>
      <c r="C123" s="6" t="s">
        <v>23</v>
      </c>
      <c r="D123" s="7" t="s">
        <v>472</v>
      </c>
      <c r="E123" s="8" t="s">
        <v>473</v>
      </c>
      <c r="F123" s="6" t="s">
        <v>474</v>
      </c>
      <c r="G123" s="9">
        <f>IF(A123=1,"_",IF(C123="_","???",C123))</f>
        <v/>
      </c>
      <c r="H123" s="10" t="s">
        <v>12</v>
      </c>
      <c r="I123" s="11" t="s">
        <v>12</v>
      </c>
      <c r="J123" s="12"/>
    </row>
    <row r="124" spans="1:10" ht="60" customHeight="1">
      <c r="A124" s="6" t="s">
        <v>475</v>
      </c>
      <c r="B124" s="6" t="s">
        <v>71</v>
      </c>
      <c r="C124" s="6" t="s">
        <v>23</v>
      </c>
      <c r="D124" s="7" t="s">
        <v>476</v>
      </c>
      <c r="E124" s="8" t="s">
        <v>477</v>
      </c>
      <c r="F124" s="6" t="s">
        <v>478</v>
      </c>
      <c r="G124" s="9">
        <f>IF(A124=1,"_",IF(C124="_","???",C124))</f>
        <v/>
      </c>
      <c r="H124" s="10" t="s">
        <v>12</v>
      </c>
      <c r="I124" s="11" t="s">
        <v>12</v>
      </c>
      <c r="J124" s="12"/>
    </row>
    <row r="125" spans="1:10" ht="60" customHeight="1">
      <c r="A125" s="6" t="s">
        <v>479</v>
      </c>
      <c r="B125" s="6" t="s">
        <v>21</v>
      </c>
      <c r="C125" s="6" t="s">
        <v>67</v>
      </c>
      <c r="D125" s="7" t="s">
        <v>93</v>
      </c>
      <c r="E125" s="8" t="s">
        <v>480</v>
      </c>
      <c r="F125" s="6" t="s">
        <v>481</v>
      </c>
      <c r="G125" s="9">
        <f>IF(A125=1,"_",IF(C125="_","???",C125))</f>
        <v/>
      </c>
      <c r="H125" s="10" t="s">
        <v>12</v>
      </c>
      <c r="I125" s="11" t="s">
        <v>12</v>
      </c>
      <c r="J125" s="12"/>
    </row>
    <row r="126" spans="1:10" ht="60" customHeight="1">
      <c r="A126" s="6" t="s">
        <v>482</v>
      </c>
      <c r="B126" s="6" t="s">
        <v>27</v>
      </c>
      <c r="C126" s="6" t="s">
        <v>28</v>
      </c>
      <c r="D126" s="7" t="s">
        <v>483</v>
      </c>
      <c r="E126" s="8" t="s">
        <v>484</v>
      </c>
      <c r="F126" s="6" t="s">
        <v>485</v>
      </c>
      <c r="G126" s="9">
        <f>IF(A126=1,"_",IF(C126="_","???",C126))</f>
        <v/>
      </c>
      <c r="H126" s="10" t="s">
        <v>12</v>
      </c>
      <c r="I126" s="11" t="s">
        <v>12</v>
      </c>
      <c r="J126" s="12"/>
    </row>
    <row r="127" spans="1:10" ht="60" customHeight="1">
      <c r="A127" s="6" t="s">
        <v>486</v>
      </c>
      <c r="B127" s="6" t="s">
        <v>16</v>
      </c>
      <c r="C127" s="6" t="s">
        <v>12</v>
      </c>
      <c r="D127" s="7" t="s">
        <v>158</v>
      </c>
      <c r="E127" s="8" t="s">
        <v>487</v>
      </c>
      <c r="F127" s="6" t="s">
        <v>488</v>
      </c>
      <c r="G127" s="9">
        <f>IF(A127=1,"_",IF(C127="_","???",C127))</f>
        <v/>
      </c>
      <c r="H127" s="10" t="s">
        <v>12</v>
      </c>
      <c r="I127" s="11" t="s">
        <v>12</v>
      </c>
      <c r="J127" s="12"/>
    </row>
    <row r="128" spans="1:10" ht="60" customHeight="1">
      <c r="A128" s="6" t="s">
        <v>489</v>
      </c>
      <c r="B128" s="6" t="s">
        <v>21</v>
      </c>
      <c r="C128" s="6" t="s">
        <v>23</v>
      </c>
      <c r="D128" s="7" t="s">
        <v>490</v>
      </c>
      <c r="E128" s="8" t="s">
        <v>491</v>
      </c>
      <c r="F128" s="6" t="s">
        <v>492</v>
      </c>
      <c r="G128" s="9">
        <f>IF(A128=1,"_",IF(C128="_","???",C128))</f>
        <v/>
      </c>
      <c r="H128" s="10" t="s">
        <v>12</v>
      </c>
      <c r="I128" s="11" t="s">
        <v>12</v>
      </c>
      <c r="J128" s="12"/>
    </row>
    <row r="129" spans="1:10" ht="60" customHeight="1">
      <c r="A129" s="6" t="s">
        <v>493</v>
      </c>
      <c r="B129" s="6" t="s">
        <v>66</v>
      </c>
      <c r="C129" s="6" t="s">
        <v>12</v>
      </c>
      <c r="D129" s="7" t="s">
        <v>494</v>
      </c>
      <c r="E129" s="8" t="s">
        <v>495</v>
      </c>
      <c r="F129" s="6" t="s">
        <v>496</v>
      </c>
      <c r="G129" s="9">
        <f>IF(A129=1,"_",IF(C129="_","???",C129))</f>
        <v/>
      </c>
      <c r="H129" s="10" t="s">
        <v>12</v>
      </c>
      <c r="I129" s="11" t="s">
        <v>12</v>
      </c>
      <c r="J129" s="12"/>
    </row>
    <row r="130" spans="1:10" ht="60" customHeight="1">
      <c r="A130" s="6" t="s">
        <v>497</v>
      </c>
      <c r="B130" s="6" t="s">
        <v>10</v>
      </c>
      <c r="C130" s="6" t="s">
        <v>12</v>
      </c>
      <c r="D130" s="7" t="s">
        <v>498</v>
      </c>
      <c r="E130" s="8" t="s">
        <v>499</v>
      </c>
      <c r="F130" s="6" t="s">
        <v>500</v>
      </c>
      <c r="G130" s="9">
        <f>IF(A130=1,"_",IF(C130="_","???",C130))</f>
        <v/>
      </c>
      <c r="H130" s="10" t="s">
        <v>12</v>
      </c>
      <c r="I130" s="11" t="s">
        <v>12</v>
      </c>
      <c r="J130" s="12"/>
    </row>
    <row r="131" spans="1:10" ht="60" customHeight="1">
      <c r="A131" s="6" t="s">
        <v>501</v>
      </c>
      <c r="B131" s="6" t="s">
        <v>16</v>
      </c>
      <c r="C131" s="6" t="s">
        <v>12</v>
      </c>
      <c r="D131" s="7" t="s">
        <v>502</v>
      </c>
      <c r="E131" s="8" t="s">
        <v>503</v>
      </c>
      <c r="F131" s="6" t="s">
        <v>504</v>
      </c>
      <c r="G131" s="9">
        <f>IF(A131=1,"_",IF(C131="_","???",C131))</f>
        <v/>
      </c>
      <c r="H131" s="10" t="s">
        <v>12</v>
      </c>
      <c r="I131" s="11" t="s">
        <v>12</v>
      </c>
      <c r="J131" s="12"/>
    </row>
    <row r="132" spans="1:10" ht="60" customHeight="1">
      <c r="A132" s="6" t="s">
        <v>505</v>
      </c>
      <c r="B132" s="6" t="s">
        <v>16</v>
      </c>
      <c r="C132" s="6" t="s">
        <v>12</v>
      </c>
      <c r="D132" s="7" t="s">
        <v>502</v>
      </c>
      <c r="E132" s="8" t="s">
        <v>506</v>
      </c>
      <c r="F132" s="6" t="s">
        <v>507</v>
      </c>
      <c r="G132" s="9">
        <f>IF(A132=1,"_",IF(C132="_","???",C132))</f>
        <v/>
      </c>
      <c r="H132" s="10" t="s">
        <v>12</v>
      </c>
      <c r="I132" s="11" t="s">
        <v>12</v>
      </c>
      <c r="J132" s="12"/>
    </row>
    <row r="133" spans="1:10" ht="60" customHeight="1">
      <c r="A133" s="6" t="s">
        <v>508</v>
      </c>
      <c r="B133" s="6" t="s">
        <v>44</v>
      </c>
      <c r="C133" s="6" t="s">
        <v>67</v>
      </c>
      <c r="D133" s="7" t="s">
        <v>509</v>
      </c>
      <c r="E133" s="8" t="s">
        <v>510</v>
      </c>
      <c r="F133" s="6" t="s">
        <v>511</v>
      </c>
      <c r="G133" s="9">
        <f>IF(A133=1,"_",IF(C133="_","???",C133))</f>
        <v/>
      </c>
      <c r="H133" s="10" t="s">
        <v>12</v>
      </c>
      <c r="I133" s="11" t="s">
        <v>12</v>
      </c>
      <c r="J133" s="12"/>
    </row>
    <row r="134" spans="1:10" ht="60" customHeight="1">
      <c r="A134" s="6" t="s">
        <v>512</v>
      </c>
      <c r="B134" s="6" t="s">
        <v>16</v>
      </c>
      <c r="C134" s="6" t="s">
        <v>12</v>
      </c>
      <c r="D134" s="7" t="s">
        <v>112</v>
      </c>
      <c r="E134" s="8" t="s">
        <v>513</v>
      </c>
      <c r="F134" s="6" t="s">
        <v>514</v>
      </c>
      <c r="G134" s="9">
        <f>IF(A134=1,"_",IF(C134="_","???",C134))</f>
        <v/>
      </c>
      <c r="H134" s="10" t="s">
        <v>12</v>
      </c>
      <c r="I134" s="11" t="s">
        <v>12</v>
      </c>
      <c r="J134" s="12"/>
    </row>
    <row r="135" spans="1:10" ht="60" customHeight="1">
      <c r="A135" s="6" t="s">
        <v>515</v>
      </c>
      <c r="B135" s="6" t="s">
        <v>48</v>
      </c>
      <c r="C135" s="6" t="s">
        <v>12</v>
      </c>
      <c r="D135" s="7" t="s">
        <v>516</v>
      </c>
      <c r="E135" s="8" t="s">
        <v>517</v>
      </c>
      <c r="F135" s="6" t="s">
        <v>518</v>
      </c>
      <c r="G135" s="9">
        <f>IF(A135=1,"_",IF(C135="_","???",C135))</f>
        <v/>
      </c>
      <c r="H135" s="10" t="s">
        <v>12</v>
      </c>
      <c r="I135" s="11" t="s">
        <v>12</v>
      </c>
      <c r="J135" s="12"/>
    </row>
    <row r="136" spans="1:10" ht="60" customHeight="1">
      <c r="A136" s="6" t="s">
        <v>519</v>
      </c>
      <c r="B136" s="6" t="s">
        <v>16</v>
      </c>
      <c r="C136" s="6" t="s">
        <v>12</v>
      </c>
      <c r="D136" s="7" t="s">
        <v>89</v>
      </c>
      <c r="E136" s="8" t="s">
        <v>520</v>
      </c>
      <c r="F136" s="6" t="s">
        <v>521</v>
      </c>
      <c r="G136" s="9">
        <f>IF(A136=1,"_",IF(C136="_","???",C136))</f>
        <v/>
      </c>
      <c r="H136" s="10" t="s">
        <v>12</v>
      </c>
      <c r="I136" s="11" t="s">
        <v>12</v>
      </c>
      <c r="J136" s="12"/>
    </row>
    <row r="137" spans="1:10" ht="60" customHeight="1">
      <c r="A137" s="6" t="s">
        <v>522</v>
      </c>
      <c r="B137" s="6" t="s">
        <v>11</v>
      </c>
      <c r="C137" s="6" t="s">
        <v>23</v>
      </c>
      <c r="D137" s="7" t="s">
        <v>523</v>
      </c>
      <c r="E137" s="8" t="s">
        <v>524</v>
      </c>
      <c r="F137" s="6" t="s">
        <v>525</v>
      </c>
      <c r="G137" s="9">
        <f>IF(A137=1,"_",IF(C137="_","???",C137))</f>
        <v/>
      </c>
      <c r="H137" s="10" t="s">
        <v>12</v>
      </c>
      <c r="I137" s="11" t="s">
        <v>12</v>
      </c>
      <c r="J137" s="12"/>
    </row>
    <row r="138" spans="1:10" ht="60" customHeight="1">
      <c r="A138" s="6" t="s">
        <v>526</v>
      </c>
      <c r="B138" s="6" t="s">
        <v>21</v>
      </c>
      <c r="C138" s="6" t="s">
        <v>12</v>
      </c>
      <c r="D138" s="7" t="s">
        <v>527</v>
      </c>
      <c r="E138" s="8" t="s">
        <v>528</v>
      </c>
      <c r="F138" s="6" t="s">
        <v>529</v>
      </c>
      <c r="G138" s="9">
        <f>IF(A138=1,"_",IF(C138="_","???",C138))</f>
        <v/>
      </c>
      <c r="H138" s="10" t="s">
        <v>12</v>
      </c>
      <c r="I138" s="11" t="s">
        <v>12</v>
      </c>
      <c r="J138" s="12"/>
    </row>
    <row r="139" spans="1:10" ht="60" customHeight="1">
      <c r="A139" s="6" t="s">
        <v>530</v>
      </c>
      <c r="B139" s="6" t="s">
        <v>27</v>
      </c>
      <c r="C139" s="6" t="s">
        <v>12</v>
      </c>
      <c r="D139" s="7" t="s">
        <v>531</v>
      </c>
      <c r="E139" s="8" t="s">
        <v>532</v>
      </c>
      <c r="F139" s="6" t="s">
        <v>533</v>
      </c>
      <c r="G139" s="9">
        <f>IF(A139=1,"_",IF(C139="_","???",C139))</f>
        <v/>
      </c>
      <c r="H139" s="10" t="s">
        <v>12</v>
      </c>
      <c r="I139" s="11" t="s">
        <v>12</v>
      </c>
      <c r="J139" s="12"/>
    </row>
    <row r="140" spans="1:10" ht="60" customHeight="1">
      <c r="A140" s="6" t="s">
        <v>534</v>
      </c>
      <c r="B140" s="6" t="s">
        <v>21</v>
      </c>
      <c r="C140" s="6" t="s">
        <v>23</v>
      </c>
      <c r="D140" s="7" t="s">
        <v>53</v>
      </c>
      <c r="E140" s="8" t="s">
        <v>535</v>
      </c>
      <c r="F140" s="6" t="s">
        <v>536</v>
      </c>
      <c r="G140" s="9">
        <f>IF(A140=1,"_",IF(C140="_","???",C140))</f>
        <v/>
      </c>
      <c r="H140" s="10" t="s">
        <v>12</v>
      </c>
      <c r="I140" s="11" t="s">
        <v>12</v>
      </c>
      <c r="J140" s="12"/>
    </row>
    <row r="141" spans="1:10" ht="60" customHeight="1">
      <c r="A141" s="6" t="s">
        <v>537</v>
      </c>
      <c r="B141" s="6" t="s">
        <v>27</v>
      </c>
      <c r="C141" s="6" t="s">
        <v>23</v>
      </c>
      <c r="D141" s="7" t="s">
        <v>53</v>
      </c>
      <c r="E141" s="8" t="s">
        <v>538</v>
      </c>
      <c r="F141" s="6" t="s">
        <v>539</v>
      </c>
      <c r="G141" s="9">
        <f>IF(A141=1,"_",IF(C141="_","???",C141))</f>
        <v/>
      </c>
      <c r="H141" s="10" t="s">
        <v>12</v>
      </c>
      <c r="I141" s="11" t="s">
        <v>12</v>
      </c>
      <c r="J141" s="12"/>
    </row>
    <row r="142" spans="1:10" ht="60" customHeight="1">
      <c r="A142" s="6" t="s">
        <v>540</v>
      </c>
      <c r="B142" s="6" t="s">
        <v>22</v>
      </c>
      <c r="C142" s="6" t="s">
        <v>12</v>
      </c>
      <c r="D142" s="7" t="s">
        <v>541</v>
      </c>
      <c r="E142" s="8" t="s">
        <v>542</v>
      </c>
      <c r="F142" s="6" t="s">
        <v>543</v>
      </c>
      <c r="G142" s="9">
        <f>IF(A142=1,"_",IF(C142="_","???",C142))</f>
        <v/>
      </c>
      <c r="H142" s="10" t="s">
        <v>12</v>
      </c>
      <c r="I142" s="11" t="s">
        <v>12</v>
      </c>
      <c r="J142" s="12"/>
    </row>
    <row r="143" spans="1:10" ht="60" customHeight="1">
      <c r="A143" s="6" t="s">
        <v>544</v>
      </c>
      <c r="B143" s="6" t="s">
        <v>21</v>
      </c>
      <c r="C143" s="6" t="s">
        <v>23</v>
      </c>
      <c r="D143" s="7" t="s">
        <v>545</v>
      </c>
      <c r="E143" s="8" t="s">
        <v>546</v>
      </c>
      <c r="F143" s="6" t="s">
        <v>547</v>
      </c>
      <c r="G143" s="9">
        <f>IF(A143=1,"_",IF(C143="_","???",C143))</f>
        <v/>
      </c>
      <c r="H143" s="10" t="s">
        <v>12</v>
      </c>
      <c r="I143" s="11" t="s">
        <v>12</v>
      </c>
      <c r="J143" s="12"/>
    </row>
    <row r="144" spans="1:10" ht="60" customHeight="1">
      <c r="A144" s="6" t="s">
        <v>548</v>
      </c>
      <c r="B144" s="6" t="s">
        <v>27</v>
      </c>
      <c r="C144" s="6" t="s">
        <v>131</v>
      </c>
      <c r="D144" s="7" t="s">
        <v>545</v>
      </c>
      <c r="E144" s="8" t="s">
        <v>549</v>
      </c>
      <c r="F144" s="6" t="s">
        <v>550</v>
      </c>
      <c r="G144" s="9">
        <f>IF(A144=1,"_",IF(C144="_","???",C144))</f>
        <v/>
      </c>
      <c r="H144" s="10" t="s">
        <v>12</v>
      </c>
      <c r="I144" s="11" t="s">
        <v>12</v>
      </c>
      <c r="J144" s="12"/>
    </row>
    <row r="145" spans="1:10" ht="60" customHeight="1">
      <c r="A145" s="6" t="s">
        <v>551</v>
      </c>
      <c r="B145" s="6" t="s">
        <v>157</v>
      </c>
      <c r="C145" s="6" t="s">
        <v>552</v>
      </c>
      <c r="D145" s="7" t="s">
        <v>553</v>
      </c>
      <c r="E145" s="8" t="s">
        <v>554</v>
      </c>
      <c r="F145" s="6" t="s">
        <v>555</v>
      </c>
      <c r="G145" s="9">
        <f>IF(A145=1,"_",IF(C145="_","???",C145))</f>
        <v/>
      </c>
      <c r="H145" s="10" t="s">
        <v>12</v>
      </c>
      <c r="I145" s="11" t="s">
        <v>12</v>
      </c>
      <c r="J145" s="12"/>
    </row>
    <row r="146" spans="1:10" ht="60" customHeight="1">
      <c r="A146" s="6" t="s">
        <v>556</v>
      </c>
      <c r="B146" s="6" t="s">
        <v>92</v>
      </c>
      <c r="C146" s="6" t="s">
        <v>23</v>
      </c>
      <c r="D146" s="7" t="s">
        <v>557</v>
      </c>
      <c r="E146" s="8" t="s">
        <v>558</v>
      </c>
      <c r="F146" s="6" t="s">
        <v>559</v>
      </c>
      <c r="G146" s="9">
        <f>IF(A146=1,"_",IF(C146="_","???",C146))</f>
        <v/>
      </c>
      <c r="H146" s="10" t="s">
        <v>12</v>
      </c>
      <c r="I146" s="11" t="s">
        <v>12</v>
      </c>
      <c r="J146" s="12"/>
    </row>
    <row r="147" spans="1:10" ht="60" customHeight="1">
      <c r="A147" s="6" t="s">
        <v>560</v>
      </c>
      <c r="B147" s="6" t="s">
        <v>27</v>
      </c>
      <c r="C147" s="6" t="s">
        <v>67</v>
      </c>
      <c r="D147" s="7" t="s">
        <v>33</v>
      </c>
      <c r="E147" s="8" t="s">
        <v>561</v>
      </c>
      <c r="F147" s="6" t="s">
        <v>562</v>
      </c>
      <c r="G147" s="9">
        <f>IF(A147=1,"_",IF(C147="_","???",C147))</f>
        <v/>
      </c>
      <c r="H147" s="10" t="s">
        <v>12</v>
      </c>
      <c r="I147" s="11" t="s">
        <v>12</v>
      </c>
      <c r="J147" s="12"/>
    </row>
    <row r="148" spans="1:10" ht="60" customHeight="1">
      <c r="A148" s="6" t="s">
        <v>563</v>
      </c>
      <c r="B148" s="6" t="s">
        <v>16</v>
      </c>
      <c r="C148" s="6" t="s">
        <v>67</v>
      </c>
      <c r="D148" s="7" t="s">
        <v>564</v>
      </c>
      <c r="E148" s="8" t="s">
        <v>565</v>
      </c>
      <c r="F148" s="6" t="s">
        <v>566</v>
      </c>
      <c r="G148" s="9">
        <f>IF(A148=1,"_",IF(C148="_","???",C148))</f>
        <v/>
      </c>
      <c r="H148" s="10" t="s">
        <v>12</v>
      </c>
      <c r="I148" s="11" t="s">
        <v>12</v>
      </c>
      <c r="J148" s="12"/>
    </row>
    <row r="149" spans="1:10" ht="60" customHeight="1">
      <c r="A149" s="6" t="s">
        <v>567</v>
      </c>
      <c r="B149" s="6" t="s">
        <v>16</v>
      </c>
      <c r="C149" s="6" t="s">
        <v>218</v>
      </c>
      <c r="D149" s="7" t="s">
        <v>568</v>
      </c>
      <c r="E149" s="8" t="s">
        <v>569</v>
      </c>
      <c r="F149" s="6" t="s">
        <v>570</v>
      </c>
      <c r="G149" s="9">
        <f>IF(A149=1,"_",IF(C149="_","???",C149))</f>
        <v/>
      </c>
      <c r="H149" s="10" t="s">
        <v>12</v>
      </c>
      <c r="I149" s="11" t="s">
        <v>12</v>
      </c>
      <c r="J149" s="12"/>
    </row>
    <row r="150" spans="1:10" ht="60" customHeight="1">
      <c r="A150" s="6" t="s">
        <v>571</v>
      </c>
      <c r="B150" s="6" t="s">
        <v>16</v>
      </c>
      <c r="C150" s="6" t="s">
        <v>23</v>
      </c>
      <c r="D150" s="7" t="s">
        <v>93</v>
      </c>
      <c r="E150" s="8" t="s">
        <v>572</v>
      </c>
      <c r="F150" s="6" t="s">
        <v>573</v>
      </c>
      <c r="G150" s="9">
        <f>IF(A150=1,"_",IF(C150="_","???",C150))</f>
        <v/>
      </c>
      <c r="H150" s="10" t="s">
        <v>12</v>
      </c>
      <c r="I150" s="11" t="s">
        <v>12</v>
      </c>
      <c r="J150" s="12"/>
    </row>
    <row r="151" spans="1:10" ht="60" customHeight="1">
      <c r="A151" s="6" t="s">
        <v>574</v>
      </c>
      <c r="B151" s="6" t="s">
        <v>27</v>
      </c>
      <c r="C151" s="6" t="s">
        <v>131</v>
      </c>
      <c r="D151" s="7" t="s">
        <v>93</v>
      </c>
      <c r="E151" s="8" t="s">
        <v>575</v>
      </c>
      <c r="F151" s="6" t="s">
        <v>576</v>
      </c>
      <c r="G151" s="9">
        <f>IF(A151=1,"_",IF(C151="_","???",C151))</f>
        <v/>
      </c>
      <c r="H151" s="10" t="s">
        <v>12</v>
      </c>
      <c r="I151" s="11" t="s">
        <v>12</v>
      </c>
      <c r="J151" s="12"/>
    </row>
    <row r="152" spans="1:10" ht="60" customHeight="1">
      <c r="A152" s="6" t="s">
        <v>577</v>
      </c>
      <c r="B152" s="6" t="s">
        <v>173</v>
      </c>
      <c r="C152" s="6" t="s">
        <v>578</v>
      </c>
      <c r="D152" s="7" t="s">
        <v>579</v>
      </c>
      <c r="E152" s="8" t="s">
        <v>580</v>
      </c>
      <c r="F152" s="6" t="s">
        <v>581</v>
      </c>
      <c r="G152" s="9">
        <f>IF(A152=1,"_",IF(C152="_","???",C152))</f>
        <v/>
      </c>
      <c r="H152" s="10" t="s">
        <v>12</v>
      </c>
      <c r="I152" s="11" t="s">
        <v>12</v>
      </c>
      <c r="J152" s="12"/>
    </row>
    <row r="153" spans="1:10" ht="60" customHeight="1">
      <c r="A153" s="6" t="s">
        <v>582</v>
      </c>
      <c r="B153" s="6" t="s">
        <v>22</v>
      </c>
      <c r="C153" s="6" t="s">
        <v>583</v>
      </c>
      <c r="D153" s="7" t="s">
        <v>154</v>
      </c>
      <c r="E153" s="8" t="s">
        <v>584</v>
      </c>
      <c r="F153" s="6" t="s">
        <v>585</v>
      </c>
      <c r="G153" s="9">
        <f>IF(A153=1,"_",IF(C153="_","???",C153))</f>
        <v/>
      </c>
      <c r="H153" s="10" t="s">
        <v>12</v>
      </c>
      <c r="I153" s="11" t="s">
        <v>12</v>
      </c>
      <c r="J153" s="12"/>
    </row>
    <row r="154" spans="1:10" ht="60" customHeight="1">
      <c r="A154" s="6" t="s">
        <v>586</v>
      </c>
      <c r="B154" s="6" t="s">
        <v>16</v>
      </c>
      <c r="C154" s="6" t="s">
        <v>12</v>
      </c>
      <c r="D154" s="7" t="s">
        <v>587</v>
      </c>
      <c r="E154" s="8" t="s">
        <v>588</v>
      </c>
      <c r="F154" s="6" t="s">
        <v>589</v>
      </c>
      <c r="G154" s="9">
        <f>IF(A154=1,"_",IF(C154="_","???",C154))</f>
        <v/>
      </c>
      <c r="H154" s="10" t="s">
        <v>12</v>
      </c>
      <c r="I154" s="11" t="s">
        <v>12</v>
      </c>
      <c r="J154" s="12"/>
    </row>
    <row r="155" spans="1:10" ht="60" customHeight="1">
      <c r="A155" s="6" t="s">
        <v>590</v>
      </c>
      <c r="B155" s="6" t="s">
        <v>107</v>
      </c>
      <c r="C155" s="6" t="s">
        <v>131</v>
      </c>
      <c r="D155" s="7" t="s">
        <v>186</v>
      </c>
      <c r="E155" s="8" t="s">
        <v>591</v>
      </c>
      <c r="F155" s="6" t="s">
        <v>592</v>
      </c>
      <c r="G155" s="9">
        <f>IF(A155=1,"_",IF(C155="_","???",C155))</f>
        <v/>
      </c>
      <c r="H155" s="10" t="s">
        <v>12</v>
      </c>
      <c r="I155" s="11" t="s">
        <v>12</v>
      </c>
      <c r="J155" s="12"/>
    </row>
    <row r="156" spans="1:10" ht="60" customHeight="1">
      <c r="A156" s="6" t="s">
        <v>593</v>
      </c>
      <c r="B156" s="6" t="s">
        <v>27</v>
      </c>
      <c r="C156" s="6" t="s">
        <v>12</v>
      </c>
      <c r="D156" s="7" t="s">
        <v>587</v>
      </c>
      <c r="E156" s="8" t="s">
        <v>594</v>
      </c>
      <c r="F156" s="6" t="s">
        <v>595</v>
      </c>
      <c r="G156" s="9">
        <f>IF(A156=1,"_",IF(C156="_","???",C156))</f>
        <v/>
      </c>
      <c r="H156" s="10" t="s">
        <v>12</v>
      </c>
      <c r="I156" s="11" t="s">
        <v>12</v>
      </c>
      <c r="J156" s="12"/>
    </row>
    <row r="157" spans="1:10" ht="60" customHeight="1">
      <c r="A157" s="6" t="s">
        <v>596</v>
      </c>
      <c r="B157" s="6" t="s">
        <v>16</v>
      </c>
      <c r="C157" s="6" t="s">
        <v>12</v>
      </c>
      <c r="D157" s="7" t="s">
        <v>597</v>
      </c>
      <c r="E157" s="8" t="s">
        <v>598</v>
      </c>
      <c r="F157" s="6" t="s">
        <v>599</v>
      </c>
      <c r="G157" s="9">
        <f>IF(A157=1,"_",IF(C157="_","???",C157))</f>
        <v/>
      </c>
      <c r="H157" s="10" t="s">
        <v>12</v>
      </c>
      <c r="I157" s="11" t="s">
        <v>12</v>
      </c>
      <c r="J157" s="12"/>
    </row>
    <row r="158" spans="1:10" ht="60" customHeight="1">
      <c r="A158" s="6" t="s">
        <v>600</v>
      </c>
      <c r="B158" s="6" t="s">
        <v>27</v>
      </c>
      <c r="C158" s="6" t="s">
        <v>67</v>
      </c>
      <c r="D158" s="7" t="s">
        <v>601</v>
      </c>
      <c r="E158" s="8" t="s">
        <v>602</v>
      </c>
      <c r="F158" s="6" t="s">
        <v>603</v>
      </c>
      <c r="G158" s="9">
        <f>IF(A158=1,"_",IF(C158="_","???",C158))</f>
        <v/>
      </c>
      <c r="H158" s="10" t="s">
        <v>12</v>
      </c>
      <c r="I158" s="11" t="s">
        <v>12</v>
      </c>
      <c r="J158" s="12"/>
    </row>
    <row r="159" spans="1:10" ht="60" customHeight="1">
      <c r="A159" s="6" t="s">
        <v>604</v>
      </c>
      <c r="B159" s="6" t="s">
        <v>21</v>
      </c>
      <c r="C159" s="6" t="s">
        <v>23</v>
      </c>
      <c r="D159" s="7" t="s">
        <v>53</v>
      </c>
      <c r="E159" s="8" t="s">
        <v>605</v>
      </c>
      <c r="F159" s="6" t="s">
        <v>606</v>
      </c>
      <c r="G159" s="9">
        <f>IF(A159=1,"_",IF(C159="_","???",C159))</f>
        <v/>
      </c>
      <c r="H159" s="10" t="s">
        <v>12</v>
      </c>
      <c r="I159" s="11" t="s">
        <v>12</v>
      </c>
      <c r="J159" s="12"/>
    </row>
    <row r="160" spans="1:10" ht="60" customHeight="1">
      <c r="A160" s="6" t="s">
        <v>607</v>
      </c>
      <c r="B160" s="6" t="s">
        <v>32</v>
      </c>
      <c r="C160" s="6" t="s">
        <v>28</v>
      </c>
      <c r="D160" s="7" t="s">
        <v>608</v>
      </c>
      <c r="E160" s="8" t="s">
        <v>609</v>
      </c>
      <c r="F160" s="6" t="s">
        <v>610</v>
      </c>
      <c r="G160" s="9">
        <f>IF(A160=1,"_",IF(C160="_","???",C160))</f>
        <v/>
      </c>
      <c r="H160" s="10" t="s">
        <v>12</v>
      </c>
      <c r="I160" s="11" t="s">
        <v>12</v>
      </c>
      <c r="J160" s="12"/>
    </row>
    <row r="161" spans="1:10" ht="60" customHeight="1">
      <c r="A161" s="6" t="s">
        <v>611</v>
      </c>
      <c r="B161" s="6" t="s">
        <v>16</v>
      </c>
      <c r="C161" s="6" t="s">
        <v>12</v>
      </c>
      <c r="D161" s="7" t="s">
        <v>93</v>
      </c>
      <c r="E161" s="8" t="s">
        <v>612</v>
      </c>
      <c r="F161" s="6" t="s">
        <v>613</v>
      </c>
      <c r="G161" s="9">
        <f>IF(A161=1,"_",IF(C161="_","???",C161))</f>
        <v/>
      </c>
      <c r="H161" s="10" t="s">
        <v>12</v>
      </c>
      <c r="I161" s="11" t="s">
        <v>12</v>
      </c>
      <c r="J161" s="12"/>
    </row>
    <row r="162" spans="1:10" ht="60" customHeight="1">
      <c r="A162" s="6" t="s">
        <v>614</v>
      </c>
      <c r="B162" s="6" t="s">
        <v>66</v>
      </c>
      <c r="C162" s="6" t="s">
        <v>28</v>
      </c>
      <c r="D162" s="7" t="s">
        <v>615</v>
      </c>
      <c r="E162" s="8" t="s">
        <v>616</v>
      </c>
      <c r="F162" s="6" t="s">
        <v>617</v>
      </c>
      <c r="G162" s="9">
        <f>IF(A162=1,"_",IF(C162="_","???",C162))</f>
        <v/>
      </c>
      <c r="H162" s="10" t="s">
        <v>12</v>
      </c>
      <c r="I162" s="11" t="s">
        <v>12</v>
      </c>
      <c r="J162" s="12"/>
    </row>
    <row r="163" spans="1:10" ht="60" customHeight="1">
      <c r="A163" s="6" t="s">
        <v>618</v>
      </c>
      <c r="B163" s="6" t="s">
        <v>21</v>
      </c>
      <c r="C163" s="6" t="s">
        <v>131</v>
      </c>
      <c r="D163" s="7" t="s">
        <v>619</v>
      </c>
      <c r="E163" s="8" t="s">
        <v>620</v>
      </c>
      <c r="F163" s="6" t="s">
        <v>621</v>
      </c>
      <c r="G163" s="9">
        <f>IF(A163=1,"_",IF(C163="_","???",C163))</f>
        <v/>
      </c>
      <c r="H163" s="10" t="s">
        <v>12</v>
      </c>
      <c r="I163" s="11" t="s">
        <v>12</v>
      </c>
      <c r="J163" s="12"/>
    </row>
    <row r="164" spans="1:10" ht="60" customHeight="1">
      <c r="A164" s="6" t="s">
        <v>622</v>
      </c>
      <c r="B164" s="6" t="s">
        <v>22</v>
      </c>
      <c r="C164" s="6" t="s">
        <v>468</v>
      </c>
      <c r="D164" s="7" t="s">
        <v>623</v>
      </c>
      <c r="E164" s="8" t="s">
        <v>624</v>
      </c>
      <c r="F164" s="6" t="s">
        <v>625</v>
      </c>
      <c r="G164" s="9">
        <f>IF(A164=1,"_",IF(C164="_","???",C164))</f>
        <v/>
      </c>
      <c r="H164" s="10" t="s">
        <v>12</v>
      </c>
      <c r="I164" s="11" t="s">
        <v>12</v>
      </c>
      <c r="J164" s="12"/>
    </row>
    <row r="165" spans="1:10" ht="60" customHeight="1">
      <c r="A165" s="6" t="s">
        <v>626</v>
      </c>
      <c r="B165" s="6" t="s">
        <v>16</v>
      </c>
      <c r="C165" s="6" t="s">
        <v>12</v>
      </c>
      <c r="D165" s="7" t="s">
        <v>158</v>
      </c>
      <c r="E165" s="8" t="s">
        <v>627</v>
      </c>
      <c r="F165" s="6" t="s">
        <v>628</v>
      </c>
      <c r="G165" s="9">
        <f>IF(A165=1,"_",IF(C165="_","???",C165))</f>
        <v/>
      </c>
      <c r="H165" s="10" t="s">
        <v>12</v>
      </c>
      <c r="I165" s="11" t="s">
        <v>12</v>
      </c>
      <c r="J165" s="12"/>
    </row>
    <row r="166" spans="1:10" ht="60" customHeight="1">
      <c r="A166" s="6" t="s">
        <v>629</v>
      </c>
      <c r="B166" s="6" t="s">
        <v>36</v>
      </c>
      <c r="C166" s="6" t="s">
        <v>23</v>
      </c>
      <c r="D166" s="7" t="s">
        <v>158</v>
      </c>
      <c r="E166" s="8" t="s">
        <v>630</v>
      </c>
      <c r="F166" s="6" t="s">
        <v>631</v>
      </c>
      <c r="G166" s="9">
        <f>IF(A166=1,"_",IF(C166="_","???",C166))</f>
        <v/>
      </c>
      <c r="H166" s="10" t="s">
        <v>12</v>
      </c>
      <c r="I166" s="11" t="s">
        <v>12</v>
      </c>
      <c r="J166" s="12"/>
    </row>
    <row r="167" spans="1:10" ht="60" customHeight="1">
      <c r="A167" s="6" t="s">
        <v>632</v>
      </c>
      <c r="B167" s="6" t="s">
        <v>36</v>
      </c>
      <c r="C167" s="6" t="s">
        <v>12</v>
      </c>
      <c r="D167" s="7" t="s">
        <v>158</v>
      </c>
      <c r="E167" s="8" t="s">
        <v>633</v>
      </c>
      <c r="F167" s="6" t="s">
        <v>634</v>
      </c>
      <c r="G167" s="9">
        <f>IF(A167=1,"_",IF(C167="_","???",C167))</f>
        <v/>
      </c>
      <c r="H167" s="10" t="s">
        <v>12</v>
      </c>
      <c r="I167" s="11" t="s">
        <v>12</v>
      </c>
      <c r="J167" s="12"/>
    </row>
    <row r="168" spans="1:10" ht="60" customHeight="1">
      <c r="A168" s="6" t="s">
        <v>635</v>
      </c>
      <c r="B168" s="6" t="s">
        <v>10</v>
      </c>
      <c r="C168" s="6" t="s">
        <v>468</v>
      </c>
      <c r="D168" s="7" t="s">
        <v>568</v>
      </c>
      <c r="E168" s="8" t="s">
        <v>636</v>
      </c>
      <c r="F168" s="6" t="s">
        <v>637</v>
      </c>
      <c r="G168" s="9">
        <f>IF(A168=1,"_",IF(C168="_","???",C168))</f>
        <v/>
      </c>
      <c r="H168" s="10" t="s">
        <v>12</v>
      </c>
      <c r="I168" s="11" t="s">
        <v>12</v>
      </c>
      <c r="J168" s="12"/>
    </row>
    <row r="169" spans="1:10" ht="60" customHeight="1">
      <c r="A169" s="6" t="s">
        <v>638</v>
      </c>
      <c r="B169" s="6" t="s">
        <v>21</v>
      </c>
      <c r="C169" s="6" t="s">
        <v>12</v>
      </c>
      <c r="D169" s="7" t="s">
        <v>639</v>
      </c>
      <c r="E169" s="8" t="s">
        <v>640</v>
      </c>
      <c r="F169" s="6" t="s">
        <v>641</v>
      </c>
      <c r="G169" s="9">
        <f>IF(A169=1,"_",IF(C169="_","???",C169))</f>
        <v/>
      </c>
      <c r="H169" s="10" t="s">
        <v>12</v>
      </c>
      <c r="I169" s="11" t="s">
        <v>12</v>
      </c>
      <c r="J169" s="12"/>
    </row>
    <row r="170" spans="1:10" ht="60" customHeight="1">
      <c r="A170" s="6" t="s">
        <v>642</v>
      </c>
      <c r="B170" s="6" t="s">
        <v>21</v>
      </c>
      <c r="C170" s="6" t="s">
        <v>23</v>
      </c>
      <c r="D170" s="7" t="s">
        <v>41</v>
      </c>
      <c r="E170" s="8" t="s">
        <v>643</v>
      </c>
      <c r="F170" s="6" t="s">
        <v>644</v>
      </c>
      <c r="G170" s="9">
        <f>IF(A170=1,"_",IF(C170="_","???",C170))</f>
        <v/>
      </c>
      <c r="H170" s="10" t="s">
        <v>12</v>
      </c>
      <c r="I170" s="11" t="s">
        <v>12</v>
      </c>
      <c r="J170" s="12"/>
    </row>
    <row r="171" spans="1:10" ht="60" customHeight="1">
      <c r="A171" s="6" t="s">
        <v>645</v>
      </c>
      <c r="B171" s="6" t="s">
        <v>16</v>
      </c>
      <c r="C171" s="6" t="s">
        <v>12</v>
      </c>
      <c r="D171" s="7" t="s">
        <v>646</v>
      </c>
      <c r="E171" s="8" t="s">
        <v>647</v>
      </c>
      <c r="F171" s="6" t="s">
        <v>648</v>
      </c>
      <c r="G171" s="9">
        <f>IF(A171=1,"_",IF(C171="_","???",C171))</f>
        <v/>
      </c>
      <c r="H171" s="10" t="s">
        <v>12</v>
      </c>
      <c r="I171" s="11" t="s">
        <v>12</v>
      </c>
      <c r="J171" s="12"/>
    </row>
    <row r="172" spans="1:10" ht="60" customHeight="1">
      <c r="A172" s="6" t="s">
        <v>649</v>
      </c>
      <c r="B172" s="6" t="s">
        <v>22</v>
      </c>
      <c r="C172" s="6" t="s">
        <v>23</v>
      </c>
      <c r="D172" s="7" t="s">
        <v>650</v>
      </c>
      <c r="E172" s="8" t="s">
        <v>651</v>
      </c>
      <c r="F172" s="6" t="s">
        <v>652</v>
      </c>
      <c r="G172" s="9">
        <f>IF(A172=1,"_",IF(C172="_","???",C172))</f>
        <v/>
      </c>
      <c r="H172" s="10" t="s">
        <v>12</v>
      </c>
      <c r="I172" s="11" t="s">
        <v>12</v>
      </c>
      <c r="J172" s="12"/>
    </row>
    <row r="173" spans="1:10" ht="60" customHeight="1">
      <c r="A173" s="6" t="s">
        <v>653</v>
      </c>
      <c r="B173" s="6" t="s">
        <v>21</v>
      </c>
      <c r="C173" s="6" t="s">
        <v>23</v>
      </c>
      <c r="D173" s="7" t="s">
        <v>472</v>
      </c>
      <c r="E173" s="8" t="s">
        <v>654</v>
      </c>
      <c r="F173" s="6" t="s">
        <v>655</v>
      </c>
      <c r="G173" s="9">
        <f>IF(A173=1,"_",IF(C173="_","???",C173))</f>
        <v/>
      </c>
      <c r="H173" s="10" t="s">
        <v>12</v>
      </c>
      <c r="I173" s="11" t="s">
        <v>12</v>
      </c>
      <c r="J173" s="12"/>
    </row>
    <row r="174" spans="1:10" ht="60" customHeight="1">
      <c r="A174" s="6" t="s">
        <v>656</v>
      </c>
      <c r="B174" s="6" t="s">
        <v>40</v>
      </c>
      <c r="C174" s="6" t="s">
        <v>23</v>
      </c>
      <c r="D174" s="7" t="s">
        <v>190</v>
      </c>
      <c r="E174" s="8" t="s">
        <v>657</v>
      </c>
      <c r="F174" s="6" t="s">
        <v>658</v>
      </c>
      <c r="G174" s="9">
        <f>IF(A174=1,"_",IF(C174="_","???",C174))</f>
        <v/>
      </c>
      <c r="H174" s="10" t="s">
        <v>12</v>
      </c>
      <c r="I174" s="11" t="s">
        <v>12</v>
      </c>
      <c r="J174" s="12"/>
    </row>
    <row r="175" spans="1:10" ht="60" customHeight="1">
      <c r="A175" s="6" t="s">
        <v>659</v>
      </c>
      <c r="B175" s="6" t="s">
        <v>27</v>
      </c>
      <c r="C175" s="6" t="s">
        <v>12</v>
      </c>
      <c r="D175" s="7" t="s">
        <v>660</v>
      </c>
      <c r="E175" s="8" t="s">
        <v>661</v>
      </c>
      <c r="F175" s="6" t="s">
        <v>662</v>
      </c>
      <c r="G175" s="9">
        <f>IF(A175=1,"_",IF(C175="_","???",C175))</f>
        <v/>
      </c>
      <c r="H175" s="10" t="s">
        <v>12</v>
      </c>
      <c r="I175" s="11" t="s">
        <v>12</v>
      </c>
      <c r="J175" s="12"/>
    </row>
    <row r="176" spans="1:10" ht="60" customHeight="1">
      <c r="A176" s="6" t="s">
        <v>663</v>
      </c>
      <c r="B176" s="6" t="s">
        <v>16</v>
      </c>
      <c r="C176" s="6" t="s">
        <v>12</v>
      </c>
      <c r="D176" s="7" t="s">
        <v>53</v>
      </c>
      <c r="E176" s="8" t="s">
        <v>664</v>
      </c>
      <c r="F176" s="6" t="s">
        <v>665</v>
      </c>
      <c r="G176" s="9">
        <f>IF(A176=1,"_",IF(C176="_","???",C176))</f>
        <v/>
      </c>
      <c r="H176" s="10" t="s">
        <v>12</v>
      </c>
      <c r="I176" s="11" t="s">
        <v>12</v>
      </c>
      <c r="J176" s="12"/>
    </row>
    <row r="177" spans="1:10" ht="60" customHeight="1">
      <c r="A177" s="6" t="s">
        <v>666</v>
      </c>
      <c r="B177" s="6" t="s">
        <v>48</v>
      </c>
      <c r="C177" s="6" t="s">
        <v>468</v>
      </c>
      <c r="D177" s="7" t="s">
        <v>45</v>
      </c>
      <c r="E177" s="8" t="s">
        <v>667</v>
      </c>
      <c r="F177" s="6" t="s">
        <v>668</v>
      </c>
      <c r="G177" s="9">
        <f>IF(A177=1,"_",IF(C177="_","???",C177))</f>
        <v/>
      </c>
      <c r="H177" s="10" t="s">
        <v>12</v>
      </c>
      <c r="I177" s="11" t="s">
        <v>12</v>
      </c>
      <c r="J177" s="12"/>
    </row>
    <row r="178" spans="1:10" ht="60" customHeight="1">
      <c r="A178" s="6" t="s">
        <v>669</v>
      </c>
      <c r="B178" s="6" t="s">
        <v>21</v>
      </c>
      <c r="C178" s="6" t="s">
        <v>23</v>
      </c>
      <c r="D178" s="7" t="s">
        <v>158</v>
      </c>
      <c r="E178" s="8" t="s">
        <v>670</v>
      </c>
      <c r="F178" s="6" t="s">
        <v>671</v>
      </c>
      <c r="G178" s="9">
        <f>IF(A178=1,"_",IF(C178="_","???",C178))</f>
        <v/>
      </c>
      <c r="H178" s="10" t="s">
        <v>12</v>
      </c>
      <c r="I178" s="11" t="s">
        <v>12</v>
      </c>
      <c r="J178" s="12"/>
    </row>
    <row r="179" spans="1:10" ht="60" customHeight="1">
      <c r="A179" s="6" t="s">
        <v>672</v>
      </c>
      <c r="B179" s="6" t="s">
        <v>52</v>
      </c>
      <c r="C179" s="6" t="s">
        <v>23</v>
      </c>
      <c r="D179" s="7" t="s">
        <v>154</v>
      </c>
      <c r="E179" s="8" t="s">
        <v>673</v>
      </c>
      <c r="F179" s="6" t="s">
        <v>674</v>
      </c>
      <c r="G179" s="9">
        <f>IF(A179=1,"_",IF(C179="_","???",C179))</f>
        <v/>
      </c>
      <c r="H179" s="10" t="s">
        <v>12</v>
      </c>
      <c r="I179" s="11" t="s">
        <v>12</v>
      </c>
      <c r="J179" s="12"/>
    </row>
    <row r="180" spans="1:10" ht="60" customHeight="1">
      <c r="A180" s="6" t="s">
        <v>675</v>
      </c>
      <c r="B180" s="6" t="s">
        <v>21</v>
      </c>
      <c r="C180" s="6" t="s">
        <v>23</v>
      </c>
      <c r="D180" s="7" t="s">
        <v>93</v>
      </c>
      <c r="E180" s="8" t="s">
        <v>676</v>
      </c>
      <c r="F180" s="6" t="s">
        <v>677</v>
      </c>
      <c r="G180" s="9">
        <f>IF(A180=1,"_",IF(C180="_","???",C180))</f>
        <v/>
      </c>
      <c r="H180" s="10" t="s">
        <v>12</v>
      </c>
      <c r="I180" s="11" t="s">
        <v>12</v>
      </c>
      <c r="J180" s="12"/>
    </row>
    <row r="181" spans="1:10" ht="60" customHeight="1">
      <c r="A181" s="6" t="s">
        <v>678</v>
      </c>
      <c r="B181" s="6" t="s">
        <v>52</v>
      </c>
      <c r="C181" s="6" t="s">
        <v>23</v>
      </c>
      <c r="D181" s="7" t="s">
        <v>112</v>
      </c>
      <c r="E181" s="8" t="s">
        <v>679</v>
      </c>
      <c r="F181" s="6" t="s">
        <v>680</v>
      </c>
      <c r="G181" s="9">
        <f>IF(A181=1,"_",IF(C181="_","???",C181))</f>
        <v/>
      </c>
      <c r="H181" s="10" t="s">
        <v>12</v>
      </c>
      <c r="I181" s="11" t="s">
        <v>12</v>
      </c>
      <c r="J181" s="12"/>
    </row>
    <row r="182" spans="1:10" ht="60" customHeight="1">
      <c r="A182" s="6" t="s">
        <v>681</v>
      </c>
      <c r="B182" s="6" t="s">
        <v>21</v>
      </c>
      <c r="C182" s="6" t="s">
        <v>682</v>
      </c>
      <c r="D182" s="7" t="s">
        <v>112</v>
      </c>
      <c r="E182" s="8" t="s">
        <v>683</v>
      </c>
      <c r="F182" s="6" t="s">
        <v>684</v>
      </c>
      <c r="G182" s="9">
        <f>IF(A182=1,"_",IF(C182="_","???",C182))</f>
        <v/>
      </c>
      <c r="H182" s="10" t="s">
        <v>12</v>
      </c>
      <c r="I182" s="11" t="s">
        <v>12</v>
      </c>
      <c r="J182" s="12"/>
    </row>
    <row r="183" spans="1:10" ht="60" customHeight="1">
      <c r="A183" s="6" t="s">
        <v>685</v>
      </c>
      <c r="B183" s="6" t="s">
        <v>22</v>
      </c>
      <c r="C183" s="6" t="s">
        <v>226</v>
      </c>
      <c r="D183" s="7" t="s">
        <v>85</v>
      </c>
      <c r="E183" s="8" t="s">
        <v>686</v>
      </c>
      <c r="F183" s="6" t="s">
        <v>687</v>
      </c>
      <c r="G183" s="9">
        <f>IF(A183=1,"_",IF(C183="_","???",C183))</f>
        <v/>
      </c>
      <c r="H183" s="10" t="s">
        <v>12</v>
      </c>
      <c r="I183" s="11" t="s">
        <v>12</v>
      </c>
      <c r="J183" s="12"/>
    </row>
    <row r="184" spans="1:10" ht="60" customHeight="1">
      <c r="A184" s="6" t="s">
        <v>688</v>
      </c>
      <c r="B184" s="6" t="s">
        <v>16</v>
      </c>
      <c r="C184" s="6" t="s">
        <v>12</v>
      </c>
      <c r="D184" s="7" t="s">
        <v>89</v>
      </c>
      <c r="E184" s="8" t="s">
        <v>689</v>
      </c>
      <c r="F184" s="6" t="s">
        <v>690</v>
      </c>
      <c r="G184" s="9">
        <f>IF(A184=1,"_",IF(C184="_","???",C184))</f>
        <v/>
      </c>
      <c r="H184" s="10" t="s">
        <v>12</v>
      </c>
      <c r="I184" s="11" t="s">
        <v>12</v>
      </c>
      <c r="J184" s="12"/>
    </row>
    <row r="185" spans="1:10" ht="60" customHeight="1">
      <c r="A185" s="6" t="s">
        <v>691</v>
      </c>
      <c r="B185" s="6" t="s">
        <v>16</v>
      </c>
      <c r="C185" s="6" t="s">
        <v>12</v>
      </c>
      <c r="D185" s="7" t="s">
        <v>154</v>
      </c>
      <c r="E185" s="8" t="s">
        <v>692</v>
      </c>
      <c r="F185" s="6" t="s">
        <v>693</v>
      </c>
      <c r="G185" s="9">
        <f>IF(A185=1,"_",IF(C185="_","???",C185))</f>
        <v/>
      </c>
      <c r="H185" s="10" t="s">
        <v>12</v>
      </c>
      <c r="I185" s="11" t="s">
        <v>12</v>
      </c>
      <c r="J185" s="12"/>
    </row>
    <row r="186" spans="1:10" ht="60" customHeight="1">
      <c r="A186" s="6" t="s">
        <v>694</v>
      </c>
      <c r="B186" s="6" t="s">
        <v>48</v>
      </c>
      <c r="C186" s="6" t="s">
        <v>23</v>
      </c>
      <c r="D186" s="7" t="s">
        <v>53</v>
      </c>
      <c r="E186" s="8" t="s">
        <v>695</v>
      </c>
      <c r="F186" s="6" t="s">
        <v>696</v>
      </c>
      <c r="G186" s="9">
        <f>IF(A186=1,"_",IF(C186="_","???",C186))</f>
        <v/>
      </c>
      <c r="H186" s="10" t="s">
        <v>12</v>
      </c>
      <c r="I186" s="11" t="s">
        <v>12</v>
      </c>
      <c r="J186" s="12"/>
    </row>
    <row r="187" spans="1:10" ht="60" customHeight="1">
      <c r="A187" s="6" t="s">
        <v>697</v>
      </c>
      <c r="B187" s="6" t="s">
        <v>27</v>
      </c>
      <c r="C187" s="6" t="s">
        <v>28</v>
      </c>
      <c r="D187" s="7" t="s">
        <v>698</v>
      </c>
      <c r="E187" s="8" t="s">
        <v>699</v>
      </c>
      <c r="F187" s="6" t="s">
        <v>700</v>
      </c>
      <c r="G187" s="9">
        <f>IF(A187=1,"_",IF(C187="_","???",C187))</f>
        <v/>
      </c>
      <c r="H187" s="10" t="s">
        <v>12</v>
      </c>
      <c r="I187" s="11" t="s">
        <v>12</v>
      </c>
      <c r="J187" s="12"/>
    </row>
    <row r="188" spans="1:10" ht="60" customHeight="1">
      <c r="A188" s="6" t="s">
        <v>701</v>
      </c>
      <c r="B188" s="6" t="s">
        <v>36</v>
      </c>
      <c r="C188" s="6" t="s">
        <v>67</v>
      </c>
      <c r="D188" s="7" t="s">
        <v>702</v>
      </c>
      <c r="E188" s="8" t="s">
        <v>703</v>
      </c>
      <c r="F188" s="6" t="s">
        <v>704</v>
      </c>
      <c r="G188" s="9">
        <f>IF(A188=1,"_",IF(C188="_","???",C188))</f>
        <v/>
      </c>
      <c r="H188" s="10" t="s">
        <v>12</v>
      </c>
      <c r="I188" s="11" t="s">
        <v>12</v>
      </c>
      <c r="J188" s="12"/>
    </row>
    <row r="189" spans="1:10" ht="60" customHeight="1">
      <c r="A189" s="6" t="s">
        <v>705</v>
      </c>
      <c r="B189" s="6" t="s">
        <v>16</v>
      </c>
      <c r="C189" s="6" t="s">
        <v>12</v>
      </c>
      <c r="D189" s="7" t="s">
        <v>93</v>
      </c>
      <c r="E189" s="8" t="s">
        <v>706</v>
      </c>
      <c r="F189" s="6" t="s">
        <v>707</v>
      </c>
      <c r="G189" s="9">
        <f>IF(A189=1,"_",IF(C189="_","???",C189))</f>
        <v/>
      </c>
      <c r="H189" s="10" t="s">
        <v>12</v>
      </c>
      <c r="I189" s="11" t="s">
        <v>12</v>
      </c>
      <c r="J189" s="12"/>
    </row>
    <row r="190" spans="1:10" ht="60" customHeight="1">
      <c r="A190" s="6" t="s">
        <v>708</v>
      </c>
      <c r="B190" s="6" t="s">
        <v>27</v>
      </c>
      <c r="C190" s="6" t="s">
        <v>12</v>
      </c>
      <c r="D190" s="7" t="s">
        <v>85</v>
      </c>
      <c r="E190" s="8" t="s">
        <v>709</v>
      </c>
      <c r="F190" s="6" t="s">
        <v>710</v>
      </c>
      <c r="G190" s="9">
        <f>IF(A190=1,"_",IF(C190="_","???",C190))</f>
        <v/>
      </c>
      <c r="H190" s="10" t="s">
        <v>12</v>
      </c>
      <c r="I190" s="11" t="s">
        <v>12</v>
      </c>
      <c r="J190" s="12"/>
    </row>
    <row r="191" spans="1:10" ht="60" customHeight="1">
      <c r="A191" s="6" t="s">
        <v>711</v>
      </c>
      <c r="B191" s="6" t="s">
        <v>16</v>
      </c>
      <c r="C191" s="6" t="s">
        <v>12</v>
      </c>
      <c r="D191" s="7" t="s">
        <v>93</v>
      </c>
      <c r="E191" s="8" t="s">
        <v>712</v>
      </c>
      <c r="F191" s="6" t="s">
        <v>713</v>
      </c>
      <c r="G191" s="9">
        <f>IF(A191=1,"_",IF(C191="_","???",C191))</f>
        <v/>
      </c>
      <c r="H191" s="10" t="s">
        <v>12</v>
      </c>
      <c r="I191" s="11" t="s">
        <v>12</v>
      </c>
      <c r="J191" s="12"/>
    </row>
    <row r="192" spans="1:10" ht="60" customHeight="1">
      <c r="A192" s="6" t="s">
        <v>714</v>
      </c>
      <c r="B192" s="6" t="s">
        <v>21</v>
      </c>
      <c r="C192" s="6" t="s">
        <v>67</v>
      </c>
      <c r="D192" s="7" t="s">
        <v>715</v>
      </c>
      <c r="E192" s="8" t="s">
        <v>716</v>
      </c>
      <c r="F192" s="6" t="s">
        <v>717</v>
      </c>
      <c r="G192" s="9">
        <f>IF(A192=1,"_",IF(C192="_","???",C192))</f>
        <v/>
      </c>
      <c r="H192" s="10" t="s">
        <v>12</v>
      </c>
      <c r="I192" s="11" t="s">
        <v>12</v>
      </c>
      <c r="J192" s="12"/>
    </row>
    <row r="193" spans="1:10" ht="60" customHeight="1">
      <c r="A193" s="6" t="s">
        <v>718</v>
      </c>
      <c r="B193" s="6" t="s">
        <v>21</v>
      </c>
      <c r="C193" s="6" t="s">
        <v>23</v>
      </c>
      <c r="D193" s="7" t="s">
        <v>719</v>
      </c>
      <c r="E193" s="8" t="s">
        <v>720</v>
      </c>
      <c r="F193" s="6" t="s">
        <v>721</v>
      </c>
      <c r="G193" s="9">
        <f>IF(A193=1,"_",IF(C193="_","???",C193))</f>
        <v/>
      </c>
      <c r="H193" s="10" t="s">
        <v>12</v>
      </c>
      <c r="I193" s="11" t="s">
        <v>12</v>
      </c>
      <c r="J193" s="12"/>
    </row>
    <row r="194" spans="1:10" ht="60" customHeight="1">
      <c r="A194" s="6" t="s">
        <v>722</v>
      </c>
      <c r="B194" s="6" t="s">
        <v>21</v>
      </c>
      <c r="C194" s="6" t="s">
        <v>23</v>
      </c>
      <c r="D194" s="7" t="s">
        <v>138</v>
      </c>
      <c r="E194" s="8" t="s">
        <v>723</v>
      </c>
      <c r="F194" s="6" t="s">
        <v>724</v>
      </c>
      <c r="G194" s="9">
        <f>IF(A194=1,"_",IF(C194="_","???",C194))</f>
        <v/>
      </c>
      <c r="H194" s="10" t="s">
        <v>12</v>
      </c>
      <c r="I194" s="11" t="s">
        <v>12</v>
      </c>
      <c r="J194" s="12"/>
    </row>
    <row r="195" spans="1:10" ht="60" customHeight="1">
      <c r="A195" s="6" t="s">
        <v>725</v>
      </c>
      <c r="B195" s="6" t="s">
        <v>44</v>
      </c>
      <c r="C195" s="6" t="s">
        <v>23</v>
      </c>
      <c r="D195" s="7" t="s">
        <v>726</v>
      </c>
      <c r="E195" s="8" t="s">
        <v>727</v>
      </c>
      <c r="F195" s="6" t="s">
        <v>728</v>
      </c>
      <c r="G195" s="9">
        <f>IF(A195=1,"_",IF(C195="_","???",C195))</f>
        <v/>
      </c>
      <c r="H195" s="10" t="s">
        <v>12</v>
      </c>
      <c r="I195" s="11" t="s">
        <v>12</v>
      </c>
      <c r="J195" s="12"/>
    </row>
    <row r="196" spans="1:10" ht="60" customHeight="1">
      <c r="A196" s="6" t="s">
        <v>729</v>
      </c>
      <c r="B196" s="6" t="s">
        <v>36</v>
      </c>
      <c r="C196" s="6" t="s">
        <v>218</v>
      </c>
      <c r="D196" s="7" t="s">
        <v>730</v>
      </c>
      <c r="E196" s="8" t="s">
        <v>731</v>
      </c>
      <c r="F196" s="6" t="s">
        <v>732</v>
      </c>
      <c r="G196" s="9">
        <f>IF(A196=1,"_",IF(C196="_","???",C196))</f>
        <v/>
      </c>
      <c r="H196" s="10" t="s">
        <v>12</v>
      </c>
      <c r="I196" s="11" t="s">
        <v>12</v>
      </c>
      <c r="J196" s="12"/>
    </row>
    <row r="197" spans="1:10" ht="60" customHeight="1">
      <c r="A197" s="6" t="s">
        <v>733</v>
      </c>
      <c r="B197" s="6" t="s">
        <v>10</v>
      </c>
      <c r="C197" s="6" t="s">
        <v>12</v>
      </c>
      <c r="D197" s="7" t="s">
        <v>734</v>
      </c>
      <c r="E197" s="8" t="s">
        <v>735</v>
      </c>
      <c r="F197" s="6" t="s">
        <v>736</v>
      </c>
      <c r="G197" s="9">
        <f>IF(A197=1,"_",IF(C197="_","???",C197))</f>
        <v/>
      </c>
      <c r="H197" s="10" t="s">
        <v>12</v>
      </c>
      <c r="I197" s="11" t="s">
        <v>12</v>
      </c>
      <c r="J197" s="12"/>
    </row>
    <row r="198" spans="1:10" ht="60" customHeight="1">
      <c r="A198" s="6" t="s">
        <v>737</v>
      </c>
      <c r="B198" s="6" t="s">
        <v>16</v>
      </c>
      <c r="C198" s="6" t="s">
        <v>23</v>
      </c>
      <c r="D198" s="7" t="s">
        <v>37</v>
      </c>
      <c r="E198" s="8" t="s">
        <v>738</v>
      </c>
      <c r="F198" s="6" t="s">
        <v>739</v>
      </c>
      <c r="G198" s="9">
        <f>IF(A198=1,"_",IF(C198="_","???",C198))</f>
        <v/>
      </c>
      <c r="H198" s="10" t="s">
        <v>12</v>
      </c>
      <c r="I198" s="11" t="s">
        <v>12</v>
      </c>
      <c r="J19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82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740</v>
      </c>
      <c r="B1" s="13" t="s">
        <v>741</v>
      </c>
      <c r="C1" s="13" t="s">
        <v>742</v>
      </c>
      <c r="D1" s="13" t="s">
        <v>743</v>
      </c>
      <c r="E1" s="14" t="s">
        <v>744</v>
      </c>
      <c r="F1" s="15" t="s">
        <v>745</v>
      </c>
      <c r="G1" s="16" t="s">
        <v>746</v>
      </c>
      <c r="H1" s="17" t="s">
        <v>747</v>
      </c>
      <c r="I1" s="18" t="s">
        <v>748</v>
      </c>
      <c r="J1" s="18" t="s">
        <v>749</v>
      </c>
      <c r="K1" s="18" t="s">
        <v>750</v>
      </c>
      <c r="L1" s="19" t="s">
        <v>9</v>
      </c>
    </row>
    <row r="2" spans="1:12">
      <c r="A2" s="20" t="s">
        <v>751</v>
      </c>
    </row>
    <row r="3" spans="1:12">
      <c r="A3" s="20" t="s">
        <v>752</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753</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754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755</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756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757</v>
      </c>
      <c r="B8" s="27" t="s">
        <v>758</v>
      </c>
      <c r="C8" s="27" t="s">
        <v>759</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760</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761</v>
      </c>
      <c r="B10" s="27" t="s">
        <v>762</v>
      </c>
      <c r="C10" s="27" t="s">
        <v>759</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763</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764</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765</v>
      </c>
      <c r="B13" s="27" t="s">
        <v>766</v>
      </c>
      <c r="C13" s="27" t="s">
        <v>767</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768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769</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770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771</v>
      </c>
      <c r="B17" s="27" t="s">
        <v>772</v>
      </c>
      <c r="C17" s="27" t="s">
        <v>773</v>
      </c>
      <c r="D17" s="27" t="s">
        <v>774</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775</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row>
    <row r="20" spans="1:12">
      <c r="A20" s="20" t="s">
        <v>776</v>
      </c>
    </row>
    <row r="21" spans="1:12">
      <c r="A21" s="20" t="s">
        <v>777</v>
      </c>
      <c r="B21" s="27" t="s">
        <v>762</v>
      </c>
      <c r="C21" s="27" t="s">
        <v>778</v>
      </c>
      <c r="D21" s="27" t="s">
        <v>774</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779</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764</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780</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781</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782</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12</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783</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784</v>
      </c>
      <c r="B29" s="27" t="s">
        <v>758</v>
      </c>
      <c r="C29" s="27" t="s">
        <v>767</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785</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786</v>
      </c>
      <c r="B31" s="27" t="s">
        <v>758</v>
      </c>
      <c r="C31" s="27" t="s">
        <v>759</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12</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764</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787</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788</v>
      </c>
      <c r="B35" s="27" t="s">
        <v>758</v>
      </c>
      <c r="C35" s="27" t="s">
        <v>767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789</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790</v>
      </c>
      <c r="B37" s="27" t="s">
        <v>772</v>
      </c>
      <c r="C37" s="27" t="s">
        <v>759</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775</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row>
    <row r="40" spans="1:12">
      <c r="A40" s="20" t="s">
        <v>791</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792</v>
      </c>
    </row>
    <row r="42" spans="1:12">
      <c r="A42" s="20" t="s">
        <v>793</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794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760</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795</v>
      </c>
      <c r="B45" s="27" t="s">
        <v>762</v>
      </c>
      <c r="C45" s="27" t="s">
        <v>778</v>
      </c>
      <c r="D45" s="27" t="s">
        <v>774</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796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797</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798</v>
      </c>
      <c r="B48" s="27" t="s">
        <v>766</v>
      </c>
      <c r="C48" s="27" t="s">
        <v>799</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760</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795</v>
      </c>
      <c r="B50" s="27" t="s">
        <v>800</v>
      </c>
      <c r="C50" s="27" t="s">
        <v>778</v>
      </c>
      <c r="D50" s="27" t="s">
        <v>774</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796</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797</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801</v>
      </c>
      <c r="B53" s="27" t="s">
        <v>802</v>
      </c>
      <c r="C53" s="27" t="s">
        <v>799</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803</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804</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805</v>
      </c>
      <c r="B56" s="27" t="s">
        <v>772</v>
      </c>
      <c r="C56" s="27" t="s">
        <v>759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760</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340</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795</v>
      </c>
      <c r="B59" s="27" t="s">
        <v>800</v>
      </c>
      <c r="C59" s="27" t="s">
        <v>778</v>
      </c>
      <c r="D59" s="27" t="s">
        <v>774</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796</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806</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807</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41</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808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809</v>
      </c>
      <c r="B65" s="27" t="s">
        <v>810</v>
      </c>
      <c r="C65" s="27" t="s">
        <v>811</v>
      </c>
      <c r="D65" s="27" t="s">
        <v>774</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812</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764</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813</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814</v>
      </c>
      <c r="B69" s="27" t="s">
        <v>815</v>
      </c>
      <c r="C69" s="27" t="s">
        <v>767</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775</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752</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row>
    <row r="73" spans="1:12">
      <c r="A73" s="20" t="s">
        <v>791</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816</v>
      </c>
    </row>
    <row r="75" spans="1:12">
      <c r="A75" s="20" t="s">
        <v>817</v>
      </c>
      <c r="B75" s="27" t="s">
        <v>762</v>
      </c>
      <c r="C75" s="27" t="s">
        <v>818</v>
      </c>
      <c r="D75" s="27" t="s">
        <v>774</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819</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789</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752</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820</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752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821</v>
      </c>
      <c r="B81" s="27" t="s">
        <v>758</v>
      </c>
      <c r="C81" s="27" t="s">
        <v>799</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754</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822</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760</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823</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824</v>
      </c>
      <c r="B86" s="27" t="s">
        <v>800</v>
      </c>
      <c r="C86" s="27" t="s">
        <v>778</v>
      </c>
      <c r="D86" s="27" t="s">
        <v>774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825</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826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827</v>
      </c>
      <c r="B89" s="27" t="s">
        <v>772</v>
      </c>
      <c r="C89" s="27" t="s">
        <v>799</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828</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775</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row>
    <row r="93" spans="1:12">
      <c r="A93" s="20" t="s">
        <v>829</v>
      </c>
    </row>
    <row r="94" spans="1:12">
      <c r="A94" s="20" t="s">
        <v>830</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831</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832</v>
      </c>
      <c r="B96" s="27" t="s">
        <v>758</v>
      </c>
      <c r="C96" s="27" t="s">
        <v>759</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760</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769</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833</v>
      </c>
      <c r="B99" s="27" t="s">
        <v>762</v>
      </c>
      <c r="C99" s="27" t="s">
        <v>834</v>
      </c>
      <c r="D99" s="27" t="s">
        <v>774</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768</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769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835</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836</v>
      </c>
      <c r="B103" s="27" t="s">
        <v>772</v>
      </c>
      <c r="C103" s="27" t="s">
        <v>837</v>
      </c>
      <c r="D103" s="27" t="s">
        <v>774</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838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839</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754</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840</v>
      </c>
      <c r="B107" s="27" t="s">
        <v>758</v>
      </c>
      <c r="C107" s="27" t="s">
        <v>759</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768</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841</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842</v>
      </c>
      <c r="B110" s="27" t="s">
        <v>772</v>
      </c>
      <c r="C110" s="27" t="s">
        <v>759</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775</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row>
    <row r="113" spans="1:12">
      <c r="A113" s="20" t="s">
        <v>843</v>
      </c>
    </row>
    <row r="114" spans="1:12">
      <c r="A114" s="20" t="s">
        <v>844</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37</v>
      </c>
      <c r="B115" s="27" t="s">
        <v>758</v>
      </c>
      <c r="C115" s="27" t="s">
        <v>837</v>
      </c>
      <c r="D115" s="27" t="s">
        <v>774</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845</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row>
    <row r="118" spans="1:12">
      <c r="A118" s="20" t="s">
        <v>846</v>
      </c>
    </row>
    <row r="119" spans="1:12">
      <c r="A119" s="20" t="s">
        <v>830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847</v>
      </c>
      <c r="B120" s="27" t="s">
        <v>772</v>
      </c>
      <c r="C120" s="27" t="s">
        <v>848</v>
      </c>
      <c r="D120" s="27" t="s">
        <v>774</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849</v>
      </c>
      <c r="B121" s="27" t="s">
        <v>762</v>
      </c>
      <c r="C121" s="27" t="s">
        <v>834</v>
      </c>
      <c r="D121" s="27" t="s">
        <v>774</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779</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850</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851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852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853</v>
      </c>
      <c r="B126" s="27" t="s">
        <v>800</v>
      </c>
      <c r="C126" s="27" t="s">
        <v>778</v>
      </c>
      <c r="D126" s="27" t="s">
        <v>774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854</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789</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855</v>
      </c>
      <c r="B129" s="27" t="s">
        <v>772</v>
      </c>
      <c r="C129" s="27" t="s">
        <v>856</v>
      </c>
      <c r="D129" s="27" t="s">
        <v>774</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807</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857</v>
      </c>
      <c r="B131" s="27" t="s">
        <v>772</v>
      </c>
      <c r="C131" s="27" t="s">
        <v>856</v>
      </c>
      <c r="D131" s="27" t="s">
        <v>774</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858</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row>
    <row r="134" spans="1:12">
      <c r="A134" s="20" t="s">
        <v>859</v>
      </c>
    </row>
    <row r="135" spans="1:12">
      <c r="A135" s="20" t="s">
        <v>851</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852</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860</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861</v>
      </c>
      <c r="B138" s="27" t="s">
        <v>766</v>
      </c>
      <c r="C138" s="27" t="s">
        <v>767</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145</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860</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862</v>
      </c>
      <c r="B141" s="27" t="s">
        <v>863</v>
      </c>
      <c r="C141" s="27" t="s">
        <v>767</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858</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row>
    <row r="144" spans="1:12">
      <c r="A144" s="20" t="s">
        <v>864</v>
      </c>
    </row>
    <row r="145" spans="1:12">
      <c r="A145" s="20" t="s">
        <v>865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824</v>
      </c>
      <c r="B146" s="27" t="s">
        <v>800</v>
      </c>
      <c r="C146" s="27" t="s">
        <v>778</v>
      </c>
      <c r="D146" s="27" t="s">
        <v>774</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825</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866</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867</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827</v>
      </c>
      <c r="B150" s="27" t="s">
        <v>772</v>
      </c>
      <c r="C150" s="27" t="s">
        <v>799</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828</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760</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824</v>
      </c>
      <c r="B153" s="27" t="s">
        <v>762</v>
      </c>
      <c r="C153" s="27" t="s">
        <v>778</v>
      </c>
      <c r="D153" s="27" t="s">
        <v>774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868</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807</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764</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869</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870</v>
      </c>
      <c r="B158" s="27" t="s">
        <v>758</v>
      </c>
      <c r="C158" s="27" t="s">
        <v>767</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871</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847</v>
      </c>
      <c r="B160" s="27" t="s">
        <v>772</v>
      </c>
      <c r="C160" s="27" t="s">
        <v>848</v>
      </c>
      <c r="D160" s="27" t="s">
        <v>774</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872</v>
      </c>
      <c r="B161" s="27" t="s">
        <v>758</v>
      </c>
      <c r="C161" s="27" t="s">
        <v>834</v>
      </c>
      <c r="D161" s="27" t="s">
        <v>774</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340</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847</v>
      </c>
      <c r="B163" s="27" t="s">
        <v>863</v>
      </c>
      <c r="C163" s="27" t="s">
        <v>848</v>
      </c>
      <c r="D163" s="27" t="s">
        <v>774</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873</v>
      </c>
      <c r="B164" s="27" t="s">
        <v>772</v>
      </c>
      <c r="C164" s="27" t="s">
        <v>834</v>
      </c>
      <c r="D164" s="27" t="s">
        <v>774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775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row>
    <row r="167" spans="1:12">
      <c r="A167" s="20" t="s">
        <v>874</v>
      </c>
    </row>
    <row r="168" spans="1:12">
      <c r="A168" s="20" t="s">
        <v>830</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875</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769</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299</v>
      </c>
      <c r="B171" s="27" t="s">
        <v>758</v>
      </c>
      <c r="C171" s="27" t="s">
        <v>773</v>
      </c>
      <c r="D171" s="27" t="s">
        <v>774</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768</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876</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877</v>
      </c>
      <c r="B174" s="27" t="s">
        <v>815</v>
      </c>
      <c r="C174" s="27" t="s">
        <v>848</v>
      </c>
      <c r="D174" s="27" t="s">
        <v>774</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878</v>
      </c>
      <c r="B175" s="27" t="s">
        <v>810</v>
      </c>
      <c r="C175" s="27" t="s">
        <v>834</v>
      </c>
      <c r="D175" s="27" t="s">
        <v>774</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760</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769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879</v>
      </c>
      <c r="B178" s="27" t="s">
        <v>762</v>
      </c>
      <c r="C178" s="27" t="s">
        <v>773</v>
      </c>
      <c r="D178" s="27" t="s">
        <v>774</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880</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807</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881</v>
      </c>
      <c r="B181" s="27" t="s">
        <v>758</v>
      </c>
      <c r="C181" s="27" t="s">
        <v>778</v>
      </c>
      <c r="D181" s="27" t="s">
        <v>774</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882</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853</v>
      </c>
      <c r="B183" s="27" t="s">
        <v>800</v>
      </c>
      <c r="C183" s="27" t="s">
        <v>778</v>
      </c>
      <c r="D183" s="27" t="s">
        <v>774</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883</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884</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158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764</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885</v>
      </c>
      <c r="B188" s="27" t="s">
        <v>802</v>
      </c>
      <c r="C188" s="27" t="s">
        <v>767</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807</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89</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886</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775</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row>
    <row r="194" spans="1:12">
      <c r="A194" s="20" t="s">
        <v>887</v>
      </c>
    </row>
    <row r="195" spans="1:12">
      <c r="A195" s="20" t="s">
        <v>888</v>
      </c>
      <c r="B195" s="27" t="s">
        <v>772</v>
      </c>
      <c r="C195" s="27" t="s">
        <v>848</v>
      </c>
      <c r="D195" s="27" t="s">
        <v>774</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873</v>
      </c>
      <c r="B196" s="27" t="s">
        <v>762</v>
      </c>
      <c r="C196" s="27" t="s">
        <v>834</v>
      </c>
      <c r="D196" s="27" t="s">
        <v>774</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889</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764</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890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885</v>
      </c>
      <c r="B200" s="27" t="s">
        <v>766</v>
      </c>
      <c r="C200" s="27" t="s">
        <v>767</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760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340</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824</v>
      </c>
      <c r="B203" s="27" t="s">
        <v>800</v>
      </c>
      <c r="C203" s="27" t="s">
        <v>778</v>
      </c>
      <c r="D203" s="27" t="s">
        <v>774</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889</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764</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891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885</v>
      </c>
      <c r="B207" s="27" t="s">
        <v>802</v>
      </c>
      <c r="C207" s="27" t="s">
        <v>767</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775</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row>
    <row r="210" spans="1:12">
      <c r="A210" s="20" t="s">
        <v>892</v>
      </c>
    </row>
    <row r="211" spans="1:12">
      <c r="A211" s="20" t="s">
        <v>888</v>
      </c>
      <c r="B211" s="27" t="s">
        <v>772</v>
      </c>
      <c r="C211" s="27" t="s">
        <v>848</v>
      </c>
      <c r="D211" s="27" t="s">
        <v>774</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872</v>
      </c>
      <c r="B212" s="27" t="s">
        <v>762</v>
      </c>
      <c r="C212" s="27" t="s">
        <v>834</v>
      </c>
      <c r="D212" s="27" t="s">
        <v>774</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880</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882</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893</v>
      </c>
      <c r="B215" s="27" t="s">
        <v>800</v>
      </c>
      <c r="C215" s="27" t="s">
        <v>778</v>
      </c>
      <c r="D215" s="27" t="s">
        <v>774</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894</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824</v>
      </c>
      <c r="B217" s="27" t="s">
        <v>895</v>
      </c>
      <c r="C217" s="27" t="s">
        <v>778</v>
      </c>
      <c r="D217" s="27" t="s">
        <v>774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896</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897</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898</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158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764</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899</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885</v>
      </c>
      <c r="B224" s="27" t="s">
        <v>810</v>
      </c>
      <c r="C224" s="27" t="s">
        <v>767</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775</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row>
    <row r="227" spans="1:12">
      <c r="A227" s="20" t="s">
        <v>900</v>
      </c>
    </row>
    <row r="228" spans="1:12">
      <c r="A228" s="20" t="s">
        <v>844</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901</v>
      </c>
      <c r="B229" s="27" t="s">
        <v>758</v>
      </c>
      <c r="C229" s="27" t="s">
        <v>837</v>
      </c>
      <c r="D229" s="27" t="s">
        <v>774</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845</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row>
    <row r="232" spans="1:12">
      <c r="A232" s="20" t="s">
        <v>902</v>
      </c>
    </row>
    <row r="233" spans="1:12">
      <c r="A233" s="20" t="s">
        <v>903</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824</v>
      </c>
      <c r="B234" s="27" t="s">
        <v>762</v>
      </c>
      <c r="C234" s="27" t="s">
        <v>778</v>
      </c>
      <c r="D234" s="27" t="s">
        <v>774</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880</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882</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824</v>
      </c>
      <c r="B237" s="27" t="s">
        <v>800</v>
      </c>
      <c r="C237" s="27" t="s">
        <v>778</v>
      </c>
      <c r="D237" s="27" t="s">
        <v>774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904</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889</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769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891</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905</v>
      </c>
      <c r="B242" s="27" t="s">
        <v>802</v>
      </c>
      <c r="C242" s="27" t="s">
        <v>773</v>
      </c>
      <c r="D242" s="27" t="s">
        <v>774</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775</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row>
    <row r="245" spans="1:12">
      <c r="A245" s="20" t="s">
        <v>906</v>
      </c>
    </row>
    <row r="246" spans="1:12">
      <c r="A246" s="20" t="s">
        <v>830</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893</v>
      </c>
      <c r="B247" s="27" t="s">
        <v>762</v>
      </c>
      <c r="C247" s="27" t="s">
        <v>778</v>
      </c>
      <c r="D247" s="27" t="s">
        <v>774</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907</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908</v>
      </c>
      <c r="B249" s="27" t="s">
        <v>766</v>
      </c>
      <c r="C249" s="27" t="s">
        <v>778</v>
      </c>
      <c r="D249" s="27" t="s">
        <v>774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882</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847</v>
      </c>
      <c r="B251" s="27" t="s">
        <v>863</v>
      </c>
      <c r="C251" s="27" t="s">
        <v>848</v>
      </c>
      <c r="D251" s="27" t="s">
        <v>774</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909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910</v>
      </c>
      <c r="B253" s="27" t="s">
        <v>800</v>
      </c>
      <c r="C253" s="27" t="s">
        <v>834</v>
      </c>
      <c r="D253" s="27" t="s">
        <v>774</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825</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899</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775</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row>
    <row r="258" spans="1:12">
      <c r="A258" s="20" t="s">
        <v>911</v>
      </c>
    </row>
    <row r="259" spans="1:12">
      <c r="A259" s="20" t="s">
        <v>912</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913</v>
      </c>
      <c r="B260" s="27" t="s">
        <v>762</v>
      </c>
      <c r="C260" s="27" t="s">
        <v>773</v>
      </c>
      <c r="D260" s="27" t="s">
        <v>774</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882</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847</v>
      </c>
      <c r="B262" s="27" t="s">
        <v>815</v>
      </c>
      <c r="C262" s="27" t="s">
        <v>848</v>
      </c>
      <c r="D262" s="27" t="s">
        <v>774</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909</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910</v>
      </c>
      <c r="B264" s="27" t="s">
        <v>895</v>
      </c>
      <c r="C264" s="27" t="s">
        <v>834</v>
      </c>
      <c r="D264" s="27" t="s">
        <v>774</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914</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779</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899</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760</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812</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824</v>
      </c>
      <c r="B270" s="27" t="s">
        <v>895</v>
      </c>
      <c r="C270" s="27" t="s">
        <v>778</v>
      </c>
      <c r="D270" s="27" t="s">
        <v>774</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915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916</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841</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12</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779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917</v>
      </c>
      <c r="B276" s="27" t="s">
        <v>758</v>
      </c>
      <c r="C276" s="27" t="s">
        <v>834</v>
      </c>
      <c r="D276" s="27" t="s">
        <v>774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768</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918</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847</v>
      </c>
      <c r="B279" s="27" t="s">
        <v>863</v>
      </c>
      <c r="C279" s="27" t="s">
        <v>848</v>
      </c>
      <c r="D279" s="27" t="s">
        <v>774</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872</v>
      </c>
      <c r="B280" s="27" t="s">
        <v>772</v>
      </c>
      <c r="C280" s="27" t="s">
        <v>834</v>
      </c>
      <c r="D280" s="27" t="s">
        <v>774</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819</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919</v>
      </c>
      <c r="B282" s="27" t="s">
        <v>758</v>
      </c>
      <c r="C282" s="27" t="s">
        <v>834</v>
      </c>
      <c r="D282" s="27" t="s">
        <v>774</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340</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920</v>
      </c>
      <c r="B284" s="27" t="s">
        <v>863</v>
      </c>
      <c r="C284" s="27" t="s">
        <v>848</v>
      </c>
      <c r="D284" s="27" t="s">
        <v>774</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921</v>
      </c>
      <c r="B285" s="27" t="s">
        <v>772</v>
      </c>
      <c r="C285" s="27" t="s">
        <v>834</v>
      </c>
      <c r="D285" s="27" t="s">
        <v>774</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775</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row>
    <row r="288" spans="1:12">
      <c r="A288" s="20" t="s">
        <v>791</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922</v>
      </c>
    </row>
    <row r="290" spans="1:12">
      <c r="A290" s="20" t="s">
        <v>865</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824</v>
      </c>
      <c r="B291" s="27" t="s">
        <v>800</v>
      </c>
      <c r="C291" s="27" t="s">
        <v>778</v>
      </c>
      <c r="D291" s="27" t="s">
        <v>774</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825</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781</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760</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847</v>
      </c>
      <c r="B295" s="27" t="s">
        <v>772</v>
      </c>
      <c r="C295" s="27" t="s">
        <v>848</v>
      </c>
      <c r="D295" s="27" t="s">
        <v>774</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872</v>
      </c>
      <c r="B296" s="27" t="s">
        <v>762</v>
      </c>
      <c r="C296" s="27" t="s">
        <v>834</v>
      </c>
      <c r="D296" s="27" t="s">
        <v>774</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923</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807</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53</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760</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752</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912</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333</v>
      </c>
      <c r="B303" s="27" t="s">
        <v>895</v>
      </c>
      <c r="C303" s="27" t="s">
        <v>773</v>
      </c>
      <c r="D303" s="27" t="s">
        <v>774</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924</v>
      </c>
      <c r="B304" s="27" t="s">
        <v>925</v>
      </c>
      <c r="C304" s="27" t="s">
        <v>778</v>
      </c>
      <c r="D304" s="27" t="s">
        <v>774</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158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785</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926</v>
      </c>
      <c r="B307" s="27" t="s">
        <v>927</v>
      </c>
      <c r="C307" s="27" t="s">
        <v>848</v>
      </c>
      <c r="D307" s="27" t="s">
        <v>774</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928</v>
      </c>
      <c r="B308" s="27" t="s">
        <v>929</v>
      </c>
      <c r="C308" s="27" t="s">
        <v>834</v>
      </c>
      <c r="D308" s="27" t="s">
        <v>774</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779</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930</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797</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758</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931</v>
      </c>
      <c r="B313" s="27" t="s">
        <v>772</v>
      </c>
      <c r="C313" s="27" t="s">
        <v>799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754</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769</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932</v>
      </c>
      <c r="B316" s="27" t="s">
        <v>863</v>
      </c>
      <c r="C316" s="27" t="s">
        <v>773</v>
      </c>
      <c r="D316" s="27" t="s">
        <v>774</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775</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row>
    <row r="319" spans="1:12">
      <c r="A319" s="20" t="s">
        <v>791</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933</v>
      </c>
    </row>
    <row r="321" spans="1:12">
      <c r="A321" s="20" t="s">
        <v>830</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934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924</v>
      </c>
      <c r="B323" s="27" t="s">
        <v>800</v>
      </c>
      <c r="C323" s="27" t="s">
        <v>778</v>
      </c>
      <c r="D323" s="27" t="s">
        <v>774</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158</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928</v>
      </c>
      <c r="B325" s="27" t="s">
        <v>802</v>
      </c>
      <c r="C325" s="27" t="s">
        <v>759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760</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924</v>
      </c>
      <c r="B327" s="27" t="s">
        <v>762</v>
      </c>
      <c r="C327" s="27" t="s">
        <v>778</v>
      </c>
      <c r="D327" s="27" t="s">
        <v>774</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45</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935</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85</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936</v>
      </c>
      <c r="B331" s="27" t="s">
        <v>802</v>
      </c>
      <c r="C331" s="27" t="s">
        <v>937</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795</v>
      </c>
      <c r="B332" s="27" t="s">
        <v>800</v>
      </c>
      <c r="C332" s="27" t="s">
        <v>778</v>
      </c>
      <c r="D332" s="27" t="s">
        <v>774</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819</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930</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775</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752</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row>
    <row r="338" spans="1:12">
      <c r="A338" s="20" t="s">
        <v>938</v>
      </c>
    </row>
    <row r="339" spans="1:12">
      <c r="A339" s="20" t="s">
        <v>830</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823</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824</v>
      </c>
      <c r="B341" s="27" t="s">
        <v>800</v>
      </c>
      <c r="C341" s="27" t="s">
        <v>778</v>
      </c>
      <c r="D341" s="27" t="s">
        <v>774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825</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781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760</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824</v>
      </c>
      <c r="B345" s="27" t="s">
        <v>762</v>
      </c>
      <c r="C345" s="27" t="s">
        <v>778</v>
      </c>
      <c r="D345" s="27" t="s">
        <v>774</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939</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795</v>
      </c>
      <c r="B347" s="27" t="s">
        <v>766</v>
      </c>
      <c r="C347" s="27" t="s">
        <v>778</v>
      </c>
      <c r="D347" s="27" t="s">
        <v>774</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803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769</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940</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941</v>
      </c>
      <c r="B351" s="27" t="s">
        <v>758</v>
      </c>
      <c r="C351" s="27" t="s">
        <v>773</v>
      </c>
      <c r="D351" s="27" t="s">
        <v>774</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754</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769</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932</v>
      </c>
      <c r="B354" s="27" t="s">
        <v>772</v>
      </c>
      <c r="C354" s="27" t="s">
        <v>773</v>
      </c>
      <c r="D354" s="27" t="s">
        <v>774</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882</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893</v>
      </c>
      <c r="B356" s="27" t="s">
        <v>800</v>
      </c>
      <c r="C356" s="27" t="s">
        <v>778</v>
      </c>
      <c r="D356" s="27" t="s">
        <v>774</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942</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53</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882</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943</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944</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847</v>
      </c>
      <c r="B362" s="27" t="s">
        <v>815</v>
      </c>
      <c r="C362" s="27" t="s">
        <v>848</v>
      </c>
      <c r="D362" s="27" t="s">
        <v>774</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873</v>
      </c>
      <c r="B363" s="27" t="s">
        <v>810</v>
      </c>
      <c r="C363" s="27" t="s">
        <v>834</v>
      </c>
      <c r="D363" s="27" t="s">
        <v>774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340</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908</v>
      </c>
      <c r="B365" s="27" t="s">
        <v>815</v>
      </c>
      <c r="C365" s="27" t="s">
        <v>778</v>
      </c>
      <c r="D365" s="27" t="s">
        <v>774</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775</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row>
    <row r="368" spans="1:12">
      <c r="A368" s="20" t="s">
        <v>791</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945</v>
      </c>
    </row>
    <row r="370" spans="1:12">
      <c r="A370" s="20" t="s">
        <v>830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823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824</v>
      </c>
      <c r="B372" s="27" t="s">
        <v>800</v>
      </c>
      <c r="C372" s="27" t="s">
        <v>778</v>
      </c>
      <c r="D372" s="27" t="s">
        <v>774</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825</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860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946</v>
      </c>
      <c r="B375" s="27" t="s">
        <v>758</v>
      </c>
      <c r="C375" s="27" t="s">
        <v>767</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760</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824</v>
      </c>
      <c r="B377" s="27" t="s">
        <v>762</v>
      </c>
      <c r="C377" s="27" t="s">
        <v>778</v>
      </c>
      <c r="D377" s="27" t="s">
        <v>774</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894</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760</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752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903</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824</v>
      </c>
      <c r="B382" s="27" t="s">
        <v>800</v>
      </c>
      <c r="C382" s="27" t="s">
        <v>778</v>
      </c>
      <c r="D382" s="27" t="s">
        <v>774</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915</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841</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760</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340</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568</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824</v>
      </c>
      <c r="B388" s="27" t="s">
        <v>895</v>
      </c>
      <c r="C388" s="27" t="s">
        <v>778</v>
      </c>
      <c r="D388" s="27" t="s">
        <v>774</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947</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948</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935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158</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764</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646</v>
      </c>
      <c r="B394" s="27" t="s">
        <v>810</v>
      </c>
      <c r="C394" s="27" t="s">
        <v>767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775</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752</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row>
    <row r="398" spans="1:12">
      <c r="A398" s="20" t="s">
        <v>949</v>
      </c>
    </row>
    <row r="399" spans="1:12">
      <c r="A399" s="20" t="s">
        <v>830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823</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893</v>
      </c>
      <c r="B401" s="27" t="s">
        <v>800</v>
      </c>
      <c r="C401" s="27" t="s">
        <v>778</v>
      </c>
      <c r="D401" s="27" t="s">
        <v>774</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880</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795</v>
      </c>
      <c r="B403" s="27" t="s">
        <v>802</v>
      </c>
      <c r="C403" s="27" t="s">
        <v>778</v>
      </c>
      <c r="D403" s="27" t="s">
        <v>774</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760</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795</v>
      </c>
      <c r="B405" s="27" t="s">
        <v>762</v>
      </c>
      <c r="C405" s="27" t="s">
        <v>778</v>
      </c>
      <c r="D405" s="27" t="s">
        <v>774</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950</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908</v>
      </c>
      <c r="B407" s="27" t="s">
        <v>766</v>
      </c>
      <c r="C407" s="27" t="s">
        <v>778</v>
      </c>
      <c r="D407" s="27" t="s">
        <v>774</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951</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775</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row>
    <row r="411" spans="1:12">
      <c r="A411" s="20" t="s">
        <v>952</v>
      </c>
    </row>
    <row r="412" spans="1:12">
      <c r="A412" s="20" t="s">
        <v>830</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953</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824</v>
      </c>
      <c r="B414" s="27" t="s">
        <v>800</v>
      </c>
      <c r="C414" s="27" t="s">
        <v>778</v>
      </c>
      <c r="D414" s="27" t="s">
        <v>774</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838</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839</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768</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769</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954</v>
      </c>
      <c r="B419" s="27" t="s">
        <v>772</v>
      </c>
      <c r="C419" s="27" t="s">
        <v>773</v>
      </c>
      <c r="D419" s="27" t="s">
        <v>774</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760</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823</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893</v>
      </c>
      <c r="B422" s="27" t="s">
        <v>800</v>
      </c>
      <c r="C422" s="27" t="s">
        <v>778</v>
      </c>
      <c r="D422" s="27" t="s">
        <v>774</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955</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807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53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795</v>
      </c>
      <c r="B426" s="27" t="s">
        <v>810</v>
      </c>
      <c r="C426" s="27" t="s">
        <v>778</v>
      </c>
      <c r="D426" s="27" t="s">
        <v>774</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760</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795</v>
      </c>
      <c r="B428" s="27" t="s">
        <v>762</v>
      </c>
      <c r="C428" s="27" t="s">
        <v>778</v>
      </c>
      <c r="D428" s="27" t="s">
        <v>774</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950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908</v>
      </c>
      <c r="B430" s="27" t="s">
        <v>766</v>
      </c>
      <c r="C430" s="27" t="s">
        <v>778</v>
      </c>
      <c r="D430" s="27" t="s">
        <v>774</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956</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775</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row>
    <row r="434" spans="1:12">
      <c r="A434" s="20" t="s">
        <v>791</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957</v>
      </c>
    </row>
    <row r="436" spans="1:12">
      <c r="A436" s="20" t="s">
        <v>824</v>
      </c>
      <c r="B436" s="27" t="s">
        <v>762</v>
      </c>
      <c r="C436" s="27" t="s">
        <v>778</v>
      </c>
      <c r="D436" s="27" t="s">
        <v>774</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880</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760</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752</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824</v>
      </c>
      <c r="B440" s="27" t="s">
        <v>800</v>
      </c>
      <c r="C440" s="27" t="s">
        <v>778</v>
      </c>
      <c r="D440" s="27" t="s">
        <v>774</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915</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841</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775</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row>
    <row r="445" spans="1:12">
      <c r="A445" s="20" t="s">
        <v>958</v>
      </c>
    </row>
    <row r="446" spans="1:12">
      <c r="A446" s="20" t="s">
        <v>817</v>
      </c>
      <c r="B446" s="27" t="s">
        <v>762</v>
      </c>
      <c r="C446" s="27" t="s">
        <v>818</v>
      </c>
      <c r="D446" s="27" t="s">
        <v>774</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819</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806</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769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959</v>
      </c>
      <c r="B450" s="27" t="s">
        <v>758</v>
      </c>
      <c r="C450" s="27" t="s">
        <v>773</v>
      </c>
      <c r="D450" s="27" t="s">
        <v>774</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882</v>
      </c>
      <c r="B451" s="27" t="s">
        <v>802</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824</v>
      </c>
      <c r="B452" s="27" t="s">
        <v>800</v>
      </c>
      <c r="C452" s="27" t="s">
        <v>778</v>
      </c>
      <c r="D452" s="27" t="s">
        <v>774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915</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960</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754</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775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row>
    <row r="458" spans="1:12">
      <c r="A458" s="20" t="s">
        <v>791</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961</v>
      </c>
    </row>
    <row r="460" spans="1:12">
      <c r="A460" s="20" t="s">
        <v>830</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824</v>
      </c>
      <c r="B461" s="27" t="s">
        <v>762</v>
      </c>
      <c r="C461" s="27" t="s">
        <v>778</v>
      </c>
      <c r="D461" s="27" t="s">
        <v>774</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112</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924</v>
      </c>
      <c r="B463" s="27" t="s">
        <v>766</v>
      </c>
      <c r="C463" s="27" t="s">
        <v>778</v>
      </c>
      <c r="D463" s="27" t="s">
        <v>774</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807</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962</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963</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882</v>
      </c>
      <c r="B467" s="27" t="s">
        <v>810</v>
      </c>
      <c r="C467" s="27" t="s">
        <v>818</v>
      </c>
      <c r="D467" s="27" t="s">
        <v>774</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775</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752</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row>
    <row r="471" spans="1:12">
      <c r="A471" s="20" t="s">
        <v>791</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964</v>
      </c>
    </row>
    <row r="473" spans="1:12">
      <c r="A473" s="20" t="s">
        <v>965</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92</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827</v>
      </c>
      <c r="B475" s="27" t="s">
        <v>772</v>
      </c>
      <c r="C475" s="27" t="s">
        <v>799</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966</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760</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824</v>
      </c>
      <c r="B478" s="27" t="s">
        <v>762</v>
      </c>
      <c r="C478" s="27" t="s">
        <v>778</v>
      </c>
      <c r="D478" s="27" t="s">
        <v>774</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825</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967</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968</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847</v>
      </c>
      <c r="B482" s="27" t="s">
        <v>772</v>
      </c>
      <c r="C482" s="27" t="s">
        <v>848</v>
      </c>
      <c r="D482" s="27" t="s">
        <v>774</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969</v>
      </c>
      <c r="B483" s="27" t="s">
        <v>758</v>
      </c>
      <c r="C483" s="27" t="s">
        <v>834</v>
      </c>
      <c r="D483" s="27" t="s">
        <v>774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875</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769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752</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970</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971</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972</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973</v>
      </c>
      <c r="B490" s="27" t="s">
        <v>758</v>
      </c>
      <c r="C490" s="27" t="s">
        <v>837</v>
      </c>
      <c r="D490" s="27" t="s">
        <v>774</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752</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807</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974</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764</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975</v>
      </c>
      <c r="B495" s="27" t="s">
        <v>802</v>
      </c>
      <c r="C495" s="27" t="s">
        <v>767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943</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976</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977</v>
      </c>
      <c r="B498" s="27" t="s">
        <v>863</v>
      </c>
      <c r="C498" s="27" t="s">
        <v>759</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775</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row>
    <row r="501" spans="1:12">
      <c r="A501" s="20" t="s">
        <v>978</v>
      </c>
    </row>
    <row r="502" spans="1:12">
      <c r="A502" s="20" t="s">
        <v>830</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824</v>
      </c>
      <c r="B503" s="27" t="s">
        <v>762</v>
      </c>
      <c r="C503" s="27" t="s">
        <v>778</v>
      </c>
      <c r="D503" s="27" t="s">
        <v>774</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825</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898</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979</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980</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775</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row>
    <row r="510" spans="1:12">
      <c r="A510" s="20" t="s">
        <v>981</v>
      </c>
    </row>
    <row r="511" spans="1:12">
      <c r="A511" s="20" t="s">
        <v>824</v>
      </c>
      <c r="B511" s="27" t="s">
        <v>762</v>
      </c>
      <c r="C511" s="27" t="s">
        <v>778</v>
      </c>
      <c r="D511" s="27" t="s">
        <v>774</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982</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894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768</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983</v>
      </c>
      <c r="B515" s="27" t="s">
        <v>758</v>
      </c>
      <c r="C515" s="27" t="s">
        <v>759</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984</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803</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860</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861</v>
      </c>
      <c r="B519" s="27" t="s">
        <v>772</v>
      </c>
      <c r="C519" s="27" t="s">
        <v>767</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850</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row>
    <row r="522" spans="1:12">
      <c r="A522" s="20" t="s">
        <v>985</v>
      </c>
    </row>
    <row r="523" spans="1:12">
      <c r="A523" s="20" t="s">
        <v>986</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987</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988</v>
      </c>
      <c r="B525" s="27" t="s">
        <v>762</v>
      </c>
      <c r="C525" s="27" t="s">
        <v>989</v>
      </c>
      <c r="D525" s="27" t="s">
        <v>774</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760</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990</v>
      </c>
      <c r="B527" s="27" t="s">
        <v>762</v>
      </c>
      <c r="C527" s="27" t="s">
        <v>778</v>
      </c>
      <c r="D527" s="27" t="s">
        <v>774</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883</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935</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127</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760</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990</v>
      </c>
      <c r="B532" s="27" t="s">
        <v>800</v>
      </c>
      <c r="C532" s="27" t="s">
        <v>778</v>
      </c>
      <c r="D532" s="27" t="s">
        <v>774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991</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992</v>
      </c>
      <c r="B534" s="27" t="s">
        <v>802</v>
      </c>
      <c r="C534" s="27" t="s">
        <v>759</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760</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340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936</v>
      </c>
      <c r="B537" s="27" t="s">
        <v>810</v>
      </c>
      <c r="C537" s="27" t="s">
        <v>937</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883</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853</v>
      </c>
      <c r="B539" s="27" t="s">
        <v>895</v>
      </c>
      <c r="C539" s="27" t="s">
        <v>778</v>
      </c>
      <c r="D539" s="27" t="s">
        <v>774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45</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785</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993</v>
      </c>
      <c r="B542" s="27" t="s">
        <v>863</v>
      </c>
      <c r="C542" s="27" t="s">
        <v>778</v>
      </c>
      <c r="D542" s="27" t="s">
        <v>774</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858</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row>
    <row r="545" spans="1:12">
      <c r="A545" s="20" t="s">
        <v>994</v>
      </c>
    </row>
    <row r="546" spans="1:12">
      <c r="A546" s="20" t="s">
        <v>830</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995</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824</v>
      </c>
      <c r="B548" s="27" t="s">
        <v>762</v>
      </c>
      <c r="C548" s="27" t="s">
        <v>778</v>
      </c>
      <c r="D548" s="27" t="s">
        <v>774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868</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839</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996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769</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976</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932</v>
      </c>
      <c r="B554" s="27" t="s">
        <v>758</v>
      </c>
      <c r="C554" s="27" t="s">
        <v>773</v>
      </c>
      <c r="D554" s="27" t="s">
        <v>774</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775</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row>
    <row r="557" spans="1:12">
      <c r="A557" s="20" t="s">
        <v>997</v>
      </c>
    </row>
    <row r="558" spans="1:12">
      <c r="A558" s="20" t="s">
        <v>824</v>
      </c>
      <c r="B558" s="27" t="s">
        <v>762</v>
      </c>
      <c r="C558" s="27" t="s">
        <v>778</v>
      </c>
      <c r="D558" s="27" t="s">
        <v>774</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868</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807</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976</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998</v>
      </c>
      <c r="B562" s="27" t="s">
        <v>758</v>
      </c>
      <c r="C562" s="27" t="s">
        <v>759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775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row>
    <row r="565" spans="1:12">
      <c r="A565" s="20" t="s">
        <v>999</v>
      </c>
    </row>
    <row r="566" spans="1:12">
      <c r="A566" s="20" t="s">
        <v>824</v>
      </c>
      <c r="B566" s="27" t="s">
        <v>762</v>
      </c>
      <c r="C566" s="27" t="s">
        <v>778</v>
      </c>
      <c r="D566" s="27" t="s">
        <v>774</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1000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1001</v>
      </c>
      <c r="B568" s="27" t="s">
        <v>766</v>
      </c>
      <c r="C568" s="27" t="s">
        <v>759</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768</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976</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1002</v>
      </c>
      <c r="B571" s="27" t="s">
        <v>772</v>
      </c>
      <c r="C571" s="27" t="s">
        <v>759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340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768</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976</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1003</v>
      </c>
      <c r="B575" s="27" t="s">
        <v>772</v>
      </c>
      <c r="C575" s="27" t="s">
        <v>759</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775</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row>
    <row r="578" spans="1:12">
      <c r="A578" s="20" t="s">
        <v>1004</v>
      </c>
    </row>
    <row r="579" spans="1:12">
      <c r="A579" s="20" t="s">
        <v>824</v>
      </c>
      <c r="B579" s="27" t="s">
        <v>762</v>
      </c>
      <c r="C579" s="27" t="s">
        <v>778</v>
      </c>
      <c r="D579" s="27" t="s">
        <v>774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1005</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868</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807</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769</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1006</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976</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1007</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1008</v>
      </c>
      <c r="B587" s="27" t="s">
        <v>758</v>
      </c>
      <c r="C587" s="27" t="s">
        <v>773</v>
      </c>
      <c r="D587" s="27" t="s">
        <v>774</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754</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1009</v>
      </c>
      <c r="B589" s="27" t="s">
        <v>772</v>
      </c>
      <c r="C589" s="27" t="s">
        <v>837</v>
      </c>
      <c r="D589" s="27" t="s">
        <v>774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760</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1010</v>
      </c>
      <c r="B591" s="27" t="s">
        <v>863</v>
      </c>
      <c r="C591" s="27" t="s">
        <v>837</v>
      </c>
      <c r="D591" s="27" t="s">
        <v>774</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760</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1011</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988</v>
      </c>
      <c r="B594" s="27" t="s">
        <v>895</v>
      </c>
      <c r="C594" s="27" t="s">
        <v>759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1012</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943</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882</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1013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1014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1015</v>
      </c>
      <c r="B600" s="27" t="s">
        <v>863</v>
      </c>
      <c r="C600" s="27" t="s">
        <v>989</v>
      </c>
      <c r="D600" s="27" t="s">
        <v>774</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775</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row>
    <row r="603" spans="1:12">
      <c r="A603" s="20" t="s">
        <v>791</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1016</v>
      </c>
    </row>
    <row r="605" spans="1:12">
      <c r="A605" s="20" t="s">
        <v>830</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803</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824</v>
      </c>
      <c r="B607" s="27" t="s">
        <v>800</v>
      </c>
      <c r="C607" s="27" t="s">
        <v>778</v>
      </c>
      <c r="D607" s="27" t="s">
        <v>774</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1017</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1018</v>
      </c>
      <c r="B609" s="27" t="s">
        <v>802</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340</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1018</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996</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769</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976</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932</v>
      </c>
      <c r="B615" s="27" t="s">
        <v>772</v>
      </c>
      <c r="C615" s="27" t="s">
        <v>773</v>
      </c>
      <c r="D615" s="27" t="s">
        <v>774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760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824</v>
      </c>
      <c r="B617" s="27" t="s">
        <v>762</v>
      </c>
      <c r="C617" s="27" t="s">
        <v>778</v>
      </c>
      <c r="D617" s="27" t="s">
        <v>774</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1019</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1020</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882</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1021</v>
      </c>
      <c r="B621" s="27" t="s">
        <v>895</v>
      </c>
      <c r="C621" s="27" t="s">
        <v>837</v>
      </c>
      <c r="D621" s="27" t="s">
        <v>774</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825</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764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977</v>
      </c>
      <c r="B624" s="27" t="s">
        <v>772</v>
      </c>
      <c r="C624" s="27" t="s">
        <v>767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340</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882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769</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988</v>
      </c>
      <c r="B628" s="27" t="s">
        <v>1022</v>
      </c>
      <c r="C628" s="27" t="s">
        <v>773</v>
      </c>
      <c r="D628" s="27" t="s">
        <v>774</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754</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769</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976</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932</v>
      </c>
      <c r="B632" s="27" t="s">
        <v>929</v>
      </c>
      <c r="C632" s="27" t="s">
        <v>773</v>
      </c>
      <c r="D632" s="27" t="s">
        <v>774</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1023</v>
      </c>
      <c r="B633" s="27" t="s">
        <v>1024</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880</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760</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752</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1025</v>
      </c>
      <c r="B637" s="27" t="s">
        <v>1026</v>
      </c>
      <c r="C637" s="27" t="s">
        <v>778</v>
      </c>
      <c r="D637" s="27" t="s">
        <v>774</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45</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935</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1027</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992</v>
      </c>
      <c r="B641" s="27" t="s">
        <v>1028</v>
      </c>
      <c r="C641" s="27" t="s">
        <v>759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1029</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853</v>
      </c>
      <c r="B643" s="27" t="s">
        <v>1030</v>
      </c>
      <c r="C643" s="27" t="s">
        <v>778</v>
      </c>
      <c r="D643" s="27" t="s">
        <v>774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158</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1031</v>
      </c>
      <c r="B645" s="27" t="s">
        <v>1032</v>
      </c>
      <c r="C645" s="27" t="s">
        <v>759</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754</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764</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977</v>
      </c>
      <c r="B648" s="27" t="s">
        <v>1033</v>
      </c>
      <c r="C648" s="27" t="s">
        <v>767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760</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752</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1034</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963</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1035</v>
      </c>
      <c r="B653" s="27" t="s">
        <v>1036</v>
      </c>
      <c r="C653" s="27" t="s">
        <v>811</v>
      </c>
      <c r="D653" s="27" t="s">
        <v>774</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882</v>
      </c>
      <c r="B654" s="27" t="s">
        <v>1024</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825</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1037</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775</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row>
    <row r="659" spans="1:12">
      <c r="A659" s="20" t="s">
        <v>1038</v>
      </c>
    </row>
    <row r="660" spans="1:12">
      <c r="A660" s="20" t="s">
        <v>777</v>
      </c>
      <c r="B660" s="27" t="s">
        <v>762</v>
      </c>
      <c r="C660" s="27" t="s">
        <v>778</v>
      </c>
      <c r="D660" s="27" t="s">
        <v>774</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825</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935</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847</v>
      </c>
      <c r="B663" s="27" t="s">
        <v>758</v>
      </c>
      <c r="C663" s="27" t="s">
        <v>848</v>
      </c>
      <c r="D663" s="27" t="s">
        <v>774</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977</v>
      </c>
      <c r="B664" s="27" t="s">
        <v>758</v>
      </c>
      <c r="C664" s="27" t="s">
        <v>834</v>
      </c>
      <c r="D664" s="27" t="s">
        <v>774</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760</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340</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824</v>
      </c>
      <c r="B667" s="27" t="s">
        <v>800</v>
      </c>
      <c r="C667" s="27" t="s">
        <v>778</v>
      </c>
      <c r="D667" s="27" t="s">
        <v>774</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852</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935</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1039</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112</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807</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1040</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1041</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340</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1042</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795</v>
      </c>
      <c r="B677" s="27" t="s">
        <v>1036</v>
      </c>
      <c r="C677" s="27" t="s">
        <v>778</v>
      </c>
      <c r="D677" s="27" t="s">
        <v>774</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760</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812</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824</v>
      </c>
      <c r="B680" s="27" t="s">
        <v>800</v>
      </c>
      <c r="C680" s="27" t="s">
        <v>778</v>
      </c>
      <c r="D680" s="27" t="s">
        <v>774</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1043</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882</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795</v>
      </c>
      <c r="B683" s="27" t="s">
        <v>895</v>
      </c>
      <c r="C683" s="27" t="s">
        <v>778</v>
      </c>
      <c r="D683" s="27" t="s">
        <v>774</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825</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764</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977</v>
      </c>
      <c r="B686" s="27" t="s">
        <v>772</v>
      </c>
      <c r="C686" s="27" t="s">
        <v>767</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340</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882</v>
      </c>
      <c r="B688" s="27" t="s">
        <v>863</v>
      </c>
      <c r="C688" s="27" t="s">
        <v>818</v>
      </c>
      <c r="D688" s="27" t="s">
        <v>774</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785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769</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988</v>
      </c>
      <c r="B691" s="27" t="s">
        <v>815</v>
      </c>
      <c r="C691" s="27" t="s">
        <v>773</v>
      </c>
      <c r="D691" s="27" t="s">
        <v>774</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1023</v>
      </c>
      <c r="B692" s="27" t="s">
        <v>1024</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1034</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1044</v>
      </c>
      <c r="B694" s="27" t="s">
        <v>929</v>
      </c>
      <c r="C694" s="27" t="s">
        <v>834</v>
      </c>
      <c r="D694" s="27" t="s">
        <v>774</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768</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795</v>
      </c>
      <c r="B696" s="27" t="s">
        <v>927</v>
      </c>
      <c r="C696" s="27" t="s">
        <v>778</v>
      </c>
      <c r="D696" s="27" t="s">
        <v>774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760</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795</v>
      </c>
      <c r="B698" s="27" t="s">
        <v>800</v>
      </c>
      <c r="C698" s="27" t="s">
        <v>778</v>
      </c>
      <c r="D698" s="27" t="s">
        <v>774</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1045</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803</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1046</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803</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1047</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977</v>
      </c>
      <c r="B704" s="27" t="s">
        <v>863</v>
      </c>
      <c r="C704" s="27" t="s">
        <v>759</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1048</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841</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977</v>
      </c>
      <c r="B707" s="27" t="s">
        <v>815</v>
      </c>
      <c r="C707" s="27" t="s">
        <v>759</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1048</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1049</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977</v>
      </c>
      <c r="B710" s="27" t="s">
        <v>815</v>
      </c>
      <c r="C710" s="27" t="s">
        <v>759</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775</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row>
    <row r="713" spans="1:12">
      <c r="A713" s="20" t="s">
        <v>1050</v>
      </c>
    </row>
    <row r="714" spans="1:12">
      <c r="A714" s="20" t="s">
        <v>777</v>
      </c>
      <c r="B714" s="27" t="s">
        <v>762</v>
      </c>
      <c r="C714" s="27" t="s">
        <v>778</v>
      </c>
      <c r="D714" s="27" t="s">
        <v>774</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1045</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803</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1051</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760</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866</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760</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1005</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803</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1052</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977</v>
      </c>
      <c r="B724" s="27" t="s">
        <v>758</v>
      </c>
      <c r="C724" s="27" t="s">
        <v>759</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775</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row>
    <row r="727" spans="1:12">
      <c r="A727" s="20" t="s">
        <v>1053</v>
      </c>
    </row>
    <row r="728" spans="1:12">
      <c r="A728" s="20" t="s">
        <v>1054</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764</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1055</v>
      </c>
      <c r="B730" s="27" t="s">
        <v>762</v>
      </c>
      <c r="C730" s="27" t="s">
        <v>767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768</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764</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1055</v>
      </c>
      <c r="B733" s="27" t="s">
        <v>772</v>
      </c>
      <c r="C733" s="27" t="s">
        <v>834</v>
      </c>
      <c r="D733" s="27" t="s">
        <v>774</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768</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1056</v>
      </c>
      <c r="B735" s="27" t="s">
        <v>863</v>
      </c>
      <c r="C735" s="27" t="s">
        <v>811</v>
      </c>
      <c r="D735" s="27" t="s">
        <v>774</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982</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764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1057</v>
      </c>
      <c r="B738" s="27" t="s">
        <v>766</v>
      </c>
      <c r="C738" s="27" t="s">
        <v>767</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1023</v>
      </c>
      <c r="B739" s="27" t="s">
        <v>895</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825</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764</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1058</v>
      </c>
      <c r="B742" s="27" t="s">
        <v>772</v>
      </c>
      <c r="C742" s="27" t="s">
        <v>767</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775</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row>
    <row r="745" spans="1:12">
      <c r="A745" s="20" t="s">
        <v>1059</v>
      </c>
    </row>
    <row r="746" spans="1:12">
      <c r="A746" s="20" t="s">
        <v>830</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823</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1060</v>
      </c>
      <c r="B748" s="27" t="s">
        <v>863</v>
      </c>
      <c r="C748" s="27" t="s">
        <v>848</v>
      </c>
      <c r="D748" s="27" t="s">
        <v>774</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1057</v>
      </c>
      <c r="B749" s="27" t="s">
        <v>800</v>
      </c>
      <c r="C749" s="27" t="s">
        <v>834</v>
      </c>
      <c r="D749" s="27" t="s">
        <v>774</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825</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1061</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760</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893</v>
      </c>
      <c r="B753" s="27" t="s">
        <v>762</v>
      </c>
      <c r="C753" s="27" t="s">
        <v>778</v>
      </c>
      <c r="D753" s="27" t="s">
        <v>774</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1062</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1063</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1064</v>
      </c>
      <c r="B756" s="27" t="s">
        <v>766</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1065</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1066</v>
      </c>
      <c r="B758" s="27" t="s">
        <v>802</v>
      </c>
      <c r="C758" s="27" t="s">
        <v>759</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882</v>
      </c>
      <c r="B759" s="27" t="s">
        <v>1022</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914</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1067</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807</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244</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1068</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1069</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807</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908</v>
      </c>
      <c r="B767" s="27" t="s">
        <v>927</v>
      </c>
      <c r="C767" s="27" t="s">
        <v>778</v>
      </c>
      <c r="D767" s="27" t="s">
        <v>774</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775</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row>
    <row r="770" spans="1:12">
      <c r="A770" s="20" t="s">
        <v>1070</v>
      </c>
    </row>
    <row r="771" spans="1:12">
      <c r="A771" s="20" t="s">
        <v>1071</v>
      </c>
      <c r="B771" s="27" t="s">
        <v>762</v>
      </c>
      <c r="C771" s="27" t="s">
        <v>778</v>
      </c>
      <c r="D771" s="27" t="s">
        <v>774</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825</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1072</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769</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849</v>
      </c>
      <c r="B775" s="27" t="s">
        <v>766</v>
      </c>
      <c r="C775" s="27" t="s">
        <v>773</v>
      </c>
      <c r="D775" s="27" t="s">
        <v>774</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768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936</v>
      </c>
      <c r="B777" s="27" t="s">
        <v>895</v>
      </c>
      <c r="C777" s="27" t="s">
        <v>937</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807</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45</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871</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1073</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1074</v>
      </c>
      <c r="B782" s="27" t="s">
        <v>863</v>
      </c>
      <c r="C782" s="27" t="s">
        <v>989</v>
      </c>
      <c r="D782" s="27" t="s">
        <v>774</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775</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row>
    <row r="785" spans="1:12">
      <c r="A785" s="20" t="s">
        <v>791</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1075</v>
      </c>
    </row>
    <row r="787" spans="1:12">
      <c r="A787" s="20" t="s">
        <v>1076</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893</v>
      </c>
      <c r="B788" s="27" t="s">
        <v>762</v>
      </c>
      <c r="C788" s="27" t="s">
        <v>778</v>
      </c>
      <c r="D788" s="27" t="s">
        <v>774</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53</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760</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752</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1077</v>
      </c>
      <c r="B792" s="27" t="s">
        <v>800</v>
      </c>
      <c r="C792" s="27" t="s">
        <v>778</v>
      </c>
      <c r="D792" s="27" t="s">
        <v>774</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1078</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1079</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930</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1080</v>
      </c>
      <c r="B796" s="27" t="s">
        <v>758</v>
      </c>
      <c r="C796" s="27" t="s">
        <v>1081</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1082</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812</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764</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781</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1083</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1084</v>
      </c>
      <c r="B802" s="27" t="s">
        <v>772</v>
      </c>
      <c r="C802" s="27" t="s">
        <v>767</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858</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752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row>
    <row r="806" spans="1:12">
      <c r="A806" s="20" t="s">
        <v>1085</v>
      </c>
    </row>
    <row r="807" spans="1:12">
      <c r="A807" s="20" t="s">
        <v>1086</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1087</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893</v>
      </c>
      <c r="B809" s="27" t="s">
        <v>762</v>
      </c>
      <c r="C809" s="27" t="s">
        <v>778</v>
      </c>
      <c r="D809" s="27" t="s">
        <v>774</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175</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807</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1088</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1089</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1090</v>
      </c>
      <c r="B814" s="27" t="s">
        <v>802</v>
      </c>
      <c r="C814" s="27" t="s">
        <v>799</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768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1058</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862</v>
      </c>
      <c r="B817" s="27" t="s">
        <v>863</v>
      </c>
      <c r="C817" s="27" t="s">
        <v>759</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760</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854</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1091</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754</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769</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1092</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1093</v>
      </c>
      <c r="B824" s="27" t="s">
        <v>863</v>
      </c>
      <c r="C824" s="27" t="s">
        <v>837</v>
      </c>
      <c r="D824" s="27" t="s">
        <v>774</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768</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1007</v>
      </c>
      <c r="B826" s="27" t="s">
        <v>815</v>
      </c>
      <c r="C826" s="27" t="s">
        <v>837</v>
      </c>
      <c r="D826" s="27" t="s">
        <v>774</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760</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145</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1094</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768</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936</v>
      </c>
      <c r="B831" s="27" t="s">
        <v>1022</v>
      </c>
      <c r="C831" s="27" t="s">
        <v>937</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825</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1095</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785</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1096</v>
      </c>
      <c r="B835" s="27" t="s">
        <v>815</v>
      </c>
      <c r="C835" s="27" t="s">
        <v>759</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858</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row>
    <row r="838" spans="1:12">
      <c r="A838" s="20" t="s">
        <v>791</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1097</v>
      </c>
    </row>
    <row r="840" spans="1:12">
      <c r="A840" s="20" t="s">
        <v>830</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824</v>
      </c>
      <c r="B841" s="27" t="s">
        <v>762</v>
      </c>
      <c r="C841" s="27" t="s">
        <v>778</v>
      </c>
      <c r="D841" s="27" t="s">
        <v>774</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1062</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894</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760</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752</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1098</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1099</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928</v>
      </c>
      <c r="B848" s="27" t="s">
        <v>800</v>
      </c>
      <c r="C848" s="27" t="s">
        <v>759</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1100</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1061</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807</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992</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1101</v>
      </c>
      <c r="B853" s="27" t="s">
        <v>810</v>
      </c>
      <c r="C853" s="27" t="s">
        <v>759</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775</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row>
    <row r="856" spans="1:12">
      <c r="A856" s="20" t="s">
        <v>1102</v>
      </c>
    </row>
    <row r="857" spans="1:12">
      <c r="A857" s="20" t="s">
        <v>1103</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992</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1101</v>
      </c>
      <c r="B859" s="27" t="s">
        <v>762</v>
      </c>
      <c r="C859" s="27" t="s">
        <v>759</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182</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807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175</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807</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431</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993</v>
      </c>
      <c r="B865" s="27" t="s">
        <v>810</v>
      </c>
      <c r="C865" s="27" t="s">
        <v>778</v>
      </c>
      <c r="D865" s="27" t="s">
        <v>774</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775</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row>
    <row r="868" spans="1:12">
      <c r="A868" s="20" t="s">
        <v>1104</v>
      </c>
    </row>
    <row r="869" spans="1:12">
      <c r="A869" s="20" t="s">
        <v>1103</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1099</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988</v>
      </c>
      <c r="B871" s="27" t="s">
        <v>762</v>
      </c>
      <c r="C871" s="27" t="s">
        <v>989</v>
      </c>
      <c r="D871" s="27" t="s">
        <v>774</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186</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1105</v>
      </c>
      <c r="B873" s="27" t="s">
        <v>766</v>
      </c>
      <c r="C873" s="27" t="s">
        <v>759</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1106</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754</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1107</v>
      </c>
      <c r="B876" s="27" t="s">
        <v>772</v>
      </c>
      <c r="C876" s="27" t="s">
        <v>759</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775</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row>
    <row r="879" spans="1:12">
      <c r="A879" s="20" t="s">
        <v>1108</v>
      </c>
    </row>
    <row r="880" spans="1:12">
      <c r="A880" s="20" t="s">
        <v>1098</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841</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988</v>
      </c>
      <c r="B882" s="27" t="s">
        <v>762</v>
      </c>
      <c r="C882" s="27" t="s">
        <v>759</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1100</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1061</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807</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1109</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1101</v>
      </c>
      <c r="B887" s="27" t="s">
        <v>758</v>
      </c>
      <c r="C887" s="27" t="s">
        <v>759</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775</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row>
    <row r="890" spans="1:12">
      <c r="A890" s="20" t="s">
        <v>1110</v>
      </c>
    </row>
    <row r="891" spans="1:12">
      <c r="A891" s="20" t="s">
        <v>1103</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1109</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1101</v>
      </c>
      <c r="B893" s="27" t="s">
        <v>762</v>
      </c>
      <c r="C893" s="27" t="s">
        <v>989</v>
      </c>
      <c r="D893" s="27" t="s">
        <v>774</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1111</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112</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993</v>
      </c>
      <c r="B896" s="27" t="s">
        <v>766</v>
      </c>
      <c r="C896" s="27" t="s">
        <v>778</v>
      </c>
      <c r="D896" s="27" t="s">
        <v>774</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807</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1112</v>
      </c>
      <c r="B898" s="27" t="s">
        <v>758</v>
      </c>
      <c r="C898" s="27" t="s">
        <v>759</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754</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936</v>
      </c>
      <c r="B900" s="27" t="s">
        <v>772</v>
      </c>
      <c r="C900" s="27" t="s">
        <v>937</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990</v>
      </c>
      <c r="B901" s="27" t="s">
        <v>1022</v>
      </c>
      <c r="C901" s="27" t="s">
        <v>778</v>
      </c>
      <c r="D901" s="27" t="s">
        <v>774</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93</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768</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803</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769</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1113</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932</v>
      </c>
      <c r="B907" s="27" t="s">
        <v>815</v>
      </c>
      <c r="C907" s="27" t="s">
        <v>773</v>
      </c>
      <c r="D907" s="27" t="s">
        <v>774</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760</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340</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986</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841</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988</v>
      </c>
      <c r="B912" s="27" t="s">
        <v>800</v>
      </c>
      <c r="C912" s="27" t="s">
        <v>989</v>
      </c>
      <c r="D912" s="27" t="s">
        <v>774</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158</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807</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186</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862</v>
      </c>
      <c r="B916" s="27" t="s">
        <v>810</v>
      </c>
      <c r="C916" s="27" t="s">
        <v>759</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1114</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1115</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775</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row>
    <row r="921" spans="1:12">
      <c r="A921" s="20" t="s">
        <v>1116</v>
      </c>
    </row>
    <row r="922" spans="1:12">
      <c r="A922" s="20" t="s">
        <v>830</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857</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825</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1073</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1055</v>
      </c>
      <c r="B926" s="27" t="s">
        <v>758</v>
      </c>
      <c r="C926" s="27" t="s">
        <v>989</v>
      </c>
      <c r="D926" s="27" t="s">
        <v>774</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768</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1056</v>
      </c>
      <c r="B928" s="27" t="s">
        <v>758</v>
      </c>
      <c r="C928" s="27" t="s">
        <v>811</v>
      </c>
      <c r="D928" s="27" t="s">
        <v>774</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760</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1117</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875</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1118</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1066</v>
      </c>
      <c r="B933" s="27" t="s">
        <v>772</v>
      </c>
      <c r="C933" s="27" t="s">
        <v>989</v>
      </c>
      <c r="D933" s="27" t="s">
        <v>774</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768</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862</v>
      </c>
      <c r="B935" s="27" t="s">
        <v>863</v>
      </c>
      <c r="C935" s="27" t="s">
        <v>759</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871</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1060</v>
      </c>
      <c r="B937" s="27" t="s">
        <v>929</v>
      </c>
      <c r="C937" s="27" t="s">
        <v>848</v>
      </c>
      <c r="D937" s="27" t="s">
        <v>774</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1058</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1057</v>
      </c>
      <c r="B939" s="27" t="s">
        <v>815</v>
      </c>
      <c r="C939" s="27" t="s">
        <v>834</v>
      </c>
      <c r="D939" s="27" t="s">
        <v>774</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775</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row>
    <row r="942" spans="1:12">
      <c r="A942" s="20" t="s">
        <v>791</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1119</v>
      </c>
    </row>
    <row r="944" spans="1:12">
      <c r="A944" s="20" t="s">
        <v>830</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824</v>
      </c>
      <c r="B945" s="27" t="s">
        <v>762</v>
      </c>
      <c r="C945" s="27" t="s">
        <v>778</v>
      </c>
      <c r="D945" s="27" t="s">
        <v>774</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894</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760</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752</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1120</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795</v>
      </c>
      <c r="B950" s="27" t="s">
        <v>800</v>
      </c>
      <c r="C950" s="27" t="s">
        <v>778</v>
      </c>
      <c r="D950" s="27" t="s">
        <v>774</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779</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1121</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850</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764</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646</v>
      </c>
      <c r="B955" s="27" t="s">
        <v>766</v>
      </c>
      <c r="C955" s="27" t="s">
        <v>767</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882</v>
      </c>
      <c r="B956" s="27" t="s">
        <v>895</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1122</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1123</v>
      </c>
      <c r="B958" s="27" t="s">
        <v>810</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807</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41</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1124</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871</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764</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1074</v>
      </c>
      <c r="B964" s="27" t="s">
        <v>815</v>
      </c>
      <c r="C964" s="27" t="s">
        <v>767</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1023</v>
      </c>
      <c r="B965" s="27" t="s">
        <v>1024</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1125</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807</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41</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1126</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775</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752</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row>
    <row r="973" spans="1:12">
      <c r="A973" s="20" t="s">
        <v>1127</v>
      </c>
    </row>
    <row r="974" spans="1:12">
      <c r="A974" s="20" t="s">
        <v>830</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824</v>
      </c>
      <c r="B975" s="27" t="s">
        <v>762</v>
      </c>
      <c r="C975" s="27" t="s">
        <v>778</v>
      </c>
      <c r="D975" s="27" t="s">
        <v>774</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1128</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769</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1129</v>
      </c>
      <c r="B978" s="27" t="s">
        <v>766</v>
      </c>
      <c r="C978" s="27" t="s">
        <v>773</v>
      </c>
      <c r="D978" s="27" t="s">
        <v>774</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882</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855</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1100</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897</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1130</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1131</v>
      </c>
      <c r="B984" s="27" t="s">
        <v>800</v>
      </c>
      <c r="C984" s="27" t="s">
        <v>799</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768</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862</v>
      </c>
      <c r="B986" s="27" t="s">
        <v>863</v>
      </c>
      <c r="C986" s="27" t="s">
        <v>759</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775</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row>
    <row r="989" spans="1:12">
      <c r="A989" s="20" t="s">
        <v>1132</v>
      </c>
    </row>
    <row r="990" spans="1:12">
      <c r="A990" s="20" t="s">
        <v>1120</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1100</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1133</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1134</v>
      </c>
      <c r="B993" s="27" t="s">
        <v>762</v>
      </c>
      <c r="C993" s="27" t="s">
        <v>759</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760</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1135</v>
      </c>
      <c r="B995" s="27" t="s">
        <v>895</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1100</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1136</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1137</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1138</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789</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1139</v>
      </c>
      <c r="B1001" s="27" t="s">
        <v>863</v>
      </c>
      <c r="C1001" s="27" t="s">
        <v>759</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807</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1074</v>
      </c>
      <c r="B1003" s="27" t="s">
        <v>863</v>
      </c>
      <c r="C1003" s="27" t="s">
        <v>759</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775</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row>
    <row r="1006" spans="1:12">
      <c r="A1006" s="20" t="s">
        <v>1140</v>
      </c>
    </row>
    <row r="1007" spans="1:12">
      <c r="A1007" s="20" t="s">
        <v>1103</v>
      </c>
      <c r="B1007" s="27" t="s">
        <v>762</v>
      </c>
      <c r="C1007" s="27" t="s">
        <v>818</v>
      </c>
      <c r="D1007" s="27" t="s">
        <v>774</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1100</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1141</v>
      </c>
      <c r="B1009" s="27" t="s">
        <v>758</v>
      </c>
      <c r="C1009" s="27" t="s">
        <v>759</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930</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1142</v>
      </c>
      <c r="B1011" s="27" t="s">
        <v>758</v>
      </c>
      <c r="C1011" s="27" t="s">
        <v>759</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760</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1143</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1144</v>
      </c>
      <c r="B1014" s="27" t="s">
        <v>772</v>
      </c>
      <c r="C1014" s="27" t="s">
        <v>759</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760</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1145</v>
      </c>
      <c r="B1016" s="27" t="s">
        <v>772</v>
      </c>
      <c r="C1016" s="27" t="s">
        <v>759</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760</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1111</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1146</v>
      </c>
      <c r="B1019" s="27" t="s">
        <v>772</v>
      </c>
      <c r="C1019" s="27" t="s">
        <v>759</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775</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row>
    <row r="1022" spans="1:12">
      <c r="A1022" s="20" t="s">
        <v>1147</v>
      </c>
    </row>
    <row r="1023" spans="1:12">
      <c r="A1023" s="20" t="s">
        <v>1103</v>
      </c>
      <c r="B1023" s="27" t="s">
        <v>762</v>
      </c>
      <c r="C1023" s="27" t="s">
        <v>818</v>
      </c>
      <c r="D1023" s="27" t="s">
        <v>774</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1100</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1141</v>
      </c>
      <c r="B1025" s="27" t="s">
        <v>758</v>
      </c>
      <c r="C1025" s="27" t="s">
        <v>759</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924</v>
      </c>
      <c r="B1026" s="27" t="s">
        <v>800</v>
      </c>
      <c r="C1026" s="27" t="s">
        <v>778</v>
      </c>
      <c r="D1026" s="27" t="s">
        <v>774</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158</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754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1148</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871</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926</v>
      </c>
      <c r="B1031" s="27" t="s">
        <v>863</v>
      </c>
      <c r="C1031" s="27" t="s">
        <v>848</v>
      </c>
      <c r="D1031" s="27" t="s">
        <v>774</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1101</v>
      </c>
      <c r="B1032" s="27" t="s">
        <v>802</v>
      </c>
      <c r="C1032" s="27" t="s">
        <v>834</v>
      </c>
      <c r="D1032" s="27" t="s">
        <v>774</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340</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871</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926</v>
      </c>
      <c r="B1035" s="27" t="s">
        <v>772</v>
      </c>
      <c r="C1035" s="27" t="s">
        <v>848</v>
      </c>
      <c r="D1035" s="27" t="s">
        <v>774</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928</v>
      </c>
      <c r="B1036" s="27" t="s">
        <v>758</v>
      </c>
      <c r="C1036" s="27" t="s">
        <v>834</v>
      </c>
      <c r="D1036" s="27" t="s">
        <v>774</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775</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row>
    <row r="1039" spans="1:12">
      <c r="A1039" s="20" t="s">
        <v>1149</v>
      </c>
    </row>
    <row r="1040" spans="1:12">
      <c r="A1040" s="20" t="s">
        <v>830</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1150</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1089</v>
      </c>
      <c r="B1042" s="27" t="s">
        <v>800</v>
      </c>
      <c r="C1042" s="27" t="s">
        <v>834</v>
      </c>
      <c r="D1042" s="27" t="s">
        <v>774</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768</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993</v>
      </c>
      <c r="B1044" s="27" t="s">
        <v>863</v>
      </c>
      <c r="C1044" s="27" t="s">
        <v>778</v>
      </c>
      <c r="D1044" s="27" t="s">
        <v>774</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1151</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41</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1152</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760</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855</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819</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797</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1153</v>
      </c>
      <c r="B1052" s="27" t="s">
        <v>762</v>
      </c>
      <c r="C1052" s="27" t="s">
        <v>799</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807</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431</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993</v>
      </c>
      <c r="B1055" s="27" t="s">
        <v>810</v>
      </c>
      <c r="C1055" s="27" t="s">
        <v>778</v>
      </c>
      <c r="D1055" s="27" t="s">
        <v>774</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775</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row>
    <row r="1058" spans="1:12">
      <c r="A1058" s="20" t="s">
        <v>1154</v>
      </c>
    </row>
    <row r="1059" spans="1:12">
      <c r="A1059" s="20" t="s">
        <v>1077</v>
      </c>
      <c r="B1059" s="27" t="s">
        <v>762</v>
      </c>
      <c r="C1059" s="27" t="s">
        <v>778</v>
      </c>
      <c r="D1059" s="27" t="s">
        <v>774</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1151</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222</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882</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795</v>
      </c>
      <c r="B1063" s="27" t="s">
        <v>800</v>
      </c>
      <c r="C1063" s="27" t="s">
        <v>778</v>
      </c>
      <c r="D1063" s="27" t="s">
        <v>774</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819</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1155</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754</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769</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835</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836</v>
      </c>
      <c r="B1069" s="27" t="s">
        <v>772</v>
      </c>
      <c r="C1069" s="27" t="s">
        <v>837</v>
      </c>
      <c r="D1069" s="27" t="s">
        <v>774</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12</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877</v>
      </c>
      <c r="B1071" s="27" t="s">
        <v>772</v>
      </c>
      <c r="C1071" s="27" t="s">
        <v>848</v>
      </c>
      <c r="D1071" s="27" t="s">
        <v>774</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1156</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1157</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1158</v>
      </c>
      <c r="B1074" s="27" t="s">
        <v>758</v>
      </c>
      <c r="C1074" s="27" t="s">
        <v>834</v>
      </c>
      <c r="D1074" s="27" t="s">
        <v>774</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12</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807</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41</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764</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1159</v>
      </c>
      <c r="B1079" s="27" t="s">
        <v>758</v>
      </c>
      <c r="C1079" s="27" t="s">
        <v>767</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768</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910</v>
      </c>
      <c r="B1081" s="27" t="s">
        <v>772</v>
      </c>
      <c r="C1081" s="27" t="s">
        <v>759</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775</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row>
    <row r="1084" spans="1:12">
      <c r="A1084" s="20" t="s">
        <v>1160</v>
      </c>
    </row>
    <row r="1085" spans="1:12">
      <c r="A1085" s="20" t="s">
        <v>830</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1161</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760</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853</v>
      </c>
      <c r="B1088" s="27" t="s">
        <v>762</v>
      </c>
      <c r="C1088" s="27" t="s">
        <v>778</v>
      </c>
      <c r="D1088" s="27" t="s">
        <v>774</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158</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1162</v>
      </c>
      <c r="B1090" s="27" t="s">
        <v>766</v>
      </c>
      <c r="C1090" s="27" t="s">
        <v>811</v>
      </c>
      <c r="D1090" s="27" t="s">
        <v>774</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1023</v>
      </c>
      <c r="B1091" s="27" t="s">
        <v>895</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779</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1163</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807</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1164</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882</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769</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1165</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1166</v>
      </c>
      <c r="B1099" s="27" t="s">
        <v>925</v>
      </c>
      <c r="C1099" s="27" t="s">
        <v>773</v>
      </c>
      <c r="D1099" s="27" t="s">
        <v>774</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768</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928</v>
      </c>
      <c r="B1101" s="27" t="s">
        <v>927</v>
      </c>
      <c r="C1101" s="27" t="s">
        <v>759</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1061</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807</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1167</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12</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1168</v>
      </c>
      <c r="B1106" s="27" t="s">
        <v>1033</v>
      </c>
      <c r="C1106" s="27" t="s">
        <v>837</v>
      </c>
      <c r="D1106" s="27" t="s">
        <v>774</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340</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1169</v>
      </c>
      <c r="B1108" s="27" t="s">
        <v>1170</v>
      </c>
      <c r="C1108" s="27" t="s">
        <v>837</v>
      </c>
      <c r="D1108" s="27" t="s">
        <v>774</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33</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839</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871</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1171</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1172</v>
      </c>
      <c r="B1113" s="27" t="s">
        <v>929</v>
      </c>
      <c r="C1113" s="27" t="s">
        <v>759</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340</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1173</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1174</v>
      </c>
      <c r="B1116" s="27" t="s">
        <v>927</v>
      </c>
      <c r="C1116" s="27" t="s">
        <v>759</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775</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row>
    <row r="1119" spans="1:12">
      <c r="A1119" s="20" t="s">
        <v>791</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1175</v>
      </c>
    </row>
    <row r="1121" spans="1:12">
      <c r="A1121" s="20" t="s">
        <v>1120</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1100</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1118</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758</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1134</v>
      </c>
      <c r="B1125" s="27" t="s">
        <v>762</v>
      </c>
      <c r="C1125" s="27" t="s">
        <v>1176</v>
      </c>
      <c r="D1125" s="27" t="s">
        <v>774</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1135</v>
      </c>
      <c r="B1126" s="27" t="s">
        <v>810</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924</v>
      </c>
      <c r="B1127" s="27" t="s">
        <v>895</v>
      </c>
      <c r="C1127" s="27" t="s">
        <v>778</v>
      </c>
      <c r="D1127" s="27" t="s">
        <v>774</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158</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807</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1177</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789</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764</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1178</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1179</v>
      </c>
      <c r="B1134" s="27" t="s">
        <v>815</v>
      </c>
      <c r="C1134" s="27" t="s">
        <v>767</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760</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340</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824</v>
      </c>
      <c r="B1137" s="27" t="s">
        <v>800</v>
      </c>
      <c r="C1137" s="27" t="s">
        <v>778</v>
      </c>
      <c r="D1137" s="27" t="s">
        <v>774</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1180</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993</v>
      </c>
      <c r="B1139" s="27" t="s">
        <v>802</v>
      </c>
      <c r="C1139" s="27" t="s">
        <v>778</v>
      </c>
      <c r="D1139" s="27" t="s">
        <v>774</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752</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1181</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1134</v>
      </c>
      <c r="B1142" s="27" t="s">
        <v>772</v>
      </c>
      <c r="C1142" s="27" t="s">
        <v>759</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760</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752</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1182</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769</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1178</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1179</v>
      </c>
      <c r="B1148" s="27" t="s">
        <v>800</v>
      </c>
      <c r="C1148" s="27" t="s">
        <v>773</v>
      </c>
      <c r="D1148" s="27" t="s">
        <v>774</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779</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769</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1181</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1183</v>
      </c>
      <c r="B1152" s="27" t="s">
        <v>758</v>
      </c>
      <c r="C1152" s="27" t="s">
        <v>773</v>
      </c>
      <c r="D1152" s="27" t="s">
        <v>774</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775</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row>
    <row r="1155" spans="1:12">
      <c r="A1155" s="20" t="s">
        <v>1184</v>
      </c>
    </row>
    <row r="1156" spans="1:12">
      <c r="A1156" s="20" t="s">
        <v>1185</v>
      </c>
      <c r="B1156" s="27" t="s">
        <v>762</v>
      </c>
      <c r="C1156" s="27" t="s">
        <v>818</v>
      </c>
      <c r="D1156" s="27" t="s">
        <v>774</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1100</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1134</v>
      </c>
      <c r="B1158" s="27" t="s">
        <v>758</v>
      </c>
      <c r="C1158" s="27" t="s">
        <v>759</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882</v>
      </c>
      <c r="B1159" s="27" t="s">
        <v>800</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1100</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1186</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807</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926</v>
      </c>
      <c r="B1163" s="27" t="s">
        <v>863</v>
      </c>
      <c r="C1163" s="27" t="s">
        <v>848</v>
      </c>
      <c r="D1163" s="27" t="s">
        <v>774</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1101</v>
      </c>
      <c r="B1164" s="27" t="s">
        <v>772</v>
      </c>
      <c r="C1164" s="27" t="s">
        <v>834</v>
      </c>
      <c r="D1164" s="27" t="s">
        <v>774</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340</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882</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924</v>
      </c>
      <c r="B1167" s="27" t="s">
        <v>800</v>
      </c>
      <c r="C1167" s="27" t="s">
        <v>778</v>
      </c>
      <c r="D1167" s="27" t="s">
        <v>774</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158</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807</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186</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823</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924</v>
      </c>
      <c r="B1172" s="27" t="s">
        <v>1022</v>
      </c>
      <c r="C1172" s="27" t="s">
        <v>778</v>
      </c>
      <c r="D1172" s="27" t="s">
        <v>774</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854</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807</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138</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993</v>
      </c>
      <c r="B1176" s="27" t="s">
        <v>1187</v>
      </c>
      <c r="C1176" s="27" t="s">
        <v>778</v>
      </c>
      <c r="D1176" s="27" t="s">
        <v>774</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754</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1188</v>
      </c>
      <c r="B1178" s="27" t="s">
        <v>929</v>
      </c>
      <c r="C1178" s="27" t="s">
        <v>759</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775</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row>
    <row r="1181" spans="1:12">
      <c r="A1181" s="20" t="s">
        <v>1189</v>
      </c>
    </row>
    <row r="1182" spans="1:12">
      <c r="A1182" s="20" t="s">
        <v>830</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986</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1134</v>
      </c>
      <c r="B1184" s="27" t="s">
        <v>758</v>
      </c>
      <c r="C1184" s="27" t="s">
        <v>989</v>
      </c>
      <c r="D1184" s="27" t="s">
        <v>774</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760</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986</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1181</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1134</v>
      </c>
      <c r="B1188" s="27" t="s">
        <v>772</v>
      </c>
      <c r="C1188" s="27" t="s">
        <v>989</v>
      </c>
      <c r="D1188" s="27" t="s">
        <v>774</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760</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988</v>
      </c>
      <c r="B1190" s="27" t="s">
        <v>762</v>
      </c>
      <c r="C1190" s="27" t="s">
        <v>759</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158</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1190</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1191</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1192</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807</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431</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775</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row>
    <row r="1199" spans="1:12">
      <c r="A1199" s="20" t="s">
        <v>1193</v>
      </c>
    </row>
    <row r="1200" spans="1:12">
      <c r="A1200" s="20" t="s">
        <v>830</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824</v>
      </c>
      <c r="B1201" s="27" t="s">
        <v>762</v>
      </c>
      <c r="C1201" s="27" t="s">
        <v>778</v>
      </c>
      <c r="D1201" s="27" t="s">
        <v>774</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889</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807</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545</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875</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936</v>
      </c>
      <c r="B1206" s="27" t="s">
        <v>815</v>
      </c>
      <c r="C1206" s="27" t="s">
        <v>937</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769</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1194</v>
      </c>
      <c r="B1208" s="27" t="s">
        <v>1022</v>
      </c>
      <c r="C1208" s="27" t="s">
        <v>773</v>
      </c>
      <c r="D1208" s="27" t="s">
        <v>774</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779</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1195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1135</v>
      </c>
      <c r="B1211" s="27" t="s">
        <v>815</v>
      </c>
      <c r="C1211" s="27" t="s">
        <v>937</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988</v>
      </c>
      <c r="B1212" s="27" t="s">
        <v>895</v>
      </c>
      <c r="C1212" s="27" t="s">
        <v>1196</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1023</v>
      </c>
      <c r="B1213" s="27" t="s">
        <v>925</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158</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986</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1134</v>
      </c>
      <c r="B1216" s="27" t="s">
        <v>1187</v>
      </c>
      <c r="C1216" s="27" t="s">
        <v>989</v>
      </c>
      <c r="D1216" s="27" t="s">
        <v>774</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33</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807</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764</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1197</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1198</v>
      </c>
      <c r="B1221" s="27" t="s">
        <v>863</v>
      </c>
      <c r="C1221" s="27" t="s">
        <v>767</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871</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993</v>
      </c>
      <c r="B1223" s="27" t="s">
        <v>815</v>
      </c>
      <c r="C1223" s="27" t="s">
        <v>778</v>
      </c>
      <c r="D1223" s="27" t="s">
        <v>774</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775</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row>
    <row r="1226" spans="1:12">
      <c r="A1226" s="20" t="s">
        <v>1199</v>
      </c>
    </row>
    <row r="1227" spans="1:12">
      <c r="A1227" s="20" t="s">
        <v>830</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795</v>
      </c>
      <c r="B1228" s="27" t="s">
        <v>762</v>
      </c>
      <c r="C1228" s="27" t="s">
        <v>778</v>
      </c>
      <c r="D1228" s="27" t="s">
        <v>774</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1200</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807</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908</v>
      </c>
      <c r="B1231" s="27" t="s">
        <v>758</v>
      </c>
      <c r="C1231" s="27" t="s">
        <v>778</v>
      </c>
      <c r="D1231" s="27" t="s">
        <v>774</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882</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855</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1034</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826</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1201</v>
      </c>
      <c r="B1236" s="27" t="s">
        <v>800</v>
      </c>
      <c r="C1236" s="27" t="s">
        <v>799</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768</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1202</v>
      </c>
      <c r="B1238" s="27" t="s">
        <v>863</v>
      </c>
      <c r="C1238" s="27" t="s">
        <v>759</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882</v>
      </c>
      <c r="B1239" s="27" t="s">
        <v>1022</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1203</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807</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89</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1204</v>
      </c>
      <c r="B1243" s="27" t="s">
        <v>1187</v>
      </c>
      <c r="C1243" s="27" t="s">
        <v>759</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775</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row>
    <row r="1246" spans="1:12">
      <c r="A1246" s="20" t="s">
        <v>1205</v>
      </c>
    </row>
    <row r="1247" spans="1:12">
      <c r="A1247" s="20" t="s">
        <v>1120</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819</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1206</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12</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1202</v>
      </c>
      <c r="B1251" s="27" t="s">
        <v>762</v>
      </c>
      <c r="C1251" s="27" t="s">
        <v>759</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760</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855</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819</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646</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1202</v>
      </c>
      <c r="B1256" s="27" t="s">
        <v>800</v>
      </c>
      <c r="C1256" s="27" t="s">
        <v>759</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760</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340</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855</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819</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1207</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1202</v>
      </c>
      <c r="B1262" s="27" t="s">
        <v>800</v>
      </c>
      <c r="C1262" s="27" t="s">
        <v>759</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775</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row>
    <row r="1265" spans="1:12">
      <c r="A1265" s="20" t="s">
        <v>1208</v>
      </c>
    </row>
    <row r="1266" spans="1:12">
      <c r="A1266" s="20" t="s">
        <v>830</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990</v>
      </c>
      <c r="B1267" s="27" t="s">
        <v>762</v>
      </c>
      <c r="C1267" s="27" t="s">
        <v>778</v>
      </c>
      <c r="D1267" s="27" t="s">
        <v>774</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45</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935</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1191</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251</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775</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row>
    <row r="1274" spans="1:12">
      <c r="A1274" s="20" t="s">
        <v>1209</v>
      </c>
    </row>
    <row r="1275" spans="1:12">
      <c r="A1275" s="20" t="s">
        <v>830</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764</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490</v>
      </c>
      <c r="B1277" s="27" t="s">
        <v>762</v>
      </c>
      <c r="C1277" s="27" t="s">
        <v>767</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768</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769</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1210</v>
      </c>
      <c r="B1280" s="27" t="s">
        <v>772</v>
      </c>
      <c r="C1280" s="27" t="s">
        <v>773</v>
      </c>
      <c r="D1280" s="27" t="s">
        <v>774</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760</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988</v>
      </c>
      <c r="B1282" s="27" t="s">
        <v>895</v>
      </c>
      <c r="C1282" s="27" t="s">
        <v>759</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1023</v>
      </c>
      <c r="B1283" s="27" t="s">
        <v>925</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158</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1118</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1211</v>
      </c>
      <c r="B1286" s="27" t="s">
        <v>1187</v>
      </c>
      <c r="C1286" s="27" t="s">
        <v>989</v>
      </c>
      <c r="D1286" s="27" t="s">
        <v>774</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1100</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1212</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1213</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760</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1182</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990</v>
      </c>
      <c r="B1292" s="27" t="s">
        <v>800</v>
      </c>
      <c r="C1292" s="27" t="s">
        <v>778</v>
      </c>
      <c r="D1292" s="27" t="s">
        <v>774</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154</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803</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1214</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1215</v>
      </c>
      <c r="B1296" s="27" t="s">
        <v>815</v>
      </c>
      <c r="C1296" s="27" t="s">
        <v>848</v>
      </c>
      <c r="D1296" s="27" t="s">
        <v>774</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1101</v>
      </c>
      <c r="B1297" s="27" t="s">
        <v>895</v>
      </c>
      <c r="C1297" s="27" t="s">
        <v>834</v>
      </c>
      <c r="D1297" s="27" t="s">
        <v>774</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45</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935</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333</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993</v>
      </c>
      <c r="B1301" s="27" t="s">
        <v>810</v>
      </c>
      <c r="C1301" s="27" t="s">
        <v>778</v>
      </c>
      <c r="D1301" s="27" t="s">
        <v>774</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760</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823</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936</v>
      </c>
      <c r="B1304" s="27" t="s">
        <v>863</v>
      </c>
      <c r="C1304" s="27" t="s">
        <v>937</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1216</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1217</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1218</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779</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882</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1215</v>
      </c>
      <c r="B1310" s="27" t="s">
        <v>1033</v>
      </c>
      <c r="C1310" s="27" t="s">
        <v>848</v>
      </c>
      <c r="D1310" s="27" t="s">
        <v>774</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1101</v>
      </c>
      <c r="B1311" s="27" t="s">
        <v>1026</v>
      </c>
      <c r="C1311" s="27" t="s">
        <v>834</v>
      </c>
      <c r="D1311" s="27" t="s">
        <v>774</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45</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935</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650</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993</v>
      </c>
      <c r="B1315" s="27" t="s">
        <v>1028</v>
      </c>
      <c r="C1315" s="27" t="s">
        <v>778</v>
      </c>
      <c r="D1315" s="27" t="s">
        <v>774</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775</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row>
    <row r="1318" spans="1:12">
      <c r="A1318" s="20" t="s">
        <v>1219</v>
      </c>
    </row>
    <row r="1319" spans="1:12">
      <c r="A1319" s="20" t="s">
        <v>1220</v>
      </c>
      <c r="B1319" s="27" t="s">
        <v>762</v>
      </c>
      <c r="C1319" s="27" t="s">
        <v>759</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779</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1035</v>
      </c>
      <c r="B1321" s="27" t="s">
        <v>758</v>
      </c>
      <c r="C1321" s="27" t="s">
        <v>811</v>
      </c>
      <c r="D1321" s="27" t="s">
        <v>774</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882</v>
      </c>
      <c r="B1322" s="27" t="s">
        <v>800</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760</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1221</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760</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779</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855</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1222</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1223</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769</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1198</v>
      </c>
      <c r="B1331" s="27" t="s">
        <v>772</v>
      </c>
      <c r="C1331" s="27" t="s">
        <v>773</v>
      </c>
      <c r="D1331" s="27" t="s">
        <v>774</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1224</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764</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1139</v>
      </c>
      <c r="B1334" s="27" t="s">
        <v>863</v>
      </c>
      <c r="C1334" s="27" t="s">
        <v>767</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340</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764</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1074</v>
      </c>
      <c r="B1337" s="27" t="s">
        <v>815</v>
      </c>
      <c r="C1337" s="27" t="s">
        <v>767</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775</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row>
    <row r="1340" spans="1:12">
      <c r="A1340" s="20" t="s">
        <v>1225</v>
      </c>
    </row>
    <row r="1341" spans="1:12">
      <c r="A1341" s="20" t="s">
        <v>903</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1202</v>
      </c>
      <c r="B1342" s="27" t="s">
        <v>762</v>
      </c>
      <c r="C1342" s="27" t="s">
        <v>759</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779</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1035</v>
      </c>
      <c r="B1344" s="27" t="s">
        <v>758</v>
      </c>
      <c r="C1344" s="27" t="s">
        <v>811</v>
      </c>
      <c r="D1344" s="27" t="s">
        <v>774</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882</v>
      </c>
      <c r="B1345" s="27" t="s">
        <v>800</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1226</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1210</v>
      </c>
      <c r="B1347" s="27" t="s">
        <v>802</v>
      </c>
      <c r="C1347" s="27" t="s">
        <v>759</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775</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row>
    <row r="1350" spans="1:12">
      <c r="A1350" s="20" t="s">
        <v>1227</v>
      </c>
    </row>
    <row r="1351" spans="1:12">
      <c r="A1351" s="20" t="s">
        <v>777</v>
      </c>
      <c r="B1351" s="27" t="s">
        <v>762</v>
      </c>
      <c r="C1351" s="27" t="s">
        <v>778</v>
      </c>
      <c r="D1351" s="27" t="s">
        <v>774</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1191</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1226</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1210</v>
      </c>
      <c r="B1354" s="27" t="s">
        <v>766</v>
      </c>
      <c r="C1354" s="27" t="s">
        <v>759</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775</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row>
    <row r="1357" spans="1:12">
      <c r="A1357" s="20" t="s">
        <v>1228</v>
      </c>
    </row>
    <row r="1358" spans="1:12">
      <c r="A1358" s="20" t="s">
        <v>1229</v>
      </c>
      <c r="B1358" s="27" t="s">
        <v>762</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768</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769</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1096</v>
      </c>
      <c r="B1361" s="27" t="s">
        <v>772</v>
      </c>
      <c r="C1361" s="27" t="s">
        <v>773</v>
      </c>
      <c r="D1361" s="27" t="s">
        <v>774</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824</v>
      </c>
      <c r="B1362" s="27" t="s">
        <v>1022</v>
      </c>
      <c r="C1362" s="27" t="s">
        <v>778</v>
      </c>
      <c r="D1362" s="27" t="s">
        <v>774</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1230</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807</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85</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825</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764</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1231</v>
      </c>
      <c r="B1368" s="27" t="s">
        <v>758</v>
      </c>
      <c r="C1368" s="27" t="s">
        <v>767</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1232</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1233</v>
      </c>
      <c r="B1370" s="27" t="s">
        <v>772</v>
      </c>
      <c r="C1370" s="27" t="s">
        <v>837</v>
      </c>
      <c r="D1370" s="27" t="s">
        <v>774</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1234</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775</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row>
    <row r="1374" spans="1:12">
      <c r="A1374" s="20" t="s">
        <v>1235</v>
      </c>
    </row>
    <row r="1375" spans="1:12">
      <c r="A1375" s="20" t="s">
        <v>865</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1236</v>
      </c>
      <c r="B1376" s="27" t="s">
        <v>800</v>
      </c>
      <c r="C1376" s="27" t="s">
        <v>778</v>
      </c>
      <c r="D1376" s="27" t="s">
        <v>774</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825</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1061</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760</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1236</v>
      </c>
      <c r="B1380" s="27" t="s">
        <v>762</v>
      </c>
      <c r="C1380" s="27" t="s">
        <v>778</v>
      </c>
      <c r="D1380" s="27" t="s">
        <v>774</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825</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1237</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871</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1238</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1239</v>
      </c>
      <c r="B1385" s="27" t="s">
        <v>758</v>
      </c>
      <c r="C1385" s="27" t="s">
        <v>759</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760</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764</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1212</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1240</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1241</v>
      </c>
      <c r="B1390" s="27" t="s">
        <v>766</v>
      </c>
      <c r="C1390" s="27" t="s">
        <v>767</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760</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340</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1242</v>
      </c>
      <c r="B1393" s="27" t="s">
        <v>863</v>
      </c>
      <c r="C1393" s="27" t="s">
        <v>848</v>
      </c>
      <c r="D1393" s="27" t="s">
        <v>774</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1101</v>
      </c>
      <c r="B1394" s="27" t="s">
        <v>800</v>
      </c>
      <c r="C1394" s="27" t="s">
        <v>834</v>
      </c>
      <c r="D1394" s="27" t="s">
        <v>774</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1034</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1243</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882</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1236</v>
      </c>
      <c r="B1398" s="27" t="s">
        <v>895</v>
      </c>
      <c r="C1398" s="27" t="s">
        <v>778</v>
      </c>
      <c r="D1398" s="27" t="s">
        <v>774</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942</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1244</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1245</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760</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1236</v>
      </c>
      <c r="B1403" s="27" t="s">
        <v>1022</v>
      </c>
      <c r="C1403" s="27" t="s">
        <v>778</v>
      </c>
      <c r="D1403" s="27" t="s">
        <v>774</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942</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1244</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1246</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760</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1236</v>
      </c>
      <c r="B1408" s="27" t="s">
        <v>925</v>
      </c>
      <c r="C1408" s="27" t="s">
        <v>778</v>
      </c>
      <c r="D1408" s="27" t="s">
        <v>774</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942</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158</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797</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1247</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1248</v>
      </c>
      <c r="B1413" s="27" t="s">
        <v>1187</v>
      </c>
      <c r="C1413" s="27" t="s">
        <v>799</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760</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340</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1236</v>
      </c>
      <c r="B1416" s="27" t="s">
        <v>800</v>
      </c>
      <c r="C1416" s="27" t="s">
        <v>778</v>
      </c>
      <c r="D1416" s="27" t="s">
        <v>774</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942</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947</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806</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1005</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1249</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993</v>
      </c>
      <c r="B1422" s="27" t="s">
        <v>802</v>
      </c>
      <c r="C1422" s="27" t="s">
        <v>778</v>
      </c>
      <c r="D1422" s="27" t="s">
        <v>774</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775</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row>
    <row r="1425" spans="1:12">
      <c r="A1425" s="20" t="s">
        <v>1250</v>
      </c>
    </row>
    <row r="1426" spans="1:12">
      <c r="A1426" s="20" t="s">
        <v>830</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795</v>
      </c>
      <c r="B1427" s="27" t="s">
        <v>762</v>
      </c>
      <c r="C1427" s="27" t="s">
        <v>778</v>
      </c>
      <c r="D1427" s="27" t="s">
        <v>774</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825</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1251</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807</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993</v>
      </c>
      <c r="B1431" s="27" t="s">
        <v>758</v>
      </c>
      <c r="C1431" s="27" t="s">
        <v>778</v>
      </c>
      <c r="D1431" s="27" t="s">
        <v>774</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882</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990</v>
      </c>
      <c r="B1433" s="27" t="s">
        <v>800</v>
      </c>
      <c r="C1433" s="27" t="s">
        <v>778</v>
      </c>
      <c r="D1433" s="27" t="s">
        <v>774</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1252</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1253</v>
      </c>
      <c r="B1435" s="27" t="s">
        <v>802</v>
      </c>
      <c r="C1435" s="27" t="s">
        <v>778</v>
      </c>
      <c r="D1435" s="27" t="s">
        <v>774</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875</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769</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1254</v>
      </c>
      <c r="B1438" s="27" t="s">
        <v>772</v>
      </c>
      <c r="C1438" s="27" t="s">
        <v>773</v>
      </c>
      <c r="D1438" s="27" t="s">
        <v>774</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568</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882</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1236</v>
      </c>
      <c r="B1441" s="27" t="s">
        <v>895</v>
      </c>
      <c r="C1441" s="27" t="s">
        <v>778</v>
      </c>
      <c r="D1441" s="27" t="s">
        <v>774</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883</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1255</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855</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1256</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775</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row>
    <row r="1448" spans="1:12">
      <c r="A1448" s="20" t="s">
        <v>1257</v>
      </c>
    </row>
    <row r="1449" spans="1:12">
      <c r="A1449" s="20" t="s">
        <v>1258</v>
      </c>
      <c r="B1449" s="27" t="s">
        <v>772</v>
      </c>
      <c r="C1449" s="27" t="s">
        <v>848</v>
      </c>
      <c r="D1449" s="27" t="s">
        <v>774</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872</v>
      </c>
      <c r="B1450" s="27" t="s">
        <v>762</v>
      </c>
      <c r="C1450" s="27" t="s">
        <v>834</v>
      </c>
      <c r="D1450" s="27" t="s">
        <v>774</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880</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893</v>
      </c>
      <c r="B1452" s="27" t="s">
        <v>800</v>
      </c>
      <c r="C1452" s="27" t="s">
        <v>778</v>
      </c>
      <c r="D1452" s="27" t="s">
        <v>774</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825</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935</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1259</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807</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45</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795</v>
      </c>
      <c r="B1458" s="27" t="s">
        <v>810</v>
      </c>
      <c r="C1458" s="27" t="s">
        <v>778</v>
      </c>
      <c r="D1458" s="27" t="s">
        <v>774</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760</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340</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893</v>
      </c>
      <c r="B1461" s="27" t="s">
        <v>895</v>
      </c>
      <c r="C1461" s="27" t="s">
        <v>778</v>
      </c>
      <c r="D1461" s="27" t="s">
        <v>774</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939</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1060</v>
      </c>
      <c r="B1463" s="27" t="s">
        <v>815</v>
      </c>
      <c r="C1463" s="27" t="s">
        <v>848</v>
      </c>
      <c r="D1463" s="27" t="s">
        <v>774</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1260</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886</v>
      </c>
      <c r="B1465" s="27" t="s">
        <v>810</v>
      </c>
      <c r="C1465" s="27" t="s">
        <v>834</v>
      </c>
      <c r="D1465" s="27" t="s">
        <v>774</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775</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row>
    <row r="1468" spans="1:12">
      <c r="A1468" s="20" t="s">
        <v>1261</v>
      </c>
    </row>
    <row r="1469" spans="1:12">
      <c r="A1469" s="20" t="s">
        <v>830</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1005</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1214</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893</v>
      </c>
      <c r="B1472" s="27" t="s">
        <v>800</v>
      </c>
      <c r="C1472" s="27" t="s">
        <v>778</v>
      </c>
      <c r="D1472" s="27" t="s">
        <v>774</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852</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935</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158</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764</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490</v>
      </c>
      <c r="B1477" s="27" t="s">
        <v>802</v>
      </c>
      <c r="C1477" s="27" t="s">
        <v>767</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768</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1262</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1048</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1263</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1264</v>
      </c>
      <c r="B1482" s="27" t="s">
        <v>863</v>
      </c>
      <c r="C1482" s="27" t="s">
        <v>759</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760</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893</v>
      </c>
      <c r="B1484" s="27" t="s">
        <v>762</v>
      </c>
      <c r="C1484" s="27" t="s">
        <v>778</v>
      </c>
      <c r="D1484" s="27" t="s">
        <v>774</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1063</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769</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1265</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1266</v>
      </c>
      <c r="B1488" s="27" t="s">
        <v>766</v>
      </c>
      <c r="C1488" s="27" t="s">
        <v>773</v>
      </c>
      <c r="D1488" s="27" t="s">
        <v>774</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754</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769</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1267</v>
      </c>
      <c r="B1491" s="27" t="s">
        <v>758</v>
      </c>
      <c r="C1491" s="27" t="s">
        <v>773</v>
      </c>
      <c r="D1491" s="27" t="s">
        <v>774</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785</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1268</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871</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1238</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1239</v>
      </c>
      <c r="B1496" s="27" t="s">
        <v>772</v>
      </c>
      <c r="C1496" s="27" t="s">
        <v>759</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760</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340</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893</v>
      </c>
      <c r="B1499" s="27" t="s">
        <v>800</v>
      </c>
      <c r="C1499" s="27" t="s">
        <v>778</v>
      </c>
      <c r="D1499" s="27" t="s">
        <v>774</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1230</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1233</v>
      </c>
      <c r="B1501" s="27" t="s">
        <v>802</v>
      </c>
      <c r="C1501" s="27" t="s">
        <v>837</v>
      </c>
      <c r="D1501" s="27" t="s">
        <v>774</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1269</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871</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1253</v>
      </c>
      <c r="B1504" s="27" t="s">
        <v>863</v>
      </c>
      <c r="C1504" s="27" t="s">
        <v>778</v>
      </c>
      <c r="D1504" s="27" t="s">
        <v>774</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775</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row>
    <row r="1507" spans="1:12">
      <c r="A1507" s="20" t="s">
        <v>1270</v>
      </c>
    </row>
    <row r="1508" spans="1:12">
      <c r="A1508" s="20" t="s">
        <v>830</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754</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769</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1271</v>
      </c>
      <c r="B1511" s="27" t="s">
        <v>758</v>
      </c>
      <c r="C1511" s="27" t="s">
        <v>834</v>
      </c>
      <c r="D1511" s="27" t="s">
        <v>774</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768</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1242</v>
      </c>
      <c r="B1513" s="27" t="s">
        <v>863</v>
      </c>
      <c r="C1513" s="27" t="s">
        <v>848</v>
      </c>
      <c r="D1513" s="27" t="s">
        <v>774</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1272</v>
      </c>
      <c r="B1514" s="27" t="s">
        <v>772</v>
      </c>
      <c r="C1514" s="27" t="s">
        <v>834</v>
      </c>
      <c r="D1514" s="27" t="s">
        <v>774</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760</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1236</v>
      </c>
      <c r="B1516" s="27" t="s">
        <v>762</v>
      </c>
      <c r="C1516" s="27" t="s">
        <v>778</v>
      </c>
      <c r="D1516" s="27" t="s">
        <v>774</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982</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130</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1273</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1274</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1275</v>
      </c>
      <c r="B1521" s="27" t="s">
        <v>766</v>
      </c>
      <c r="C1521" s="27" t="s">
        <v>799</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775</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row>
    <row r="1524" spans="1:12">
      <c r="A1524" s="20" t="s">
        <v>1276</v>
      </c>
    </row>
    <row r="1525" spans="1:12">
      <c r="A1525" s="20" t="s">
        <v>830</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1236</v>
      </c>
      <c r="B1526" s="27" t="s">
        <v>762</v>
      </c>
      <c r="C1526" s="27" t="s">
        <v>778</v>
      </c>
      <c r="D1526" s="27" t="s">
        <v>774</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1277</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1278</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1073</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1210</v>
      </c>
      <c r="B1530" s="27" t="s">
        <v>766</v>
      </c>
      <c r="C1530" s="27" t="s">
        <v>989</v>
      </c>
      <c r="D1530" s="27" t="s">
        <v>774</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1279</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754</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769</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1254</v>
      </c>
      <c r="B1534" s="27" t="s">
        <v>772</v>
      </c>
      <c r="C1534" s="27" t="s">
        <v>773</v>
      </c>
      <c r="D1534" s="27" t="s">
        <v>774</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1150</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1236</v>
      </c>
      <c r="B1536" s="27" t="s">
        <v>895</v>
      </c>
      <c r="C1536" s="27" t="s">
        <v>778</v>
      </c>
      <c r="D1536" s="27" t="s">
        <v>774</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825</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1280</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986</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1275</v>
      </c>
      <c r="B1540" s="27" t="s">
        <v>810</v>
      </c>
      <c r="C1540" s="27" t="s">
        <v>989</v>
      </c>
      <c r="D1540" s="27" t="s">
        <v>774</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760</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803</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764</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1281</v>
      </c>
      <c r="B1544" s="27" t="s">
        <v>863</v>
      </c>
      <c r="C1544" s="27" t="s">
        <v>767</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768</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1135</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760</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1236</v>
      </c>
      <c r="B1548" s="27" t="s">
        <v>925</v>
      </c>
      <c r="C1548" s="27" t="s">
        <v>778</v>
      </c>
      <c r="D1548" s="27" t="s">
        <v>774</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914</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1151</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1245</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775</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row>
    <row r="1554" spans="1:12">
      <c r="A1554" s="20" t="s">
        <v>1282</v>
      </c>
    </row>
    <row r="1555" spans="1:12">
      <c r="A1555" s="20" t="s">
        <v>1283</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1236</v>
      </c>
      <c r="B1556" s="27" t="s">
        <v>800</v>
      </c>
      <c r="C1556" s="27" t="s">
        <v>778</v>
      </c>
      <c r="D1556" s="27" t="s">
        <v>774</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825</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855</v>
      </c>
      <c r="B1558" s="27" t="s">
        <v>758</v>
      </c>
      <c r="C1558" s="27" t="s">
        <v>856</v>
      </c>
      <c r="D1558" s="27" t="s">
        <v>774</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760</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990</v>
      </c>
      <c r="B1560" s="27" t="s">
        <v>762</v>
      </c>
      <c r="C1560" s="27" t="s">
        <v>778</v>
      </c>
      <c r="D1560" s="27" t="s">
        <v>774</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1284</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1285</v>
      </c>
      <c r="B1562" s="27" t="s">
        <v>766</v>
      </c>
      <c r="C1562" s="27" t="s">
        <v>759</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1286</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807</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1287</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1253</v>
      </c>
      <c r="B1566" s="27" t="s">
        <v>802</v>
      </c>
      <c r="C1566" s="27" t="s">
        <v>778</v>
      </c>
      <c r="D1566" s="27" t="s">
        <v>774</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871</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1242</v>
      </c>
      <c r="B1568" s="27" t="s">
        <v>863</v>
      </c>
      <c r="C1568" s="27" t="s">
        <v>848</v>
      </c>
      <c r="D1568" s="27" t="s">
        <v>774</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1288</v>
      </c>
      <c r="B1569" s="27" t="s">
        <v>772</v>
      </c>
      <c r="C1569" s="27" t="s">
        <v>834</v>
      </c>
      <c r="D1569" s="27" t="s">
        <v>774</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760</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340</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1236</v>
      </c>
      <c r="B1572" s="27" t="s">
        <v>800</v>
      </c>
      <c r="C1572" s="27" t="s">
        <v>778</v>
      </c>
      <c r="D1572" s="27" t="s">
        <v>774</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1289</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1212</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1290</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760</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1182</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855</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825</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1291</v>
      </c>
      <c r="B1580" s="27" t="s">
        <v>895</v>
      </c>
      <c r="C1580" s="27" t="s">
        <v>811</v>
      </c>
      <c r="D1580" s="27" t="s">
        <v>774</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1082</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807</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45</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775</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row>
    <row r="1586" spans="1:12">
      <c r="A1586" s="20" t="s">
        <v>1292</v>
      </c>
    </row>
    <row r="1587" spans="1:12">
      <c r="A1587" s="20" t="s">
        <v>1293</v>
      </c>
      <c r="B1587" s="27" t="s">
        <v>762</v>
      </c>
      <c r="C1587" s="27" t="s">
        <v>778</v>
      </c>
      <c r="D1587" s="27" t="s">
        <v>774</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1294</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1295</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1296</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875</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764</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1297</v>
      </c>
      <c r="B1593" s="27" t="s">
        <v>772</v>
      </c>
      <c r="C1593" s="27" t="s">
        <v>767</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882</v>
      </c>
      <c r="B1594" s="27" t="s">
        <v>1022</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982</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1244</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1298</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1299</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1300</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968</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1301</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1302</v>
      </c>
      <c r="B1602" s="27" t="s">
        <v>929</v>
      </c>
      <c r="C1602" s="27" t="s">
        <v>834</v>
      </c>
      <c r="D1602" s="27" t="s">
        <v>774</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768</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1242</v>
      </c>
      <c r="B1604" s="27" t="s">
        <v>1303</v>
      </c>
      <c r="C1604" s="27" t="s">
        <v>848</v>
      </c>
      <c r="D1604" s="27" t="s">
        <v>774</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646</v>
      </c>
      <c r="B1605" s="27" t="s">
        <v>927</v>
      </c>
      <c r="C1605" s="27" t="s">
        <v>834</v>
      </c>
      <c r="D1605" s="27" t="s">
        <v>774</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775</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row>
    <row r="1608" spans="1:12">
      <c r="A1608" s="20" t="s">
        <v>1304</v>
      </c>
    </row>
    <row r="1609" spans="1:12">
      <c r="A1609" s="20" t="s">
        <v>1293</v>
      </c>
      <c r="B1609" s="27" t="s">
        <v>762</v>
      </c>
      <c r="C1609" s="27" t="s">
        <v>778</v>
      </c>
      <c r="D1609" s="27" t="s">
        <v>774</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825</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769</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1305</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905</v>
      </c>
      <c r="B1613" s="27" t="s">
        <v>758</v>
      </c>
      <c r="C1613" s="27" t="s">
        <v>773</v>
      </c>
      <c r="D1613" s="27" t="s">
        <v>774</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754</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1242</v>
      </c>
      <c r="B1615" s="27" t="s">
        <v>772</v>
      </c>
      <c r="C1615" s="27" t="s">
        <v>848</v>
      </c>
      <c r="D1615" s="27" t="s">
        <v>774</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646</v>
      </c>
      <c r="B1616" s="27" t="s">
        <v>758</v>
      </c>
      <c r="C1616" s="27" t="s">
        <v>834</v>
      </c>
      <c r="D1616" s="27" t="s">
        <v>774</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760</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754</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913</v>
      </c>
      <c r="B1619" s="27" t="s">
        <v>758</v>
      </c>
      <c r="C1619" s="27" t="s">
        <v>759</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760</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807</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49</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807</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1306</v>
      </c>
      <c r="B1624" s="27" t="s">
        <v>863</v>
      </c>
      <c r="C1624" s="27" t="s">
        <v>759</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760</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1011</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1236</v>
      </c>
      <c r="B1627" s="27" t="s">
        <v>925</v>
      </c>
      <c r="C1627" s="27" t="s">
        <v>778</v>
      </c>
      <c r="D1627" s="27" t="s">
        <v>774</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1307</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1115</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1308</v>
      </c>
      <c r="B1630" s="27" t="s">
        <v>929</v>
      </c>
      <c r="C1630" s="27" t="s">
        <v>759</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340</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1309</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764</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1310</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1311</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1312</v>
      </c>
      <c r="B1636" s="27" t="s">
        <v>1313</v>
      </c>
      <c r="C1636" s="27" t="s">
        <v>767</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882</v>
      </c>
      <c r="B1637" s="27" t="s">
        <v>1030</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1314</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1242</v>
      </c>
      <c r="B1639" s="27" t="s">
        <v>1170</v>
      </c>
      <c r="C1639" s="27" t="s">
        <v>848</v>
      </c>
      <c r="D1639" s="27" t="s">
        <v>774</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1315</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1316</v>
      </c>
      <c r="B1641" s="27" t="s">
        <v>1032</v>
      </c>
      <c r="C1641" s="27" t="s">
        <v>834</v>
      </c>
      <c r="D1641" s="27" t="s">
        <v>774</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775</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row>
    <row r="1644" spans="1:12">
      <c r="A1644" s="20" t="s">
        <v>791</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1317</v>
      </c>
    </row>
    <row r="1646" spans="1:12">
      <c r="A1646" s="20" t="s">
        <v>830</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1242</v>
      </c>
      <c r="B1647" s="27" t="s">
        <v>863</v>
      </c>
      <c r="C1647" s="27" t="s">
        <v>848</v>
      </c>
      <c r="D1647" s="27" t="s">
        <v>774</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872</v>
      </c>
      <c r="B1648" s="27" t="s">
        <v>800</v>
      </c>
      <c r="C1648" s="27" t="s">
        <v>834</v>
      </c>
      <c r="D1648" s="27" t="s">
        <v>774</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1243</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908</v>
      </c>
      <c r="B1650" s="27" t="s">
        <v>802</v>
      </c>
      <c r="C1650" s="27" t="s">
        <v>778</v>
      </c>
      <c r="D1650" s="27" t="s">
        <v>774</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769</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1318</v>
      </c>
      <c r="B1652" s="27" t="s">
        <v>802</v>
      </c>
      <c r="C1652" s="27" t="s">
        <v>773</v>
      </c>
      <c r="D1652" s="27" t="s">
        <v>774</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768</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1319</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886</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905</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1320</v>
      </c>
      <c r="B1657" s="27" t="s">
        <v>815</v>
      </c>
      <c r="C1657" s="27" t="s">
        <v>799</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12</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340</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1236</v>
      </c>
      <c r="B1660" s="27" t="s">
        <v>895</v>
      </c>
      <c r="C1660" s="27" t="s">
        <v>778</v>
      </c>
      <c r="D1660" s="27" t="s">
        <v>774</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868</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807</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1306</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1321</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12</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340</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893</v>
      </c>
      <c r="B1667" s="27" t="s">
        <v>895</v>
      </c>
      <c r="C1667" s="27" t="s">
        <v>778</v>
      </c>
      <c r="D1667" s="27" t="s">
        <v>774</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880</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760</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752</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824</v>
      </c>
      <c r="B1671" s="27" t="s">
        <v>1022</v>
      </c>
      <c r="C1671" s="27" t="s">
        <v>778</v>
      </c>
      <c r="D1671" s="27" t="s">
        <v>774</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1000</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882</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1312</v>
      </c>
      <c r="B1674" s="27" t="s">
        <v>1036</v>
      </c>
      <c r="C1674" s="27" t="s">
        <v>989</v>
      </c>
      <c r="D1674" s="27" t="s">
        <v>774</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760</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1135</v>
      </c>
      <c r="B1676" s="27" t="s">
        <v>1313</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924</v>
      </c>
      <c r="B1677" s="27" t="s">
        <v>1024</v>
      </c>
      <c r="C1677" s="27" t="s">
        <v>778</v>
      </c>
      <c r="D1677" s="27" t="s">
        <v>774</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1151</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1191</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1249</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760</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754</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769</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1322</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490</v>
      </c>
      <c r="B1685" s="27" t="s">
        <v>927</v>
      </c>
      <c r="C1685" s="27" t="s">
        <v>773</v>
      </c>
      <c r="D1685" s="27" t="s">
        <v>774</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768</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764</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1323</v>
      </c>
      <c r="B1688" s="27" t="s">
        <v>1303</v>
      </c>
      <c r="C1688" s="27" t="s">
        <v>767</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760</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752</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893</v>
      </c>
      <c r="B1691" s="27" t="s">
        <v>762</v>
      </c>
      <c r="C1691" s="27" t="s">
        <v>778</v>
      </c>
      <c r="D1691" s="27" t="s">
        <v>774</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880</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775</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row>
    <row r="1695" spans="1:12">
      <c r="A1695" s="20" t="s">
        <v>791</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1324</v>
      </c>
    </row>
    <row r="1697" spans="1:12">
      <c r="A1697" s="20" t="s">
        <v>752</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830</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824</v>
      </c>
      <c r="B1699" s="27" t="s">
        <v>762</v>
      </c>
      <c r="C1699" s="27" t="s">
        <v>778</v>
      </c>
      <c r="D1699" s="27" t="s">
        <v>774</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894</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807</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1325</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760</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1326</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1327</v>
      </c>
      <c r="B1705" s="27" t="s">
        <v>800</v>
      </c>
      <c r="C1705" s="27" t="s">
        <v>778</v>
      </c>
      <c r="D1705" s="27" t="s">
        <v>774</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1078</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867</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1328</v>
      </c>
      <c r="B1708" s="27" t="s">
        <v>772</v>
      </c>
      <c r="C1708" s="27" t="s">
        <v>799</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1329</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760</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1236</v>
      </c>
      <c r="B1711" s="27" t="s">
        <v>895</v>
      </c>
      <c r="C1711" s="27" t="s">
        <v>778</v>
      </c>
      <c r="D1711" s="27" t="s">
        <v>774</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819</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826</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1328</v>
      </c>
      <c r="B1714" s="27" t="s">
        <v>895</v>
      </c>
      <c r="C1714" s="27" t="s">
        <v>799</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1329</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775</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row>
    <row r="1718" spans="1:12">
      <c r="A1718" s="20" t="s">
        <v>791</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1330</v>
      </c>
    </row>
    <row r="1720" spans="1:12">
      <c r="A1720" s="20" t="s">
        <v>1331</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1332</v>
      </c>
      <c r="B1721" s="27" t="s">
        <v>762</v>
      </c>
      <c r="C1721" s="27" t="s">
        <v>799</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785</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993</v>
      </c>
      <c r="B1723" s="27" t="s">
        <v>772</v>
      </c>
      <c r="C1723" s="27" t="s">
        <v>778</v>
      </c>
      <c r="D1723" s="27" t="s">
        <v>774</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779</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1333</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1332</v>
      </c>
      <c r="B1726" s="27" t="s">
        <v>758</v>
      </c>
      <c r="C1726" s="27" t="s">
        <v>799</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785</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1253</v>
      </c>
      <c r="B1728" s="27" t="s">
        <v>758</v>
      </c>
      <c r="C1728" s="27" t="s">
        <v>778</v>
      </c>
      <c r="D1728" s="27" t="s">
        <v>774</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775</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1326</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752</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row>
    <row r="1733" spans="1:12">
      <c r="A1733" s="20" t="s">
        <v>791</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1334</v>
      </c>
    </row>
    <row r="1735" spans="1:12">
      <c r="A1735" s="20" t="s">
        <v>1071</v>
      </c>
      <c r="B1735" s="27" t="s">
        <v>762</v>
      </c>
      <c r="C1735" s="27" t="s">
        <v>778</v>
      </c>
      <c r="D1735" s="27" t="s">
        <v>774</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880</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760</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752</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824</v>
      </c>
      <c r="B1739" s="27" t="s">
        <v>800</v>
      </c>
      <c r="C1739" s="27" t="s">
        <v>778</v>
      </c>
      <c r="D1739" s="27" t="s">
        <v>774</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1335</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824</v>
      </c>
      <c r="B1741" s="27" t="s">
        <v>895</v>
      </c>
      <c r="C1741" s="27" t="s">
        <v>778</v>
      </c>
      <c r="D1741" s="27" t="s">
        <v>774</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883</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935</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49</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754</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855</v>
      </c>
      <c r="B1746" s="27" t="s">
        <v>863</v>
      </c>
      <c r="C1746" s="27" t="s">
        <v>856</v>
      </c>
      <c r="D1746" s="27" t="s">
        <v>774</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340</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1336</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1253</v>
      </c>
      <c r="B1749" s="27" t="s">
        <v>810</v>
      </c>
      <c r="C1749" s="27" t="s">
        <v>778</v>
      </c>
      <c r="D1749" s="27" t="s">
        <v>774</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760</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812</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824</v>
      </c>
      <c r="B1752" s="27" t="s">
        <v>800</v>
      </c>
      <c r="C1752" s="27" t="s">
        <v>778</v>
      </c>
      <c r="D1752" s="27" t="s">
        <v>774</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868</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886</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760</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340</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824</v>
      </c>
      <c r="B1757" s="27" t="s">
        <v>800</v>
      </c>
      <c r="C1757" s="27" t="s">
        <v>778</v>
      </c>
      <c r="D1757" s="27" t="s">
        <v>774</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1337</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1253</v>
      </c>
      <c r="B1759" s="27" t="s">
        <v>802</v>
      </c>
      <c r="C1759" s="27" t="s">
        <v>778</v>
      </c>
      <c r="D1759" s="27" t="s">
        <v>774</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1338</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1339</v>
      </c>
      <c r="B1761" s="27" t="s">
        <v>802</v>
      </c>
      <c r="C1761" s="27" t="s">
        <v>799</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1115</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1242</v>
      </c>
      <c r="B1763" s="27" t="s">
        <v>863</v>
      </c>
      <c r="C1763" s="27" t="s">
        <v>848</v>
      </c>
      <c r="D1763" s="27" t="s">
        <v>774</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1340</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1341</v>
      </c>
      <c r="B1765" s="27" t="s">
        <v>772</v>
      </c>
      <c r="C1765" s="27" t="s">
        <v>834</v>
      </c>
      <c r="D1765" s="27" t="s">
        <v>774</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775</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752</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row>
    <row r="1769" spans="1:12">
      <c r="A1769" s="20" t="s">
        <v>791</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1342</v>
      </c>
    </row>
    <row r="1771" spans="1:12">
      <c r="A1771" s="20" t="s">
        <v>1071</v>
      </c>
      <c r="B1771" s="27" t="s">
        <v>762</v>
      </c>
      <c r="C1771" s="27" t="s">
        <v>778</v>
      </c>
      <c r="D1771" s="27" t="s">
        <v>774</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880</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760</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752</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830</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995</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824</v>
      </c>
      <c r="B1777" s="27" t="s">
        <v>800</v>
      </c>
      <c r="C1777" s="27" t="s">
        <v>778</v>
      </c>
      <c r="D1777" s="27" t="s">
        <v>774</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894</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760</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1343</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1344</v>
      </c>
      <c r="B1781" s="27" t="s">
        <v>895</v>
      </c>
      <c r="C1781" s="27" t="s">
        <v>1081</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982</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880</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807</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908</v>
      </c>
      <c r="B1785" s="27" t="s">
        <v>863</v>
      </c>
      <c r="C1785" s="27" t="s">
        <v>778</v>
      </c>
      <c r="D1785" s="27" t="s">
        <v>774</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760</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823</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1236</v>
      </c>
      <c r="B1788" s="27" t="s">
        <v>1022</v>
      </c>
      <c r="C1788" s="27" t="s">
        <v>778</v>
      </c>
      <c r="D1788" s="27" t="s">
        <v>774</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825</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1061</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760</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882</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847</v>
      </c>
      <c r="B1793" s="27" t="s">
        <v>815</v>
      </c>
      <c r="C1793" s="27" t="s">
        <v>848</v>
      </c>
      <c r="D1793" s="27" t="s">
        <v>774</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1345</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1346</v>
      </c>
      <c r="B1795" s="27" t="s">
        <v>895</v>
      </c>
      <c r="C1795" s="27" t="s">
        <v>834</v>
      </c>
      <c r="D1795" s="27" t="s">
        <v>774</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942</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41</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882</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1236</v>
      </c>
      <c r="B1799" s="27" t="s">
        <v>1022</v>
      </c>
      <c r="C1799" s="27" t="s">
        <v>778</v>
      </c>
      <c r="D1799" s="27" t="s">
        <v>774</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896</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49</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1347</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340</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1348</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871</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1242</v>
      </c>
      <c r="B1806" s="27" t="s">
        <v>1303</v>
      </c>
      <c r="C1806" s="27" t="s">
        <v>848</v>
      </c>
      <c r="D1806" s="27" t="s">
        <v>774</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1306</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1349</v>
      </c>
      <c r="B1808" s="27" t="s">
        <v>927</v>
      </c>
      <c r="C1808" s="27" t="s">
        <v>834</v>
      </c>
      <c r="D1808" s="27" t="s">
        <v>774</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1350</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752</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row>
    <row r="1812" spans="1:12">
      <c r="A1812" s="20" t="s">
        <v>791</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1351</v>
      </c>
    </row>
    <row r="1814" spans="1:12">
      <c r="A1814" s="20" t="s">
        <v>830</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824</v>
      </c>
      <c r="B1815" s="27" t="s">
        <v>762</v>
      </c>
      <c r="C1815" s="27" t="s">
        <v>778</v>
      </c>
      <c r="D1815" s="27" t="s">
        <v>774</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880</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807</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1060</v>
      </c>
      <c r="B1818" s="27" t="s">
        <v>758</v>
      </c>
      <c r="C1818" s="27" t="s">
        <v>778</v>
      </c>
      <c r="D1818" s="27" t="s">
        <v>774</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760</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752</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1352</v>
      </c>
      <c r="B1821" s="27" t="s">
        <v>802</v>
      </c>
      <c r="C1821" s="27" t="s">
        <v>937</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45</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924</v>
      </c>
      <c r="B1823" s="27" t="s">
        <v>800</v>
      </c>
      <c r="C1823" s="27" t="s">
        <v>778</v>
      </c>
      <c r="D1823" s="27" t="s">
        <v>774</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93</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924</v>
      </c>
      <c r="B1825" s="27" t="s">
        <v>895</v>
      </c>
      <c r="C1825" s="27" t="s">
        <v>778</v>
      </c>
      <c r="D1825" s="27" t="s">
        <v>774</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852</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882</v>
      </c>
      <c r="B1827" s="27" t="s">
        <v>1022</v>
      </c>
      <c r="C1827" s="27" t="s">
        <v>818</v>
      </c>
      <c r="D1827" s="27" t="s">
        <v>774</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1353</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1253</v>
      </c>
      <c r="B1829" s="27" t="s">
        <v>1036</v>
      </c>
      <c r="C1829" s="27" t="s">
        <v>778</v>
      </c>
      <c r="D1829" s="27" t="s">
        <v>774</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807</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1354</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803</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1073</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1355</v>
      </c>
      <c r="B1834" s="27" t="s">
        <v>929</v>
      </c>
      <c r="C1834" s="27" t="s">
        <v>989</v>
      </c>
      <c r="D1834" s="27" t="s">
        <v>774</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760</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1356</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760</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1357</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1159</v>
      </c>
      <c r="B1839" s="27" t="s">
        <v>927</v>
      </c>
      <c r="C1839" s="27" t="s">
        <v>759</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858</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752</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row>
    <row r="1843" spans="1:12">
      <c r="A1843" s="20" t="s">
        <v>791</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1358</v>
      </c>
    </row>
    <row r="1845" spans="1:12">
      <c r="A1845" s="20" t="s">
        <v>830</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893</v>
      </c>
      <c r="B1846" s="27" t="s">
        <v>762</v>
      </c>
      <c r="C1846" s="27" t="s">
        <v>778</v>
      </c>
      <c r="D1846" s="27" t="s">
        <v>774</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880</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760</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752</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1352</v>
      </c>
      <c r="B1850" s="27" t="s">
        <v>802</v>
      </c>
      <c r="C1850" s="27" t="s">
        <v>937</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852</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824</v>
      </c>
      <c r="B1852" s="27" t="s">
        <v>800</v>
      </c>
      <c r="C1852" s="27" t="s">
        <v>778</v>
      </c>
      <c r="D1852" s="27" t="s">
        <v>774</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45</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858</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row>
    <row r="1856" spans="1:12">
      <c r="A1856" s="20" t="s">
        <v>1359</v>
      </c>
    </row>
    <row r="1857" spans="1:12">
      <c r="A1857" s="20" t="s">
        <v>824</v>
      </c>
      <c r="B1857" s="27" t="s">
        <v>762</v>
      </c>
      <c r="C1857" s="27" t="s">
        <v>778</v>
      </c>
      <c r="D1857" s="27" t="s">
        <v>774</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1360</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1253</v>
      </c>
      <c r="B1859" s="27" t="s">
        <v>766</v>
      </c>
      <c r="C1859" s="27" t="s">
        <v>778</v>
      </c>
      <c r="D1859" s="27" t="s">
        <v>774</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760</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882</v>
      </c>
      <c r="B1861" s="27" t="s">
        <v>800</v>
      </c>
      <c r="C1861" s="27" t="s">
        <v>818</v>
      </c>
      <c r="D1861" s="27" t="s">
        <v>774</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819</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1278</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775</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row>
    <row r="1866" spans="1:12">
      <c r="A1866" s="20" t="s">
        <v>1361</v>
      </c>
    </row>
    <row r="1867" spans="1:12">
      <c r="A1867" s="20" t="s">
        <v>1233</v>
      </c>
      <c r="B1867" s="27" t="s">
        <v>762</v>
      </c>
      <c r="C1867" s="27" t="s">
        <v>837</v>
      </c>
      <c r="D1867" s="27" t="s">
        <v>774</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1079</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1191</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982</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882</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1362</v>
      </c>
      <c r="B1872" s="27" t="s">
        <v>766</v>
      </c>
      <c r="C1872" s="27" t="s">
        <v>989</v>
      </c>
      <c r="D1872" s="27" t="s">
        <v>774</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754</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1253</v>
      </c>
      <c r="B1874" s="27" t="s">
        <v>758</v>
      </c>
      <c r="C1874" s="27" t="s">
        <v>778</v>
      </c>
      <c r="D1874" s="27" t="s">
        <v>774</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775</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row>
    <row r="1877" spans="1:12">
      <c r="A1877" s="20" t="s">
        <v>1363</v>
      </c>
    </row>
    <row r="1878" spans="1:12">
      <c r="A1878" s="20" t="s">
        <v>830</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1242</v>
      </c>
      <c r="B1879" s="27" t="s">
        <v>772</v>
      </c>
      <c r="C1879" s="27" t="s">
        <v>848</v>
      </c>
      <c r="D1879" s="27" t="s">
        <v>774</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1364</v>
      </c>
      <c r="B1880" s="27" t="s">
        <v>758</v>
      </c>
      <c r="C1880" s="27" t="s">
        <v>834</v>
      </c>
      <c r="D1880" s="27" t="s">
        <v>774</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340</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row>
    <row r="1883" spans="1:12">
      <c r="A1883" s="20" t="s">
        <v>791</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1365</v>
      </c>
    </row>
    <row r="1885" spans="1:12">
      <c r="A1885" s="20" t="s">
        <v>824</v>
      </c>
      <c r="B1885" s="27" t="s">
        <v>762</v>
      </c>
      <c r="C1885" s="27" t="s">
        <v>778</v>
      </c>
      <c r="D1885" s="27" t="s">
        <v>774</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1034</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1366</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1367</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807</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41</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769</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1305</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807</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138</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795</v>
      </c>
      <c r="B1895" s="27" t="s">
        <v>810</v>
      </c>
      <c r="C1895" s="27" t="s">
        <v>778</v>
      </c>
      <c r="D1895" s="27" t="s">
        <v>774</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855</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775</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752</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row>
    <row r="1900" spans="1:12">
      <c r="A1900" s="20" t="s">
        <v>1368</v>
      </c>
    </row>
    <row r="1901" spans="1:12">
      <c r="A1901" s="20" t="s">
        <v>824</v>
      </c>
      <c r="B1901" s="27" t="s">
        <v>762</v>
      </c>
      <c r="C1901" s="27" t="s">
        <v>778</v>
      </c>
      <c r="D1901" s="27" t="s">
        <v>774</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915</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1259</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807</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1369</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789</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1370</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821</v>
      </c>
      <c r="B1908" s="27" t="s">
        <v>772</v>
      </c>
      <c r="C1908" s="27" t="s">
        <v>767</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768</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769</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1371</v>
      </c>
      <c r="B1911" s="27" t="s">
        <v>863</v>
      </c>
      <c r="C1911" s="27" t="s">
        <v>773</v>
      </c>
      <c r="D1911" s="27" t="s">
        <v>774</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775</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row>
    <row r="1914" spans="1:12">
      <c r="A1914" s="20" t="s">
        <v>791</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1372</v>
      </c>
    </row>
    <row r="1916" spans="1:12">
      <c r="A1916" s="20" t="s">
        <v>1373</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905</v>
      </c>
      <c r="B1917" s="27" t="s">
        <v>762</v>
      </c>
      <c r="C1917" s="27" t="s">
        <v>989</v>
      </c>
      <c r="D1917" s="27" t="s">
        <v>774</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779</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789</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1374</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12</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752</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912</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1375</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1376</v>
      </c>
      <c r="B1925" s="27" t="s">
        <v>758</v>
      </c>
      <c r="C1925" s="27" t="s">
        <v>837</v>
      </c>
      <c r="D1925" s="27" t="s">
        <v>774</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760</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752</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1377</v>
      </c>
      <c r="B1928" s="27" t="s">
        <v>772</v>
      </c>
      <c r="C1928" s="27" t="s">
        <v>834</v>
      </c>
      <c r="D1928" s="27" t="s">
        <v>774</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768</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1378</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1007</v>
      </c>
      <c r="B1931" s="27" t="s">
        <v>863</v>
      </c>
      <c r="C1931" s="27" t="s">
        <v>837</v>
      </c>
      <c r="D1931" s="27" t="s">
        <v>774</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12</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1379</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968</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860</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1380</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1381</v>
      </c>
      <c r="B1937" s="27" t="s">
        <v>772</v>
      </c>
      <c r="C1937" s="27" t="s">
        <v>767</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775</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row>
    <row r="1940" spans="1:12">
      <c r="A1940" s="20" t="s">
        <v>791</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1382</v>
      </c>
    </row>
    <row r="1942" spans="1:12">
      <c r="A1942" s="20" t="s">
        <v>1293</v>
      </c>
      <c r="B1942" s="27" t="s">
        <v>762</v>
      </c>
      <c r="C1942" s="27" t="s">
        <v>778</v>
      </c>
      <c r="D1942" s="27" t="s">
        <v>774</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880</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760</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752</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1120</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779</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797</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1383</v>
      </c>
      <c r="B1949" s="27" t="s">
        <v>800</v>
      </c>
      <c r="C1949" s="27" t="s">
        <v>799</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807</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154</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1384</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943</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1385</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764</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1386</v>
      </c>
      <c r="B1956" s="27" t="s">
        <v>1303</v>
      </c>
      <c r="C1956" s="27" t="s">
        <v>837</v>
      </c>
      <c r="D1956" s="27" t="s">
        <v>774</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819</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1387</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1074</v>
      </c>
      <c r="B1959" s="27" t="s">
        <v>1313</v>
      </c>
      <c r="C1959" s="27" t="s">
        <v>834</v>
      </c>
      <c r="D1959" s="27" t="s">
        <v>774</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1388</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760</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1389</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795</v>
      </c>
      <c r="B1963" s="27" t="s">
        <v>800</v>
      </c>
      <c r="C1963" s="27" t="s">
        <v>778</v>
      </c>
      <c r="D1963" s="27" t="s">
        <v>774</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779</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1326</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1390</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1388</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1326</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754</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769</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1391</v>
      </c>
      <c r="B1971" s="27" t="s">
        <v>772</v>
      </c>
      <c r="C1971" s="27" t="s">
        <v>773</v>
      </c>
      <c r="D1971" s="27" t="s">
        <v>774</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768</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1392</v>
      </c>
      <c r="B1973" s="27" t="s">
        <v>863</v>
      </c>
      <c r="C1973" s="27" t="s">
        <v>759</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754</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764</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1393</v>
      </c>
      <c r="B1976" s="27" t="s">
        <v>772</v>
      </c>
      <c r="C1976" s="27" t="s">
        <v>767</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1048</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754</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764</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1394</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1395</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760</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1396</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1391</v>
      </c>
      <c r="B1984" s="27" t="s">
        <v>863</v>
      </c>
      <c r="C1984" s="27" t="s">
        <v>767</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775</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row>
    <row r="1987" spans="1:12">
      <c r="A1987" s="20" t="s">
        <v>1397</v>
      </c>
    </row>
    <row r="1988" spans="1:12">
      <c r="A1988" s="20" t="s">
        <v>777</v>
      </c>
      <c r="B1988" s="27" t="s">
        <v>762</v>
      </c>
      <c r="C1988" s="27" t="s">
        <v>778</v>
      </c>
      <c r="D1988" s="27" t="s">
        <v>774</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779</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1398</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760</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1399</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775</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row>
    <row r="1995" spans="1:12">
      <c r="A1995" s="20" t="s">
        <v>1400</v>
      </c>
    </row>
    <row r="1996" spans="1:12">
      <c r="A1996" s="20" t="s">
        <v>362</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775</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row>
    <row r="1999" spans="1:12">
      <c r="A1999" s="20" t="s">
        <v>1401</v>
      </c>
    </row>
    <row r="2000" spans="1:12">
      <c r="A2000" s="20" t="s">
        <v>903</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795</v>
      </c>
      <c r="B2001" s="27" t="s">
        <v>762</v>
      </c>
      <c r="C2001" s="27" t="s">
        <v>778</v>
      </c>
      <c r="D2001" s="27" t="s">
        <v>774</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1402</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797</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1403</v>
      </c>
      <c r="B2004" s="27" t="s">
        <v>766</v>
      </c>
      <c r="C2004" s="27" t="s">
        <v>799</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775</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row>
    <row r="2007" spans="1:12">
      <c r="A2007" s="20" t="s">
        <v>791</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1404</v>
      </c>
    </row>
    <row r="2009" spans="1:12">
      <c r="A2009" s="20" t="s">
        <v>1405</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1403</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1406</v>
      </c>
      <c r="B2011" s="27" t="s">
        <v>758</v>
      </c>
      <c r="C2011" s="27" t="s">
        <v>759</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1407</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789</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860</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1408</v>
      </c>
      <c r="B2015" s="27" t="s">
        <v>758</v>
      </c>
      <c r="C2015" s="27" t="s">
        <v>767</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1409</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764</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1159</v>
      </c>
      <c r="B2018" s="27" t="s">
        <v>758</v>
      </c>
      <c r="C2018" s="27" t="s">
        <v>767</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760</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340</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764</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1386</v>
      </c>
      <c r="B2022" s="27" t="s">
        <v>800</v>
      </c>
      <c r="C2022" s="27" t="s">
        <v>837</v>
      </c>
      <c r="D2022" s="27" t="s">
        <v>774</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819</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779</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806</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764</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1159</v>
      </c>
      <c r="B2027" s="27" t="s">
        <v>758</v>
      </c>
      <c r="C2027" s="27" t="s">
        <v>767</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775</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752</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row>
    <row r="2031" spans="1:12">
      <c r="A2031" s="20" t="s">
        <v>1410</v>
      </c>
    </row>
    <row r="2032" spans="1:12">
      <c r="A2032" s="20" t="s">
        <v>1120</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819</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1299</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764</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490</v>
      </c>
      <c r="B2036" s="27" t="s">
        <v>762</v>
      </c>
      <c r="C2036" s="27" t="s">
        <v>767</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768</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1411</v>
      </c>
      <c r="B2038" s="27" t="s">
        <v>772</v>
      </c>
      <c r="C2038" s="27" t="s">
        <v>759</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1412</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807</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769</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1413</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1414</v>
      </c>
      <c r="B2043" s="27" t="s">
        <v>863</v>
      </c>
      <c r="C2043" s="27" t="s">
        <v>773</v>
      </c>
      <c r="D2043" s="27" t="s">
        <v>774</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882</v>
      </c>
      <c r="B2044" s="27" t="s">
        <v>1187</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853</v>
      </c>
      <c r="B2045" s="27" t="s">
        <v>925</v>
      </c>
      <c r="C2045" s="27" t="s">
        <v>778</v>
      </c>
      <c r="D2045" s="27" t="s">
        <v>774</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1415</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950</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754</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769</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801</v>
      </c>
      <c r="B2050" s="27" t="s">
        <v>929</v>
      </c>
      <c r="C2050" s="27" t="s">
        <v>773</v>
      </c>
      <c r="D2050" s="27" t="s">
        <v>774</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768</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841</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988</v>
      </c>
      <c r="B2053" s="27" t="s">
        <v>927</v>
      </c>
      <c r="C2053" s="27" t="s">
        <v>759</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775</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row>
    <row r="2056" spans="1:12">
      <c r="A2056" s="20" t="s">
        <v>1416</v>
      </c>
    </row>
    <row r="2057" spans="1:12">
      <c r="A2057" s="20" t="s">
        <v>912</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913</v>
      </c>
      <c r="B2058" s="27" t="s">
        <v>762</v>
      </c>
      <c r="C2058" s="27" t="s">
        <v>773</v>
      </c>
      <c r="D2058" s="27" t="s">
        <v>774</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882</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877</v>
      </c>
      <c r="B2060" s="27" t="s">
        <v>815</v>
      </c>
      <c r="C2060" s="27" t="s">
        <v>848</v>
      </c>
      <c r="D2060" s="27" t="s">
        <v>774</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1417</v>
      </c>
      <c r="B2061" s="27" t="s">
        <v>895</v>
      </c>
      <c r="C2061" s="27" t="s">
        <v>834</v>
      </c>
      <c r="D2061" s="27" t="s">
        <v>774</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1217</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1418</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779</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754</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769</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1419</v>
      </c>
      <c r="B2067" s="27" t="s">
        <v>758</v>
      </c>
      <c r="C2067" s="27" t="s">
        <v>773</v>
      </c>
      <c r="D2067" s="27" t="s">
        <v>774</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1420</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1320</v>
      </c>
      <c r="B2069" s="27" t="s">
        <v>758</v>
      </c>
      <c r="C2069" s="27" t="s">
        <v>1196</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775</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row>
    <row r="2072" spans="1:12">
      <c r="A2072" s="20" t="s">
        <v>1421</v>
      </c>
    </row>
    <row r="2073" spans="1:12">
      <c r="A2073" s="20" t="s">
        <v>903</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853</v>
      </c>
      <c r="B2074" s="27" t="s">
        <v>762</v>
      </c>
      <c r="C2074" s="27" t="s">
        <v>778</v>
      </c>
      <c r="D2074" s="27" t="s">
        <v>774</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381</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1422</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853</v>
      </c>
      <c r="B2077" s="27" t="s">
        <v>800</v>
      </c>
      <c r="C2077" s="27" t="s">
        <v>778</v>
      </c>
      <c r="D2077" s="27" t="s">
        <v>774</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923</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807</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138</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988</v>
      </c>
      <c r="B2081" s="27" t="s">
        <v>810</v>
      </c>
      <c r="C2081" s="27" t="s">
        <v>759</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1023</v>
      </c>
      <c r="B2082" s="27" t="s">
        <v>925</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982</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758</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1423</v>
      </c>
      <c r="B2085" s="27" t="s">
        <v>1187</v>
      </c>
      <c r="C2085" s="27" t="s">
        <v>759</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760</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1422</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853</v>
      </c>
      <c r="B2088" s="27" t="s">
        <v>895</v>
      </c>
      <c r="C2088" s="27" t="s">
        <v>778</v>
      </c>
      <c r="D2088" s="27" t="s">
        <v>774</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923</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807</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138</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988</v>
      </c>
      <c r="B2092" s="27" t="s">
        <v>1036</v>
      </c>
      <c r="C2092" s="27" t="s">
        <v>759</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1023</v>
      </c>
      <c r="B2093" s="27" t="s">
        <v>1024</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1034</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1424</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760</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1422</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1425</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853</v>
      </c>
      <c r="B2099" s="27" t="s">
        <v>1026</v>
      </c>
      <c r="C2099" s="27" t="s">
        <v>778</v>
      </c>
      <c r="D2099" s="27" t="s">
        <v>774</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1426</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988</v>
      </c>
      <c r="B2101" s="27" t="s">
        <v>1028</v>
      </c>
      <c r="C2101" s="27" t="s">
        <v>759</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807</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41</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775</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row>
    <row r="2106" spans="1:12">
      <c r="A2106" s="20" t="s">
        <v>1427</v>
      </c>
    </row>
    <row r="2107" spans="1:12">
      <c r="A2107" s="20" t="s">
        <v>830</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769</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1428</v>
      </c>
      <c r="B2109" s="27" t="s">
        <v>762</v>
      </c>
      <c r="C2109" s="27" t="s">
        <v>773</v>
      </c>
      <c r="D2109" s="27" t="s">
        <v>774</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882</v>
      </c>
      <c r="B2110" s="27" t="s">
        <v>895</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819</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1299</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1356</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855</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760</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1135</v>
      </c>
      <c r="B2116" s="27" t="s">
        <v>895</v>
      </c>
      <c r="C2116" s="27" t="s">
        <v>937</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779</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1190</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1429</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1430</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760</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779</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905</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882</v>
      </c>
      <c r="B2124" s="27" t="s">
        <v>802</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853</v>
      </c>
      <c r="B2125" s="27" t="s">
        <v>800</v>
      </c>
      <c r="C2125" s="27" t="s">
        <v>778</v>
      </c>
      <c r="D2125" s="27" t="s">
        <v>774</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1431</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806</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1212</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1432</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1433</v>
      </c>
      <c r="B2130" s="27" t="s">
        <v>802</v>
      </c>
      <c r="C2130" s="27" t="s">
        <v>759</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807</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775</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row>
    <row r="2134" spans="1:12">
      <c r="A2134" s="20" t="s">
        <v>1434</v>
      </c>
    </row>
    <row r="2135" spans="1:12">
      <c r="A2135" s="20" t="s">
        <v>1229</v>
      </c>
      <c r="B2135" s="27" t="s">
        <v>762</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768</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769</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1435</v>
      </c>
      <c r="B2138" s="27" t="s">
        <v>772</v>
      </c>
      <c r="C2138" s="27" t="s">
        <v>773</v>
      </c>
      <c r="D2138" s="27" t="s">
        <v>774</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824</v>
      </c>
      <c r="B2139" s="27" t="s">
        <v>1022</v>
      </c>
      <c r="C2139" s="27" t="s">
        <v>778</v>
      </c>
      <c r="D2139" s="27" t="s">
        <v>774</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1436</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760</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1437</v>
      </c>
      <c r="B2142" s="27" t="s">
        <v>1036</v>
      </c>
      <c r="C2142" s="27" t="s">
        <v>837</v>
      </c>
      <c r="D2142" s="27" t="s">
        <v>774</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340</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1438</v>
      </c>
      <c r="B2144" s="27" t="s">
        <v>929</v>
      </c>
      <c r="C2144" s="27" t="s">
        <v>837</v>
      </c>
      <c r="D2144" s="27" t="s">
        <v>774</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1439</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760</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1034</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979</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980</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823</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760</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803</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1440</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340</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1441</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970</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1442</v>
      </c>
      <c r="B2157" s="27" t="s">
        <v>772</v>
      </c>
      <c r="C2157" s="27" t="s">
        <v>759</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760</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1215</v>
      </c>
      <c r="B2159" s="27" t="s">
        <v>863</v>
      </c>
      <c r="C2159" s="27" t="s">
        <v>848</v>
      </c>
      <c r="D2159" s="27" t="s">
        <v>774</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1305</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1074</v>
      </c>
      <c r="B2161" s="27" t="s">
        <v>800</v>
      </c>
      <c r="C2161" s="27" t="s">
        <v>834</v>
      </c>
      <c r="D2161" s="27" t="s">
        <v>774</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825</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1237</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871</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1386</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1387</v>
      </c>
      <c r="B2166" s="27" t="s">
        <v>772</v>
      </c>
      <c r="C2166" s="27" t="s">
        <v>759</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775</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row>
    <row r="2169" spans="1:12">
      <c r="A2169" s="20" t="s">
        <v>1443</v>
      </c>
    </row>
    <row r="2170" spans="1:12">
      <c r="A2170" s="20" t="s">
        <v>1327</v>
      </c>
      <c r="B2170" s="27" t="s">
        <v>762</v>
      </c>
      <c r="C2170" s="27" t="s">
        <v>778</v>
      </c>
      <c r="D2170" s="27" t="s">
        <v>774</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894</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769</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1262</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1444</v>
      </c>
      <c r="B2174" s="27" t="s">
        <v>800</v>
      </c>
      <c r="C2174" s="27" t="s">
        <v>773</v>
      </c>
      <c r="D2174" s="27" t="s">
        <v>774</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785</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1253</v>
      </c>
      <c r="B2176" s="27" t="s">
        <v>863</v>
      </c>
      <c r="C2176" s="27" t="s">
        <v>778</v>
      </c>
      <c r="D2176" s="27" t="s">
        <v>774</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1034</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806</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936</v>
      </c>
      <c r="B2179" s="27" t="s">
        <v>758</v>
      </c>
      <c r="C2179" s="27" t="s">
        <v>937</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990</v>
      </c>
      <c r="B2180" s="27" t="s">
        <v>895</v>
      </c>
      <c r="C2180" s="27" t="s">
        <v>778</v>
      </c>
      <c r="D2180" s="27" t="s">
        <v>774</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1087</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41</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760</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340</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568</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990</v>
      </c>
      <c r="B2186" s="27" t="s">
        <v>800</v>
      </c>
      <c r="C2186" s="27" t="s">
        <v>778</v>
      </c>
      <c r="D2186" s="27" t="s">
        <v>774</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1445</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990</v>
      </c>
      <c r="B2188" s="27" t="s">
        <v>895</v>
      </c>
      <c r="C2188" s="27" t="s">
        <v>778</v>
      </c>
      <c r="D2188" s="27" t="s">
        <v>774</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942</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1446</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764</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781</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1447</v>
      </c>
      <c r="B2193" s="27" t="s">
        <v>810</v>
      </c>
      <c r="C2193" s="27" t="s">
        <v>767</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12</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1130</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1448</v>
      </c>
      <c r="B2196" s="27" t="s">
        <v>766</v>
      </c>
      <c r="C2196" s="27" t="s">
        <v>799</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882</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990</v>
      </c>
      <c r="B2198" s="27" t="s">
        <v>895</v>
      </c>
      <c r="C2198" s="27" t="s">
        <v>778</v>
      </c>
      <c r="D2198" s="27" t="s">
        <v>774</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1449</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871</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764</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1450</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758</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1101</v>
      </c>
      <c r="B2204" s="27" t="s">
        <v>863</v>
      </c>
      <c r="C2204" s="27" t="s">
        <v>767</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12</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807</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1451</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1452</v>
      </c>
      <c r="B2208" s="27" t="s">
        <v>1036</v>
      </c>
      <c r="C2208" s="27" t="s">
        <v>759</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871</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1453</v>
      </c>
      <c r="B2210" s="27" t="s">
        <v>815</v>
      </c>
      <c r="C2210" s="27" t="s">
        <v>837</v>
      </c>
      <c r="D2210" s="27" t="s">
        <v>774</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775</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row>
    <row r="2213" spans="1:12">
      <c r="A2213" s="20" t="s">
        <v>1454</v>
      </c>
    </row>
    <row r="2214" spans="1:12">
      <c r="A2214" s="20" t="s">
        <v>830</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1455</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769</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827</v>
      </c>
      <c r="B2217" s="27" t="s">
        <v>758</v>
      </c>
      <c r="C2217" s="27" t="s">
        <v>773</v>
      </c>
      <c r="D2217" s="27" t="s">
        <v>774</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760</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882</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1447</v>
      </c>
      <c r="B2220" s="27" t="s">
        <v>762</v>
      </c>
      <c r="C2220" s="27" t="s">
        <v>989</v>
      </c>
      <c r="D2220" s="27" t="s">
        <v>774</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1456</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996</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1035</v>
      </c>
      <c r="B2223" s="27" t="s">
        <v>758</v>
      </c>
      <c r="C2223" s="27" t="s">
        <v>811</v>
      </c>
      <c r="D2223" s="27" t="s">
        <v>774</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1457</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769</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1458</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1459</v>
      </c>
      <c r="B2227" s="27" t="s">
        <v>810</v>
      </c>
      <c r="C2227" s="27" t="s">
        <v>837</v>
      </c>
      <c r="D2227" s="27" t="s">
        <v>774</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760</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1011</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855</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1100</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914</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1460</v>
      </c>
      <c r="B2233" s="27" t="s">
        <v>925</v>
      </c>
      <c r="C2233" s="27" t="s">
        <v>759</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1461</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1460</v>
      </c>
      <c r="B2235" s="27" t="s">
        <v>927</v>
      </c>
      <c r="C2235" s="27" t="s">
        <v>759</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768</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928</v>
      </c>
      <c r="B2237" s="27" t="s">
        <v>1303</v>
      </c>
      <c r="C2237" s="27" t="s">
        <v>759</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871</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1247</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1462</v>
      </c>
      <c r="B2240" s="27" t="s">
        <v>1303</v>
      </c>
      <c r="C2240" s="27" t="s">
        <v>759</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1023</v>
      </c>
      <c r="B2241" s="27" t="s">
        <v>1463</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1100</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1464</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1465</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775</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row>
    <row r="2247" spans="1:12">
      <c r="A2247" s="20" t="s">
        <v>791</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1466</v>
      </c>
    </row>
    <row r="2249" spans="1:12">
      <c r="A2249" s="20" t="s">
        <v>1467</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769</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1210</v>
      </c>
      <c r="B2251" s="27" t="s">
        <v>758</v>
      </c>
      <c r="C2251" s="27" t="s">
        <v>773</v>
      </c>
      <c r="D2251" s="27" t="s">
        <v>774</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1468</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882</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752</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1375</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1376</v>
      </c>
      <c r="B2256" s="27" t="s">
        <v>800</v>
      </c>
      <c r="C2256" s="27" t="s">
        <v>837</v>
      </c>
      <c r="D2256" s="27" t="s">
        <v>774</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752</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1318</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1469</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760</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769</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790</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1470</v>
      </c>
      <c r="B2263" s="27" t="s">
        <v>762</v>
      </c>
      <c r="C2263" s="27" t="s">
        <v>773</v>
      </c>
      <c r="D2263" s="27" t="s">
        <v>774</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785</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988</v>
      </c>
      <c r="B2265" s="27" t="s">
        <v>772</v>
      </c>
      <c r="C2265" s="27" t="s">
        <v>759</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871</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1386</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1387</v>
      </c>
      <c r="B2268" s="27" t="s">
        <v>863</v>
      </c>
      <c r="C2268" s="27" t="s">
        <v>759</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1217</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1471</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775</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row>
    <row r="2273" spans="1:12">
      <c r="A2273" s="20" t="s">
        <v>1472</v>
      </c>
    </row>
    <row r="2274" spans="1:12">
      <c r="A2274" s="20" t="s">
        <v>912</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1183</v>
      </c>
      <c r="B2275" s="27" t="s">
        <v>762</v>
      </c>
      <c r="C2275" s="27" t="s">
        <v>773</v>
      </c>
      <c r="D2275" s="27" t="s">
        <v>774</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768</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1386</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1387</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988</v>
      </c>
      <c r="B2279" s="27" t="s">
        <v>772</v>
      </c>
      <c r="C2279" s="27" t="s">
        <v>759</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1473</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986</v>
      </c>
      <c r="B2281" s="27" t="s">
        <v>766</v>
      </c>
      <c r="C2281" s="27" t="s">
        <v>818</v>
      </c>
      <c r="D2281" s="27" t="s">
        <v>774</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1023</v>
      </c>
      <c r="B2282" s="27" t="s">
        <v>895</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1100</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1474</v>
      </c>
      <c r="B2284" s="27" t="s">
        <v>772</v>
      </c>
      <c r="C2284" s="27" t="s">
        <v>759</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760</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986</v>
      </c>
      <c r="B2286" s="27" t="s">
        <v>758</v>
      </c>
      <c r="C2286" s="27" t="s">
        <v>818</v>
      </c>
      <c r="D2286" s="27" t="s">
        <v>774</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1023</v>
      </c>
      <c r="B2287" s="27" t="s">
        <v>895</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1100</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1475</v>
      </c>
      <c r="B2289" s="27" t="s">
        <v>772</v>
      </c>
      <c r="C2289" s="27" t="s">
        <v>759</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760</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1089</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1023</v>
      </c>
      <c r="B2292" s="27" t="s">
        <v>1022</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1100</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1476</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807</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442</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1477</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1478</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754</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1479</v>
      </c>
      <c r="B2300" s="27" t="s">
        <v>929</v>
      </c>
      <c r="C2300" s="27" t="s">
        <v>759</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775</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row>
    <row r="2303" spans="1:12">
      <c r="A2303" s="20" t="s">
        <v>1480</v>
      </c>
    </row>
    <row r="2304" spans="1:12">
      <c r="A2304" s="20" t="s">
        <v>912</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1439</v>
      </c>
      <c r="B2305" s="27" t="s">
        <v>762</v>
      </c>
      <c r="C2305" s="27" t="s">
        <v>773</v>
      </c>
      <c r="D2305" s="27" t="s">
        <v>774</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982</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764</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490</v>
      </c>
      <c r="B2308" s="27" t="s">
        <v>766</v>
      </c>
      <c r="C2308" s="27" t="s">
        <v>767</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807</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45</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871</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882</v>
      </c>
      <c r="B2312" s="27" t="s">
        <v>863</v>
      </c>
      <c r="C2312" s="27" t="s">
        <v>818</v>
      </c>
      <c r="D2312" s="27" t="s">
        <v>774</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775</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row>
    <row r="2315" spans="1:12">
      <c r="A2315" s="20" t="s">
        <v>791</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1481</v>
      </c>
    </row>
    <row r="2317" spans="1:12">
      <c r="A2317" s="20" t="s">
        <v>830</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824</v>
      </c>
      <c r="B2318" s="27" t="s">
        <v>762</v>
      </c>
      <c r="C2318" s="27" t="s">
        <v>778</v>
      </c>
      <c r="D2318" s="27" t="s">
        <v>774</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880</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760</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752</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1482</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924</v>
      </c>
      <c r="B2323" s="27" t="s">
        <v>800</v>
      </c>
      <c r="C2323" s="27" t="s">
        <v>778</v>
      </c>
      <c r="D2323" s="27" t="s">
        <v>774</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1483</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795</v>
      </c>
      <c r="B2325" s="27" t="s">
        <v>802</v>
      </c>
      <c r="C2325" s="27" t="s">
        <v>778</v>
      </c>
      <c r="D2325" s="27" t="s">
        <v>774</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858</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row>
    <row r="2328" spans="1:12">
      <c r="A2328" s="20" t="s">
        <v>1484</v>
      </c>
    </row>
    <row r="2329" spans="1:12">
      <c r="A2329" s="20" t="s">
        <v>1482</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924</v>
      </c>
      <c r="B2330" s="27" t="s">
        <v>762</v>
      </c>
      <c r="C2330" s="27" t="s">
        <v>778</v>
      </c>
      <c r="D2330" s="27" t="s">
        <v>774</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414</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926</v>
      </c>
      <c r="B2332" s="27" t="s">
        <v>863</v>
      </c>
      <c r="C2332" s="27" t="s">
        <v>848</v>
      </c>
      <c r="D2332" s="27" t="s">
        <v>774</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1074</v>
      </c>
      <c r="B2333" s="27" t="s">
        <v>800</v>
      </c>
      <c r="C2333" s="27" t="s">
        <v>834</v>
      </c>
      <c r="D2333" s="27" t="s">
        <v>774</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852</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935</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158</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1386</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1387</v>
      </c>
      <c r="B2338" s="27" t="s">
        <v>802</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858</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row>
    <row r="2341" spans="1:12">
      <c r="A2341" s="20" t="s">
        <v>791</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1485</v>
      </c>
    </row>
    <row r="2343" spans="1:12">
      <c r="A2343" s="20" t="s">
        <v>1482</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924</v>
      </c>
      <c r="B2344" s="27" t="s">
        <v>762</v>
      </c>
      <c r="C2344" s="27" t="s">
        <v>778</v>
      </c>
      <c r="D2344" s="27" t="s">
        <v>774</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414</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924</v>
      </c>
      <c r="B2346" s="27" t="s">
        <v>766</v>
      </c>
      <c r="C2346" s="27" t="s">
        <v>778</v>
      </c>
      <c r="D2346" s="27" t="s">
        <v>774</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896</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1244</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1486</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768</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795</v>
      </c>
      <c r="B2351" s="27" t="s">
        <v>772</v>
      </c>
      <c r="C2351" s="27" t="s">
        <v>778</v>
      </c>
      <c r="D2351" s="27" t="s">
        <v>774</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858</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752</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row>
    <row r="2355" spans="1:12">
      <c r="A2355" s="20" t="s">
        <v>791</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1487</v>
      </c>
    </row>
    <row r="2357" spans="1:12">
      <c r="A2357" s="20" t="s">
        <v>830</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1488</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760</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1242</v>
      </c>
      <c r="B2360" s="27" t="s">
        <v>772</v>
      </c>
      <c r="C2360" s="27" t="s">
        <v>848</v>
      </c>
      <c r="D2360" s="27" t="s">
        <v>774</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1364</v>
      </c>
      <c r="B2361" s="27" t="s">
        <v>762</v>
      </c>
      <c r="C2361" s="27" t="s">
        <v>834</v>
      </c>
      <c r="D2361" s="27" t="s">
        <v>774</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880</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760</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752</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1489</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760</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785</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1490</v>
      </c>
      <c r="B2368" s="27" t="s">
        <v>772</v>
      </c>
      <c r="C2368" s="27" t="s">
        <v>837</v>
      </c>
      <c r="D2368" s="27" t="s">
        <v>774</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760</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877</v>
      </c>
      <c r="B2370" s="27" t="s">
        <v>815</v>
      </c>
      <c r="C2370" s="27" t="s">
        <v>848</v>
      </c>
      <c r="D2370" s="27" t="s">
        <v>774</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1260</v>
      </c>
      <c r="B2371" s="27" t="s">
        <v>863</v>
      </c>
      <c r="C2371" s="27" t="s">
        <v>834</v>
      </c>
      <c r="D2371" s="27" t="s">
        <v>774</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760</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824</v>
      </c>
      <c r="B2373" s="27" t="s">
        <v>800</v>
      </c>
      <c r="C2373" s="27" t="s">
        <v>778</v>
      </c>
      <c r="D2373" s="27" t="s">
        <v>774</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1483</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795</v>
      </c>
      <c r="B2375" s="27" t="s">
        <v>802</v>
      </c>
      <c r="C2375" s="27" t="s">
        <v>778</v>
      </c>
      <c r="D2375" s="27" t="s">
        <v>774</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760</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1182</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785</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1490</v>
      </c>
      <c r="B2379" s="27" t="s">
        <v>863</v>
      </c>
      <c r="C2379" s="27" t="s">
        <v>837</v>
      </c>
      <c r="D2379" s="27" t="s">
        <v>774</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760</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795</v>
      </c>
      <c r="B2381" s="27" t="s">
        <v>895</v>
      </c>
      <c r="C2381" s="27" t="s">
        <v>778</v>
      </c>
      <c r="D2381" s="27" t="s">
        <v>774</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819</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764</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1152</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1491</v>
      </c>
      <c r="B2385" s="27" t="s">
        <v>772</v>
      </c>
      <c r="C2385" s="27" t="s">
        <v>767</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807</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41</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754</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769</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932</v>
      </c>
      <c r="B2390" s="27" t="s">
        <v>863</v>
      </c>
      <c r="C2390" s="27" t="s">
        <v>773</v>
      </c>
      <c r="D2390" s="27" t="s">
        <v>774</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760</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340</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824</v>
      </c>
      <c r="B2393" s="27" t="s">
        <v>1022</v>
      </c>
      <c r="C2393" s="27" t="s">
        <v>778</v>
      </c>
      <c r="D2393" s="27" t="s">
        <v>774</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896</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930</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807</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1492</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1490</v>
      </c>
      <c r="B2398" s="27" t="s">
        <v>1187</v>
      </c>
      <c r="C2398" s="27" t="s">
        <v>837</v>
      </c>
      <c r="D2398" s="27" t="s">
        <v>774</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860</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1493</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790</v>
      </c>
      <c r="B2401" s="27" t="s">
        <v>1187</v>
      </c>
      <c r="C2401" s="27" t="s">
        <v>767</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775</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row>
    <row r="2404" spans="1:12">
      <c r="A2404" s="20" t="s">
        <v>791</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1494</v>
      </c>
    </row>
    <row r="2406" spans="1:12">
      <c r="A2406" s="20" t="s">
        <v>903</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824</v>
      </c>
      <c r="B2407" s="27" t="s">
        <v>762</v>
      </c>
      <c r="C2407" s="27" t="s">
        <v>778</v>
      </c>
      <c r="D2407" s="27" t="s">
        <v>774</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93</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1343</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853</v>
      </c>
      <c r="B2410" s="27" t="s">
        <v>895</v>
      </c>
      <c r="C2410" s="27" t="s">
        <v>778</v>
      </c>
      <c r="D2410" s="27" t="s">
        <v>774</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1495</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1080</v>
      </c>
      <c r="B2412" s="27" t="s">
        <v>810</v>
      </c>
      <c r="C2412" s="27" t="s">
        <v>1081</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871</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1386</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1387</v>
      </c>
      <c r="B2415" s="27" t="s">
        <v>863</v>
      </c>
      <c r="C2415" s="27" t="s">
        <v>759</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760</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795</v>
      </c>
      <c r="B2417" s="27" t="s">
        <v>800</v>
      </c>
      <c r="C2417" s="27" t="s">
        <v>778</v>
      </c>
      <c r="D2417" s="27" t="s">
        <v>774</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942</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41</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764</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1496</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1497</v>
      </c>
      <c r="B2422" s="27" t="s">
        <v>758</v>
      </c>
      <c r="C2422" s="27" t="s">
        <v>767</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775</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752</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row>
    <row r="2426" spans="1:12">
      <c r="A2426" s="20" t="s">
        <v>791</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1498</v>
      </c>
    </row>
    <row r="2428" spans="1:12">
      <c r="A2428" s="20" t="s">
        <v>830</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1438</v>
      </c>
      <c r="B2429" s="27" t="s">
        <v>762</v>
      </c>
      <c r="C2429" s="27" t="s">
        <v>837</v>
      </c>
      <c r="D2429" s="27" t="s">
        <v>774</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1439</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880</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807</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908</v>
      </c>
      <c r="B2433" s="27" t="s">
        <v>758</v>
      </c>
      <c r="C2433" s="27" t="s">
        <v>778</v>
      </c>
      <c r="D2433" s="27" t="s">
        <v>774</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760</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752</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824</v>
      </c>
      <c r="B2436" s="27" t="s">
        <v>800</v>
      </c>
      <c r="C2436" s="27" t="s">
        <v>778</v>
      </c>
      <c r="D2436" s="27" t="s">
        <v>774</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915</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871</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1437</v>
      </c>
      <c r="B2439" s="27" t="s">
        <v>758</v>
      </c>
      <c r="C2439" s="27" t="s">
        <v>837</v>
      </c>
      <c r="D2439" s="27" t="s">
        <v>774</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775</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row>
    <row r="2442" spans="1:12">
      <c r="A2442" s="20" t="s">
        <v>1499</v>
      </c>
    </row>
    <row r="2443" spans="1:12">
      <c r="A2443" s="20" t="s">
        <v>1500</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1490</v>
      </c>
      <c r="B2444" s="27" t="s">
        <v>758</v>
      </c>
      <c r="C2444" s="27" t="s">
        <v>837</v>
      </c>
      <c r="D2444" s="27" t="s">
        <v>774</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760</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824</v>
      </c>
      <c r="B2446" s="27" t="s">
        <v>762</v>
      </c>
      <c r="C2446" s="27" t="s">
        <v>778</v>
      </c>
      <c r="D2446" s="27" t="s">
        <v>774</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942</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431</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795</v>
      </c>
      <c r="B2449" s="27" t="s">
        <v>766</v>
      </c>
      <c r="C2449" s="27" t="s">
        <v>778</v>
      </c>
      <c r="D2449" s="27" t="s">
        <v>774</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754</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860</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1501</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760</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807</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1492</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1253</v>
      </c>
      <c r="B2456" s="27" t="s">
        <v>802</v>
      </c>
      <c r="C2456" s="27" t="s">
        <v>778</v>
      </c>
      <c r="D2456" s="27" t="s">
        <v>774</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860</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1493</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790</v>
      </c>
      <c r="B2459" s="27" t="s">
        <v>802</v>
      </c>
      <c r="C2459" s="27" t="s">
        <v>767</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775</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row>
    <row r="2462" spans="1:12">
      <c r="A2462" s="20" t="s">
        <v>1502</v>
      </c>
    </row>
    <row r="2463" spans="1:12">
      <c r="A2463" s="20" t="s">
        <v>903</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1503</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785</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1325</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12</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1504</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760</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824</v>
      </c>
      <c r="B2470" s="27" t="s">
        <v>762</v>
      </c>
      <c r="C2470" s="27" t="s">
        <v>778</v>
      </c>
      <c r="D2470" s="27" t="s">
        <v>774</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942</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1244</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158</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1505</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104</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827</v>
      </c>
      <c r="B2476" s="27" t="s">
        <v>772</v>
      </c>
      <c r="C2476" s="27" t="s">
        <v>799</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966</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823</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1236</v>
      </c>
      <c r="B2479" s="27" t="s">
        <v>800</v>
      </c>
      <c r="C2479" s="27" t="s">
        <v>778</v>
      </c>
      <c r="D2479" s="27" t="s">
        <v>774</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825</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1061</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882</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824</v>
      </c>
      <c r="B2483" s="27" t="s">
        <v>895</v>
      </c>
      <c r="C2483" s="27" t="s">
        <v>778</v>
      </c>
      <c r="D2483" s="27" t="s">
        <v>774</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883</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33</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807</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794</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764</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1506</v>
      </c>
      <c r="B2489" s="27" t="s">
        <v>863</v>
      </c>
      <c r="C2489" s="27" t="s">
        <v>818</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775</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row>
    <row r="2492" spans="1:12">
      <c r="A2492" s="20" t="s">
        <v>791</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1507</v>
      </c>
    </row>
    <row r="2494" spans="1:12">
      <c r="A2494" s="20" t="s">
        <v>1508</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785</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1325</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760</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795</v>
      </c>
      <c r="B2498" s="27" t="s">
        <v>762</v>
      </c>
      <c r="C2498" s="27" t="s">
        <v>778</v>
      </c>
      <c r="D2498" s="27" t="s">
        <v>774</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819</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950</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908</v>
      </c>
      <c r="B2501" s="27" t="s">
        <v>766</v>
      </c>
      <c r="C2501" s="27" t="s">
        <v>778</v>
      </c>
      <c r="D2501" s="27" t="s">
        <v>774</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568</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1432</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1509</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340</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568</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1432</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1510</v>
      </c>
      <c r="B2508" s="27" t="s">
        <v>758</v>
      </c>
      <c r="C2508" s="27" t="s">
        <v>759</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340</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568</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1432</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1394</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1511</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754</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847</v>
      </c>
      <c r="B2515" s="27" t="s">
        <v>772</v>
      </c>
      <c r="C2515" s="27" t="s">
        <v>848</v>
      </c>
      <c r="D2515" s="27" t="s">
        <v>774</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1512</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790</v>
      </c>
      <c r="B2517" s="27" t="s">
        <v>758</v>
      </c>
      <c r="C2517" s="27" t="s">
        <v>834</v>
      </c>
      <c r="D2517" s="27" t="s">
        <v>774</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882</v>
      </c>
      <c r="B2518" s="27" t="s">
        <v>895</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760</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1503</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785</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1325</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760</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824</v>
      </c>
      <c r="B2524" s="27" t="s">
        <v>895</v>
      </c>
      <c r="C2524" s="27" t="s">
        <v>778</v>
      </c>
      <c r="D2524" s="27" t="s">
        <v>774</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942</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935</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1492</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795</v>
      </c>
      <c r="B2528" s="27" t="s">
        <v>810</v>
      </c>
      <c r="C2528" s="27" t="s">
        <v>778</v>
      </c>
      <c r="D2528" s="27" t="s">
        <v>774</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1295</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785</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809</v>
      </c>
      <c r="B2531" s="27" t="s">
        <v>863</v>
      </c>
      <c r="C2531" s="27" t="s">
        <v>811</v>
      </c>
      <c r="D2531" s="27" t="s">
        <v>774</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754</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769</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932</v>
      </c>
      <c r="B2534" s="27" t="s">
        <v>815</v>
      </c>
      <c r="C2534" s="27" t="s">
        <v>773</v>
      </c>
      <c r="D2534" s="27" t="s">
        <v>774</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775</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752</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row>
    <row r="2538" spans="1:12">
      <c r="A2538" s="20" t="s">
        <v>1513</v>
      </c>
    </row>
    <row r="2539" spans="1:12">
      <c r="A2539" s="20" t="s">
        <v>1025</v>
      </c>
      <c r="B2539" s="27" t="s">
        <v>762</v>
      </c>
      <c r="C2539" s="27" t="s">
        <v>778</v>
      </c>
      <c r="D2539" s="27" t="s">
        <v>774</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442</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875</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764</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1506</v>
      </c>
      <c r="B2543" s="27" t="s">
        <v>758</v>
      </c>
      <c r="C2543" s="27" t="s">
        <v>767</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823</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1207</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1202</v>
      </c>
      <c r="B2546" s="27" t="s">
        <v>800</v>
      </c>
      <c r="C2546" s="27" t="s">
        <v>759</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785</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1118</v>
      </c>
      <c r="B2548" s="27" t="s">
        <v>863</v>
      </c>
      <c r="C2548" s="27" t="s">
        <v>818</v>
      </c>
      <c r="D2548" s="27" t="s">
        <v>774</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340</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1514</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758</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1211</v>
      </c>
      <c r="B2552" s="27" t="s">
        <v>815</v>
      </c>
      <c r="C2552" s="27" t="s">
        <v>799</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779</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1115</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769</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1295</v>
      </c>
      <c r="B2556" s="27" t="s">
        <v>758</v>
      </c>
      <c r="C2556" s="27" t="s">
        <v>773</v>
      </c>
      <c r="D2556" s="27" t="s">
        <v>774</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340</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1295</v>
      </c>
      <c r="B2558" s="27" t="s">
        <v>772</v>
      </c>
      <c r="C2558" s="27" t="s">
        <v>759</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775</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row>
    <row r="2561" spans="1:12">
      <c r="A2561" s="20" t="s">
        <v>1515</v>
      </c>
    </row>
    <row r="2562" spans="1:12">
      <c r="A2562" s="20" t="s">
        <v>830</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1161</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853</v>
      </c>
      <c r="B2564" s="27" t="s">
        <v>762</v>
      </c>
      <c r="C2564" s="27" t="s">
        <v>778</v>
      </c>
      <c r="D2564" s="27" t="s">
        <v>774</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1516</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442</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875</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769</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1517</v>
      </c>
      <c r="B2569" s="27" t="s">
        <v>758</v>
      </c>
      <c r="C2569" s="27" t="s">
        <v>773</v>
      </c>
      <c r="D2569" s="27" t="s">
        <v>774</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823</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877</v>
      </c>
      <c r="B2571" s="27" t="s">
        <v>863</v>
      </c>
      <c r="C2571" s="27" t="s">
        <v>848</v>
      </c>
      <c r="D2571" s="27" t="s">
        <v>774</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1518</v>
      </c>
      <c r="B2572" s="27" t="s">
        <v>800</v>
      </c>
      <c r="C2572" s="27" t="s">
        <v>834</v>
      </c>
      <c r="D2572" s="27" t="s">
        <v>774</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807</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1519</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986</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1211</v>
      </c>
      <c r="B2576" s="27" t="s">
        <v>1036</v>
      </c>
      <c r="C2576" s="27" t="s">
        <v>989</v>
      </c>
      <c r="D2576" s="27" t="s">
        <v>774</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1217</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1520</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764</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1521</v>
      </c>
      <c r="B2580" s="27" t="s">
        <v>802</v>
      </c>
      <c r="C2580" s="27" t="s">
        <v>767</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853</v>
      </c>
      <c r="B2581" s="27" t="s">
        <v>1022</v>
      </c>
      <c r="C2581" s="27" t="s">
        <v>778</v>
      </c>
      <c r="D2581" s="27" t="s">
        <v>774</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1244</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1522</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1298</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775</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row>
    <row r="2587" spans="1:12">
      <c r="A2587" s="20" t="s">
        <v>1523</v>
      </c>
    </row>
    <row r="2588" spans="1:12">
      <c r="A2588" s="20" t="s">
        <v>1098</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1099</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1524</v>
      </c>
      <c r="B2590" s="27" t="s">
        <v>762</v>
      </c>
      <c r="C2590" s="27" t="s">
        <v>759</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1061</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754</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769</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835</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836</v>
      </c>
      <c r="B2595" s="27" t="s">
        <v>863</v>
      </c>
      <c r="C2595" s="27" t="s">
        <v>837</v>
      </c>
      <c r="D2595" s="27" t="s">
        <v>774</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914</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1525</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449</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1526</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1527</v>
      </c>
      <c r="B2600" s="27" t="s">
        <v>766</v>
      </c>
      <c r="C2600" s="27" t="s">
        <v>759</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760</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1135</v>
      </c>
      <c r="B2602" s="27" t="s">
        <v>895</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1100</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1390</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996</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769</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1528</v>
      </c>
      <c r="B2607" s="27" t="s">
        <v>863</v>
      </c>
      <c r="C2607" s="27" t="s">
        <v>773</v>
      </c>
      <c r="D2607" s="27" t="s">
        <v>774</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340</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1529</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807</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764</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1530</v>
      </c>
      <c r="B2612" s="27" t="s">
        <v>929</v>
      </c>
      <c r="C2612" s="27" t="s">
        <v>767</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760</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340</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1135</v>
      </c>
      <c r="B2615" s="27" t="s">
        <v>800</v>
      </c>
      <c r="C2615" s="27" t="s">
        <v>937</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1531</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993</v>
      </c>
      <c r="B2617" s="27" t="s">
        <v>802</v>
      </c>
      <c r="C2617" s="27" t="s">
        <v>778</v>
      </c>
      <c r="D2617" s="27" t="s">
        <v>774</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807</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1532</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764</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1533</v>
      </c>
      <c r="B2621" s="27" t="s">
        <v>810</v>
      </c>
      <c r="C2621" s="27" t="s">
        <v>767</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768</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992</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340</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807</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1534</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1535</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1536</v>
      </c>
      <c r="B2628" s="27" t="s">
        <v>1313</v>
      </c>
      <c r="C2628" s="27" t="s">
        <v>759</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775</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row>
    <row r="2631" spans="1:12">
      <c r="A2631" s="20" t="s">
        <v>1537</v>
      </c>
    </row>
    <row r="2632" spans="1:12">
      <c r="A2632" s="20" t="s">
        <v>1538</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1539</v>
      </c>
      <c r="B2633" s="27" t="s">
        <v>762</v>
      </c>
      <c r="C2633" s="27" t="s">
        <v>767</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882</v>
      </c>
      <c r="B2634" s="27" t="s">
        <v>895</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1217</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1299</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1540</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754</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1541</v>
      </c>
      <c r="B2639" s="27" t="s">
        <v>863</v>
      </c>
      <c r="C2639" s="27" t="s">
        <v>799</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760</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1542</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12</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430</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760</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779</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1543</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754</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1544</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769</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1545</v>
      </c>
      <c r="B2650" s="27" t="s">
        <v>802</v>
      </c>
      <c r="C2650" s="27" t="s">
        <v>773</v>
      </c>
      <c r="D2650" s="27" t="s">
        <v>774</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768</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769</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1546</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1547</v>
      </c>
      <c r="B2654" s="27" t="s">
        <v>863</v>
      </c>
      <c r="C2654" s="27" t="s">
        <v>773</v>
      </c>
      <c r="D2654" s="27" t="s">
        <v>774</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775</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row>
    <row r="2657" spans="1:12">
      <c r="A2657" s="20" t="s">
        <v>1548</v>
      </c>
    </row>
    <row r="2658" spans="1:12">
      <c r="A2658" s="20" t="s">
        <v>1549</v>
      </c>
      <c r="B2658" s="27" t="s">
        <v>762</v>
      </c>
      <c r="C2658" s="27" t="s">
        <v>837</v>
      </c>
      <c r="D2658" s="27" t="s">
        <v>774</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779</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769</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1550</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1148</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1551</v>
      </c>
      <c r="B2663" s="27" t="s">
        <v>758</v>
      </c>
      <c r="C2663" s="27" t="s">
        <v>773</v>
      </c>
      <c r="D2663" s="27" t="s">
        <v>774</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768</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1239</v>
      </c>
      <c r="B2665" s="27" t="s">
        <v>758</v>
      </c>
      <c r="C2665" s="27" t="s">
        <v>759</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760</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340</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1541</v>
      </c>
      <c r="B2668" s="27" t="s">
        <v>758</v>
      </c>
      <c r="C2668" s="27" t="s">
        <v>759</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1023</v>
      </c>
      <c r="B2669" s="27" t="s">
        <v>895</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158</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1299</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1412</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882</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1552</v>
      </c>
      <c r="B2674" s="27" t="s">
        <v>810</v>
      </c>
      <c r="C2674" s="27" t="s">
        <v>989</v>
      </c>
      <c r="D2674" s="27" t="s">
        <v>774</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340</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1023</v>
      </c>
      <c r="B2676" s="27" t="s">
        <v>925</v>
      </c>
      <c r="C2676" s="27" t="s">
        <v>937</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158</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769</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1546</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1547</v>
      </c>
      <c r="B2680" s="27" t="s">
        <v>1024</v>
      </c>
      <c r="C2680" s="27" t="s">
        <v>773</v>
      </c>
      <c r="D2680" s="27" t="s">
        <v>774</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395</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807</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1553</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1554</v>
      </c>
      <c r="B2684" s="27" t="s">
        <v>927</v>
      </c>
      <c r="C2684" s="27" t="s">
        <v>759</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775</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row>
    <row r="2687" spans="1:12">
      <c r="A2687" s="20" t="s">
        <v>1555</v>
      </c>
    </row>
    <row r="2688" spans="1:12">
      <c r="A2688" s="20" t="s">
        <v>1556</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754</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1557</v>
      </c>
      <c r="B2690" s="27" t="s">
        <v>758</v>
      </c>
      <c r="C2690" s="27" t="s">
        <v>759</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779</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1286</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769</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1558</v>
      </c>
      <c r="B2694" s="27" t="s">
        <v>758</v>
      </c>
      <c r="C2694" s="27" t="s">
        <v>773</v>
      </c>
      <c r="D2694" s="27" t="s">
        <v>774</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775</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row>
    <row r="2697" spans="1:12">
      <c r="A2697" s="20" t="s">
        <v>1559</v>
      </c>
    </row>
    <row r="2698" spans="1:12">
      <c r="A2698" s="20" t="s">
        <v>1120</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1100</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1560</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1561</v>
      </c>
      <c r="B2701" s="27" t="s">
        <v>762</v>
      </c>
      <c r="C2701" s="27" t="s">
        <v>759</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1135</v>
      </c>
      <c r="B2702" s="27" t="s">
        <v>895</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1100</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1562</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1414</v>
      </c>
      <c r="B2705" s="27" t="s">
        <v>810</v>
      </c>
      <c r="C2705" s="27" t="s">
        <v>759</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882</v>
      </c>
      <c r="B2706" s="27" t="s">
        <v>925</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942</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1563</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1295</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1386</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1387</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1394</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1564</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340</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1565</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754</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1566</v>
      </c>
      <c r="B2717" s="27" t="s">
        <v>929</v>
      </c>
      <c r="C2717" s="27" t="s">
        <v>759</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1567</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1568</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1298</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760</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1562</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795</v>
      </c>
      <c r="B2723" s="27" t="s">
        <v>1036</v>
      </c>
      <c r="C2723" s="27" t="s">
        <v>778</v>
      </c>
      <c r="D2723" s="27" t="s">
        <v>774</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1493</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340</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1493</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785</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988</v>
      </c>
      <c r="B2728" s="27" t="s">
        <v>925</v>
      </c>
      <c r="C2728" s="27" t="s">
        <v>759</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807</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1519</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986</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1566</v>
      </c>
      <c r="B2732" s="27" t="s">
        <v>1187</v>
      </c>
      <c r="C2732" s="27" t="s">
        <v>989</v>
      </c>
      <c r="D2732" s="27" t="s">
        <v>774</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760</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1048</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807</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1569</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993</v>
      </c>
      <c r="B2737" s="27" t="s">
        <v>1036</v>
      </c>
      <c r="C2737" s="27" t="s">
        <v>778</v>
      </c>
      <c r="D2737" s="27" t="s">
        <v>774</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775</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row>
    <row r="2740" spans="1:12">
      <c r="A2740" s="20" t="s">
        <v>1570</v>
      </c>
    </row>
    <row r="2741" spans="1:12">
      <c r="A2741" s="20" t="s">
        <v>636</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853</v>
      </c>
      <c r="B2742" s="27" t="s">
        <v>762</v>
      </c>
      <c r="C2742" s="27" t="s">
        <v>778</v>
      </c>
      <c r="D2742" s="27" t="s">
        <v>774</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158</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918</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1207</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1414</v>
      </c>
      <c r="B2746" s="27" t="s">
        <v>766</v>
      </c>
      <c r="C2746" s="27" t="s">
        <v>1571</v>
      </c>
      <c r="D2746" s="27" t="s">
        <v>774</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340</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1572</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1414</v>
      </c>
      <c r="B2749" s="27" t="s">
        <v>772</v>
      </c>
      <c r="C2749" s="27" t="s">
        <v>759</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775</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row>
    <row r="2752" spans="1:12">
      <c r="A2752" s="20" t="s">
        <v>1573</v>
      </c>
    </row>
    <row r="2753" spans="1:12">
      <c r="A2753" s="20" t="s">
        <v>830</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824</v>
      </c>
      <c r="B2754" s="27" t="s">
        <v>762</v>
      </c>
      <c r="C2754" s="27" t="s">
        <v>778</v>
      </c>
      <c r="D2754" s="27" t="s">
        <v>774</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472</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754</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918</v>
      </c>
      <c r="B2757" s="27" t="s">
        <v>758</v>
      </c>
      <c r="C2757" s="27" t="s">
        <v>834</v>
      </c>
      <c r="D2757" s="27" t="s">
        <v>774</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768</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993</v>
      </c>
      <c r="B2759" s="27" t="s">
        <v>772</v>
      </c>
      <c r="C2759" s="27" t="s">
        <v>778</v>
      </c>
      <c r="D2759" s="27" t="s">
        <v>774</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775</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row>
    <row r="2762" spans="1:12">
      <c r="A2762" s="20" t="s">
        <v>1574</v>
      </c>
    </row>
    <row r="2763" spans="1:12">
      <c r="A2763" s="20" t="s">
        <v>824</v>
      </c>
      <c r="B2763" s="27" t="s">
        <v>762</v>
      </c>
      <c r="C2763" s="27" t="s">
        <v>778</v>
      </c>
      <c r="D2763" s="27" t="s">
        <v>774</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472</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769</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1207</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1414</v>
      </c>
      <c r="B2767" s="27" t="s">
        <v>800</v>
      </c>
      <c r="C2767" s="27" t="s">
        <v>773</v>
      </c>
      <c r="D2767" s="27" t="s">
        <v>774</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779</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1575</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340</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1576</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340</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1357</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760</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340</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824</v>
      </c>
      <c r="B2776" s="27" t="s">
        <v>800</v>
      </c>
      <c r="C2776" s="27" t="s">
        <v>778</v>
      </c>
      <c r="D2776" s="27" t="s">
        <v>774</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93</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769</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1577</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1578</v>
      </c>
      <c r="B2780" s="27" t="s">
        <v>802</v>
      </c>
      <c r="C2780" s="27" t="s">
        <v>773</v>
      </c>
      <c r="D2780" s="27" t="s">
        <v>774</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943</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769</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1572</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1414</v>
      </c>
      <c r="B2784" s="27" t="s">
        <v>863</v>
      </c>
      <c r="C2784" s="27" t="s">
        <v>773</v>
      </c>
      <c r="D2784" s="27" t="s">
        <v>774</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775</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row>
    <row r="2787" spans="1:12">
      <c r="A2787" s="20" t="s">
        <v>1579</v>
      </c>
    </row>
    <row r="2788" spans="1:12">
      <c r="A2788" s="20" t="s">
        <v>903</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824</v>
      </c>
      <c r="B2789" s="27" t="s">
        <v>762</v>
      </c>
      <c r="C2789" s="27" t="s">
        <v>778</v>
      </c>
      <c r="D2789" s="27" t="s">
        <v>774</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93</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795</v>
      </c>
      <c r="B2791" s="27" t="s">
        <v>800</v>
      </c>
      <c r="C2791" s="27" t="s">
        <v>778</v>
      </c>
      <c r="D2791" s="27" t="s">
        <v>774</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819</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764</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1580</v>
      </c>
      <c r="B2794" s="27" t="s">
        <v>758</v>
      </c>
      <c r="C2794" s="27" t="s">
        <v>767</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823</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905</v>
      </c>
      <c r="B2796" s="27" t="s">
        <v>895</v>
      </c>
      <c r="C2796" s="27" t="s">
        <v>834</v>
      </c>
      <c r="D2796" s="27" t="s">
        <v>774</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768</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993</v>
      </c>
      <c r="B2798" s="27" t="s">
        <v>815</v>
      </c>
      <c r="C2798" s="27" t="s">
        <v>778</v>
      </c>
      <c r="D2798" s="27" t="s">
        <v>774</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1581</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935</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138</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769</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758</v>
      </c>
      <c r="B2803" s="27" t="s">
        <v>810</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775</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row>
    <row r="2806" spans="1:12">
      <c r="A2806" s="20" t="s">
        <v>1582</v>
      </c>
    </row>
    <row r="2807" spans="1:12">
      <c r="A2807" s="20" t="s">
        <v>830</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823</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824</v>
      </c>
      <c r="B2809" s="27" t="s">
        <v>800</v>
      </c>
      <c r="C2809" s="27" t="s">
        <v>778</v>
      </c>
      <c r="D2809" s="27" t="s">
        <v>774</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138</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769</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1491</v>
      </c>
      <c r="B2812" s="27" t="s">
        <v>802</v>
      </c>
      <c r="C2812" s="27" t="s">
        <v>773</v>
      </c>
      <c r="D2812" s="27" t="s">
        <v>774</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990</v>
      </c>
      <c r="B2813" s="27" t="s">
        <v>1022</v>
      </c>
      <c r="C2813" s="27" t="s">
        <v>778</v>
      </c>
      <c r="D2813" s="27" t="s">
        <v>774</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1078</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1583</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754</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1211</v>
      </c>
      <c r="B2817" s="27" t="s">
        <v>815</v>
      </c>
      <c r="C2817" s="27" t="s">
        <v>799</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930</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769</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826</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824</v>
      </c>
      <c r="B2821" s="27" t="s">
        <v>925</v>
      </c>
      <c r="C2821" s="27" t="s">
        <v>778</v>
      </c>
      <c r="D2821" s="27" t="s">
        <v>774</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1415</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1079</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1584</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760</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824</v>
      </c>
      <c r="B2826" s="27" t="s">
        <v>762</v>
      </c>
      <c r="C2826" s="27" t="s">
        <v>778</v>
      </c>
      <c r="D2826" s="27" t="s">
        <v>774</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1585</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93</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795</v>
      </c>
      <c r="B2829" s="27" t="s">
        <v>800</v>
      </c>
      <c r="C2829" s="27" t="s">
        <v>778</v>
      </c>
      <c r="D2829" s="27" t="s">
        <v>774</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819</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930</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986</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1586</v>
      </c>
      <c r="B2833" s="27" t="s">
        <v>758</v>
      </c>
      <c r="C2833" s="27" t="s">
        <v>989</v>
      </c>
      <c r="D2833" s="27" t="s">
        <v>774</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754</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1587</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1588</v>
      </c>
      <c r="B2836" s="27" t="s">
        <v>772</v>
      </c>
      <c r="C2836" s="27" t="s">
        <v>759</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823</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769</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1589</v>
      </c>
      <c r="B2839" s="27" t="s">
        <v>1022</v>
      </c>
      <c r="C2839" s="27" t="s">
        <v>773</v>
      </c>
      <c r="D2839" s="27" t="s">
        <v>774</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1590</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1236</v>
      </c>
      <c r="B2841" s="27" t="s">
        <v>895</v>
      </c>
      <c r="C2841" s="27" t="s">
        <v>778</v>
      </c>
      <c r="D2841" s="27" t="s">
        <v>774</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1591</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769</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1592</v>
      </c>
      <c r="B2844" s="27" t="s">
        <v>810</v>
      </c>
      <c r="C2844" s="27" t="s">
        <v>773</v>
      </c>
      <c r="D2844" s="27" t="s">
        <v>774</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875</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769</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1593</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1517</v>
      </c>
      <c r="B2848" s="27" t="s">
        <v>863</v>
      </c>
      <c r="C2848" s="27" t="s">
        <v>773</v>
      </c>
      <c r="D2848" s="27" t="s">
        <v>774</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882</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893</v>
      </c>
      <c r="B2850" s="27" t="s">
        <v>925</v>
      </c>
      <c r="C2850" s="27" t="s">
        <v>778</v>
      </c>
      <c r="D2850" s="27" t="s">
        <v>774</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1594</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1595</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1115</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764</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1596</v>
      </c>
      <c r="B2855" s="27" t="s">
        <v>927</v>
      </c>
      <c r="C2855" s="27" t="s">
        <v>767</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775</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row>
    <row r="2858" spans="1:12">
      <c r="A2858" s="20" t="s">
        <v>1597</v>
      </c>
    </row>
    <row r="2859" spans="1:12">
      <c r="A2859" s="20" t="s">
        <v>1025</v>
      </c>
      <c r="B2859" s="27" t="s">
        <v>762</v>
      </c>
      <c r="C2859" s="27" t="s">
        <v>778</v>
      </c>
      <c r="D2859" s="27" t="s">
        <v>774</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158</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807</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93</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943</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1422</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853</v>
      </c>
      <c r="B2865" s="27" t="s">
        <v>895</v>
      </c>
      <c r="C2865" s="27" t="s">
        <v>778</v>
      </c>
      <c r="D2865" s="27" t="s">
        <v>774</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154</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943</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1598</v>
      </c>
      <c r="B2868" s="27" t="s">
        <v>863</v>
      </c>
      <c r="C2868" s="27" t="s">
        <v>759</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1599</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775</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row>
    <row r="2872" spans="1:12">
      <c r="A2872" s="20" t="s">
        <v>1600</v>
      </c>
    </row>
    <row r="2873" spans="1:12">
      <c r="A2873" s="20" t="s">
        <v>830</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764</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490</v>
      </c>
      <c r="B2875" s="27" t="s">
        <v>758</v>
      </c>
      <c r="C2875" s="27" t="s">
        <v>767</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768</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769</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1210</v>
      </c>
      <c r="B2878" s="27" t="s">
        <v>758</v>
      </c>
      <c r="C2878" s="27" t="s">
        <v>773</v>
      </c>
      <c r="D2878" s="27" t="s">
        <v>774</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769</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849</v>
      </c>
      <c r="B2880" s="27" t="s">
        <v>895</v>
      </c>
      <c r="C2880" s="27" t="s">
        <v>773</v>
      </c>
      <c r="D2880" s="27" t="s">
        <v>774</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768</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1601</v>
      </c>
      <c r="B2882" s="27" t="s">
        <v>815</v>
      </c>
      <c r="C2882" s="27" t="s">
        <v>759</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779</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850</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1352</v>
      </c>
      <c r="B2885" s="27" t="s">
        <v>802</v>
      </c>
      <c r="C2885" s="27" t="s">
        <v>937</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45</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853</v>
      </c>
      <c r="B2887" s="27" t="s">
        <v>800</v>
      </c>
      <c r="C2887" s="27" t="s">
        <v>778</v>
      </c>
      <c r="D2887" s="27" t="s">
        <v>774</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1602</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754</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877</v>
      </c>
      <c r="B2890" s="27" t="s">
        <v>863</v>
      </c>
      <c r="C2890" s="27" t="s">
        <v>848</v>
      </c>
      <c r="D2890" s="27" t="s">
        <v>774</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928</v>
      </c>
      <c r="B2891" s="27" t="s">
        <v>772</v>
      </c>
      <c r="C2891" s="27" t="s">
        <v>834</v>
      </c>
      <c r="D2891" s="27" t="s">
        <v>774</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760</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340</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936</v>
      </c>
      <c r="B2894" s="27" t="s">
        <v>810</v>
      </c>
      <c r="C2894" s="27" t="s">
        <v>937</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45</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853</v>
      </c>
      <c r="B2896" s="27" t="s">
        <v>895</v>
      </c>
      <c r="C2896" s="27" t="s">
        <v>778</v>
      </c>
      <c r="D2896" s="27" t="s">
        <v>774</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431</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754</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993</v>
      </c>
      <c r="B2899" s="27" t="s">
        <v>863</v>
      </c>
      <c r="C2899" s="27" t="s">
        <v>778</v>
      </c>
      <c r="D2899" s="27" t="s">
        <v>774</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858</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row>
    <row r="2902" spans="1:12">
      <c r="A2902" s="20" t="s">
        <v>791</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1603</v>
      </c>
    </row>
    <row r="2904" spans="1:12">
      <c r="A2904" s="20" t="s">
        <v>1604</v>
      </c>
      <c r="B2904" s="27" t="s">
        <v>762</v>
      </c>
      <c r="C2904" s="27" t="s">
        <v>837</v>
      </c>
      <c r="D2904" s="27" t="s">
        <v>774</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1605</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760</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764</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1606</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1607</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1608</v>
      </c>
      <c r="B2910" s="27" t="s">
        <v>772</v>
      </c>
      <c r="C2910" s="27" t="s">
        <v>767</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760</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880</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760</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752</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865</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1101</v>
      </c>
      <c r="B2916" s="27" t="s">
        <v>895</v>
      </c>
      <c r="C2916" s="27" t="s">
        <v>759</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53</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760</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1609</v>
      </c>
      <c r="B2919" s="27" t="s">
        <v>800</v>
      </c>
      <c r="C2919" s="27" t="s">
        <v>778</v>
      </c>
      <c r="D2919" s="27" t="s">
        <v>774</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414</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847</v>
      </c>
      <c r="B2921" s="27" t="s">
        <v>815</v>
      </c>
      <c r="C2921" s="27" t="s">
        <v>848</v>
      </c>
      <c r="D2921" s="27" t="s">
        <v>774</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1074</v>
      </c>
      <c r="B2922" s="27" t="s">
        <v>895</v>
      </c>
      <c r="C2922" s="27" t="s">
        <v>834</v>
      </c>
      <c r="D2922" s="27" t="s">
        <v>774</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852</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806</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158</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1607</v>
      </c>
      <c r="B2926" s="27" t="s">
        <v>810</v>
      </c>
      <c r="C2926" s="27" t="s">
        <v>759</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760</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1326</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936</v>
      </c>
      <c r="B2929" s="27" t="s">
        <v>802</v>
      </c>
      <c r="C2929" s="27" t="s">
        <v>937</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990</v>
      </c>
      <c r="B2930" s="27" t="s">
        <v>895</v>
      </c>
      <c r="C2930" s="27" t="s">
        <v>778</v>
      </c>
      <c r="D2930" s="27" t="s">
        <v>774</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1078</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897</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963</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779</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760</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1609</v>
      </c>
      <c r="B2936" s="27" t="s">
        <v>925</v>
      </c>
      <c r="C2936" s="27" t="s">
        <v>778</v>
      </c>
      <c r="D2936" s="27" t="s">
        <v>774</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414</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769</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1074</v>
      </c>
      <c r="B2939" s="27" t="s">
        <v>1187</v>
      </c>
      <c r="C2939" s="27" t="s">
        <v>773</v>
      </c>
      <c r="D2939" s="27" t="s">
        <v>774</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824</v>
      </c>
      <c r="B2940" s="27" t="s">
        <v>1026</v>
      </c>
      <c r="C2940" s="27" t="s">
        <v>778</v>
      </c>
      <c r="D2940" s="27" t="s">
        <v>774</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158</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852</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806</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557</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340</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824</v>
      </c>
      <c r="B2946" s="27" t="s">
        <v>895</v>
      </c>
      <c r="C2946" s="27" t="s">
        <v>778</v>
      </c>
      <c r="D2946" s="27" t="s">
        <v>774</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982</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764</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1610</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760</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1611</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1074</v>
      </c>
      <c r="B2952" s="27" t="s">
        <v>810</v>
      </c>
      <c r="C2952" s="27" t="s">
        <v>767</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1612</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775</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1326</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row>
    <row r="2957" spans="1:12">
      <c r="A2957" s="20" t="s">
        <v>1613</v>
      </c>
    </row>
    <row r="2958" spans="1:12">
      <c r="A2958" s="20" t="s">
        <v>1614</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882</v>
      </c>
      <c r="B2959" s="27" t="s">
        <v>766</v>
      </c>
      <c r="C2959" s="27" t="s">
        <v>818</v>
      </c>
      <c r="D2959" s="27" t="s">
        <v>774</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1121</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775</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row>
    <row r="2963" spans="1:12">
      <c r="A2963" s="20" t="s">
        <v>1615</v>
      </c>
    </row>
    <row r="2964" spans="1:12">
      <c r="A2964" s="20" t="s">
        <v>1373</v>
      </c>
      <c r="B2964" s="27" t="s">
        <v>762</v>
      </c>
      <c r="C2964" s="27" t="s">
        <v>818</v>
      </c>
      <c r="D2964" s="27" t="s">
        <v>774</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779</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936</v>
      </c>
      <c r="B2966" s="27" t="s">
        <v>758</v>
      </c>
      <c r="C2966" s="27" t="s">
        <v>937</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853</v>
      </c>
      <c r="B2967" s="27" t="s">
        <v>800</v>
      </c>
      <c r="C2967" s="27" t="s">
        <v>778</v>
      </c>
      <c r="D2967" s="27" t="s">
        <v>774</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127</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823</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924</v>
      </c>
      <c r="B2970" s="27" t="s">
        <v>895</v>
      </c>
      <c r="C2970" s="27" t="s">
        <v>778</v>
      </c>
      <c r="D2970" s="27" t="s">
        <v>774</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1616</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1455</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877</v>
      </c>
      <c r="B2973" s="27" t="s">
        <v>815</v>
      </c>
      <c r="C2973" s="27" t="s">
        <v>848</v>
      </c>
      <c r="D2973" s="27" t="s">
        <v>774</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1617</v>
      </c>
      <c r="B2974" s="27" t="s">
        <v>863</v>
      </c>
      <c r="C2974" s="27" t="s">
        <v>834</v>
      </c>
      <c r="D2974" s="27" t="s">
        <v>774</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775</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row>
    <row r="2977" spans="1:12">
      <c r="A2977" s="20" t="s">
        <v>791</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1618</v>
      </c>
    </row>
    <row r="2979" spans="1:12">
      <c r="A2979" s="20" t="s">
        <v>1373</v>
      </c>
      <c r="B2979" s="27" t="s">
        <v>762</v>
      </c>
      <c r="C2979" s="27" t="s">
        <v>818</v>
      </c>
      <c r="D2979" s="27" t="s">
        <v>774</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779</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936</v>
      </c>
      <c r="B2981" s="27" t="s">
        <v>758</v>
      </c>
      <c r="C2981" s="27" t="s">
        <v>937</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853</v>
      </c>
      <c r="B2982" s="27" t="s">
        <v>800</v>
      </c>
      <c r="C2982" s="27" t="s">
        <v>778</v>
      </c>
      <c r="D2982" s="27" t="s">
        <v>774</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127</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823</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924</v>
      </c>
      <c r="B2985" s="27" t="s">
        <v>895</v>
      </c>
      <c r="C2985" s="27" t="s">
        <v>778</v>
      </c>
      <c r="D2985" s="27" t="s">
        <v>774</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1619</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785</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764</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431</v>
      </c>
      <c r="B2989" s="27" t="s">
        <v>863</v>
      </c>
      <c r="C2989" s="27" t="s">
        <v>767</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850</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882</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926</v>
      </c>
      <c r="B2992" s="27" t="s">
        <v>863</v>
      </c>
      <c r="C2992" s="27" t="s">
        <v>848</v>
      </c>
      <c r="D2992" s="27" t="s">
        <v>774</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1620</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414</v>
      </c>
      <c r="B2994" s="27" t="s">
        <v>800</v>
      </c>
      <c r="C2994" s="27" t="s">
        <v>834</v>
      </c>
      <c r="D2994" s="27" t="s">
        <v>774</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785</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881</v>
      </c>
      <c r="B2996" s="27" t="s">
        <v>863</v>
      </c>
      <c r="C2996" s="27" t="s">
        <v>778</v>
      </c>
      <c r="D2996" s="27" t="s">
        <v>774</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779</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882</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1621</v>
      </c>
      <c r="B2999" s="27" t="s">
        <v>758</v>
      </c>
      <c r="C2999" s="27" t="s">
        <v>989</v>
      </c>
      <c r="D2999" s="27" t="s">
        <v>774</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853</v>
      </c>
      <c r="B3000" s="27" t="s">
        <v>895</v>
      </c>
      <c r="C3000" s="27" t="s">
        <v>778</v>
      </c>
      <c r="D3000" s="27" t="s">
        <v>774</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1525</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1622</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807</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41</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760</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340</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1623</v>
      </c>
      <c r="B3007" s="27" t="s">
        <v>863</v>
      </c>
      <c r="C3007" s="27" t="s">
        <v>759</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924</v>
      </c>
      <c r="B3008" s="27" t="s">
        <v>895</v>
      </c>
      <c r="C3008" s="27" t="s">
        <v>778</v>
      </c>
      <c r="D3008" s="27" t="s">
        <v>774</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1151</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333</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1525</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1624</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754</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1625</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877</v>
      </c>
      <c r="B3015" s="27" t="s">
        <v>929</v>
      </c>
      <c r="C3015" s="27" t="s">
        <v>848</v>
      </c>
      <c r="D3015" s="27" t="s">
        <v>774</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1626</v>
      </c>
      <c r="B3016" s="27" t="s">
        <v>815</v>
      </c>
      <c r="C3016" s="27" t="s">
        <v>834</v>
      </c>
      <c r="D3016" s="27" t="s">
        <v>774</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775</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752</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row>
    <row r="3020" spans="1:12">
      <c r="A3020" s="20" t="s">
        <v>1627</v>
      </c>
    </row>
    <row r="3021" spans="1:12">
      <c r="A3021" s="20" t="s">
        <v>777</v>
      </c>
      <c r="B3021" s="27" t="s">
        <v>762</v>
      </c>
      <c r="C3021" s="27" t="s">
        <v>778</v>
      </c>
      <c r="D3021" s="27" t="s">
        <v>774</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819</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764</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1212</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1628</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1506</v>
      </c>
      <c r="B3026" s="27" t="s">
        <v>758</v>
      </c>
      <c r="C3026" s="27" t="s">
        <v>767</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768</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1629</v>
      </c>
      <c r="B3028" s="27" t="s">
        <v>758</v>
      </c>
      <c r="C3028" s="27" t="s">
        <v>759</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760</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812</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795</v>
      </c>
      <c r="B3031" s="27" t="s">
        <v>800</v>
      </c>
      <c r="C3031" s="27" t="s">
        <v>778</v>
      </c>
      <c r="D3031" s="27" t="s">
        <v>774</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1630</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807</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769</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786</v>
      </c>
      <c r="B3035" s="27" t="s">
        <v>772</v>
      </c>
      <c r="C3035" s="27" t="s">
        <v>773</v>
      </c>
      <c r="D3035" s="27" t="s">
        <v>774</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882</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988</v>
      </c>
      <c r="B3037" s="27" t="s">
        <v>895</v>
      </c>
      <c r="C3037" s="27" t="s">
        <v>759</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1631</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871</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769</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790</v>
      </c>
      <c r="B3041" s="27" t="s">
        <v>863</v>
      </c>
      <c r="C3041" s="27" t="s">
        <v>773</v>
      </c>
      <c r="D3041" s="27" t="s">
        <v>774</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990</v>
      </c>
      <c r="B3042" s="27" t="s">
        <v>1022</v>
      </c>
      <c r="C3042" s="27" t="s">
        <v>778</v>
      </c>
      <c r="D3042" s="27" t="s">
        <v>774</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158</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340</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990</v>
      </c>
      <c r="B3045" s="27" t="s">
        <v>925</v>
      </c>
      <c r="C3045" s="27" t="s">
        <v>778</v>
      </c>
      <c r="D3045" s="27" t="s">
        <v>774</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45</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935</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112</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807</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41</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1632</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1048</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1418</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1048</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1633</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775</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row>
    <row r="3058" spans="1:12">
      <c r="A3058" s="20" t="s">
        <v>1634</v>
      </c>
    </row>
    <row r="3059" spans="1:12">
      <c r="A3059" s="20" t="s">
        <v>1327</v>
      </c>
      <c r="B3059" s="27" t="s">
        <v>762</v>
      </c>
      <c r="C3059" s="27" t="s">
        <v>778</v>
      </c>
      <c r="D3059" s="27" t="s">
        <v>774</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112</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807</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41</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1635</v>
      </c>
      <c r="B3063" s="27" t="s">
        <v>758</v>
      </c>
      <c r="C3063" s="27" t="s">
        <v>937</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795</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779</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882</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990</v>
      </c>
      <c r="B3067" s="27" t="s">
        <v>1022</v>
      </c>
      <c r="C3067" s="27" t="s">
        <v>778</v>
      </c>
      <c r="D3067" s="27" t="s">
        <v>774</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1415</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33</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807</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41</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775</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row>
    <row r="3074" spans="1:12">
      <c r="A3074" s="20" t="s">
        <v>1636</v>
      </c>
    </row>
    <row r="3075" spans="1:12">
      <c r="A3075" s="20" t="s">
        <v>1229</v>
      </c>
      <c r="B3075" s="27" t="s">
        <v>762</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768</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769</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1435</v>
      </c>
      <c r="B3078" s="27" t="s">
        <v>772</v>
      </c>
      <c r="C3078" s="27" t="s">
        <v>773</v>
      </c>
      <c r="D3078" s="27" t="s">
        <v>774</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824</v>
      </c>
      <c r="B3079" s="27" t="s">
        <v>1022</v>
      </c>
      <c r="C3079" s="27" t="s">
        <v>778</v>
      </c>
      <c r="D3079" s="27" t="s">
        <v>774</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1436</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785</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1073</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1637</v>
      </c>
      <c r="B3083" s="27" t="s">
        <v>815</v>
      </c>
      <c r="C3083" s="27" t="s">
        <v>989</v>
      </c>
      <c r="D3083" s="27" t="s">
        <v>774</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825</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769</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646</v>
      </c>
      <c r="B3086" s="27" t="s">
        <v>758</v>
      </c>
      <c r="C3086" s="27" t="s">
        <v>834</v>
      </c>
      <c r="D3086" s="27" t="s">
        <v>774</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768</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1638</v>
      </c>
      <c r="B3088" s="27" t="s">
        <v>758</v>
      </c>
      <c r="C3088" s="27" t="s">
        <v>837</v>
      </c>
      <c r="D3088" s="27" t="s">
        <v>774</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1639</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760</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1023</v>
      </c>
      <c r="B3091" s="27" t="s">
        <v>800</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825</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905</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768</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769</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1640</v>
      </c>
      <c r="B3096" s="27" t="s">
        <v>772</v>
      </c>
      <c r="C3096" s="27" t="s">
        <v>773</v>
      </c>
      <c r="D3096" s="27" t="s">
        <v>774</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768</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769</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1641</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1642</v>
      </c>
      <c r="B3100" s="27" t="s">
        <v>863</v>
      </c>
      <c r="C3100" s="27" t="s">
        <v>773</v>
      </c>
      <c r="D3100" s="27" t="s">
        <v>774</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775</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row>
    <row r="3103" spans="1:12">
      <c r="A3103" s="20" t="s">
        <v>1643</v>
      </c>
    </row>
    <row r="3104" spans="1:12">
      <c r="A3104" s="20" t="s">
        <v>777</v>
      </c>
      <c r="B3104" s="27" t="s">
        <v>762</v>
      </c>
      <c r="C3104" s="27" t="s">
        <v>778</v>
      </c>
      <c r="D3104" s="27" t="s">
        <v>774</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939</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764</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1644</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1210</v>
      </c>
      <c r="B3108" s="27" t="s">
        <v>766</v>
      </c>
      <c r="C3108" s="27" t="s">
        <v>767</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807</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1645</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993</v>
      </c>
      <c r="B3111" s="27" t="s">
        <v>802</v>
      </c>
      <c r="C3111" s="27" t="s">
        <v>778</v>
      </c>
      <c r="D3111" s="27" t="s">
        <v>774</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807</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1246</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807</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908</v>
      </c>
      <c r="B3115" s="27" t="s">
        <v>863</v>
      </c>
      <c r="C3115" s="27" t="s">
        <v>778</v>
      </c>
      <c r="D3115" s="27" t="s">
        <v>774</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760</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340</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1646</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990</v>
      </c>
      <c r="B3119" s="27" t="s">
        <v>925</v>
      </c>
      <c r="C3119" s="27" t="s">
        <v>778</v>
      </c>
      <c r="D3119" s="27" t="s">
        <v>774</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1647</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760</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990</v>
      </c>
      <c r="B3122" s="27" t="s">
        <v>1022</v>
      </c>
      <c r="C3122" s="27" t="s">
        <v>778</v>
      </c>
      <c r="D3122" s="27" t="s">
        <v>774</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1034</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568</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1553</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768</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1215</v>
      </c>
      <c r="B3127" s="27" t="s">
        <v>929</v>
      </c>
      <c r="C3127" s="27" t="s">
        <v>848</v>
      </c>
      <c r="D3127" s="27" t="s">
        <v>774</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1318</v>
      </c>
      <c r="B3128" s="27" t="s">
        <v>815</v>
      </c>
      <c r="C3128" s="27" t="s">
        <v>834</v>
      </c>
      <c r="D3128" s="27" t="s">
        <v>774</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882</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990</v>
      </c>
      <c r="B3130" s="27" t="s">
        <v>1024</v>
      </c>
      <c r="C3130" s="27" t="s">
        <v>778</v>
      </c>
      <c r="D3130" s="27" t="s">
        <v>774</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883</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935</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962</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1648</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795</v>
      </c>
      <c r="B3135" s="27" t="s">
        <v>1028</v>
      </c>
      <c r="C3135" s="27" t="s">
        <v>778</v>
      </c>
      <c r="D3135" s="27" t="s">
        <v>774</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760</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340</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769</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1305</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1649</v>
      </c>
      <c r="B3140" s="27" t="s">
        <v>927</v>
      </c>
      <c r="C3140" s="27" t="s">
        <v>773</v>
      </c>
      <c r="D3140" s="27" t="s">
        <v>774</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824</v>
      </c>
      <c r="B3141" s="27" t="s">
        <v>1030</v>
      </c>
      <c r="C3141" s="27" t="s">
        <v>778</v>
      </c>
      <c r="D3141" s="27" t="s">
        <v>774</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1277</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871</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993</v>
      </c>
      <c r="B3144" s="27" t="s">
        <v>1033</v>
      </c>
      <c r="C3144" s="27" t="s">
        <v>778</v>
      </c>
      <c r="D3144" s="27" t="s">
        <v>774</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760</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769</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1305</v>
      </c>
      <c r="B3147" s="27" t="s">
        <v>927</v>
      </c>
      <c r="C3147" s="27" t="s">
        <v>773</v>
      </c>
      <c r="D3147" s="27" t="s">
        <v>774</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768</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1514</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760</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824</v>
      </c>
      <c r="B3151" s="27" t="s">
        <v>1024</v>
      </c>
      <c r="C3151" s="27" t="s">
        <v>778</v>
      </c>
      <c r="D3151" s="27" t="s">
        <v>774</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1650</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1394</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1567</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92</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1651</v>
      </c>
      <c r="B3156" s="27" t="s">
        <v>1313</v>
      </c>
      <c r="C3156" s="27" t="s">
        <v>799</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768</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1652</v>
      </c>
      <c r="B3158" s="27" t="s">
        <v>1303</v>
      </c>
      <c r="C3158" s="27" t="s">
        <v>759</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775</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row>
    <row r="3161" spans="1:12">
      <c r="A3161" s="20" t="s">
        <v>1653</v>
      </c>
    </row>
    <row r="3162" spans="1:12">
      <c r="A3162" s="20" t="s">
        <v>830</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1115</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1654</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1655</v>
      </c>
      <c r="B3165" s="27" t="s">
        <v>758</v>
      </c>
      <c r="C3165" s="27" t="s">
        <v>759</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760</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853</v>
      </c>
      <c r="B3167" s="27" t="s">
        <v>762</v>
      </c>
      <c r="C3167" s="27" t="s">
        <v>778</v>
      </c>
      <c r="D3167" s="27" t="s">
        <v>774</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1034</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1278</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1656</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775</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row>
    <row r="3173" spans="1:12">
      <c r="A3173" s="20" t="s">
        <v>1657</v>
      </c>
    </row>
    <row r="3174" spans="1:12">
      <c r="A3174" s="20" t="s">
        <v>1025</v>
      </c>
      <c r="B3174" s="27" t="s">
        <v>762</v>
      </c>
      <c r="C3174" s="27" t="s">
        <v>778</v>
      </c>
      <c r="D3174" s="27" t="s">
        <v>774</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1034</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1658</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754</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769</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1659</v>
      </c>
      <c r="B3179" s="27" t="s">
        <v>758</v>
      </c>
      <c r="C3179" s="27" t="s">
        <v>773</v>
      </c>
      <c r="D3179" s="27" t="s">
        <v>774</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775</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row>
    <row r="3182" spans="1:12">
      <c r="A3182" s="20" t="s">
        <v>1660</v>
      </c>
    </row>
    <row r="3183" spans="1:12">
      <c r="A3183" s="20" t="s">
        <v>1661</v>
      </c>
      <c r="B3183" s="27" t="s">
        <v>762</v>
      </c>
      <c r="C3183" s="27" t="s">
        <v>837</v>
      </c>
      <c r="D3183" s="27" t="s">
        <v>774</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1639</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825</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1662</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1663</v>
      </c>
      <c r="B3187" s="27" t="s">
        <v>766</v>
      </c>
      <c r="C3187" s="27" t="s">
        <v>759</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775</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row>
    <row r="3190" spans="1:12">
      <c r="A3190" s="20" t="s">
        <v>791</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1664</v>
      </c>
    </row>
    <row r="3192" spans="1:12">
      <c r="A3192" s="20" t="s">
        <v>830</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824</v>
      </c>
      <c r="B3193" s="27" t="s">
        <v>762</v>
      </c>
      <c r="C3193" s="27" t="s">
        <v>778</v>
      </c>
      <c r="D3193" s="27" t="s">
        <v>774</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880</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760</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752</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1665</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1638</v>
      </c>
      <c r="B3198" s="27" t="s">
        <v>895</v>
      </c>
      <c r="C3198" s="27" t="s">
        <v>837</v>
      </c>
      <c r="D3198" s="27" t="s">
        <v>774</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1034</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857</v>
      </c>
      <c r="B3200" s="27" t="s">
        <v>772</v>
      </c>
      <c r="C3200" s="27" t="s">
        <v>856</v>
      </c>
      <c r="D3200" s="27" t="s">
        <v>774</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914</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760</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45</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924</v>
      </c>
      <c r="B3204" s="27" t="s">
        <v>800</v>
      </c>
      <c r="C3204" s="27" t="s">
        <v>778</v>
      </c>
      <c r="D3204" s="27" t="s">
        <v>774</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158</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764</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1391</v>
      </c>
      <c r="B3207" s="27" t="s">
        <v>802</v>
      </c>
      <c r="C3207" s="27" t="s">
        <v>767</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768</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936</v>
      </c>
      <c r="B3209" s="27" t="s">
        <v>863</v>
      </c>
      <c r="C3209" s="27" t="s">
        <v>937</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924</v>
      </c>
      <c r="B3210" s="27" t="s">
        <v>925</v>
      </c>
      <c r="C3210" s="27" t="s">
        <v>778</v>
      </c>
      <c r="D3210" s="27" t="s">
        <v>774</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896</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112</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807</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1666</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1253</v>
      </c>
      <c r="B3215" s="27" t="s">
        <v>1313</v>
      </c>
      <c r="C3215" s="27" t="s">
        <v>778</v>
      </c>
      <c r="D3215" s="27" t="s">
        <v>774</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858</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752</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row>
    <row r="3219" spans="1:12">
      <c r="A3219" s="20" t="s">
        <v>791</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1667</v>
      </c>
    </row>
    <row r="3221" spans="1:12">
      <c r="A3221" s="20" t="s">
        <v>830</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1242</v>
      </c>
      <c r="B3222" s="27" t="s">
        <v>772</v>
      </c>
      <c r="C3222" s="27" t="s">
        <v>848</v>
      </c>
      <c r="D3222" s="27" t="s">
        <v>774</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1364</v>
      </c>
      <c r="B3223" s="27" t="s">
        <v>762</v>
      </c>
      <c r="C3223" s="27" t="s">
        <v>834</v>
      </c>
      <c r="D3223" s="27" t="s">
        <v>774</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880</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760</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752</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824</v>
      </c>
      <c r="B3227" s="27" t="s">
        <v>772</v>
      </c>
      <c r="C3227" s="27" t="s">
        <v>848</v>
      </c>
      <c r="D3227" s="27" t="s">
        <v>774</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1668</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45</v>
      </c>
      <c r="B3229" s="27" t="s">
        <v>758</v>
      </c>
      <c r="C3229" s="27" t="s">
        <v>834</v>
      </c>
      <c r="D3229" s="27" t="s">
        <v>774</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775</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row>
    <row r="3232" spans="1:12">
      <c r="A3232" s="20" t="s">
        <v>791</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1669</v>
      </c>
    </row>
    <row r="3234" spans="1:12">
      <c r="A3234" s="20" t="s">
        <v>824</v>
      </c>
      <c r="B3234" s="27" t="s">
        <v>762</v>
      </c>
      <c r="C3234" s="27" t="s">
        <v>778</v>
      </c>
      <c r="D3234" s="27" t="s">
        <v>774</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896</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112</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807</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1666</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1253</v>
      </c>
      <c r="B3239" s="27" t="s">
        <v>802</v>
      </c>
      <c r="C3239" s="27" t="s">
        <v>778</v>
      </c>
      <c r="D3239" s="27" t="s">
        <v>774</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936</v>
      </c>
      <c r="B3240" s="27" t="s">
        <v>810</v>
      </c>
      <c r="C3240" s="27" t="s">
        <v>937</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769</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1670</v>
      </c>
      <c r="B3242" s="27" t="s">
        <v>772</v>
      </c>
      <c r="C3242" s="27" t="s">
        <v>773</v>
      </c>
      <c r="D3242" s="27" t="s">
        <v>774</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1236</v>
      </c>
      <c r="B3243" s="27" t="s">
        <v>1022</v>
      </c>
      <c r="C3243" s="27" t="s">
        <v>778</v>
      </c>
      <c r="D3243" s="27" t="s">
        <v>774</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894</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1236</v>
      </c>
      <c r="B3245" s="27" t="s">
        <v>925</v>
      </c>
      <c r="C3245" s="27" t="s">
        <v>778</v>
      </c>
      <c r="D3245" s="27" t="s">
        <v>774</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825</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1671</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775</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752</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row>
    <row r="3251" spans="1:12">
      <c r="A3251" s="20" t="s">
        <v>1672</v>
      </c>
    </row>
    <row r="3252" spans="1:12">
      <c r="A3252" s="20" t="s">
        <v>830</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1661</v>
      </c>
      <c r="B3253" s="27" t="s">
        <v>762</v>
      </c>
      <c r="C3253" s="27" t="s">
        <v>837</v>
      </c>
      <c r="D3253" s="27" t="s">
        <v>774</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1673</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875</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769</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1674</v>
      </c>
      <c r="B3257" s="27" t="s">
        <v>758</v>
      </c>
      <c r="C3257" s="27" t="s">
        <v>773</v>
      </c>
      <c r="D3257" s="27" t="s">
        <v>774</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760</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340</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893</v>
      </c>
      <c r="B3260" s="27" t="s">
        <v>800</v>
      </c>
      <c r="C3260" s="27" t="s">
        <v>778</v>
      </c>
      <c r="D3260" s="27" t="s">
        <v>774</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894</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785</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764</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1675</v>
      </c>
      <c r="B3264" s="27" t="s">
        <v>772</v>
      </c>
      <c r="C3264" s="27" t="s">
        <v>767</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775</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row>
    <row r="3267" spans="1:12">
      <c r="A3267" s="20" t="s">
        <v>791</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1676</v>
      </c>
    </row>
    <row r="3269" spans="1:12">
      <c r="A3269" s="20" t="s">
        <v>830</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995</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893</v>
      </c>
      <c r="B3271" s="27" t="s">
        <v>762</v>
      </c>
      <c r="C3271" s="27" t="s">
        <v>778</v>
      </c>
      <c r="D3271" s="27" t="s">
        <v>774</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1673</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1677</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1295</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340</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880</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760</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752</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824</v>
      </c>
      <c r="B3279" s="27" t="s">
        <v>895</v>
      </c>
      <c r="C3279" s="27" t="s">
        <v>778</v>
      </c>
      <c r="D3279" s="27" t="s">
        <v>774</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942</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1666</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1253</v>
      </c>
      <c r="B3282" s="27" t="s">
        <v>810</v>
      </c>
      <c r="C3282" s="27" t="s">
        <v>778</v>
      </c>
      <c r="D3282" s="27" t="s">
        <v>774</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807</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1678</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908</v>
      </c>
      <c r="B3285" s="27" t="s">
        <v>1036</v>
      </c>
      <c r="C3285" s="27" t="s">
        <v>778</v>
      </c>
      <c r="D3285" s="27" t="s">
        <v>774</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785</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1464</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1242</v>
      </c>
      <c r="B3288" s="27" t="s">
        <v>929</v>
      </c>
      <c r="C3288" s="27" t="s">
        <v>848</v>
      </c>
      <c r="D3288" s="27" t="s">
        <v>774</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872</v>
      </c>
      <c r="B3289" s="27" t="s">
        <v>815</v>
      </c>
      <c r="C3289" s="27" t="s">
        <v>834</v>
      </c>
      <c r="D3289" s="27" t="s">
        <v>774</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340</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1244</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1679</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936</v>
      </c>
      <c r="B3293" s="27" t="s">
        <v>1313</v>
      </c>
      <c r="C3293" s="27" t="s">
        <v>937</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825</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1259</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1115</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1680</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1242</v>
      </c>
      <c r="B3298" s="27" t="s">
        <v>1170</v>
      </c>
      <c r="C3298" s="27" t="s">
        <v>848</v>
      </c>
      <c r="D3298" s="27" t="s">
        <v>774</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1681</v>
      </c>
      <c r="B3299" s="27" t="s">
        <v>1033</v>
      </c>
      <c r="C3299" s="27" t="s">
        <v>834</v>
      </c>
      <c r="D3299" s="27" t="s">
        <v>774</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775</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752</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row>
    <row r="3303" spans="1:12">
      <c r="A3303" s="20" t="s">
        <v>791</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1682</v>
      </c>
    </row>
    <row r="3305" spans="1:12">
      <c r="A3305" s="20" t="s">
        <v>865</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824</v>
      </c>
      <c r="B3306" s="27" t="s">
        <v>800</v>
      </c>
      <c r="C3306" s="27" t="s">
        <v>778</v>
      </c>
      <c r="D3306" s="27" t="s">
        <v>774</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982</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1663</v>
      </c>
      <c r="B3308" s="27" t="s">
        <v>802</v>
      </c>
      <c r="C3308" s="27" t="s">
        <v>759</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871</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1060</v>
      </c>
      <c r="B3310" s="27" t="s">
        <v>772</v>
      </c>
      <c r="C3310" s="27" t="s">
        <v>778</v>
      </c>
      <c r="D3310" s="27" t="s">
        <v>774</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764</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1683</v>
      </c>
      <c r="B3312" s="27" t="s">
        <v>863</v>
      </c>
      <c r="C3312" s="27" t="s">
        <v>767</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768</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827</v>
      </c>
      <c r="B3314" s="27" t="s">
        <v>815</v>
      </c>
      <c r="C3314" s="27" t="s">
        <v>759</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1114</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12</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905</v>
      </c>
      <c r="B3317" s="27" t="s">
        <v>802</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768</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1514</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1684</v>
      </c>
      <c r="B3320" s="27" t="s">
        <v>863</v>
      </c>
      <c r="C3320" s="27" t="s">
        <v>799</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882</v>
      </c>
      <c r="B3321" s="27" t="s">
        <v>1187</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853</v>
      </c>
      <c r="B3322" s="27" t="s">
        <v>925</v>
      </c>
      <c r="C3322" s="27" t="s">
        <v>778</v>
      </c>
      <c r="D3322" s="27" t="s">
        <v>774</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982</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1685</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12</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893</v>
      </c>
      <c r="B3326" s="27" t="s">
        <v>762</v>
      </c>
      <c r="C3326" s="27" t="s">
        <v>778</v>
      </c>
      <c r="D3326" s="27" t="s">
        <v>774</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880</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760</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752</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1077</v>
      </c>
      <c r="B3330" s="27" t="s">
        <v>800</v>
      </c>
      <c r="C3330" s="27" t="s">
        <v>778</v>
      </c>
      <c r="D3330" s="27" t="s">
        <v>774</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85</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760</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823</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795</v>
      </c>
      <c r="B3334" s="27" t="s">
        <v>895</v>
      </c>
      <c r="C3334" s="27" t="s">
        <v>778</v>
      </c>
      <c r="D3334" s="27" t="s">
        <v>774</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1305</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1218</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760</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824</v>
      </c>
      <c r="B3338" s="27" t="s">
        <v>895</v>
      </c>
      <c r="C3338" s="27" t="s">
        <v>778</v>
      </c>
      <c r="D3338" s="27" t="s">
        <v>774</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923</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807</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414</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882</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824</v>
      </c>
      <c r="B3343" s="27" t="s">
        <v>925</v>
      </c>
      <c r="C3343" s="27" t="s">
        <v>778</v>
      </c>
      <c r="D3343" s="27" t="s">
        <v>774</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982</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1244</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1686</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760</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882</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824</v>
      </c>
      <c r="B3349" s="27" t="s">
        <v>895</v>
      </c>
      <c r="C3349" s="27" t="s">
        <v>778</v>
      </c>
      <c r="D3349" s="27" t="s">
        <v>774</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982</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1244</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982</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928</v>
      </c>
      <c r="B3353" s="27" t="s">
        <v>810</v>
      </c>
      <c r="C3353" s="27" t="s">
        <v>759</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775</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row>
    <row r="3356" spans="1:12">
      <c r="A3356" s="20" t="s">
        <v>1687</v>
      </c>
    </row>
    <row r="3357" spans="1:12">
      <c r="A3357" s="20" t="s">
        <v>1665</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824</v>
      </c>
      <c r="B3358" s="27" t="s">
        <v>800</v>
      </c>
      <c r="C3358" s="27" t="s">
        <v>778</v>
      </c>
      <c r="D3358" s="27" t="s">
        <v>774</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982</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935</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1688</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807</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1689</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1690</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340</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1691</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1692</v>
      </c>
      <c r="B3367" s="27" t="s">
        <v>802</v>
      </c>
      <c r="C3367" s="27" t="s">
        <v>759</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871</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1437</v>
      </c>
      <c r="B3369" s="27" t="s">
        <v>863</v>
      </c>
      <c r="C3369" s="27" t="s">
        <v>837</v>
      </c>
      <c r="D3369" s="27" t="s">
        <v>774</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760</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1073</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1074</v>
      </c>
      <c r="B3372" s="27" t="s">
        <v>762</v>
      </c>
      <c r="C3372" s="27" t="s">
        <v>989</v>
      </c>
      <c r="D3372" s="27" t="s">
        <v>774</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942</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935</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158</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1693</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760</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340</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1073</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1694</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1578</v>
      </c>
      <c r="B3381" s="27" t="s">
        <v>800</v>
      </c>
      <c r="C3381" s="27" t="s">
        <v>989</v>
      </c>
      <c r="D3381" s="27" t="s">
        <v>774</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942</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935</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158</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1218</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775</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row>
    <row r="3388" spans="1:12">
      <c r="A3388" s="20" t="s">
        <v>1695</v>
      </c>
    </row>
    <row r="3389" spans="1:12">
      <c r="A3389" s="20" t="s">
        <v>903</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824</v>
      </c>
      <c r="B3390" s="27" t="s">
        <v>762</v>
      </c>
      <c r="C3390" s="27" t="s">
        <v>778</v>
      </c>
      <c r="D3390" s="27" t="s">
        <v>774</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1415</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33</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807</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154</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882</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824</v>
      </c>
      <c r="B3396" s="27" t="s">
        <v>895</v>
      </c>
      <c r="C3396" s="27" t="s">
        <v>778</v>
      </c>
      <c r="D3396" s="27" t="s">
        <v>774</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333</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769</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928</v>
      </c>
      <c r="B3399" s="27" t="s">
        <v>810</v>
      </c>
      <c r="C3399" s="27" t="s">
        <v>773</v>
      </c>
      <c r="D3399" s="27" t="s">
        <v>774</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824</v>
      </c>
      <c r="B3400" s="27" t="s">
        <v>925</v>
      </c>
      <c r="C3400" s="27" t="s">
        <v>778</v>
      </c>
      <c r="D3400" s="27" t="s">
        <v>774</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982</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568</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1432</v>
      </c>
      <c r="B3403" s="27" t="s">
        <v>1187</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882</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824</v>
      </c>
      <c r="B3405" s="27" t="s">
        <v>1026</v>
      </c>
      <c r="C3405" s="27" t="s">
        <v>778</v>
      </c>
      <c r="D3405" s="27" t="s">
        <v>774</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45</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935</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112</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807</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1696</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764</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790</v>
      </c>
      <c r="B3412" s="27" t="s">
        <v>1032</v>
      </c>
      <c r="C3412" s="27" t="s">
        <v>767</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1697</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993</v>
      </c>
      <c r="B3414" s="27" t="s">
        <v>1033</v>
      </c>
      <c r="C3414" s="27" t="s">
        <v>778</v>
      </c>
      <c r="D3414" s="27" t="s">
        <v>774</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775</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row>
    <row r="3417" spans="1:12">
      <c r="A3417" s="20" t="s">
        <v>791</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1698</v>
      </c>
    </row>
    <row r="3419" spans="1:12">
      <c r="A3419" s="20" t="s">
        <v>824</v>
      </c>
      <c r="B3419" s="27" t="s">
        <v>800</v>
      </c>
      <c r="C3419" s="27" t="s">
        <v>778</v>
      </c>
      <c r="D3419" s="27" t="s">
        <v>774</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1249</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769</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1699</v>
      </c>
      <c r="B3422" s="27" t="s">
        <v>802</v>
      </c>
      <c r="C3422" s="27" t="s">
        <v>773</v>
      </c>
      <c r="D3422" s="27" t="s">
        <v>774</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990</v>
      </c>
      <c r="B3423" s="27" t="s">
        <v>1022</v>
      </c>
      <c r="C3423" s="27" t="s">
        <v>778</v>
      </c>
      <c r="D3423" s="27" t="s">
        <v>774</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1700</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807</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1701</v>
      </c>
      <c r="B3426" s="27" t="s">
        <v>815</v>
      </c>
      <c r="C3426" s="27" t="s">
        <v>759</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760</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785</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1135</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855</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1151</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41</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797</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1702</v>
      </c>
      <c r="B3434" s="27" t="s">
        <v>895</v>
      </c>
      <c r="C3434" s="27" t="s">
        <v>799</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760</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812</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769</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1699</v>
      </c>
      <c r="B3438" s="27" t="s">
        <v>762</v>
      </c>
      <c r="C3438" s="27" t="s">
        <v>773</v>
      </c>
      <c r="D3438" s="27" t="s">
        <v>774</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990</v>
      </c>
      <c r="B3439" s="27" t="s">
        <v>895</v>
      </c>
      <c r="C3439" s="27" t="s">
        <v>778</v>
      </c>
      <c r="D3439" s="27" t="s">
        <v>774</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1700</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807</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908</v>
      </c>
      <c r="B3442" s="27" t="s">
        <v>863</v>
      </c>
      <c r="C3442" s="27" t="s">
        <v>778</v>
      </c>
      <c r="D3442" s="27" t="s">
        <v>774</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760</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855</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779</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760</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752</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893</v>
      </c>
      <c r="B3448" s="27" t="s">
        <v>762</v>
      </c>
      <c r="C3448" s="27" t="s">
        <v>778</v>
      </c>
      <c r="D3448" s="27" t="s">
        <v>774</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880</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775</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row>
    <row r="3452" spans="1:12">
      <c r="A3452" s="20" t="s">
        <v>791</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1703</v>
      </c>
    </row>
    <row r="3454" spans="1:12">
      <c r="A3454" s="20" t="s">
        <v>752</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636</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1150</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824</v>
      </c>
      <c r="B3457" s="27" t="s">
        <v>800</v>
      </c>
      <c r="C3457" s="27" t="s">
        <v>778</v>
      </c>
      <c r="D3457" s="27" t="s">
        <v>774</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1249</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882</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795</v>
      </c>
      <c r="B3460" s="27" t="s">
        <v>895</v>
      </c>
      <c r="C3460" s="27" t="s">
        <v>778</v>
      </c>
      <c r="D3460" s="27" t="s">
        <v>774</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942</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158</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1299</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1509</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785</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769</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932</v>
      </c>
      <c r="B3467" s="27" t="s">
        <v>863</v>
      </c>
      <c r="C3467" s="27" t="s">
        <v>773</v>
      </c>
      <c r="D3467" s="27" t="s">
        <v>774</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1343</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1638</v>
      </c>
      <c r="B3469" s="27" t="s">
        <v>925</v>
      </c>
      <c r="C3469" s="27" t="s">
        <v>837</v>
      </c>
      <c r="D3469" s="27" t="s">
        <v>774</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982</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1244</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1299</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1061</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760</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824</v>
      </c>
      <c r="B3475" s="27" t="s">
        <v>1022</v>
      </c>
      <c r="C3475" s="27" t="s">
        <v>778</v>
      </c>
      <c r="D3475" s="27" t="s">
        <v>774</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1415</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1445</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882</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795</v>
      </c>
      <c r="B3479" s="27" t="s">
        <v>925</v>
      </c>
      <c r="C3479" s="27" t="s">
        <v>778</v>
      </c>
      <c r="D3479" s="27" t="s">
        <v>774</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942</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806</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158</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1299</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1509</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785</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908</v>
      </c>
      <c r="B3486" s="27" t="s">
        <v>929</v>
      </c>
      <c r="C3486" s="27" t="s">
        <v>778</v>
      </c>
      <c r="D3486" s="27" t="s">
        <v>774</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775</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752</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row>
    <row r="3490" spans="1:12">
      <c r="A3490" s="20" t="s">
        <v>1704</v>
      </c>
    </row>
    <row r="3491" spans="1:12">
      <c r="A3491" s="20" t="s">
        <v>824</v>
      </c>
      <c r="B3491" s="27" t="s">
        <v>762</v>
      </c>
      <c r="C3491" s="27" t="s">
        <v>778</v>
      </c>
      <c r="D3491" s="27" t="s">
        <v>774</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894</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795</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825</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1705</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1422</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1278</v>
      </c>
      <c r="B3497" s="27" t="s">
        <v>895</v>
      </c>
      <c r="C3497" s="27" t="s">
        <v>834</v>
      </c>
      <c r="D3497" s="27" t="s">
        <v>774</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768</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1118</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1435</v>
      </c>
      <c r="B3500" s="27" t="s">
        <v>815</v>
      </c>
      <c r="C3500" s="27" t="s">
        <v>989</v>
      </c>
      <c r="D3500" s="27" t="s">
        <v>774</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982</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1278</v>
      </c>
      <c r="B3502" s="27" t="s">
        <v>810</v>
      </c>
      <c r="C3502" s="27" t="s">
        <v>834</v>
      </c>
      <c r="D3502" s="27" t="s">
        <v>774</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768</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1118</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928</v>
      </c>
      <c r="B3505" s="27" t="s">
        <v>815</v>
      </c>
      <c r="C3505" s="27" t="s">
        <v>989</v>
      </c>
      <c r="D3505" s="27" t="s">
        <v>774</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871</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1278</v>
      </c>
      <c r="B3507" s="27" t="s">
        <v>863</v>
      </c>
      <c r="C3507" s="27" t="s">
        <v>834</v>
      </c>
      <c r="D3507" s="27" t="s">
        <v>774</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768</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1118</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1706</v>
      </c>
      <c r="B3510" s="27" t="s">
        <v>815</v>
      </c>
      <c r="C3510" s="27" t="s">
        <v>989</v>
      </c>
      <c r="D3510" s="27" t="s">
        <v>774</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760</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1706</v>
      </c>
      <c r="B3512" s="27" t="s">
        <v>766</v>
      </c>
      <c r="C3512" s="27" t="s">
        <v>759</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882</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990</v>
      </c>
      <c r="B3514" s="27" t="s">
        <v>895</v>
      </c>
      <c r="C3514" s="27" t="s">
        <v>778</v>
      </c>
      <c r="D3514" s="27" t="s">
        <v>774</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1707</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942</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158</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1708</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809</v>
      </c>
      <c r="B3519" s="27" t="s">
        <v>810</v>
      </c>
      <c r="C3519" s="27" t="s">
        <v>811</v>
      </c>
      <c r="D3519" s="27" t="s">
        <v>774</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807</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1709</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760</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340</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882</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990</v>
      </c>
      <c r="B3525" s="27" t="s">
        <v>800</v>
      </c>
      <c r="C3525" s="27" t="s">
        <v>778</v>
      </c>
      <c r="D3525" s="27" t="s">
        <v>774</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982</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1278</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1063</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568</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1432</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1710</v>
      </c>
      <c r="B3531" s="27" t="s">
        <v>802</v>
      </c>
      <c r="C3531" s="27" t="s">
        <v>759</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754</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882</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1183</v>
      </c>
      <c r="B3534" s="27" t="s">
        <v>863</v>
      </c>
      <c r="C3534" s="27" t="s">
        <v>989</v>
      </c>
      <c r="D3534" s="27" t="s">
        <v>774</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768</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944</v>
      </c>
      <c r="B3536" s="27" t="s">
        <v>815</v>
      </c>
      <c r="C3536" s="27" t="s">
        <v>759</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775</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row>
    <row r="3539" spans="1:12">
      <c r="A3539" s="20" t="s">
        <v>1711</v>
      </c>
    </row>
    <row r="3540" spans="1:12">
      <c r="A3540" s="20" t="s">
        <v>830</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995</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824</v>
      </c>
      <c r="B3542" s="27" t="s">
        <v>762</v>
      </c>
      <c r="C3542" s="27" t="s">
        <v>778</v>
      </c>
      <c r="D3542" s="27" t="s">
        <v>774</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894</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760</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1278</v>
      </c>
      <c r="B3545" s="27" t="s">
        <v>800</v>
      </c>
      <c r="C3545" s="27" t="s">
        <v>834</v>
      </c>
      <c r="D3545" s="27" t="s">
        <v>774</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768</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881</v>
      </c>
      <c r="B3547" s="27" t="s">
        <v>863</v>
      </c>
      <c r="C3547" s="27" t="s">
        <v>778</v>
      </c>
      <c r="D3547" s="27" t="s">
        <v>774</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1023</v>
      </c>
      <c r="B3548" s="27" t="s">
        <v>925</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158</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928</v>
      </c>
      <c r="B3550" s="27" t="s">
        <v>1187</v>
      </c>
      <c r="C3550" s="27" t="s">
        <v>759</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333</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769</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928</v>
      </c>
      <c r="B3553" s="27" t="s">
        <v>802</v>
      </c>
      <c r="C3553" s="27" t="s">
        <v>773</v>
      </c>
      <c r="D3553" s="27" t="s">
        <v>774</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853</v>
      </c>
      <c r="B3554" s="27" t="s">
        <v>1022</v>
      </c>
      <c r="C3554" s="27" t="s">
        <v>778</v>
      </c>
      <c r="D3554" s="27" t="s">
        <v>774</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158</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760</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871</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1215</v>
      </c>
      <c r="B3558" s="27" t="s">
        <v>772</v>
      </c>
      <c r="C3558" s="27" t="s">
        <v>848</v>
      </c>
      <c r="D3558" s="27" t="s">
        <v>774</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1712</v>
      </c>
      <c r="B3559" s="27" t="s">
        <v>758</v>
      </c>
      <c r="C3559" s="27" t="s">
        <v>834</v>
      </c>
      <c r="D3559" s="27" t="s">
        <v>774</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775</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row>
    <row r="3562" spans="1:12">
      <c r="A3562" s="20" t="s">
        <v>1713</v>
      </c>
    </row>
    <row r="3563" spans="1:12">
      <c r="A3563" s="20" t="s">
        <v>1665</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1089</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1714</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1715</v>
      </c>
      <c r="B3566" s="27" t="s">
        <v>800</v>
      </c>
      <c r="C3566" s="27" t="s">
        <v>799</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1062</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1716</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1195</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847</v>
      </c>
      <c r="B3570" s="27" t="s">
        <v>863</v>
      </c>
      <c r="C3570" s="27" t="s">
        <v>848</v>
      </c>
      <c r="D3570" s="27" t="s">
        <v>774</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1717</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12</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1718</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1719</v>
      </c>
      <c r="B3574" s="27" t="s">
        <v>772</v>
      </c>
      <c r="C3574" s="27" t="s">
        <v>834</v>
      </c>
      <c r="D3574" s="27" t="s">
        <v>774</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340</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1720</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807</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89</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1388</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769</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928</v>
      </c>
      <c r="B3581" s="27" t="s">
        <v>815</v>
      </c>
      <c r="C3581" s="27" t="s">
        <v>773</v>
      </c>
      <c r="D3581" s="27" t="s">
        <v>774</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824</v>
      </c>
      <c r="B3582" s="27" t="s">
        <v>925</v>
      </c>
      <c r="C3582" s="27" t="s">
        <v>778</v>
      </c>
      <c r="D3582" s="27" t="s">
        <v>774</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158</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340</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1492</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908</v>
      </c>
      <c r="B3586" s="27" t="s">
        <v>1187</v>
      </c>
      <c r="C3586" s="27" t="s">
        <v>778</v>
      </c>
      <c r="D3586" s="27" t="s">
        <v>774</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758</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760</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1509</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928</v>
      </c>
      <c r="B3590" s="27" t="s">
        <v>1187</v>
      </c>
      <c r="C3590" s="27" t="s">
        <v>759</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12</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1394</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1721</v>
      </c>
      <c r="B3593" s="27" t="s">
        <v>772</v>
      </c>
      <c r="C3593" s="27" t="s">
        <v>759</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760</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1722</v>
      </c>
      <c r="B3595" s="27" t="s">
        <v>863</v>
      </c>
      <c r="C3595" s="27" t="s">
        <v>759</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760</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1723</v>
      </c>
      <c r="B3597" s="27" t="s">
        <v>772</v>
      </c>
      <c r="C3597" s="27" t="s">
        <v>759</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760</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1724</v>
      </c>
      <c r="B3599" s="27" t="s">
        <v>772</v>
      </c>
      <c r="C3599" s="27" t="s">
        <v>759</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12</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824</v>
      </c>
      <c r="B3601" s="27" t="s">
        <v>762</v>
      </c>
      <c r="C3601" s="27" t="s">
        <v>778</v>
      </c>
      <c r="D3601" s="27" t="s">
        <v>774</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942</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579</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807</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769</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928</v>
      </c>
      <c r="B3606" s="27" t="s">
        <v>758</v>
      </c>
      <c r="C3606" s="27" t="s">
        <v>773</v>
      </c>
      <c r="D3606" s="27" t="s">
        <v>774</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824</v>
      </c>
      <c r="B3607" s="27" t="s">
        <v>800</v>
      </c>
      <c r="C3607" s="27" t="s">
        <v>778</v>
      </c>
      <c r="D3607" s="27" t="s">
        <v>774</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158</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340</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1619</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1388</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882</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1725</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1726</v>
      </c>
      <c r="B3614" s="27" t="s">
        <v>863</v>
      </c>
      <c r="C3614" s="27" t="s">
        <v>989</v>
      </c>
      <c r="D3614" s="27" t="s">
        <v>774</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775</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row>
    <row r="3617" spans="1:12">
      <c r="A3617" s="20" t="s">
        <v>791</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1727</v>
      </c>
    </row>
    <row r="3619" spans="1:12">
      <c r="A3619" s="20" t="s">
        <v>830</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1728</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760</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824</v>
      </c>
      <c r="B3622" s="27" t="s">
        <v>762</v>
      </c>
      <c r="C3622" s="27" t="s">
        <v>778</v>
      </c>
      <c r="D3622" s="27" t="s">
        <v>774</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154</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882</v>
      </c>
      <c r="B3624" s="27" t="s">
        <v>766</v>
      </c>
      <c r="C3624" s="27" t="s">
        <v>818</v>
      </c>
      <c r="D3624" s="27" t="s">
        <v>774</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754</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769</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1577</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1491</v>
      </c>
      <c r="B3628" s="27" t="s">
        <v>758</v>
      </c>
      <c r="C3628" s="27" t="s">
        <v>773</v>
      </c>
      <c r="D3628" s="27" t="s">
        <v>774</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882</v>
      </c>
      <c r="B3629" s="27" t="s">
        <v>810</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853</v>
      </c>
      <c r="B3630" s="27" t="s">
        <v>895</v>
      </c>
      <c r="C3630" s="27" t="s">
        <v>778</v>
      </c>
      <c r="D3630" s="27" t="s">
        <v>774</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461</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1729</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12</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1730</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1731</v>
      </c>
      <c r="B3635" s="27" t="s">
        <v>810</v>
      </c>
      <c r="C3635" s="27" t="s">
        <v>759</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754</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860</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1732</v>
      </c>
      <c r="B3638" s="27" t="s">
        <v>815</v>
      </c>
      <c r="C3638" s="27" t="s">
        <v>767</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807</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1164</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990</v>
      </c>
      <c r="B3641" s="27" t="s">
        <v>895</v>
      </c>
      <c r="C3641" s="27" t="s">
        <v>778</v>
      </c>
      <c r="D3641" s="27" t="s">
        <v>774</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1733</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935</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1734</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1735</v>
      </c>
      <c r="B3645" s="27" t="s">
        <v>810</v>
      </c>
      <c r="C3645" s="27" t="s">
        <v>759</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823</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877</v>
      </c>
      <c r="B3647" s="27" t="s">
        <v>929</v>
      </c>
      <c r="C3647" s="27" t="s">
        <v>848</v>
      </c>
      <c r="D3647" s="27" t="s">
        <v>774</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1074</v>
      </c>
      <c r="B3648" s="27" t="s">
        <v>1022</v>
      </c>
      <c r="C3648" s="27" t="s">
        <v>834</v>
      </c>
      <c r="D3648" s="27" t="s">
        <v>774</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1736</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1737</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769</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1738</v>
      </c>
      <c r="B3652" s="27" t="s">
        <v>815</v>
      </c>
      <c r="C3652" s="27" t="s">
        <v>773</v>
      </c>
      <c r="D3652" s="27" t="s">
        <v>774</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760</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568</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1118</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1739</v>
      </c>
      <c r="B3656" s="27" t="s">
        <v>800</v>
      </c>
      <c r="C3656" s="27" t="s">
        <v>989</v>
      </c>
      <c r="D3656" s="27" t="s">
        <v>774</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768</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1435</v>
      </c>
      <c r="B3658" s="27" t="s">
        <v>863</v>
      </c>
      <c r="C3658" s="27" t="s">
        <v>759</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1740</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1118</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1628</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1423</v>
      </c>
      <c r="B3662" s="27" t="s">
        <v>1187</v>
      </c>
      <c r="C3662" s="27" t="s">
        <v>989</v>
      </c>
      <c r="D3662" s="27" t="s">
        <v>774</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1741</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1115</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769</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1742</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1183</v>
      </c>
      <c r="B3667" s="27" t="s">
        <v>772</v>
      </c>
      <c r="C3667" s="27" t="s">
        <v>773</v>
      </c>
      <c r="D3667" s="27" t="s">
        <v>774</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768</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944</v>
      </c>
      <c r="B3669" s="27" t="s">
        <v>863</v>
      </c>
      <c r="C3669" s="27" t="s">
        <v>759</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760</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1135</v>
      </c>
      <c r="B3671" s="27" t="s">
        <v>1022</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779</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1191</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882</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1585</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760</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924</v>
      </c>
      <c r="B3677" s="27" t="s">
        <v>800</v>
      </c>
      <c r="C3677" s="27" t="s">
        <v>778</v>
      </c>
      <c r="D3677" s="27" t="s">
        <v>774</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545</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875</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926</v>
      </c>
      <c r="B3680" s="27" t="s">
        <v>863</v>
      </c>
      <c r="C3680" s="27" t="s">
        <v>848</v>
      </c>
      <c r="D3680" s="27" t="s">
        <v>774</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1074</v>
      </c>
      <c r="B3681" s="27" t="s">
        <v>772</v>
      </c>
      <c r="C3681" s="27" t="s">
        <v>834</v>
      </c>
      <c r="D3681" s="27" t="s">
        <v>774</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760</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340</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924</v>
      </c>
      <c r="B3684" s="27" t="s">
        <v>800</v>
      </c>
      <c r="C3684" s="27" t="s">
        <v>778</v>
      </c>
      <c r="D3684" s="27" t="s">
        <v>774</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93</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760</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752</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1743</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852</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924</v>
      </c>
      <c r="B3690" s="27" t="s">
        <v>895</v>
      </c>
      <c r="C3690" s="27" t="s">
        <v>778</v>
      </c>
      <c r="D3690" s="27" t="s">
        <v>774</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33</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789</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858</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752</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row>
    <row r="3696" spans="1:12">
      <c r="A3696" s="20" t="s">
        <v>1744</v>
      </c>
    </row>
    <row r="3697" spans="1:12">
      <c r="A3697" s="20" t="s">
        <v>777</v>
      </c>
      <c r="B3697" s="27" t="s">
        <v>762</v>
      </c>
      <c r="C3697" s="27" t="s">
        <v>778</v>
      </c>
      <c r="D3697" s="27" t="s">
        <v>774</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1745</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839</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882</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1150</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884</v>
      </c>
      <c r="B3702" s="27" t="s">
        <v>895</v>
      </c>
      <c r="C3702" s="27" t="s">
        <v>834</v>
      </c>
      <c r="D3702" s="27" t="s">
        <v>774</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768</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1118</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1746</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1423</v>
      </c>
      <c r="B3706" s="27" t="s">
        <v>815</v>
      </c>
      <c r="C3706" s="27" t="s">
        <v>989</v>
      </c>
      <c r="D3706" s="27" t="s">
        <v>774</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779</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1747</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12</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855</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1100</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1407</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568</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1514</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1435</v>
      </c>
      <c r="B3715" s="27" t="s">
        <v>800</v>
      </c>
      <c r="C3715" s="27" t="s">
        <v>799</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1268</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871</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1748</v>
      </c>
      <c r="B3718" s="27" t="s">
        <v>815</v>
      </c>
      <c r="C3718" s="27" t="s">
        <v>759</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760</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1407</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568</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1514</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1435</v>
      </c>
      <c r="B3723" s="27" t="s">
        <v>800</v>
      </c>
      <c r="C3723" s="27" t="s">
        <v>799</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768</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928</v>
      </c>
      <c r="B3725" s="27" t="s">
        <v>863</v>
      </c>
      <c r="C3725" s="27" t="s">
        <v>759</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1023</v>
      </c>
      <c r="B3726" s="27" t="s">
        <v>1022</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1100</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1749</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760</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1407</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568</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1514</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1435</v>
      </c>
      <c r="B3733" s="27" t="s">
        <v>815</v>
      </c>
      <c r="C3733" s="27" t="s">
        <v>799</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768</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1750</v>
      </c>
      <c r="B3735" s="27" t="s">
        <v>929</v>
      </c>
      <c r="C3735" s="27" t="s">
        <v>759</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12</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1023</v>
      </c>
      <c r="B3737" s="27" t="s">
        <v>1024</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1516</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166</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1751</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1752</v>
      </c>
      <c r="B3741" s="27" t="s">
        <v>1313</v>
      </c>
      <c r="C3741" s="27" t="s">
        <v>759</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754</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1514</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1753</v>
      </c>
      <c r="B3744" s="27" t="s">
        <v>1303</v>
      </c>
      <c r="C3744" s="27" t="s">
        <v>799</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12</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754</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884</v>
      </c>
      <c r="B3747" s="27" t="s">
        <v>927</v>
      </c>
      <c r="C3747" s="27" t="s">
        <v>834</v>
      </c>
      <c r="D3747" s="27" t="s">
        <v>774</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768</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986</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1754</v>
      </c>
      <c r="B3750" s="27" t="s">
        <v>1303</v>
      </c>
      <c r="C3750" s="27" t="s">
        <v>989</v>
      </c>
      <c r="D3750" s="27" t="s">
        <v>774</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775</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row>
    <row r="3753" spans="1:12">
      <c r="A3753" s="20" t="s">
        <v>1755</v>
      </c>
    </row>
    <row r="3754" spans="1:12">
      <c r="A3754" s="20" t="s">
        <v>903</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1343</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924</v>
      </c>
      <c r="B3756" s="27" t="s">
        <v>800</v>
      </c>
      <c r="C3756" s="27" t="s">
        <v>778</v>
      </c>
      <c r="D3756" s="27" t="s">
        <v>774</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1756</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807</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93</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882</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769</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1183</v>
      </c>
      <c r="B3762" s="27" t="s">
        <v>1022</v>
      </c>
      <c r="C3762" s="27" t="s">
        <v>773</v>
      </c>
      <c r="D3762" s="27" t="s">
        <v>774</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768</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1740</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1757</v>
      </c>
      <c r="B3765" s="27" t="s">
        <v>1313</v>
      </c>
      <c r="C3765" s="27" t="s">
        <v>759</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1758</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926</v>
      </c>
      <c r="B3767" s="27" t="s">
        <v>1303</v>
      </c>
      <c r="C3767" s="27" t="s">
        <v>848</v>
      </c>
      <c r="D3767" s="27" t="s">
        <v>774</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646</v>
      </c>
      <c r="B3768" s="27" t="s">
        <v>927</v>
      </c>
      <c r="C3768" s="27" t="s">
        <v>834</v>
      </c>
      <c r="D3768" s="27" t="s">
        <v>774</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779</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936</v>
      </c>
      <c r="B3770" s="27" t="s">
        <v>863</v>
      </c>
      <c r="C3770" s="27" t="s">
        <v>937</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988</v>
      </c>
      <c r="B3771" s="27" t="s">
        <v>925</v>
      </c>
      <c r="C3771" s="27" t="s">
        <v>759</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1100</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1759</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760</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995</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924</v>
      </c>
      <c r="B3776" s="27" t="s">
        <v>762</v>
      </c>
      <c r="C3776" s="27" t="s">
        <v>778</v>
      </c>
      <c r="D3776" s="27" t="s">
        <v>774</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186</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882</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795</v>
      </c>
      <c r="B3779" s="27" t="s">
        <v>800</v>
      </c>
      <c r="C3779" s="27" t="s">
        <v>778</v>
      </c>
      <c r="D3779" s="27" t="s">
        <v>774</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819</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764</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1760</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1742</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1761</v>
      </c>
      <c r="B3784" s="27" t="s">
        <v>758</v>
      </c>
      <c r="C3784" s="27" t="s">
        <v>767</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775</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row>
    <row r="3787" spans="1:12">
      <c r="A3787" s="20" t="s">
        <v>1762</v>
      </c>
    </row>
    <row r="3788" spans="1:12">
      <c r="A3788" s="20" t="s">
        <v>1763</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760</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795</v>
      </c>
      <c r="B3790" s="27" t="s">
        <v>762</v>
      </c>
      <c r="C3790" s="27" t="s">
        <v>778</v>
      </c>
      <c r="D3790" s="27" t="s">
        <v>774</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1745</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839</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760</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882</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795</v>
      </c>
      <c r="B3795" s="27" t="s">
        <v>800</v>
      </c>
      <c r="C3795" s="27" t="s">
        <v>778</v>
      </c>
      <c r="D3795" s="27" t="s">
        <v>774</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819</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877</v>
      </c>
      <c r="B3797" s="27" t="s">
        <v>772</v>
      </c>
      <c r="C3797" s="27" t="s">
        <v>848</v>
      </c>
      <c r="D3797" s="27" t="s">
        <v>774</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1423</v>
      </c>
      <c r="B3798" s="27" t="s">
        <v>758</v>
      </c>
      <c r="C3798" s="27" t="s">
        <v>834</v>
      </c>
      <c r="D3798" s="27" t="s">
        <v>774</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340</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877</v>
      </c>
      <c r="B3800" s="27" t="s">
        <v>863</v>
      </c>
      <c r="C3800" s="27" t="s">
        <v>848</v>
      </c>
      <c r="D3800" s="27" t="s">
        <v>774</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1764</v>
      </c>
      <c r="B3801" s="27" t="s">
        <v>772</v>
      </c>
      <c r="C3801" s="27" t="s">
        <v>834</v>
      </c>
      <c r="D3801" s="27" t="s">
        <v>774</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768</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1757</v>
      </c>
      <c r="B3803" s="27" t="s">
        <v>863</v>
      </c>
      <c r="C3803" s="27" t="s">
        <v>759</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882</v>
      </c>
      <c r="B3804" s="27" t="s">
        <v>895</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1765</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881</v>
      </c>
      <c r="B3806" s="27" t="s">
        <v>810</v>
      </c>
      <c r="C3806" s="27" t="s">
        <v>778</v>
      </c>
      <c r="D3806" s="27" t="s">
        <v>774</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775</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row>
    <row r="3809" spans="1:12">
      <c r="A3809" s="20" t="s">
        <v>1766</v>
      </c>
    </row>
    <row r="3810" spans="1:12">
      <c r="A3810" s="20" t="s">
        <v>824</v>
      </c>
      <c r="B3810" s="27" t="s">
        <v>762</v>
      </c>
      <c r="C3810" s="27" t="s">
        <v>778</v>
      </c>
      <c r="D3810" s="27" t="s">
        <v>774</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1445</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807</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158</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928</v>
      </c>
      <c r="B3814" s="27" t="s">
        <v>802</v>
      </c>
      <c r="C3814" s="27" t="s">
        <v>759</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1150</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824</v>
      </c>
      <c r="B3816" s="27" t="s">
        <v>895</v>
      </c>
      <c r="C3816" s="27" t="s">
        <v>778</v>
      </c>
      <c r="D3816" s="27" t="s">
        <v>774</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825</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1767</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1115</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1073</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1637</v>
      </c>
      <c r="B3821" s="27" t="s">
        <v>863</v>
      </c>
      <c r="C3821" s="27" t="s">
        <v>989</v>
      </c>
      <c r="D3821" s="27" t="s">
        <v>774</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775</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row>
    <row r="3824" spans="1:12">
      <c r="A3824" s="20" t="s">
        <v>791</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1768</v>
      </c>
    </row>
    <row r="3826" spans="1:12">
      <c r="A3826" s="20" t="s">
        <v>830</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1514</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988</v>
      </c>
      <c r="B3828" s="27" t="s">
        <v>762</v>
      </c>
      <c r="C3828" s="27" t="s">
        <v>799</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1034</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1769</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340</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880</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760</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752</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903</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1422</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1151</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924</v>
      </c>
      <c r="B3838" s="27" t="s">
        <v>800</v>
      </c>
      <c r="C3838" s="27" t="s">
        <v>778</v>
      </c>
      <c r="D3838" s="27" t="s">
        <v>774</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597</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807</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158</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928</v>
      </c>
      <c r="B3842" s="27" t="s">
        <v>810</v>
      </c>
      <c r="C3842" s="27" t="s">
        <v>759</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754</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769</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1770</v>
      </c>
      <c r="B3845" s="27" t="s">
        <v>863</v>
      </c>
      <c r="C3845" s="27" t="s">
        <v>773</v>
      </c>
      <c r="D3845" s="27" t="s">
        <v>774</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768</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1771</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1772</v>
      </c>
      <c r="B3848" s="27" t="s">
        <v>1187</v>
      </c>
      <c r="C3848" s="27" t="s">
        <v>811</v>
      </c>
      <c r="D3848" s="27" t="s">
        <v>774</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882</v>
      </c>
      <c r="B3849" s="27" t="s">
        <v>1026</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1151</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49</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1773</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858</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752</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row>
    <row r="3856" spans="1:12">
      <c r="A3856" s="20" t="s">
        <v>791</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1774</v>
      </c>
    </row>
    <row r="3858" spans="1:12">
      <c r="A3858" s="20" t="s">
        <v>830</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824</v>
      </c>
      <c r="B3859" s="27" t="s">
        <v>762</v>
      </c>
      <c r="C3859" s="27" t="s">
        <v>778</v>
      </c>
      <c r="D3859" s="27" t="s">
        <v>774</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880</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760</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752</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824</v>
      </c>
      <c r="B3863" s="27" t="s">
        <v>800</v>
      </c>
      <c r="C3863" s="27" t="s">
        <v>778</v>
      </c>
      <c r="D3863" s="27" t="s">
        <v>774</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915</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806</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1771</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1772</v>
      </c>
      <c r="B3867" s="27" t="s">
        <v>802</v>
      </c>
      <c r="C3867" s="27" t="s">
        <v>811</v>
      </c>
      <c r="D3867" s="27" t="s">
        <v>774</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882</v>
      </c>
      <c r="B3868" s="27" t="s">
        <v>1022</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1151</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49</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1773</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775</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row>
    <row r="3874" spans="1:12">
      <c r="A3874" s="20" t="s">
        <v>791</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1775</v>
      </c>
    </row>
    <row r="3876" spans="1:12">
      <c r="A3876" s="20" t="s">
        <v>1352</v>
      </c>
      <c r="B3876" s="27" t="s">
        <v>762</v>
      </c>
      <c r="C3876" s="27" t="s">
        <v>937</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824</v>
      </c>
      <c r="B3877" s="27" t="s">
        <v>895</v>
      </c>
      <c r="C3877" s="27" t="s">
        <v>778</v>
      </c>
      <c r="D3877" s="27" t="s">
        <v>774</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915</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1771</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779</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1422</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1432</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333</v>
      </c>
      <c r="B3883" s="27" t="s">
        <v>762</v>
      </c>
      <c r="C3883" s="27" t="s">
        <v>759</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855</v>
      </c>
      <c r="B3884" s="27" t="s">
        <v>758</v>
      </c>
      <c r="C3884" s="27" t="s">
        <v>856</v>
      </c>
      <c r="D3884" s="27" t="s">
        <v>774</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1151</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41</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760</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1005</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823</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1772</v>
      </c>
      <c r="B3890" s="27" t="s">
        <v>800</v>
      </c>
      <c r="C3890" s="27" t="s">
        <v>811</v>
      </c>
      <c r="D3890" s="27" t="s">
        <v>774</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1776</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807</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41</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1259</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1773</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775</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752</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row>
    <row r="3899" spans="1:12">
      <c r="A3899" s="20" t="s">
        <v>1777</v>
      </c>
    </row>
    <row r="3900" spans="1:12">
      <c r="A3900" s="20" t="s">
        <v>824</v>
      </c>
      <c r="B3900" s="27" t="s">
        <v>762</v>
      </c>
      <c r="C3900" s="27" t="s">
        <v>778</v>
      </c>
      <c r="D3900" s="27" t="s">
        <v>774</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894</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764</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490</v>
      </c>
      <c r="B3903" s="27" t="s">
        <v>800</v>
      </c>
      <c r="C3903" s="27" t="s">
        <v>767</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943</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769</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872</v>
      </c>
      <c r="B3906" s="27" t="s">
        <v>863</v>
      </c>
      <c r="C3906" s="27" t="s">
        <v>1571</v>
      </c>
      <c r="D3906" s="27" t="s">
        <v>774</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768</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905</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1424</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1074</v>
      </c>
      <c r="B3910" s="27" t="s">
        <v>802</v>
      </c>
      <c r="C3910" s="27" t="s">
        <v>759</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824</v>
      </c>
      <c r="B3911" s="27" t="s">
        <v>1022</v>
      </c>
      <c r="C3911" s="27" t="s">
        <v>778</v>
      </c>
      <c r="D3911" s="27" t="s">
        <v>774</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982</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1778</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760</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764</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1779</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1424</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1074</v>
      </c>
      <c r="B3918" s="27" t="s">
        <v>815</v>
      </c>
      <c r="C3918" s="27" t="s">
        <v>767</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1023</v>
      </c>
      <c r="B3919" s="27" t="s">
        <v>1024</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1780</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1195</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1781</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1782</v>
      </c>
      <c r="B3923" s="27" t="s">
        <v>927</v>
      </c>
      <c r="C3923" s="27" t="s">
        <v>759</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775</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row>
    <row r="3926" spans="1:12">
      <c r="A3926" s="20" t="s">
        <v>791</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1783</v>
      </c>
    </row>
    <row r="3928" spans="1:12">
      <c r="A3928" s="20" t="s">
        <v>830</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823</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1242</v>
      </c>
      <c r="B3930" s="27" t="s">
        <v>863</v>
      </c>
      <c r="C3930" s="27" t="s">
        <v>848</v>
      </c>
      <c r="D3930" s="27" t="s">
        <v>774</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1784</v>
      </c>
      <c r="B3931" s="27" t="s">
        <v>800</v>
      </c>
      <c r="C3931" s="27" t="s">
        <v>834</v>
      </c>
      <c r="D3931" s="27" t="s">
        <v>774</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1034</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1785</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760</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1242</v>
      </c>
      <c r="B3935" s="27" t="s">
        <v>772</v>
      </c>
      <c r="C3935" s="27" t="s">
        <v>848</v>
      </c>
      <c r="D3935" s="27" t="s">
        <v>774</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872</v>
      </c>
      <c r="B3936" s="27" t="s">
        <v>762</v>
      </c>
      <c r="C3936" s="27" t="s">
        <v>834</v>
      </c>
      <c r="D3936" s="27" t="s">
        <v>774</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880</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760</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752</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824</v>
      </c>
      <c r="B3940" s="27" t="s">
        <v>800</v>
      </c>
      <c r="C3940" s="27" t="s">
        <v>778</v>
      </c>
      <c r="D3940" s="27" t="s">
        <v>774</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1619</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857</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785</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1702</v>
      </c>
      <c r="B3944" s="27" t="s">
        <v>772</v>
      </c>
      <c r="C3944" s="27" t="s">
        <v>759</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785</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1280</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1299</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1786</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1787</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850</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1646</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768</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769</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1074</v>
      </c>
      <c r="B3954" s="27" t="s">
        <v>863</v>
      </c>
      <c r="C3954" s="27" t="s">
        <v>773</v>
      </c>
      <c r="D3954" s="27" t="s">
        <v>774</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824</v>
      </c>
      <c r="B3955" s="27" t="s">
        <v>925</v>
      </c>
      <c r="C3955" s="27" t="s">
        <v>778</v>
      </c>
      <c r="D3955" s="27" t="s">
        <v>774</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889</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760</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340</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1646</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768</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769</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1260</v>
      </c>
      <c r="B3962" s="27" t="s">
        <v>772</v>
      </c>
      <c r="C3962" s="27" t="s">
        <v>773</v>
      </c>
      <c r="D3962" s="27" t="s">
        <v>774</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824</v>
      </c>
      <c r="B3963" s="27" t="s">
        <v>1022</v>
      </c>
      <c r="C3963" s="27" t="s">
        <v>778</v>
      </c>
      <c r="D3963" s="27" t="s">
        <v>774</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1360</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775</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752</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row>
    <row r="3968" spans="1:12">
      <c r="A3968" s="20" t="s">
        <v>1788</v>
      </c>
    </row>
    <row r="3969" spans="1:12">
      <c r="A3969" s="20" t="s">
        <v>830</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824</v>
      </c>
      <c r="B3970" s="27" t="s">
        <v>762</v>
      </c>
      <c r="C3970" s="27" t="s">
        <v>778</v>
      </c>
      <c r="D3970" s="27" t="s">
        <v>774</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1789</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795</v>
      </c>
      <c r="B3972" s="27" t="s">
        <v>800</v>
      </c>
      <c r="C3972" s="27" t="s">
        <v>778</v>
      </c>
      <c r="D3972" s="27" t="s">
        <v>774</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825</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1790</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760</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995</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760</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785</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1791</v>
      </c>
      <c r="B3979" s="27" t="s">
        <v>800</v>
      </c>
      <c r="C3979" s="27" t="s">
        <v>1081</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807</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333</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1301</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1074</v>
      </c>
      <c r="B3983" s="27" t="s">
        <v>1036</v>
      </c>
      <c r="C3983" s="27" t="s">
        <v>767</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760</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1343</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990</v>
      </c>
      <c r="B3986" s="27" t="s">
        <v>800</v>
      </c>
      <c r="C3986" s="27" t="s">
        <v>778</v>
      </c>
      <c r="D3986" s="27" t="s">
        <v>774</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982</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769</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1792</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1525</v>
      </c>
      <c r="B3990" s="27" t="s">
        <v>802</v>
      </c>
      <c r="C3990" s="27" t="s">
        <v>773</v>
      </c>
      <c r="D3990" s="27" t="s">
        <v>774</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807</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45</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568</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775</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row>
    <row r="3996" spans="1:12">
      <c r="A3996" s="20" t="s">
        <v>1793</v>
      </c>
    </row>
    <row r="3997" spans="1:12">
      <c r="A3997" s="20" t="s">
        <v>636</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760</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847</v>
      </c>
      <c r="B3999" s="27" t="s">
        <v>772</v>
      </c>
      <c r="C3999" s="27" t="s">
        <v>848</v>
      </c>
      <c r="D3999" s="27" t="s">
        <v>774</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1794</v>
      </c>
      <c r="B4000" s="27" t="s">
        <v>762</v>
      </c>
      <c r="C4000" s="27" t="s">
        <v>834</v>
      </c>
      <c r="D4000" s="27" t="s">
        <v>774</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779</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769</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1795</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1364</v>
      </c>
      <c r="B4004" s="27" t="s">
        <v>758</v>
      </c>
      <c r="C4004" s="27" t="s">
        <v>773</v>
      </c>
      <c r="D4004" s="27" t="s">
        <v>774</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768</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1130</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928</v>
      </c>
      <c r="B4007" s="27" t="s">
        <v>758</v>
      </c>
      <c r="C4007" s="27" t="s">
        <v>799</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871</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1089</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1796</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1797</v>
      </c>
      <c r="B4011" s="27" t="s">
        <v>758</v>
      </c>
      <c r="C4011" s="27" t="s">
        <v>799</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754</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1798</v>
      </c>
      <c r="B4013" s="27" t="s">
        <v>758</v>
      </c>
      <c r="C4013" s="27" t="s">
        <v>837</v>
      </c>
      <c r="D4013" s="27" t="s">
        <v>774</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775</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row>
    <row r="4016" spans="1:12">
      <c r="A4016" s="20" t="s">
        <v>1799</v>
      </c>
    </row>
    <row r="4017" spans="1:12">
      <c r="A4017" s="20" t="s">
        <v>824</v>
      </c>
      <c r="B4017" s="27" t="s">
        <v>762</v>
      </c>
      <c r="C4017" s="27" t="s">
        <v>778</v>
      </c>
      <c r="D4017" s="27" t="s">
        <v>774</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982</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764</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1800</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1055</v>
      </c>
      <c r="B4021" s="27" t="s">
        <v>766</v>
      </c>
      <c r="C4021" s="27" t="s">
        <v>767</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789</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1306</v>
      </c>
      <c r="B4023" s="27" t="s">
        <v>758</v>
      </c>
      <c r="C4023" s="27" t="s">
        <v>759</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1023</v>
      </c>
      <c r="B4024" s="27" t="s">
        <v>895</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896</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1688</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1195</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764</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1801</v>
      </c>
      <c r="B4029" s="27" t="s">
        <v>863</v>
      </c>
      <c r="C4029" s="27" t="s">
        <v>767</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340</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889</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807</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158</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928</v>
      </c>
      <c r="B4034" s="27" t="s">
        <v>1187</v>
      </c>
      <c r="C4034" s="27" t="s">
        <v>759</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775</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row>
    <row r="4037" spans="1:12">
      <c r="A4037" s="20" t="s">
        <v>1802</v>
      </c>
    </row>
    <row r="4038" spans="1:12">
      <c r="A4038" s="20" t="s">
        <v>830</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568</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893</v>
      </c>
      <c r="B4040" s="27" t="s">
        <v>762</v>
      </c>
      <c r="C4040" s="27" t="s">
        <v>778</v>
      </c>
      <c r="D4040" s="27" t="s">
        <v>774</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340</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824</v>
      </c>
      <c r="B4042" s="27" t="s">
        <v>772</v>
      </c>
      <c r="C4042" s="27" t="s">
        <v>778</v>
      </c>
      <c r="D4042" s="27" t="s">
        <v>774</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158</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764</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1057</v>
      </c>
      <c r="B4045" s="27" t="s">
        <v>766</v>
      </c>
      <c r="C4045" s="27" t="s">
        <v>767</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760</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340</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872</v>
      </c>
      <c r="B4048" s="27" t="s">
        <v>800</v>
      </c>
      <c r="C4048" s="27" t="s">
        <v>759</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340</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1057</v>
      </c>
      <c r="B4050" s="27" t="s">
        <v>863</v>
      </c>
      <c r="C4050" s="27" t="s">
        <v>759</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442</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754</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1803</v>
      </c>
      <c r="B4053" s="27" t="s">
        <v>772</v>
      </c>
      <c r="C4053" s="27" t="s">
        <v>837</v>
      </c>
      <c r="D4053" s="27" t="s">
        <v>774</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775</v>
      </c>
      <c r="E4054" s="21">
        <f>IF(D4054="?OLD","!!!","")</f>
        <v/>
      </c>
      <c r="F4054" s="22" t="str">
        <f>IF(OR(E4054="",E4054="!!!"),"",IF(NOT(ISNA(VLOOKUP(E4054,E$1:E4053,1,FALSE()))),"OLD",IF(AND(E4054&lt;&gt;"",E4054&lt;&gt;"!!!"),"NEW","")))</f>
        <v> </v>
      </c>
      <c r="G4054" s="23" t="str">
        <f>IF(OR(E4054="",E4054="!!!"),"",IF(OR(J4054=0,AND(J4054=1,K4054=1),AND(J4054=1,I4054="SBJ"),AND(J4054=1,I4054=0)),"?IN_FOCUS",IF(J4054&lt;=2,"?ACTIVATED",IF(J4054&lt;&gt;"","?FAMILIAR",IF(F4054="NEW",IF(ISNA(VLOOKUP(E4054,#REF!,1,FALSE())),"?TYPE_IDENTIFIABLE","?REFERENTIAL"),"_")))))</f>
        <v> </v>
      </c>
      <c r="H4054" s="24" t="str">
        <f>IF(J4054&lt;&gt;1,"",IF(I4054="SBJ","CB","?"))</f>
        <v> </v>
      </c>
      <c r="I4054" s="25" t="str">
        <f>IF(OR(E4054="",E4054="!!!",F4054="NEW"),"",INDEX(B4053:B$2,-1+SUMPRODUCT(MAX(ROW(E4053:E$2)*(E4054=E4053:E$2)))))</f>
        <v> </v>
      </c>
      <c r="J4054" s="25" t="str">
        <f>IF(OR(E4054="",E4054="!!!",F4054="NEW"),"",COUNTBLANK(OFFSET(A$1,,,SUMPRODUCT(MAX(ROW(E$2:E4054)*(E4054=E$2:E4054)))))-COUNTBLANK(OFFSET(A$1,,,SUMPRODUCT(MAX(ROW(E$1:E4053)*(E2=E$1:E4053))))))</f>
        <v> </v>
      </c>
      <c r="K4054" s="25" t="str">
        <f>IF(OR(E4054="",E4054="!!!",F4054="NEW"),"",INDEX(J$1:J4053,SUMPRODUCT(MAX(ROW(E$1:E4053)*(E4054=E$1:E4053)))))</f>
        <v> </v>
      </c>
      <c r="L4054" s="26"/>
    </row>
    <row r="4055" spans="1:12">
      <c r="A4055" s="20"/>
    </row>
    <row r="4056" spans="1:12">
      <c r="A4056" s="20" t="s">
        <v>1804</v>
      </c>
    </row>
    <row r="4057" spans="1:12">
      <c r="A4057" s="20" t="s">
        <v>830</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847</v>
      </c>
      <c r="B4058" s="27" t="s">
        <v>772</v>
      </c>
      <c r="C4058" s="27" t="s">
        <v>848</v>
      </c>
      <c r="D4058" s="27" t="s">
        <v>774</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1794</v>
      </c>
      <c r="B4059" s="27" t="s">
        <v>762</v>
      </c>
      <c r="C4059" s="27" t="s">
        <v>834</v>
      </c>
      <c r="D4059" s="27" t="s">
        <v>774</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340</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824</v>
      </c>
      <c r="B4061" s="27" t="s">
        <v>772</v>
      </c>
      <c r="C4061" s="27" t="s">
        <v>778</v>
      </c>
      <c r="D4061" s="27" t="s">
        <v>774</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158</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764</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1260</v>
      </c>
      <c r="B4064" s="27" t="s">
        <v>766</v>
      </c>
      <c r="C4064" s="27" t="s">
        <v>767</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1023</v>
      </c>
      <c r="B4065" s="27" t="s">
        <v>895</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1805</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871</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881</v>
      </c>
      <c r="B4068" s="27" t="s">
        <v>863</v>
      </c>
      <c r="C4068" s="27" t="s">
        <v>778</v>
      </c>
      <c r="D4068" s="27" t="s">
        <v>774</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1278</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769</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1210</v>
      </c>
      <c r="B4071" s="27" t="s">
        <v>758</v>
      </c>
      <c r="C4071" s="27" t="s">
        <v>773</v>
      </c>
      <c r="D4071" s="27" t="s">
        <v>774</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760</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768</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t="s">
        <v>1806</v>
      </c>
      <c r="B4074" s="27" t="s">
        <v>863</v>
      </c>
      <c r="C4074" s="27" t="s">
        <v>937</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824</v>
      </c>
      <c r="B4075" s="27" t="s">
        <v>1022</v>
      </c>
      <c r="C4075" s="27" t="s">
        <v>778</v>
      </c>
      <c r="D4075" s="27" t="s">
        <v>774</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1807</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769</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1795</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1364</v>
      </c>
      <c r="B4079" s="27" t="s">
        <v>800</v>
      </c>
      <c r="C4079" s="27" t="s">
        <v>773</v>
      </c>
      <c r="D4079" s="27" t="s">
        <v>774</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760</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340</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877</v>
      </c>
      <c r="B4082" s="27" t="s">
        <v>815</v>
      </c>
      <c r="C4082" s="27" t="s">
        <v>848</v>
      </c>
      <c r="D4082" s="27" t="s">
        <v>774</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1808</v>
      </c>
      <c r="B4083" s="27" t="s">
        <v>863</v>
      </c>
      <c r="C4083" s="27" t="s">
        <v>834</v>
      </c>
      <c r="D4083" s="27" t="s">
        <v>774</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785</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769</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1809</v>
      </c>
      <c r="B4086" s="27" t="s">
        <v>815</v>
      </c>
      <c r="C4086" s="27" t="s">
        <v>773</v>
      </c>
      <c r="D4086" s="27" t="s">
        <v>774</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825</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1810</v>
      </c>
      <c r="B4088" s="27" t="s">
        <v>758</v>
      </c>
      <c r="C4088" s="27" t="s">
        <v>837</v>
      </c>
      <c r="D4088" s="27" t="s">
        <v>774</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760</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769</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1796</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872</v>
      </c>
      <c r="B4092" s="27" t="s">
        <v>772</v>
      </c>
      <c r="C4092" s="27" t="s">
        <v>834</v>
      </c>
      <c r="D4092" s="27" t="s">
        <v>774</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768</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1811</v>
      </c>
      <c r="B4094" s="27" t="s">
        <v>863</v>
      </c>
      <c r="C4094" s="27" t="s">
        <v>837</v>
      </c>
      <c r="D4094" s="27" t="s">
        <v>774</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340</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t="s">
        <v>1812</v>
      </c>
      <c r="B4096" s="27" t="s">
        <v>815</v>
      </c>
      <c r="C4096" s="27" t="s">
        <v>837</v>
      </c>
      <c r="D4096" s="27" t="s">
        <v>774</v>
      </c>
      <c r="E4096" s="21">
        <f>IF(D4096="?OLD","!!!","")</f>
        <v/>
      </c>
      <c r="F4096" s="22" t="str">
        <f>IF(OR(E4096="",E4096="!!!"),"",IF(NOT(ISNA(VLOOKUP(E4096,E$1:E4095,1,FALSE()))),"OLD",IF(AND(E4096&lt;&gt;"",E4096&lt;&gt;"!!!"),"NEW","")))</f>
        <v> </v>
      </c>
      <c r="G4096" s="23" t="str">
        <f>IF(OR(E4096="",E4096="!!!"),"",IF(OR(J4096=0,AND(J4096=1,K4096=1),AND(J4096=1,I4096="SBJ"),AND(J4096=1,I4096=0)),"?IN_FOCUS",IF(J4096&lt;=2,"?ACTIVATED",IF(J4096&lt;&gt;"","?FAMILIAR",IF(F4096="NEW",IF(ISNA(VLOOKUP(E4096,#REF!,1,FALSE())),"?TYPE_IDENTIFIABLE","?REFERENTIAL"),"_")))))</f>
        <v> </v>
      </c>
      <c r="H4096" s="24" t="str">
        <f>IF(J4096&lt;&gt;1,"",IF(I4096="SBJ","CB","?"))</f>
        <v> </v>
      </c>
      <c r="I4096" s="25" t="str">
        <f>IF(OR(E4096="",E4096="!!!",F4096="NEW"),"",INDEX(B4095:B$2,-1+SUMPRODUCT(MAX(ROW(E4095:E$2)*(E4096=E4095:E$2)))))</f>
        <v> </v>
      </c>
      <c r="J4096" s="25" t="str">
        <f>IF(OR(E4096="",E4096="!!!",F4096="NEW"),"",COUNTBLANK(OFFSET(A$1,,,SUMPRODUCT(MAX(ROW(E$2:E4096)*(E4096=E$2:E4096)))))-COUNTBLANK(OFFSET(A$1,,,SUMPRODUCT(MAX(ROW(E$1:E4095)*(E2=E$1:E4095))))))</f>
        <v> </v>
      </c>
      <c r="K4096" s="25" t="str">
        <f>IF(OR(E4096="",E4096="!!!",F4096="NEW"),"",INDEX(J$1:J4095,SUMPRODUCT(MAX(ROW(E$1:E4095)*(E4096=E$1:E4095)))))</f>
        <v> </v>
      </c>
      <c r="L4096" s="26"/>
    </row>
    <row r="4097" spans="1:12">
      <c r="A4097" s="20" t="s">
        <v>754</v>
      </c>
      <c r="E4097" s="21">
        <f>IF(D4097="?OLD","!!!","")</f>
        <v/>
      </c>
      <c r="F4097" s="22" t="str">
        <f>IF(OR(E4097="",E4097="!!!"),"",IF(NOT(ISNA(VLOOKUP(E4097,E$1:E4096,1,FALSE()))),"OLD",IF(AND(E4097&lt;&gt;"",E4097&lt;&gt;"!!!"),"NEW","")))</f>
        <v> </v>
      </c>
      <c r="G4097" s="23" t="str">
        <f>IF(OR(E4097="",E4097="!!!"),"",IF(OR(J4097=0,AND(J4097=1,K4097=1),AND(J4097=1,I4097="SBJ"),AND(J4097=1,I4097=0)),"?IN_FOCUS",IF(J4097&lt;=2,"?ACTIVATED",IF(J4097&lt;&gt;"","?FAMILIAR",IF(F4097="NEW",IF(ISNA(VLOOKUP(E4097,#REF!,1,FALSE())),"?TYPE_IDENTIFIABLE","?REFERENTIAL"),"_")))))</f>
        <v> </v>
      </c>
      <c r="H4097" s="24" t="str">
        <f>IF(J4097&lt;&gt;1,"",IF(I4097="SBJ","CB","?"))</f>
        <v> </v>
      </c>
      <c r="I4097" s="25" t="str">
        <f>IF(OR(E4097="",E4097="!!!",F4097="NEW"),"",INDEX(B4096:B$2,-1+SUMPRODUCT(MAX(ROW(E4096:E$2)*(E4097=E4096:E$2)))))</f>
        <v> </v>
      </c>
      <c r="J4097" s="25" t="str">
        <f>IF(OR(E4097="",E4097="!!!",F4097="NEW"),"",COUNTBLANK(OFFSET(A$1,,,SUMPRODUCT(MAX(ROW(E$2:E4097)*(E4097=E$2:E4097)))))-COUNTBLANK(OFFSET(A$1,,,SUMPRODUCT(MAX(ROW(E$1:E4096)*(E2=E$1:E4096))))))</f>
        <v> </v>
      </c>
      <c r="K4097" s="25" t="str">
        <f>IF(OR(E4097="",E4097="!!!",F4097="NEW"),"",INDEX(J$1:J4096,SUMPRODUCT(MAX(ROW(E$1:E4096)*(E4097=E$1:E4096)))))</f>
        <v> </v>
      </c>
      <c r="L4097" s="26"/>
    </row>
    <row r="4098" spans="1:12">
      <c r="A4098" s="20" t="s">
        <v>1798</v>
      </c>
      <c r="B4098" s="27" t="s">
        <v>863</v>
      </c>
      <c r="C4098" s="27" t="s">
        <v>837</v>
      </c>
      <c r="D4098" s="27" t="s">
        <v>774</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775</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row>
    <row r="4101" spans="1:12">
      <c r="A4101" s="20" t="s">
        <v>1813</v>
      </c>
    </row>
    <row r="4102" spans="1:12">
      <c r="A4102" s="20" t="s">
        <v>636</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12</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row>
    <row r="4105" spans="1:12">
      <c r="A4105" s="20" t="s">
        <v>1814</v>
      </c>
    </row>
    <row r="4106" spans="1:12">
      <c r="A4106" s="20" t="s">
        <v>912</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1815</v>
      </c>
      <c r="B4107" s="27" t="s">
        <v>762</v>
      </c>
      <c r="C4107" s="27" t="s">
        <v>773</v>
      </c>
      <c r="D4107" s="27" t="s">
        <v>774</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779</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850</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1816</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1101</v>
      </c>
      <c r="B4111" s="27" t="s">
        <v>758</v>
      </c>
      <c r="C4111" s="27" t="s">
        <v>799</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768</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1333</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928</v>
      </c>
      <c r="B4114" s="27" t="s">
        <v>758</v>
      </c>
      <c r="C4114" s="27" t="s">
        <v>799</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754</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t="s">
        <v>826</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1817</v>
      </c>
      <c r="B4117" s="27" t="s">
        <v>772</v>
      </c>
      <c r="C4117" s="27" t="s">
        <v>799</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775</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row>
    <row r="4120" spans="1:12">
      <c r="A4120" s="20" t="s">
        <v>1818</v>
      </c>
    </row>
    <row r="4121" spans="1:12">
      <c r="A4121" s="20" t="s">
        <v>830</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855</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1100</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988</v>
      </c>
      <c r="B4124" s="27" t="s">
        <v>762</v>
      </c>
      <c r="C4124" s="27" t="s">
        <v>759</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1023</v>
      </c>
      <c r="B4125" s="27" t="s">
        <v>895</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93</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882</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769</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1617</v>
      </c>
      <c r="B4129" s="27" t="s">
        <v>1022</v>
      </c>
      <c r="C4129" s="27" t="s">
        <v>834</v>
      </c>
      <c r="D4129" s="27" t="s">
        <v>774</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768</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847</v>
      </c>
      <c r="B4131" s="27" t="s">
        <v>927</v>
      </c>
      <c r="C4131" s="27" t="s">
        <v>848</v>
      </c>
      <c r="D4131" s="27" t="s">
        <v>774</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646</v>
      </c>
      <c r="B4132" s="27" t="s">
        <v>929</v>
      </c>
      <c r="C4132" s="27" t="s">
        <v>834</v>
      </c>
      <c r="D4132" s="27" t="s">
        <v>774</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1106</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1819</v>
      </c>
      <c r="B4134" s="27" t="s">
        <v>863</v>
      </c>
      <c r="C4134" s="27" t="s">
        <v>759</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1048</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1820</v>
      </c>
      <c r="B4136" s="27" t="s">
        <v>815</v>
      </c>
      <c r="C4136" s="27" t="s">
        <v>759</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1048</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1821</v>
      </c>
      <c r="B4138" s="27" t="s">
        <v>815</v>
      </c>
      <c r="C4138" s="27" t="s">
        <v>759</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1215</v>
      </c>
      <c r="B4139" s="27" t="s">
        <v>929</v>
      </c>
      <c r="C4139" s="27" t="s">
        <v>848</v>
      </c>
      <c r="D4139" s="27" t="s">
        <v>774</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646</v>
      </c>
      <c r="B4140" s="27" t="s">
        <v>815</v>
      </c>
      <c r="C4140" s="27" t="s">
        <v>834</v>
      </c>
      <c r="D4140" s="27" t="s">
        <v>774</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775</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row>
    <row r="4143" spans="1:12">
      <c r="A4143" s="20" t="s">
        <v>1822</v>
      </c>
    </row>
    <row r="4144" spans="1:12">
      <c r="A4144" s="20" t="s">
        <v>882</v>
      </c>
      <c r="B4144" s="27" t="s">
        <v>762</v>
      </c>
      <c r="C4144" s="27" t="s">
        <v>818</v>
      </c>
      <c r="D4144" s="27" t="s">
        <v>774</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1435</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930</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1056</v>
      </c>
      <c r="B4147" s="27" t="s">
        <v>800</v>
      </c>
      <c r="C4147" s="27" t="s">
        <v>811</v>
      </c>
      <c r="D4147" s="27" t="s">
        <v>774</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1087</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935</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41</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1823</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807</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557</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775</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row>
    <row r="4156" spans="1:12">
      <c r="A4156" s="20" t="s">
        <v>1824</v>
      </c>
    </row>
    <row r="4157" spans="1:12">
      <c r="A4157" s="20" t="s">
        <v>830</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824</v>
      </c>
      <c r="B4158" s="27" t="s">
        <v>762</v>
      </c>
      <c r="C4158" s="27" t="s">
        <v>778</v>
      </c>
      <c r="D4158" s="27" t="s">
        <v>774</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45</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935</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650</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1825</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1826</v>
      </c>
      <c r="B4163" s="27" t="s">
        <v>766</v>
      </c>
      <c r="C4163" s="27" t="s">
        <v>759</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768</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333</v>
      </c>
      <c r="B4165" s="27" t="s">
        <v>772</v>
      </c>
      <c r="C4165" s="27" t="s">
        <v>759</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760</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1407</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1827</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1828</v>
      </c>
      <c r="B4169" s="27" t="s">
        <v>766</v>
      </c>
      <c r="C4169" s="27" t="s">
        <v>759</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775</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row>
    <row r="4172" spans="1:12">
      <c r="A4172" s="20" t="s">
        <v>1829</v>
      </c>
    </row>
    <row r="4173" spans="1:12">
      <c r="A4173" s="20" t="s">
        <v>830</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824</v>
      </c>
      <c r="B4174" s="27" t="s">
        <v>762</v>
      </c>
      <c r="C4174" s="27" t="s">
        <v>778</v>
      </c>
      <c r="D4174" s="27" t="s">
        <v>774</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472</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882</v>
      </c>
      <c r="B4176" s="27" t="s">
        <v>766</v>
      </c>
      <c r="C4176" s="27" t="s">
        <v>818</v>
      </c>
      <c r="D4176" s="27" t="s">
        <v>774</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754</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769</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1577</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1491</v>
      </c>
      <c r="B4180" s="27" t="s">
        <v>758</v>
      </c>
      <c r="C4180" s="27" t="s">
        <v>773</v>
      </c>
      <c r="D4180" s="27" t="s">
        <v>774</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882</v>
      </c>
      <c r="B4181" s="27" t="s">
        <v>810</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853</v>
      </c>
      <c r="B4182" s="27" t="s">
        <v>895</v>
      </c>
      <c r="C4182" s="27" t="s">
        <v>778</v>
      </c>
      <c r="D4182" s="27" t="s">
        <v>774</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1830</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1831</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1832</v>
      </c>
      <c r="B4185" s="27" t="s">
        <v>810</v>
      </c>
      <c r="C4185" s="27" t="s">
        <v>759</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807</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1164</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882</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769</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1833</v>
      </c>
      <c r="B4190" s="27" t="s">
        <v>925</v>
      </c>
      <c r="C4190" s="27" t="s">
        <v>773</v>
      </c>
      <c r="D4190" s="27" t="s">
        <v>774</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1151</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49</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1115</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760</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t="s">
        <v>568</v>
      </c>
      <c r="E4195" s="21">
        <f>IF(D4195="?OLD","!!!","")</f>
        <v/>
      </c>
      <c r="F4195" s="22" t="str">
        <f>IF(OR(E4195="",E4195="!!!"),"",IF(NOT(ISNA(VLOOKUP(E4195,E$1:E4194,1,FALSE()))),"OLD",IF(AND(E4195&lt;&gt;"",E4195&lt;&gt;"!!!"),"NEW","")))</f>
        <v> </v>
      </c>
      <c r="G4195" s="23" t="str">
        <f>IF(OR(E4195="",E4195="!!!"),"",IF(OR(J4195=0,AND(J4195=1,K4195=1),AND(J4195=1,I4195="SBJ"),AND(J4195=1,I4195=0)),"?IN_FOCUS",IF(J4195&lt;=2,"?ACTIVATED",IF(J4195&lt;&gt;"","?FAMILIAR",IF(F4195="NEW",IF(ISNA(VLOOKUP(E4195,#REF!,1,FALSE())),"?TYPE_IDENTIFIABLE","?REFERENTIAL"),"_")))))</f>
        <v> </v>
      </c>
      <c r="H4195" s="24" t="str">
        <f>IF(J4195&lt;&gt;1,"",IF(I4195="SBJ","CB","?"))</f>
        <v> </v>
      </c>
      <c r="I4195" s="25" t="str">
        <f>IF(OR(E4195="",E4195="!!!",F4195="NEW"),"",INDEX(B4194:B$2,-1+SUMPRODUCT(MAX(ROW(E4194:E$2)*(E4195=E4194:E$2)))))</f>
        <v> </v>
      </c>
      <c r="J4195" s="25" t="str">
        <f>IF(OR(E4195="",E4195="!!!",F4195="NEW"),"",COUNTBLANK(OFFSET(A$1,,,SUMPRODUCT(MAX(ROW(E$2:E4195)*(E4195=E$2:E4195)))))-COUNTBLANK(OFFSET(A$1,,,SUMPRODUCT(MAX(ROW(E$1:E4194)*(E2=E$1:E4194))))))</f>
        <v> </v>
      </c>
      <c r="K4195" s="25" t="str">
        <f>IF(OR(E4195="",E4195="!!!",F4195="NEW"),"",INDEX(J$1:J4194,SUMPRODUCT(MAX(ROW(E$1:E4194)*(E4195=E$1:E4194)))))</f>
        <v> </v>
      </c>
      <c r="L4195" s="26"/>
    </row>
    <row r="4196" spans="1:12">
      <c r="A4196" s="20" t="s">
        <v>853</v>
      </c>
      <c r="B4196" s="27" t="s">
        <v>800</v>
      </c>
      <c r="C4196" s="27" t="s">
        <v>778</v>
      </c>
      <c r="D4196" s="27" t="s">
        <v>774</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1830</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1073</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1832</v>
      </c>
      <c r="B4199" s="27" t="s">
        <v>802</v>
      </c>
      <c r="C4199" s="27" t="s">
        <v>989</v>
      </c>
      <c r="D4199" s="27" t="s">
        <v>774</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768</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1834</v>
      </c>
      <c r="B4201" s="27" t="s">
        <v>863</v>
      </c>
      <c r="C4201" s="27" t="s">
        <v>759</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340</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1832</v>
      </c>
      <c r="B4203" s="27" t="s">
        <v>815</v>
      </c>
      <c r="C4203" s="27" t="s">
        <v>759</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768</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646</v>
      </c>
      <c r="B4205" s="27" t="s">
        <v>815</v>
      </c>
      <c r="C4205" s="27" t="s">
        <v>759</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t="s">
        <v>754</v>
      </c>
      <c r="E4206" s="21">
        <f>IF(D4206="?OLD","!!!","")</f>
        <v/>
      </c>
      <c r="F4206" s="22" t="str">
        <f>IF(OR(E4206="",E4206="!!!"),"",IF(NOT(ISNA(VLOOKUP(E4206,E$1:E4205,1,FALSE()))),"OLD",IF(AND(E4206&lt;&gt;"",E4206&lt;&gt;"!!!"),"NEW","")))</f>
        <v> </v>
      </c>
      <c r="G4206" s="23" t="str">
        <f>IF(OR(E4206="",E4206="!!!"),"",IF(OR(J4206=0,AND(J4206=1,K4206=1),AND(J4206=1,I4206="SBJ"),AND(J4206=1,I4206=0)),"?IN_FOCUS",IF(J4206&lt;=2,"?ACTIVATED",IF(J4206&lt;&gt;"","?FAMILIAR",IF(F4206="NEW",IF(ISNA(VLOOKUP(E4206,#REF!,1,FALSE())),"?TYPE_IDENTIFIABLE","?REFERENTIAL"),"_")))))</f>
        <v> </v>
      </c>
      <c r="H4206" s="24" t="str">
        <f>IF(J4206&lt;&gt;1,"",IF(I4206="SBJ","CB","?"))</f>
        <v> </v>
      </c>
      <c r="I4206" s="25" t="str">
        <f>IF(OR(E4206="",E4206="!!!",F4206="NEW"),"",INDEX(B4205:B$2,-1+SUMPRODUCT(MAX(ROW(E4205:E$2)*(E4206=E4205:E$2)))))</f>
        <v> </v>
      </c>
      <c r="J4206" s="25" t="str">
        <f>IF(OR(E4206="",E4206="!!!",F4206="NEW"),"",COUNTBLANK(OFFSET(A$1,,,SUMPRODUCT(MAX(ROW(E$2:E4206)*(E4206=E$2:E4206)))))-COUNTBLANK(OFFSET(A$1,,,SUMPRODUCT(MAX(ROW(E$1:E4205)*(E2=E$1:E4205))))))</f>
        <v> </v>
      </c>
      <c r="K4206" s="25" t="str">
        <f>IF(OR(E4206="",E4206="!!!",F4206="NEW"),"",INDEX(J$1:J4205,SUMPRODUCT(MAX(ROW(E$1:E4205)*(E4206=E$1:E4205)))))</f>
        <v> </v>
      </c>
      <c r="L4206" s="26"/>
    </row>
    <row r="4207" spans="1:12">
      <c r="A4207" s="20" t="s">
        <v>1835</v>
      </c>
      <c r="B4207" s="27" t="s">
        <v>815</v>
      </c>
      <c r="C4207" s="27" t="s">
        <v>759</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807</v>
      </c>
      <c r="E4208" s="21">
        <f>IF(D4208="?OLD","!!!","")</f>
        <v/>
      </c>
      <c r="F4208" s="22" t="str">
        <f>IF(OR(E4208="",E4208="!!!"),"",IF(NOT(ISNA(VLOOKUP(E4208,E$1:E4207,1,FALSE()))),"OLD",IF(AND(E4208&lt;&gt;"",E4208&lt;&gt;"!!!"),"NEW","")))</f>
        <v> </v>
      </c>
      <c r="G4208" s="23" t="str">
        <f>IF(OR(E4208="",E4208="!!!"),"",IF(OR(J4208=0,AND(J4208=1,K4208=1),AND(J4208=1,I4208="SBJ"),AND(J4208=1,I4208=0)),"?IN_FOCUS",IF(J4208&lt;=2,"?ACTIVATED",IF(J4208&lt;&gt;"","?FAMILIAR",IF(F4208="NEW",IF(ISNA(VLOOKUP(E4208,#REF!,1,FALSE())),"?TYPE_IDENTIFIABLE","?REFERENTIAL"),"_")))))</f>
        <v> </v>
      </c>
      <c r="H4208" s="24" t="str">
        <f>IF(J4208&lt;&gt;1,"",IF(I4208="SBJ","CB","?"))</f>
        <v> </v>
      </c>
      <c r="I4208" s="25" t="str">
        <f>IF(OR(E4208="",E4208="!!!",F4208="NEW"),"",INDEX(B4207:B$2,-1+SUMPRODUCT(MAX(ROW(E4207:E$2)*(E4208=E4207:E$2)))))</f>
        <v> </v>
      </c>
      <c r="J4208" s="25" t="str">
        <f>IF(OR(E4208="",E4208="!!!",F4208="NEW"),"",COUNTBLANK(OFFSET(A$1,,,SUMPRODUCT(MAX(ROW(E$2:E4208)*(E4208=E$2:E4208)))))-COUNTBLANK(OFFSET(A$1,,,SUMPRODUCT(MAX(ROW(E$1:E4207)*(E2=E$1:E4207))))))</f>
        <v> </v>
      </c>
      <c r="K4208" s="25" t="str">
        <f>IF(OR(E4208="",E4208="!!!",F4208="NEW"),"",INDEX(J$1:J4207,SUMPRODUCT(MAX(ROW(E$1:E4207)*(E4208=E$1:E4207)))))</f>
        <v> </v>
      </c>
      <c r="L4208" s="26"/>
    </row>
    <row r="4209" spans="1:12">
      <c r="A4209" s="20" t="s">
        <v>1836</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769</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1837</v>
      </c>
      <c r="B4211" s="27" t="s">
        <v>810</v>
      </c>
      <c r="C4211" s="27" t="s">
        <v>773</v>
      </c>
      <c r="D4211" s="27" t="s">
        <v>774</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768</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1838</v>
      </c>
      <c r="B4213" s="27" t="s">
        <v>815</v>
      </c>
      <c r="C4213" s="27" t="s">
        <v>759</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775</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row>
    <row r="4216" spans="1:12">
      <c r="A4216" s="20" t="s">
        <v>1839</v>
      </c>
    </row>
    <row r="4217" spans="1:12">
      <c r="A4217" s="20" t="s">
        <v>912</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1320</v>
      </c>
      <c r="B4218" s="27" t="s">
        <v>762</v>
      </c>
      <c r="C4218" s="27" t="s">
        <v>773</v>
      </c>
      <c r="D4218" s="27" t="s">
        <v>774</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t="s">
        <v>953</v>
      </c>
      <c r="E4219" s="21">
        <f>IF(D4219="?OLD","!!!","")</f>
        <v/>
      </c>
      <c r="F4219" s="22" t="str">
        <f>IF(OR(E4219="",E4219="!!!"),"",IF(NOT(ISNA(VLOOKUP(E4219,E$1:E4218,1,FALSE()))),"OLD",IF(AND(E4219&lt;&gt;"",E4219&lt;&gt;"!!!"),"NEW","")))</f>
        <v> </v>
      </c>
      <c r="G4219" s="23" t="str">
        <f>IF(OR(E4219="",E4219="!!!"),"",IF(OR(J4219=0,AND(J4219=1,K4219=1),AND(J4219=1,I4219="SBJ"),AND(J4219=1,I4219=0)),"?IN_FOCUS",IF(J4219&lt;=2,"?ACTIVATED",IF(J4219&lt;&gt;"","?FAMILIAR",IF(F4219="NEW",IF(ISNA(VLOOKUP(E4219,#REF!,1,FALSE())),"?TYPE_IDENTIFIABLE","?REFERENTIAL"),"_")))))</f>
        <v> </v>
      </c>
      <c r="H4219" s="24" t="str">
        <f>IF(J4219&lt;&gt;1,"",IF(I4219="SBJ","CB","?"))</f>
        <v> </v>
      </c>
      <c r="I4219" s="25" t="str">
        <f>IF(OR(E4219="",E4219="!!!",F4219="NEW"),"",INDEX(B4218:B$2,-1+SUMPRODUCT(MAX(ROW(E4218:E$2)*(E4219=E4218:E$2)))))</f>
        <v> </v>
      </c>
      <c r="J4219" s="25" t="str">
        <f>IF(OR(E4219="",E4219="!!!",F4219="NEW"),"",COUNTBLANK(OFFSET(A$1,,,SUMPRODUCT(MAX(ROW(E$2:E4219)*(E4219=E$2:E4219)))))-COUNTBLANK(OFFSET(A$1,,,SUMPRODUCT(MAX(ROW(E$1:E4218)*(E2=E$1:E4218))))))</f>
        <v> </v>
      </c>
      <c r="K4219" s="25" t="str">
        <f>IF(OR(E4219="",E4219="!!!",F4219="NEW"),"",INDEX(J$1:J4218,SUMPRODUCT(MAX(ROW(E$1:E4218)*(E4219=E$1:E4218)))))</f>
        <v> </v>
      </c>
      <c r="L4219" s="26"/>
    </row>
    <row r="4220" spans="1:12">
      <c r="A4220" s="20" t="s">
        <v>877</v>
      </c>
      <c r="B4220" s="27" t="s">
        <v>863</v>
      </c>
      <c r="C4220" s="27" t="s">
        <v>848</v>
      </c>
      <c r="D4220" s="27" t="s">
        <v>774</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1260</v>
      </c>
      <c r="B4221" s="27" t="s">
        <v>772</v>
      </c>
      <c r="C4221" s="27" t="s">
        <v>834</v>
      </c>
      <c r="D4221" s="27" t="s">
        <v>774</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825</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1061</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760</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769</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1840</v>
      </c>
      <c r="B4226" s="27" t="s">
        <v>800</v>
      </c>
      <c r="C4226" s="27" t="s">
        <v>773</v>
      </c>
      <c r="D4226" s="27" t="s">
        <v>774</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838</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996</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769</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1254</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1718</v>
      </c>
      <c r="B4231" s="27" t="s">
        <v>772</v>
      </c>
      <c r="C4231" s="27" t="s">
        <v>773</v>
      </c>
      <c r="D4231" s="27" t="s">
        <v>774</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340</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t="s">
        <v>880</v>
      </c>
      <c r="E4233" s="21">
        <f>IF(D4233="?OLD","!!!","")</f>
        <v/>
      </c>
      <c r="F4233" s="22" t="str">
        <f>IF(OR(E4233="",E4233="!!!"),"",IF(NOT(ISNA(VLOOKUP(E4233,E$1:E4232,1,FALSE()))),"OLD",IF(AND(E4233&lt;&gt;"",E4233&lt;&gt;"!!!"),"NEW","")))</f>
        <v> </v>
      </c>
      <c r="G4233" s="23" t="str">
        <f>IF(OR(E4233="",E4233="!!!"),"",IF(OR(J4233=0,AND(J4233=1,K4233=1),AND(J4233=1,I4233="SBJ"),AND(J4233=1,I4233=0)),"?IN_FOCUS",IF(J4233&lt;=2,"?ACTIVATED",IF(J4233&lt;&gt;"","?FAMILIAR",IF(F4233="NEW",IF(ISNA(VLOOKUP(E4233,#REF!,1,FALSE())),"?TYPE_IDENTIFIABLE","?REFERENTIAL"),"_")))))</f>
        <v> </v>
      </c>
      <c r="H4233" s="24" t="str">
        <f>IF(J4233&lt;&gt;1,"",IF(I4233="SBJ","CB","?"))</f>
        <v> </v>
      </c>
      <c r="I4233" s="25" t="str">
        <f>IF(OR(E4233="",E4233="!!!",F4233="NEW"),"",INDEX(B4232:B$2,-1+SUMPRODUCT(MAX(ROW(E4232:E$2)*(E4233=E4232:E$2)))))</f>
        <v> </v>
      </c>
      <c r="J4233" s="25" t="str">
        <f>IF(OR(E4233="",E4233="!!!",F4233="NEW"),"",COUNTBLANK(OFFSET(A$1,,,SUMPRODUCT(MAX(ROW(E$2:E4233)*(E4233=E$2:E4233)))))-COUNTBLANK(OFFSET(A$1,,,SUMPRODUCT(MAX(ROW(E$1:E4232)*(E2=E$1:E4232))))))</f>
        <v> </v>
      </c>
      <c r="K4233" s="25" t="str">
        <f>IF(OR(E4233="",E4233="!!!",F4233="NEW"),"",INDEX(J$1:J4232,SUMPRODUCT(MAX(ROW(E$1:E4232)*(E4233=E$1:E4232)))))</f>
        <v> </v>
      </c>
      <c r="L4233" s="26"/>
    </row>
    <row r="4234" spans="1:12">
      <c r="A4234" s="20" t="s">
        <v>893</v>
      </c>
      <c r="B4234" s="27" t="s">
        <v>895</v>
      </c>
      <c r="C4234" s="27" t="s">
        <v>778</v>
      </c>
      <c r="D4234" s="27" t="s">
        <v>774</v>
      </c>
      <c r="E4234" s="21">
        <f>IF(D4234="?OLD","!!!","")</f>
        <v/>
      </c>
      <c r="F4234" s="22" t="str">
        <f>IF(OR(E4234="",E4234="!!!"),"",IF(NOT(ISNA(VLOOKUP(E4234,E$1:E4233,1,FALSE()))),"OLD",IF(AND(E4234&lt;&gt;"",E4234&lt;&gt;"!!!"),"NEW","")))</f>
        <v> </v>
      </c>
      <c r="G4234" s="23" t="str">
        <f>IF(OR(E4234="",E4234="!!!"),"",IF(OR(J4234=0,AND(J4234=1,K4234=1),AND(J4234=1,I4234="SBJ"),AND(J4234=1,I4234=0)),"?IN_FOCUS",IF(J4234&lt;=2,"?ACTIVATED",IF(J4234&lt;&gt;"","?FAMILIAR",IF(F4234="NEW",IF(ISNA(VLOOKUP(E4234,#REF!,1,FALSE())),"?TYPE_IDENTIFIABLE","?REFERENTIAL"),"_")))))</f>
        <v> </v>
      </c>
      <c r="H4234" s="24" t="str">
        <f>IF(J4234&lt;&gt;1,"",IF(I4234="SBJ","CB","?"))</f>
        <v> </v>
      </c>
      <c r="I4234" s="25" t="str">
        <f>IF(OR(E4234="",E4234="!!!",F4234="NEW"),"",INDEX(B4233:B$2,-1+SUMPRODUCT(MAX(ROW(E4233:E$2)*(E4234=E4233:E$2)))))</f>
        <v> </v>
      </c>
      <c r="J4234" s="25" t="str">
        <f>IF(OR(E4234="",E4234="!!!",F4234="NEW"),"",COUNTBLANK(OFFSET(A$1,,,SUMPRODUCT(MAX(ROW(E$2:E4234)*(E4234=E$2:E4234)))))-COUNTBLANK(OFFSET(A$1,,,SUMPRODUCT(MAX(ROW(E$1:E4233)*(E2=E$1:E4233))))))</f>
        <v> </v>
      </c>
      <c r="K4234" s="25" t="str">
        <f>IF(OR(E4234="",E4234="!!!",F4234="NEW"),"",INDEX(J$1:J4233,SUMPRODUCT(MAX(ROW(E$1:E4233)*(E4234=E$1:E4233)))))</f>
        <v> </v>
      </c>
      <c r="L4234" s="26"/>
    </row>
    <row r="4235" spans="1:12">
      <c r="A4235" s="20" t="s">
        <v>825</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1841</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775</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row>
    <row r="4239" spans="1:12">
      <c r="A4239" s="20" t="s">
        <v>1842</v>
      </c>
    </row>
    <row r="4240" spans="1:12">
      <c r="A4240" s="20" t="s">
        <v>1293</v>
      </c>
      <c r="B4240" s="27" t="s">
        <v>762</v>
      </c>
      <c r="C4240" s="27" t="s">
        <v>778</v>
      </c>
      <c r="D4240" s="27" t="s">
        <v>774</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825</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935</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t="s">
        <v>1843</v>
      </c>
      <c r="E4243" s="21">
        <f>IF(D4243="?OLD","!!!","")</f>
        <v/>
      </c>
      <c r="F4243" s="22" t="str">
        <f>IF(OR(E4243="",E4243="!!!"),"",IF(NOT(ISNA(VLOOKUP(E4243,E$1:E4242,1,FALSE()))),"OLD",IF(AND(E4243&lt;&gt;"",E4243&lt;&gt;"!!!"),"NEW","")))</f>
        <v> </v>
      </c>
      <c r="G4243" s="23" t="str">
        <f>IF(OR(E4243="",E4243="!!!"),"",IF(OR(J4243=0,AND(J4243=1,K4243=1),AND(J4243=1,I4243="SBJ"),AND(J4243=1,I4243=0)),"?IN_FOCUS",IF(J4243&lt;=2,"?ACTIVATED",IF(J4243&lt;&gt;"","?FAMILIAR",IF(F4243="NEW",IF(ISNA(VLOOKUP(E4243,#REF!,1,FALSE())),"?TYPE_IDENTIFIABLE","?REFERENTIAL"),"_")))))</f>
        <v> </v>
      </c>
      <c r="H4243" s="24" t="str">
        <f>IF(J4243&lt;&gt;1,"",IF(I4243="SBJ","CB","?"))</f>
        <v> </v>
      </c>
      <c r="I4243" s="25" t="str">
        <f>IF(OR(E4243="",E4243="!!!",F4243="NEW"),"",INDEX(B4242:B$2,-1+SUMPRODUCT(MAX(ROW(E4242:E$2)*(E4243=E4242:E$2)))))</f>
        <v> </v>
      </c>
      <c r="J4243" s="25" t="str">
        <f>IF(OR(E4243="",E4243="!!!",F4243="NEW"),"",COUNTBLANK(OFFSET(A$1,,,SUMPRODUCT(MAX(ROW(E$2:E4243)*(E4243=E$2:E4243)))))-COUNTBLANK(OFFSET(A$1,,,SUMPRODUCT(MAX(ROW(E$1:E4242)*(E2=E$1:E4242))))))</f>
        <v> </v>
      </c>
      <c r="K4243" s="25" t="str">
        <f>IF(OR(E4243="",E4243="!!!",F4243="NEW"),"",INDEX(J$1:J4242,SUMPRODUCT(MAX(ROW(E$1:E4242)*(E4243=E$1:E4242)))))</f>
        <v> </v>
      </c>
      <c r="L4243" s="26"/>
    </row>
    <row r="4244" spans="1:12">
      <c r="A4244" s="20" t="s">
        <v>1242</v>
      </c>
      <c r="B4244" s="27" t="s">
        <v>772</v>
      </c>
      <c r="C4244" s="27" t="s">
        <v>848</v>
      </c>
      <c r="D4244" s="27" t="s">
        <v>774</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1844</v>
      </c>
      <c r="B4245" s="27" t="s">
        <v>766</v>
      </c>
      <c r="C4245" s="27" t="s">
        <v>834</v>
      </c>
      <c r="D4245" s="27" t="s">
        <v>774</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t="s">
        <v>1845</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775</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row>
    <row r="4249" spans="1:12">
      <c r="A4249" s="20" t="s">
        <v>1846</v>
      </c>
    </row>
    <row r="4250" spans="1:12">
      <c r="A4250" s="20" t="s">
        <v>1071</v>
      </c>
      <c r="B4250" s="27" t="s">
        <v>762</v>
      </c>
      <c r="C4250" s="27" t="s">
        <v>778</v>
      </c>
      <c r="D4250" s="27" t="s">
        <v>774</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880</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882</v>
      </c>
      <c r="B4252" s="27" t="s">
        <v>800</v>
      </c>
      <c r="C4252" s="27" t="s">
        <v>818</v>
      </c>
      <c r="D4252" s="27" t="s">
        <v>774</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t="s">
        <v>1847</v>
      </c>
      <c r="E4253" s="21">
        <f>IF(D4253="?OLD","!!!","")</f>
        <v/>
      </c>
      <c r="F4253" s="22" t="str">
        <f>IF(OR(E4253="",E4253="!!!"),"",IF(NOT(ISNA(VLOOKUP(E4253,E$1:E4252,1,FALSE()))),"OLD",IF(AND(E4253&lt;&gt;"",E4253&lt;&gt;"!!!"),"NEW","")))</f>
        <v> </v>
      </c>
      <c r="G4253" s="23" t="str">
        <f>IF(OR(E4253="",E4253="!!!"),"",IF(OR(J4253=0,AND(J4253=1,K4253=1),AND(J4253=1,I4253="SBJ"),AND(J4253=1,I4253=0)),"?IN_FOCUS",IF(J4253&lt;=2,"?ACTIVATED",IF(J4253&lt;&gt;"","?FAMILIAR",IF(F4253="NEW",IF(ISNA(VLOOKUP(E4253,#REF!,1,FALSE())),"?TYPE_IDENTIFIABLE","?REFERENTIAL"),"_")))))</f>
        <v> </v>
      </c>
      <c r="H4253" s="24" t="str">
        <f>IF(J4253&lt;&gt;1,"",IF(I4253="SBJ","CB","?"))</f>
        <v> </v>
      </c>
      <c r="I4253" s="25" t="str">
        <f>IF(OR(E4253="",E4253="!!!",F4253="NEW"),"",INDEX(B4252:B$2,-1+SUMPRODUCT(MAX(ROW(E4252:E$2)*(E4253=E4252:E$2)))))</f>
        <v> </v>
      </c>
      <c r="J4253" s="25" t="str">
        <f>IF(OR(E4253="",E4253="!!!",F4253="NEW"),"",COUNTBLANK(OFFSET(A$1,,,SUMPRODUCT(MAX(ROW(E$2:E4253)*(E4253=E$2:E4253)))))-COUNTBLANK(OFFSET(A$1,,,SUMPRODUCT(MAX(ROW(E$1:E4252)*(E2=E$1:E4252))))))</f>
        <v> </v>
      </c>
      <c r="K4253" s="25" t="str">
        <f>IF(OR(E4253="",E4253="!!!",F4253="NEW"),"",INDEX(J$1:J4252,SUMPRODUCT(MAX(ROW(E$1:E4252)*(E4253=E$1:E4252)))))</f>
        <v> </v>
      </c>
      <c r="L4253" s="26"/>
    </row>
    <row r="4254" spans="1:12">
      <c r="A4254" s="20" t="s">
        <v>1848</v>
      </c>
      <c r="E4254" s="21">
        <f>IF(D4254="?OLD","!!!","")</f>
        <v/>
      </c>
      <c r="F4254" s="22" t="str">
        <f>IF(OR(E4254="",E4254="!!!"),"",IF(NOT(ISNA(VLOOKUP(E4254,E$1:E4253,1,FALSE()))),"OLD",IF(AND(E4254&lt;&gt;"",E4254&lt;&gt;"!!!"),"NEW","")))</f>
        <v> </v>
      </c>
      <c r="G4254" s="23" t="str">
        <f>IF(OR(E4254="",E4254="!!!"),"",IF(OR(J4254=0,AND(J4254=1,K4254=1),AND(J4254=1,I4254="SBJ"),AND(J4254=1,I4254=0)),"?IN_FOCUS",IF(J4254&lt;=2,"?ACTIVATED",IF(J4254&lt;&gt;"","?FAMILIAR",IF(F4254="NEW",IF(ISNA(VLOOKUP(E4254,#REF!,1,FALSE())),"?TYPE_IDENTIFIABLE","?REFERENTIAL"),"_")))))</f>
        <v> </v>
      </c>
      <c r="H4254" s="24" t="str">
        <f>IF(J4254&lt;&gt;1,"",IF(I4254="SBJ","CB","?"))</f>
        <v> </v>
      </c>
      <c r="I4254" s="25" t="str">
        <f>IF(OR(E4254="",E4254="!!!",F4254="NEW"),"",INDEX(B4253:B$2,-1+SUMPRODUCT(MAX(ROW(E4253:E$2)*(E4254=E4253:E$2)))))</f>
        <v> </v>
      </c>
      <c r="J4254" s="25" t="str">
        <f>IF(OR(E4254="",E4254="!!!",F4254="NEW"),"",COUNTBLANK(OFFSET(A$1,,,SUMPRODUCT(MAX(ROW(E$2:E4254)*(E4254=E$2:E4254)))))-COUNTBLANK(OFFSET(A$1,,,SUMPRODUCT(MAX(ROW(E$1:E4253)*(E2=E$1:E4253))))))</f>
        <v> </v>
      </c>
      <c r="K4254" s="25" t="str">
        <f>IF(OR(E4254="",E4254="!!!",F4254="NEW"),"",INDEX(J$1:J4253,SUMPRODUCT(MAX(ROW(E$1:E4253)*(E4254=E$1:E4253)))))</f>
        <v> </v>
      </c>
      <c r="L4254" s="26"/>
    </row>
    <row r="4255" spans="1:12">
      <c r="A4255" s="20" t="s">
        <v>882</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1236</v>
      </c>
      <c r="B4256" s="27" t="s">
        <v>895</v>
      </c>
      <c r="C4256" s="27" t="s">
        <v>778</v>
      </c>
      <c r="D4256" s="27" t="s">
        <v>774</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t="s">
        <v>982</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1528</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1849</v>
      </c>
      <c r="B4259" s="27" t="s">
        <v>810</v>
      </c>
      <c r="C4259" s="27" t="s">
        <v>759</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775</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row>
    <row r="4262" spans="1:12">
      <c r="A4262" s="20" t="s">
        <v>1850</v>
      </c>
    </row>
    <row r="4263" spans="1:12">
      <c r="A4263" s="20" t="s">
        <v>1851</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803</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1236</v>
      </c>
      <c r="B4265" s="27" t="s">
        <v>895</v>
      </c>
      <c r="C4265" s="27" t="s">
        <v>778</v>
      </c>
      <c r="D4265" s="27" t="s">
        <v>774</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825</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1843</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993</v>
      </c>
      <c r="B4268" s="27" t="s">
        <v>810</v>
      </c>
      <c r="C4268" s="27" t="s">
        <v>778</v>
      </c>
      <c r="D4268" s="27" t="s">
        <v>774</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760</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1236</v>
      </c>
      <c r="B4270" s="27" t="s">
        <v>762</v>
      </c>
      <c r="C4270" s="27" t="s">
        <v>778</v>
      </c>
      <c r="D4270" s="27" t="s">
        <v>774</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825</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1671</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568</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1852</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760</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1135</v>
      </c>
      <c r="B4276" s="27" t="s">
        <v>802</v>
      </c>
      <c r="C4276" s="27" t="s">
        <v>937</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893</v>
      </c>
      <c r="B4277" s="27" t="s">
        <v>1022</v>
      </c>
      <c r="C4277" s="27" t="s">
        <v>778</v>
      </c>
      <c r="D4277" s="27" t="s">
        <v>774</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894</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t="s">
        <v>883</v>
      </c>
      <c r="E4279" s="21">
        <f>IF(D4279="?OLD","!!!","")</f>
        <v/>
      </c>
      <c r="F4279" s="22" t="str">
        <f>IF(OR(E4279="",E4279="!!!"),"",IF(NOT(ISNA(VLOOKUP(E4279,E$1:E4278,1,FALSE()))),"OLD",IF(AND(E4279&lt;&gt;"",E4279&lt;&gt;"!!!"),"NEW","")))</f>
        <v> </v>
      </c>
      <c r="G4279" s="23" t="str">
        <f>IF(OR(E4279="",E4279="!!!"),"",IF(OR(J4279=0,AND(J4279=1,K4279=1),AND(J4279=1,I4279="SBJ"),AND(J4279=1,I4279=0)),"?IN_FOCUS",IF(J4279&lt;=2,"?ACTIVATED",IF(J4279&lt;&gt;"","?FAMILIAR",IF(F4279="NEW",IF(ISNA(VLOOKUP(E4279,#REF!,1,FALSE())),"?TYPE_IDENTIFIABLE","?REFERENTIAL"),"_")))))</f>
        <v> </v>
      </c>
      <c r="H4279" s="24" t="str">
        <f>IF(J4279&lt;&gt;1,"",IF(I4279="SBJ","CB","?"))</f>
        <v> </v>
      </c>
      <c r="I4279" s="25" t="str">
        <f>IF(OR(E4279="",E4279="!!!",F4279="NEW"),"",INDEX(B4278:B$2,-1+SUMPRODUCT(MAX(ROW(E4278:E$2)*(E4279=E4278:E$2)))))</f>
        <v> </v>
      </c>
      <c r="J4279" s="25" t="str">
        <f>IF(OR(E4279="",E4279="!!!",F4279="NEW"),"",COUNTBLANK(OFFSET(A$1,,,SUMPRODUCT(MAX(ROW(E$2:E4279)*(E4279=E$2:E4279)))))-COUNTBLANK(OFFSET(A$1,,,SUMPRODUCT(MAX(ROW(E$1:E4278)*(E2=E$1:E4278))))))</f>
        <v> </v>
      </c>
      <c r="K4279" s="25" t="str">
        <f>IF(OR(E4279="",E4279="!!!",F4279="NEW"),"",INDEX(J$1:J4278,SUMPRODUCT(MAX(ROW(E$1:E4278)*(E4279=E$1:E4278)))))</f>
        <v> </v>
      </c>
      <c r="L4279" s="26"/>
    </row>
    <row r="4280" spans="1:12">
      <c r="A4280" s="20" t="s">
        <v>1848</v>
      </c>
      <c r="E4280" s="21">
        <f>IF(D4280="?OLD","!!!","")</f>
        <v/>
      </c>
      <c r="F4280" s="22" t="str">
        <f>IF(OR(E4280="",E4280="!!!"),"",IF(NOT(ISNA(VLOOKUP(E4280,E$1:E4279,1,FALSE()))),"OLD",IF(AND(E4280&lt;&gt;"",E4280&lt;&gt;"!!!"),"NEW","")))</f>
        <v> </v>
      </c>
      <c r="G4280" s="23" t="str">
        <f>IF(OR(E4280="",E4280="!!!"),"",IF(OR(J4280=0,AND(J4280=1,K4280=1),AND(J4280=1,I4280="SBJ"),AND(J4280=1,I4280=0)),"?IN_FOCUS",IF(J4280&lt;=2,"?ACTIVATED",IF(J4280&lt;&gt;"","?FAMILIAR",IF(F4280="NEW",IF(ISNA(VLOOKUP(E4280,#REF!,1,FALSE())),"?TYPE_IDENTIFIABLE","?REFERENTIAL"),"_")))))</f>
        <v> </v>
      </c>
      <c r="H4280" s="24" t="str">
        <f>IF(J4280&lt;&gt;1,"",IF(I4280="SBJ","CB","?"))</f>
        <v> </v>
      </c>
      <c r="I4280" s="25" t="str">
        <f>IF(OR(E4280="",E4280="!!!",F4280="NEW"),"",INDEX(B4279:B$2,-1+SUMPRODUCT(MAX(ROW(E4279:E$2)*(E4280=E4279:E$2)))))</f>
        <v> </v>
      </c>
      <c r="J4280" s="25" t="str">
        <f>IF(OR(E4280="",E4280="!!!",F4280="NEW"),"",COUNTBLANK(OFFSET(A$1,,,SUMPRODUCT(MAX(ROW(E$2:E4280)*(E4280=E$2:E4280)))))-COUNTBLANK(OFFSET(A$1,,,SUMPRODUCT(MAX(ROW(E$1:E4279)*(E2=E$1:E4279))))))</f>
        <v> </v>
      </c>
      <c r="K4280" s="25" t="str">
        <f>IF(OR(E4280="",E4280="!!!",F4280="NEW"),"",INDEX(J$1:J4279,SUMPRODUCT(MAX(ROW(E$1:E4279)*(E4280=E$1:E4279)))))</f>
        <v> </v>
      </c>
      <c r="L4280" s="26"/>
    </row>
    <row r="4281" spans="1:12">
      <c r="A4281" s="20" t="s">
        <v>882</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855</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t="s">
        <v>825</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764</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1853</v>
      </c>
      <c r="B4285" s="27" t="s">
        <v>895</v>
      </c>
      <c r="C4285" s="27" t="s">
        <v>767</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768</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1089</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1090</v>
      </c>
      <c r="B4288" s="27" t="s">
        <v>815</v>
      </c>
      <c r="C4288" s="27" t="s">
        <v>799</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t="s">
        <v>754</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1545</v>
      </c>
      <c r="B4290" s="27" t="s">
        <v>929</v>
      </c>
      <c r="C4290" s="27" t="s">
        <v>759</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775</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row>
    <row r="4293" spans="1:12">
      <c r="A4293" s="20" t="s">
        <v>1854</v>
      </c>
    </row>
    <row r="4294" spans="1:12">
      <c r="A4294" s="20" t="s">
        <v>830</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1236</v>
      </c>
      <c r="B4295" s="27" t="s">
        <v>762</v>
      </c>
      <c r="C4295" s="27" t="s">
        <v>778</v>
      </c>
      <c r="D4295" s="27" t="s">
        <v>774</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982</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764</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t="s">
        <v>1212</v>
      </c>
      <c r="E4298" s="21">
        <f>IF(D4298="?OLD","!!!","")</f>
        <v/>
      </c>
      <c r="F4298" s="22" t="str">
        <f>IF(OR(E4298="",E4298="!!!"),"",IF(NOT(ISNA(VLOOKUP(E4298,E$1:E4297,1,FALSE()))),"OLD",IF(AND(E4298&lt;&gt;"",E4298&lt;&gt;"!!!"),"NEW","")))</f>
        <v> </v>
      </c>
      <c r="G4298" s="23" t="str">
        <f>IF(OR(E4298="",E4298="!!!"),"",IF(OR(J4298=0,AND(J4298=1,K4298=1),AND(J4298=1,I4298="SBJ"),AND(J4298=1,I4298=0)),"?IN_FOCUS",IF(J4298&lt;=2,"?ACTIVATED",IF(J4298&lt;&gt;"","?FAMILIAR",IF(F4298="NEW",IF(ISNA(VLOOKUP(E4298,#REF!,1,FALSE())),"?TYPE_IDENTIFIABLE","?REFERENTIAL"),"_")))))</f>
        <v> </v>
      </c>
      <c r="H4298" s="24" t="str">
        <f>IF(J4298&lt;&gt;1,"",IF(I4298="SBJ","CB","?"))</f>
        <v> </v>
      </c>
      <c r="I4298" s="25" t="str">
        <f>IF(OR(E4298="",E4298="!!!",F4298="NEW"),"",INDEX(B4297:B$2,-1+SUMPRODUCT(MAX(ROW(E4297:E$2)*(E4298=E4297:E$2)))))</f>
        <v> </v>
      </c>
      <c r="J4298" s="25" t="str">
        <f>IF(OR(E4298="",E4298="!!!",F4298="NEW"),"",COUNTBLANK(OFFSET(A$1,,,SUMPRODUCT(MAX(ROW(E$2:E4298)*(E4298=E$2:E4298)))))-COUNTBLANK(OFFSET(A$1,,,SUMPRODUCT(MAX(ROW(E$1:E4297)*(E2=E$1:E4297))))))</f>
        <v> </v>
      </c>
      <c r="K4298" s="25" t="str">
        <f>IF(OR(E4298="",E4298="!!!",F4298="NEW"),"",INDEX(J$1:J4297,SUMPRODUCT(MAX(ROW(E$1:E4297)*(E4298=E$1:E4297)))))</f>
        <v> </v>
      </c>
      <c r="L4298" s="26"/>
    </row>
    <row r="4299" spans="1:12">
      <c r="A4299" s="20" t="s">
        <v>1855</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1681</v>
      </c>
      <c r="B4300" s="27" t="s">
        <v>766</v>
      </c>
      <c r="C4300" s="27" t="s">
        <v>767</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760</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1135</v>
      </c>
      <c r="B4302" s="27" t="s">
        <v>802</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893</v>
      </c>
      <c r="B4303" s="27" t="s">
        <v>800</v>
      </c>
      <c r="C4303" s="27" t="s">
        <v>778</v>
      </c>
      <c r="D4303" s="27" t="s">
        <v>774</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894</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1847</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1856</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1857</v>
      </c>
      <c r="B4307" s="27" t="s">
        <v>810</v>
      </c>
      <c r="C4307" s="27" t="s">
        <v>759</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775</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row>
    <row r="4310" spans="1:12">
      <c r="A4310" s="20" t="s">
        <v>1858</v>
      </c>
    </row>
    <row r="4311" spans="1:12">
      <c r="A4311" s="20" t="s">
        <v>830</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803</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893</v>
      </c>
      <c r="B4313" s="27" t="s">
        <v>800</v>
      </c>
      <c r="C4313" s="27" t="s">
        <v>778</v>
      </c>
      <c r="D4313" s="27" t="s">
        <v>774</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1243</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908</v>
      </c>
      <c r="B4315" s="27" t="s">
        <v>802</v>
      </c>
      <c r="C4315" s="27" t="s">
        <v>778</v>
      </c>
      <c r="D4315" s="27" t="s">
        <v>774</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1278</v>
      </c>
      <c r="B4316" s="27" t="s">
        <v>802</v>
      </c>
      <c r="C4316" s="27" t="s">
        <v>834</v>
      </c>
      <c r="D4316" s="27" t="s">
        <v>774</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768</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1118</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1141</v>
      </c>
      <c r="B4319" s="27" t="s">
        <v>863</v>
      </c>
      <c r="C4319" s="27" t="s">
        <v>989</v>
      </c>
      <c r="D4319" s="27" t="s">
        <v>774</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760</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824</v>
      </c>
      <c r="B4321" s="27" t="s">
        <v>762</v>
      </c>
      <c r="C4321" s="27" t="s">
        <v>778</v>
      </c>
      <c r="D4321" s="27" t="s">
        <v>774</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1045</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769</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1212</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1447</v>
      </c>
      <c r="B4325" s="27" t="s">
        <v>766</v>
      </c>
      <c r="C4325" s="27" t="s">
        <v>773</v>
      </c>
      <c r="D4325" s="27" t="s">
        <v>774</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768</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847</v>
      </c>
      <c r="B4327" s="27" t="s">
        <v>895</v>
      </c>
      <c r="C4327" s="27" t="s">
        <v>778</v>
      </c>
      <c r="D4327" s="27" t="s">
        <v>774</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1464</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1859</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839</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1860</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769</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1674</v>
      </c>
      <c r="B4333" s="27" t="s">
        <v>863</v>
      </c>
      <c r="C4333" s="27" t="s">
        <v>773</v>
      </c>
      <c r="D4333" s="27" t="s">
        <v>774</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t="s">
        <v>775</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row>
    <row r="4336" spans="1:12">
      <c r="A4336" s="20" t="s">
        <v>791</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t="s">
        <v>1861</v>
      </c>
    </row>
    <row r="4338" spans="1:12">
      <c r="A4338" s="20" t="s">
        <v>830</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824</v>
      </c>
      <c r="B4339" s="27" t="s">
        <v>762</v>
      </c>
      <c r="C4339" s="27" t="s">
        <v>778</v>
      </c>
      <c r="D4339" s="27" t="s">
        <v>774</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t="s">
        <v>894</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760</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752</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1862</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824</v>
      </c>
      <c r="B4344" s="27" t="s">
        <v>800</v>
      </c>
      <c r="C4344" s="27" t="s">
        <v>778</v>
      </c>
      <c r="D4344" s="27" t="s">
        <v>774</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982</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1299</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t="s">
        <v>1767</v>
      </c>
      <c r="E4347" s="21">
        <f>IF(D4347="?OLD","!!!","")</f>
        <v/>
      </c>
      <c r="F4347" s="22" t="str">
        <f>IF(OR(E4347="",E4347="!!!"),"",IF(NOT(ISNA(VLOOKUP(E4347,E$1:E4346,1,FALSE()))),"OLD",IF(AND(E4347&lt;&gt;"",E4347&lt;&gt;"!!!"),"NEW","")))</f>
        <v> </v>
      </c>
      <c r="G4347" s="23" t="str">
        <f>IF(OR(E4347="",E4347="!!!"),"",IF(OR(J4347=0,AND(J4347=1,K4347=1),AND(J4347=1,I4347="SBJ"),AND(J4347=1,I4347=0)),"?IN_FOCUS",IF(J4347&lt;=2,"?ACTIVATED",IF(J4347&lt;&gt;"","?FAMILIAR",IF(F4347="NEW",IF(ISNA(VLOOKUP(E4347,#REF!,1,FALSE())),"?TYPE_IDENTIFIABLE","?REFERENTIAL"),"_")))))</f>
        <v> </v>
      </c>
      <c r="H4347" s="24" t="str">
        <f>IF(J4347&lt;&gt;1,"",IF(I4347="SBJ","CB","?"))</f>
        <v> </v>
      </c>
      <c r="I4347" s="25" t="str">
        <f>IF(OR(E4347="",E4347="!!!",F4347="NEW"),"",INDEX(B4346:B$2,-1+SUMPRODUCT(MAX(ROW(E4346:E$2)*(E4347=E4346:E$2)))))</f>
        <v> </v>
      </c>
      <c r="J4347" s="25" t="str">
        <f>IF(OR(E4347="",E4347="!!!",F4347="NEW"),"",COUNTBLANK(OFFSET(A$1,,,SUMPRODUCT(MAX(ROW(E$2:E4347)*(E4347=E$2:E4347)))))-COUNTBLANK(OFFSET(A$1,,,SUMPRODUCT(MAX(ROW(E$1:E4346)*(E2=E$1:E4346))))))</f>
        <v> </v>
      </c>
      <c r="K4347" s="25" t="str">
        <f>IF(OR(E4347="",E4347="!!!",F4347="NEW"),"",INDEX(J$1:J4346,SUMPRODUCT(MAX(ROW(E$1:E4346)*(E4347=E$1:E4346)))))</f>
        <v> </v>
      </c>
      <c r="L4347" s="26"/>
    </row>
    <row r="4348" spans="1:12">
      <c r="A4348" s="20" t="s">
        <v>785</v>
      </c>
      <c r="E4348" s="21">
        <f>IF(D4348="?OLD","!!!","")</f>
        <v/>
      </c>
      <c r="F4348" s="22" t="str">
        <f>IF(OR(E4348="",E4348="!!!"),"",IF(NOT(ISNA(VLOOKUP(E4348,E$1:E4347,1,FALSE()))),"OLD",IF(AND(E4348&lt;&gt;"",E4348&lt;&gt;"!!!"),"NEW","")))</f>
        <v> </v>
      </c>
      <c r="G4348" s="23" t="str">
        <f>IF(OR(E4348="",E4348="!!!"),"",IF(OR(J4348=0,AND(J4348=1,K4348=1),AND(J4348=1,I4348="SBJ"),AND(J4348=1,I4348=0)),"?IN_FOCUS",IF(J4348&lt;=2,"?ACTIVATED",IF(J4348&lt;&gt;"","?FAMILIAR",IF(F4348="NEW",IF(ISNA(VLOOKUP(E4348,#REF!,1,FALSE())),"?TYPE_IDENTIFIABLE","?REFERENTIAL"),"_")))))</f>
        <v> </v>
      </c>
      <c r="H4348" s="24" t="str">
        <f>IF(J4348&lt;&gt;1,"",IF(I4348="SBJ","CB","?"))</f>
        <v> </v>
      </c>
      <c r="I4348" s="25" t="str">
        <f>IF(OR(E4348="",E4348="!!!",F4348="NEW"),"",INDEX(B4347:B$2,-1+SUMPRODUCT(MAX(ROW(E4347:E$2)*(E4348=E4347:E$2)))))</f>
        <v> </v>
      </c>
      <c r="J4348" s="25" t="str">
        <f>IF(OR(E4348="",E4348="!!!",F4348="NEW"),"",COUNTBLANK(OFFSET(A$1,,,SUMPRODUCT(MAX(ROW(E$2:E4348)*(E4348=E$2:E4348)))))-COUNTBLANK(OFFSET(A$1,,,SUMPRODUCT(MAX(ROW(E$1:E4347)*(E2=E$1:E4347))))))</f>
        <v> </v>
      </c>
      <c r="K4348" s="25" t="str">
        <f>IF(OR(E4348="",E4348="!!!",F4348="NEW"),"",INDEX(J$1:J4347,SUMPRODUCT(MAX(ROW(E$1:E4347)*(E4348=E$1:E4347)))))</f>
        <v> </v>
      </c>
      <c r="L4348" s="26"/>
    </row>
    <row r="4349" spans="1:12">
      <c r="A4349" s="20" t="s">
        <v>827</v>
      </c>
      <c r="B4349" s="27" t="s">
        <v>863</v>
      </c>
      <c r="C4349" s="27" t="s">
        <v>759</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1115</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764</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1863</v>
      </c>
      <c r="B4352" s="27" t="s">
        <v>772</v>
      </c>
      <c r="C4352" s="27" t="s">
        <v>767</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943</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1422</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1432</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1710</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988</v>
      </c>
      <c r="B4357" s="27" t="s">
        <v>925</v>
      </c>
      <c r="C4357" s="27" t="s">
        <v>759</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982</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1063</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t="s">
        <v>754</v>
      </c>
      <c r="E4360" s="21">
        <f>IF(D4360="?OLD","!!!","")</f>
        <v/>
      </c>
      <c r="F4360" s="22" t="str">
        <f>IF(OR(E4360="",E4360="!!!"),"",IF(NOT(ISNA(VLOOKUP(E4360,E$1:E4359,1,FALSE()))),"OLD",IF(AND(E4360&lt;&gt;"",E4360&lt;&gt;"!!!"),"NEW","")))</f>
        <v> </v>
      </c>
      <c r="G4360" s="23" t="str">
        <f>IF(OR(E4360="",E4360="!!!"),"",IF(OR(J4360=0,AND(J4360=1,K4360=1),AND(J4360=1,I4360="SBJ"),AND(J4360=1,I4360=0)),"?IN_FOCUS",IF(J4360&lt;=2,"?ACTIVATED",IF(J4360&lt;&gt;"","?FAMILIAR",IF(F4360="NEW",IF(ISNA(VLOOKUP(E4360,#REF!,1,FALSE())),"?TYPE_IDENTIFIABLE","?REFERENTIAL"),"_")))))</f>
        <v> </v>
      </c>
      <c r="H4360" s="24" t="str">
        <f>IF(J4360&lt;&gt;1,"",IF(I4360="SBJ","CB","?"))</f>
        <v> </v>
      </c>
      <c r="I4360" s="25" t="str">
        <f>IF(OR(E4360="",E4360="!!!",F4360="NEW"),"",INDEX(B4359:B$2,-1+SUMPRODUCT(MAX(ROW(E4359:E$2)*(E4360=E4359:E$2)))))</f>
        <v> </v>
      </c>
      <c r="J4360" s="25" t="str">
        <f>IF(OR(E4360="",E4360="!!!",F4360="NEW"),"",COUNTBLANK(OFFSET(A$1,,,SUMPRODUCT(MAX(ROW(E$2:E4360)*(E4360=E$2:E4360)))))-COUNTBLANK(OFFSET(A$1,,,SUMPRODUCT(MAX(ROW(E$1:E4359)*(E2=E$1:E4359))))))</f>
        <v> </v>
      </c>
      <c r="K4360" s="25" t="str">
        <f>IF(OR(E4360="",E4360="!!!",F4360="NEW"),"",INDEX(J$1:J4359,SUMPRODUCT(MAX(ROW(E$1:E4359)*(E4360=E$1:E4359)))))</f>
        <v> </v>
      </c>
      <c r="L4360" s="26"/>
    </row>
    <row r="4361" spans="1:12">
      <c r="A4361" s="20" t="s">
        <v>769</v>
      </c>
      <c r="E4361" s="21">
        <f>IF(D4361="?OLD","!!!","")</f>
        <v/>
      </c>
      <c r="F4361" s="22" t="str">
        <f>IF(OR(E4361="",E4361="!!!"),"",IF(NOT(ISNA(VLOOKUP(E4361,E$1:E4360,1,FALSE()))),"OLD",IF(AND(E4361&lt;&gt;"",E4361&lt;&gt;"!!!"),"NEW","")))</f>
        <v> </v>
      </c>
      <c r="G4361" s="23" t="str">
        <f>IF(OR(E4361="",E4361="!!!"),"",IF(OR(J4361=0,AND(J4361=1,K4361=1),AND(J4361=1,I4361="SBJ"),AND(J4361=1,I4361=0)),"?IN_FOCUS",IF(J4361&lt;=2,"?ACTIVATED",IF(J4361&lt;&gt;"","?FAMILIAR",IF(F4361="NEW",IF(ISNA(VLOOKUP(E4361,#REF!,1,FALSE())),"?TYPE_IDENTIFIABLE","?REFERENTIAL"),"_")))))</f>
        <v> </v>
      </c>
      <c r="H4361" s="24" t="str">
        <f>IF(J4361&lt;&gt;1,"",IF(I4361="SBJ","CB","?"))</f>
        <v> </v>
      </c>
      <c r="I4361" s="25" t="str">
        <f>IF(OR(E4361="",E4361="!!!",F4361="NEW"),"",INDEX(B4360:B$2,-1+SUMPRODUCT(MAX(ROW(E4360:E$2)*(E4361=E4360:E$2)))))</f>
        <v> </v>
      </c>
      <c r="J4361" s="25" t="str">
        <f>IF(OR(E4361="",E4361="!!!",F4361="NEW"),"",COUNTBLANK(OFFSET(A$1,,,SUMPRODUCT(MAX(ROW(E$2:E4361)*(E4361=E$2:E4361)))))-COUNTBLANK(OFFSET(A$1,,,SUMPRODUCT(MAX(ROW(E$1:E4360)*(E2=E$1:E4360))))))</f>
        <v> </v>
      </c>
      <c r="K4361" s="25" t="str">
        <f>IF(OR(E4361="",E4361="!!!",F4361="NEW"),"",INDEX(J$1:J4360,SUMPRODUCT(MAX(ROW(E$1:E4360)*(E4361=E$1:E4360)))))</f>
        <v> </v>
      </c>
      <c r="L4361" s="26"/>
    </row>
    <row r="4362" spans="1:12">
      <c r="A4362" s="20" t="s">
        <v>1183</v>
      </c>
      <c r="B4362" s="27" t="s">
        <v>929</v>
      </c>
      <c r="C4362" s="27" t="s">
        <v>773</v>
      </c>
      <c r="D4362" s="27" t="s">
        <v>774</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768</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944</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928</v>
      </c>
      <c r="B4365" s="27" t="s">
        <v>1028</v>
      </c>
      <c r="C4365" s="27" t="s">
        <v>759</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1023</v>
      </c>
      <c r="B4366" s="27" t="s">
        <v>1463</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1034</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t="s">
        <v>1424</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760</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t="s">
        <v>340</v>
      </c>
      <c r="E4370" s="21">
        <f>IF(D4370="?OLD","!!!","")</f>
        <v/>
      </c>
      <c r="F4370" s="22" t="str">
        <f>IF(OR(E4370="",E4370="!!!"),"",IF(NOT(ISNA(VLOOKUP(E4370,E$1:E4369,1,FALSE()))),"OLD",IF(AND(E4370&lt;&gt;"",E4370&lt;&gt;"!!!"),"NEW","")))</f>
        <v> </v>
      </c>
      <c r="G4370" s="23" t="str">
        <f>IF(OR(E4370="",E4370="!!!"),"",IF(OR(J4370=0,AND(J4370=1,K4370=1),AND(J4370=1,I4370="SBJ"),AND(J4370=1,I4370=0)),"?IN_FOCUS",IF(J4370&lt;=2,"?ACTIVATED",IF(J4370&lt;&gt;"","?FAMILIAR",IF(F4370="NEW",IF(ISNA(VLOOKUP(E4370,#REF!,1,FALSE())),"?TYPE_IDENTIFIABLE","?REFERENTIAL"),"_")))))</f>
        <v> </v>
      </c>
      <c r="H4370" s="24" t="str">
        <f>IF(J4370&lt;&gt;1,"",IF(I4370="SBJ","CB","?"))</f>
        <v> </v>
      </c>
      <c r="I4370" s="25" t="str">
        <f>IF(OR(E4370="",E4370="!!!",F4370="NEW"),"",INDEX(B4369:B$2,-1+SUMPRODUCT(MAX(ROW(E4369:E$2)*(E4370=E4369:E$2)))))</f>
        <v> </v>
      </c>
      <c r="J4370" s="25" t="str">
        <f>IF(OR(E4370="",E4370="!!!",F4370="NEW"),"",COUNTBLANK(OFFSET(A$1,,,SUMPRODUCT(MAX(ROW(E$2:E4370)*(E4370=E$2:E4370)))))-COUNTBLANK(OFFSET(A$1,,,SUMPRODUCT(MAX(ROW(E$1:E4369)*(E2=E$1:E4369))))))</f>
        <v> </v>
      </c>
      <c r="K4370" s="25" t="str">
        <f>IF(OR(E4370="",E4370="!!!",F4370="NEW"),"",INDEX(J$1:J4369,SUMPRODUCT(MAX(ROW(E$1:E4369)*(E4370=E$1:E4369)))))</f>
        <v> </v>
      </c>
      <c r="L4370" s="26"/>
    </row>
    <row r="4371" spans="1:12">
      <c r="A4371" s="20" t="s">
        <v>824</v>
      </c>
      <c r="B4371" s="27" t="s">
        <v>895</v>
      </c>
      <c r="C4371" s="27" t="s">
        <v>778</v>
      </c>
      <c r="D4371" s="27" t="s">
        <v>774</v>
      </c>
      <c r="E4371" s="21">
        <f>IF(D4371="?OLD","!!!","")</f>
        <v/>
      </c>
      <c r="F4371" s="22" t="str">
        <f>IF(OR(E4371="",E4371="!!!"),"",IF(NOT(ISNA(VLOOKUP(E4371,E$1:E4370,1,FALSE()))),"OLD",IF(AND(E4371&lt;&gt;"",E4371&lt;&gt;"!!!"),"NEW","")))</f>
        <v> </v>
      </c>
      <c r="G4371" s="23" t="str">
        <f>IF(OR(E4371="",E4371="!!!"),"",IF(OR(J4371=0,AND(J4371=1,K4371=1),AND(J4371=1,I4371="SBJ"),AND(J4371=1,I4371=0)),"?IN_FOCUS",IF(J4371&lt;=2,"?ACTIVATED",IF(J4371&lt;&gt;"","?FAMILIAR",IF(F4371="NEW",IF(ISNA(VLOOKUP(E4371,#REF!,1,FALSE())),"?TYPE_IDENTIFIABLE","?REFERENTIAL"),"_")))))</f>
        <v> </v>
      </c>
      <c r="H4371" s="24" t="str">
        <f>IF(J4371&lt;&gt;1,"",IF(I4371="SBJ","CB","?"))</f>
        <v> </v>
      </c>
      <c r="I4371" s="25" t="str">
        <f>IF(OR(E4371="",E4371="!!!",F4371="NEW"),"",INDEX(B4370:B$2,-1+SUMPRODUCT(MAX(ROW(E4370:E$2)*(E4371=E4370:E$2)))))</f>
        <v> </v>
      </c>
      <c r="J4371" s="25" t="str">
        <f>IF(OR(E4371="",E4371="!!!",F4371="NEW"),"",COUNTBLANK(OFFSET(A$1,,,SUMPRODUCT(MAX(ROW(E$2:E4371)*(E4371=E$2:E4371)))))-COUNTBLANK(OFFSET(A$1,,,SUMPRODUCT(MAX(ROW(E$1:E4370)*(E2=E$1:E4370))))))</f>
        <v> </v>
      </c>
      <c r="K4371" s="25" t="str">
        <f>IF(OR(E4371="",E4371="!!!",F4371="NEW"),"",INDEX(J$1:J4370,SUMPRODUCT(MAX(ROW(E$1:E4370)*(E4371=E$1:E4370)))))</f>
        <v> </v>
      </c>
      <c r="L4371" s="26"/>
    </row>
    <row r="4372" spans="1:12">
      <c r="A4372" s="20" t="s">
        <v>852</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935</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112</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807</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1042</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t="s">
        <v>1215</v>
      </c>
      <c r="B4377" s="27" t="s">
        <v>929</v>
      </c>
      <c r="C4377" s="27" t="s">
        <v>848</v>
      </c>
      <c r="D4377" s="27" t="s">
        <v>774</v>
      </c>
      <c r="E4377" s="21">
        <f>IF(D4377="?OLD","!!!","")</f>
        <v/>
      </c>
      <c r="F4377" s="22" t="str">
        <f>IF(OR(E4377="",E4377="!!!"),"",IF(NOT(ISNA(VLOOKUP(E4377,E$1:E4376,1,FALSE()))),"OLD",IF(AND(E4377&lt;&gt;"",E4377&lt;&gt;"!!!"),"NEW","")))</f>
        <v> </v>
      </c>
      <c r="G4377" s="23" t="str">
        <f>IF(OR(E4377="",E4377="!!!"),"",IF(OR(J4377=0,AND(J4377=1,K4377=1),AND(J4377=1,I4377="SBJ"),AND(J4377=1,I4377=0)),"?IN_FOCUS",IF(J4377&lt;=2,"?ACTIVATED",IF(J4377&lt;&gt;"","?FAMILIAR",IF(F4377="NEW",IF(ISNA(VLOOKUP(E4377,#REF!,1,FALSE())),"?TYPE_IDENTIFIABLE","?REFERENTIAL"),"_")))))</f>
        <v> </v>
      </c>
      <c r="H4377" s="24" t="str">
        <f>IF(J4377&lt;&gt;1,"",IF(I4377="SBJ","CB","?"))</f>
        <v> </v>
      </c>
      <c r="I4377" s="25" t="str">
        <f>IF(OR(E4377="",E4377="!!!",F4377="NEW"),"",INDEX(B4376:B$2,-1+SUMPRODUCT(MAX(ROW(E4376:E$2)*(E4377=E4376:E$2)))))</f>
        <v> </v>
      </c>
      <c r="J4377" s="25" t="str">
        <f>IF(OR(E4377="",E4377="!!!",F4377="NEW"),"",COUNTBLANK(OFFSET(A$1,,,SUMPRODUCT(MAX(ROW(E$2:E4377)*(E4377=E$2:E4377)))))-COUNTBLANK(OFFSET(A$1,,,SUMPRODUCT(MAX(ROW(E$1:E4376)*(E2=E$1:E4376))))))</f>
        <v> </v>
      </c>
      <c r="K4377" s="25" t="str">
        <f>IF(OR(E4377="",E4377="!!!",F4377="NEW"),"",INDEX(J$1:J4376,SUMPRODUCT(MAX(ROW(E$1:E4376)*(E4377=E$1:E4376)))))</f>
        <v> </v>
      </c>
      <c r="L4377" s="26"/>
    </row>
    <row r="4378" spans="1:12">
      <c r="A4378" s="20" t="s">
        <v>1864</v>
      </c>
      <c r="B4378" s="27" t="s">
        <v>1036</v>
      </c>
      <c r="C4378" s="27" t="s">
        <v>834</v>
      </c>
      <c r="D4378" s="27" t="s">
        <v>774</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t="s">
        <v>1182</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936</v>
      </c>
      <c r="B4380" s="27" t="s">
        <v>925</v>
      </c>
      <c r="C4380" s="27" t="s">
        <v>937</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824</v>
      </c>
      <c r="B4381" s="27" t="s">
        <v>1026</v>
      </c>
      <c r="C4381" s="27" t="s">
        <v>778</v>
      </c>
      <c r="D4381" s="27" t="s">
        <v>774</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t="s">
        <v>825</v>
      </c>
      <c r="E4382" s="21">
        <f>IF(D4382="?OLD","!!!","")</f>
        <v/>
      </c>
      <c r="F4382" s="22" t="str">
        <f>IF(OR(E4382="",E4382="!!!"),"",IF(NOT(ISNA(VLOOKUP(E4382,E$1:E4381,1,FALSE()))),"OLD",IF(AND(E4382&lt;&gt;"",E4382&lt;&gt;"!!!"),"NEW","")))</f>
        <v> </v>
      </c>
      <c r="G4382" s="23" t="str">
        <f>IF(OR(E4382="",E4382="!!!"),"",IF(OR(J4382=0,AND(J4382=1,K4382=1),AND(J4382=1,I4382="SBJ"),AND(J4382=1,I4382=0)),"?IN_FOCUS",IF(J4382&lt;=2,"?ACTIVATED",IF(J4382&lt;&gt;"","?FAMILIAR",IF(F4382="NEW",IF(ISNA(VLOOKUP(E4382,#REF!,1,FALSE())),"?TYPE_IDENTIFIABLE","?REFERENTIAL"),"_")))))</f>
        <v> </v>
      </c>
      <c r="H4382" s="24" t="str">
        <f>IF(J4382&lt;&gt;1,"",IF(I4382="SBJ","CB","?"))</f>
        <v> </v>
      </c>
      <c r="I4382" s="25" t="str">
        <f>IF(OR(E4382="",E4382="!!!",F4382="NEW"),"",INDEX(B4381:B$2,-1+SUMPRODUCT(MAX(ROW(E4381:E$2)*(E4382=E4381:E$2)))))</f>
        <v> </v>
      </c>
      <c r="J4382" s="25" t="str">
        <f>IF(OR(E4382="",E4382="!!!",F4382="NEW"),"",COUNTBLANK(OFFSET(A$1,,,SUMPRODUCT(MAX(ROW(E$2:E4382)*(E4382=E$2:E4382)))))-COUNTBLANK(OFFSET(A$1,,,SUMPRODUCT(MAX(ROW(E$1:E4381)*(E2=E$1:E4381))))))</f>
        <v> </v>
      </c>
      <c r="K4382" s="25" t="str">
        <f>IF(OR(E4382="",E4382="!!!",F4382="NEW"),"",INDEX(J$1:J4381,SUMPRODUCT(MAX(ROW(E$1:E4381)*(E4382=E$1:E4381)))))</f>
        <v> </v>
      </c>
      <c r="L4382" s="26"/>
    </row>
    <row r="4383" spans="1:12">
      <c r="A4383" s="20" t="s">
        <v>1865</v>
      </c>
      <c r="E4383" s="21">
        <f>IF(D4383="?OLD","!!!","")</f>
        <v/>
      </c>
      <c r="F4383" s="22" t="str">
        <f>IF(OR(E4383="",E4383="!!!"),"",IF(NOT(ISNA(VLOOKUP(E4383,E$1:E4382,1,FALSE()))),"OLD",IF(AND(E4383&lt;&gt;"",E4383&lt;&gt;"!!!"),"NEW","")))</f>
        <v> </v>
      </c>
      <c r="G4383" s="23" t="str">
        <f>IF(OR(E4383="",E4383="!!!"),"",IF(OR(J4383=0,AND(J4383=1,K4383=1),AND(J4383=1,I4383="SBJ"),AND(J4383=1,I4383=0)),"?IN_FOCUS",IF(J4383&lt;=2,"?ACTIVATED",IF(J4383&lt;&gt;"","?FAMILIAR",IF(F4383="NEW",IF(ISNA(VLOOKUP(E4383,#REF!,1,FALSE())),"?TYPE_IDENTIFIABLE","?REFERENTIAL"),"_")))))</f>
        <v> </v>
      </c>
      <c r="H4383" s="24" t="str">
        <f>IF(J4383&lt;&gt;1,"",IF(I4383="SBJ","CB","?"))</f>
        <v> </v>
      </c>
      <c r="I4383" s="25" t="str">
        <f>IF(OR(E4383="",E4383="!!!",F4383="NEW"),"",INDEX(B4382:B$2,-1+SUMPRODUCT(MAX(ROW(E4382:E$2)*(E4383=E4382:E$2)))))</f>
        <v> </v>
      </c>
      <c r="J4383" s="25" t="str">
        <f>IF(OR(E4383="",E4383="!!!",F4383="NEW"),"",COUNTBLANK(OFFSET(A$1,,,SUMPRODUCT(MAX(ROW(E$2:E4383)*(E4383=E$2:E4383)))))-COUNTBLANK(OFFSET(A$1,,,SUMPRODUCT(MAX(ROW(E$1:E4382)*(E2=E$1:E4382))))))</f>
        <v> </v>
      </c>
      <c r="K4383" s="25" t="str">
        <f>IF(OR(E4383="",E4383="!!!",F4383="NEW"),"",INDEX(J$1:J4382,SUMPRODUCT(MAX(ROW(E$1:E4382)*(E4383=E$1:E4382)))))</f>
        <v> </v>
      </c>
      <c r="L4383" s="26"/>
    </row>
    <row r="4384" spans="1:12">
      <c r="A4384" s="20" t="s">
        <v>825</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860</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1129</v>
      </c>
      <c r="B4386" s="27" t="s">
        <v>815</v>
      </c>
      <c r="C4386" s="27" t="s">
        <v>767</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768</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861</v>
      </c>
      <c r="B4388" s="27" t="s">
        <v>929</v>
      </c>
      <c r="C4388" s="27" t="s">
        <v>759</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775</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752</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row>
    <row r="4392" spans="1:12">
      <c r="A4392" s="20" t="s">
        <v>1866</v>
      </c>
    </row>
    <row r="4393" spans="1:12">
      <c r="A4393" s="20" t="s">
        <v>830</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930</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1278</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1101</v>
      </c>
      <c r="B4396" s="27" t="s">
        <v>758</v>
      </c>
      <c r="C4396" s="27" t="s">
        <v>767</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1468</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t="s">
        <v>769</v>
      </c>
      <c r="E4398" s="21">
        <f>IF(D4398="?OLD","!!!","")</f>
        <v/>
      </c>
      <c r="F4398" s="22" t="str">
        <f>IF(OR(E4398="",E4398="!!!"),"",IF(NOT(ISNA(VLOOKUP(E4398,E$1:E4397,1,FALSE()))),"OLD",IF(AND(E4398&lt;&gt;"",E4398&lt;&gt;"!!!"),"NEW","")))</f>
        <v> </v>
      </c>
      <c r="G4398" s="23" t="str">
        <f>IF(OR(E4398="",E4398="!!!"),"",IF(OR(J4398=0,AND(J4398=1,K4398=1),AND(J4398=1,I4398="SBJ"),AND(J4398=1,I4398=0)),"?IN_FOCUS",IF(J4398&lt;=2,"?ACTIVATED",IF(J4398&lt;&gt;"","?FAMILIAR",IF(F4398="NEW",IF(ISNA(VLOOKUP(E4398,#REF!,1,FALSE())),"?TYPE_IDENTIFIABLE","?REFERENTIAL"),"_")))))</f>
        <v> </v>
      </c>
      <c r="H4398" s="24" t="str">
        <f>IF(J4398&lt;&gt;1,"",IF(I4398="SBJ","CB","?"))</f>
        <v> </v>
      </c>
      <c r="I4398" s="25" t="str">
        <f>IF(OR(E4398="",E4398="!!!",F4398="NEW"),"",INDEX(B4397:B$2,-1+SUMPRODUCT(MAX(ROW(E4397:E$2)*(E4398=E4397:E$2)))))</f>
        <v> </v>
      </c>
      <c r="J4398" s="25" t="str">
        <f>IF(OR(E4398="",E4398="!!!",F4398="NEW"),"",COUNTBLANK(OFFSET(A$1,,,SUMPRODUCT(MAX(ROW(E$2:E4398)*(E4398=E$2:E4398)))))-COUNTBLANK(OFFSET(A$1,,,SUMPRODUCT(MAX(ROW(E$1:E4397)*(E2=E$1:E4397))))))</f>
        <v> </v>
      </c>
      <c r="K4398" s="25" t="str">
        <f>IF(OR(E4398="",E4398="!!!",F4398="NEW"),"",INDEX(J$1:J4397,SUMPRODUCT(MAX(ROW(E$1:E4397)*(E4398=E$1:E4397)))))</f>
        <v> </v>
      </c>
      <c r="L4398" s="26"/>
    </row>
    <row r="4399" spans="1:12">
      <c r="A4399" s="20" t="s">
        <v>1867</v>
      </c>
      <c r="B4399" s="27" t="s">
        <v>772</v>
      </c>
      <c r="C4399" s="27" t="s">
        <v>773</v>
      </c>
      <c r="D4399" s="27" t="s">
        <v>774</v>
      </c>
      <c r="E4399" s="21">
        <f>IF(D4399="?OLD","!!!","")</f>
        <v/>
      </c>
      <c r="F4399" s="22" t="str">
        <f>IF(OR(E4399="",E4399="!!!"),"",IF(NOT(ISNA(VLOOKUP(E4399,E$1:E4398,1,FALSE()))),"OLD",IF(AND(E4399&lt;&gt;"",E4399&lt;&gt;"!!!"),"NEW","")))</f>
        <v> </v>
      </c>
      <c r="G4399" s="23" t="str">
        <f>IF(OR(E4399="",E4399="!!!"),"",IF(OR(J4399=0,AND(J4399=1,K4399=1),AND(J4399=1,I4399="SBJ"),AND(J4399=1,I4399=0)),"?IN_FOCUS",IF(J4399&lt;=2,"?ACTIVATED",IF(J4399&lt;&gt;"","?FAMILIAR",IF(F4399="NEW",IF(ISNA(VLOOKUP(E4399,#REF!,1,FALSE())),"?TYPE_IDENTIFIABLE","?REFERENTIAL"),"_")))))</f>
        <v> </v>
      </c>
      <c r="H4399" s="24" t="str">
        <f>IF(J4399&lt;&gt;1,"",IF(I4399="SBJ","CB","?"))</f>
        <v> </v>
      </c>
      <c r="I4399" s="25" t="str">
        <f>IF(OR(E4399="",E4399="!!!",F4399="NEW"),"",INDEX(B4398:B$2,-1+SUMPRODUCT(MAX(ROW(E4398:E$2)*(E4399=E4398:E$2)))))</f>
        <v> </v>
      </c>
      <c r="J4399" s="25" t="str">
        <f>IF(OR(E4399="",E4399="!!!",F4399="NEW"),"",COUNTBLANK(OFFSET(A$1,,,SUMPRODUCT(MAX(ROW(E$2:E4399)*(E4399=E$2:E4399)))))-COUNTBLANK(OFFSET(A$1,,,SUMPRODUCT(MAX(ROW(E$1:E4398)*(E2=E$1:E4398))))))</f>
        <v> </v>
      </c>
      <c r="K4399" s="25" t="str">
        <f>IF(OR(E4399="",E4399="!!!",F4399="NEW"),"",INDEX(J$1:J4398,SUMPRODUCT(MAX(ROW(E$1:E4398)*(E4399=E$1:E4398)))))</f>
        <v> </v>
      </c>
      <c r="L4399" s="26"/>
    </row>
    <row r="4400" spans="1:12">
      <c r="A4400" s="20" t="s">
        <v>768</v>
      </c>
      <c r="E4400" s="21">
        <f>IF(D4400="?OLD","!!!","")</f>
        <v/>
      </c>
      <c r="F4400" s="22" t="str">
        <f>IF(OR(E4400="",E4400="!!!"),"",IF(NOT(ISNA(VLOOKUP(E4400,E$1:E4399,1,FALSE()))),"OLD",IF(AND(E4400&lt;&gt;"",E4400&lt;&gt;"!!!"),"NEW","")))</f>
        <v> </v>
      </c>
      <c r="G4400" s="23" t="str">
        <f>IF(OR(E4400="",E4400="!!!"),"",IF(OR(J4400=0,AND(J4400=1,K4400=1),AND(J4400=1,I4400="SBJ"),AND(J4400=1,I4400=0)),"?IN_FOCUS",IF(J4400&lt;=2,"?ACTIVATED",IF(J4400&lt;&gt;"","?FAMILIAR",IF(F4400="NEW",IF(ISNA(VLOOKUP(E4400,#REF!,1,FALSE())),"?TYPE_IDENTIFIABLE","?REFERENTIAL"),"_")))))</f>
        <v> </v>
      </c>
      <c r="H4400" s="24" t="str">
        <f>IF(J4400&lt;&gt;1,"",IF(I4400="SBJ","CB","?"))</f>
        <v> </v>
      </c>
      <c r="I4400" s="25" t="str">
        <f>IF(OR(E4400="",E4400="!!!",F4400="NEW"),"",INDEX(B4399:B$2,-1+SUMPRODUCT(MAX(ROW(E4399:E$2)*(E4400=E4399:E$2)))))</f>
        <v> </v>
      </c>
      <c r="J4400" s="25" t="str">
        <f>IF(OR(E4400="",E4400="!!!",F4400="NEW"),"",COUNTBLANK(OFFSET(A$1,,,SUMPRODUCT(MAX(ROW(E$2:E4400)*(E4400=E$2:E4400)))))-COUNTBLANK(OFFSET(A$1,,,SUMPRODUCT(MAX(ROW(E$1:E4399)*(E2=E$1:E4399))))))</f>
        <v> </v>
      </c>
      <c r="K4400" s="25" t="str">
        <f>IF(OR(E4400="",E4400="!!!",F4400="NEW"),"",INDEX(J$1:J4399,SUMPRODUCT(MAX(ROW(E$1:E4399)*(E4400=E$1:E4399)))))</f>
        <v> </v>
      </c>
      <c r="L4400" s="26"/>
    </row>
    <row r="4401" spans="1:12">
      <c r="A4401" s="20" t="s">
        <v>1210</v>
      </c>
      <c r="B4401" s="27" t="s">
        <v>863</v>
      </c>
      <c r="C4401" s="27" t="s">
        <v>759</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760</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824</v>
      </c>
      <c r="B4403" s="27" t="s">
        <v>762</v>
      </c>
      <c r="C4403" s="27" t="s">
        <v>778</v>
      </c>
      <c r="D4403" s="27" t="s">
        <v>774</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889</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807</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t="s">
        <v>1868</v>
      </c>
      <c r="E4406" s="21">
        <f>IF(D4406="?OLD","!!!","")</f>
        <v/>
      </c>
      <c r="F4406" s="22" t="str">
        <f>IF(OR(E4406="",E4406="!!!"),"",IF(NOT(ISNA(VLOOKUP(E4406,E$1:E4405,1,FALSE()))),"OLD",IF(AND(E4406&lt;&gt;"",E4406&lt;&gt;"!!!"),"NEW","")))</f>
        <v> </v>
      </c>
      <c r="G4406" s="23" t="str">
        <f>IF(OR(E4406="",E4406="!!!"),"",IF(OR(J4406=0,AND(J4406=1,K4406=1),AND(J4406=1,I4406="SBJ"),AND(J4406=1,I4406=0)),"?IN_FOCUS",IF(J4406&lt;=2,"?ACTIVATED",IF(J4406&lt;&gt;"","?FAMILIAR",IF(F4406="NEW",IF(ISNA(VLOOKUP(E4406,#REF!,1,FALSE())),"?TYPE_IDENTIFIABLE","?REFERENTIAL"),"_")))))</f>
        <v> </v>
      </c>
      <c r="H4406" s="24" t="str">
        <f>IF(J4406&lt;&gt;1,"",IF(I4406="SBJ","CB","?"))</f>
        <v> </v>
      </c>
      <c r="I4406" s="25" t="str">
        <f>IF(OR(E4406="",E4406="!!!",F4406="NEW"),"",INDEX(B4405:B$2,-1+SUMPRODUCT(MAX(ROW(E4405:E$2)*(E4406=E4405:E$2)))))</f>
        <v> </v>
      </c>
      <c r="J4406" s="25" t="str">
        <f>IF(OR(E4406="",E4406="!!!",F4406="NEW"),"",COUNTBLANK(OFFSET(A$1,,,SUMPRODUCT(MAX(ROW(E$2:E4406)*(E4406=E$2:E4406)))))-COUNTBLANK(OFFSET(A$1,,,SUMPRODUCT(MAX(ROW(E$1:E4405)*(E2=E$1:E4405))))))</f>
        <v> </v>
      </c>
      <c r="K4406" s="25" t="str">
        <f>IF(OR(E4406="",E4406="!!!",F4406="NEW"),"",INDEX(J$1:J4405,SUMPRODUCT(MAX(ROW(E$1:E4405)*(E4406=E$1:E4405)))))</f>
        <v> </v>
      </c>
      <c r="L4406" s="26"/>
    </row>
    <row r="4407" spans="1:12">
      <c r="A4407" s="20" t="s">
        <v>847</v>
      </c>
      <c r="B4407" s="27" t="s">
        <v>863</v>
      </c>
      <c r="C4407" s="27" t="s">
        <v>848</v>
      </c>
      <c r="D4407" s="27" t="s">
        <v>774</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t="s">
        <v>1074</v>
      </c>
      <c r="B4408" s="27" t="s">
        <v>802</v>
      </c>
      <c r="C4408" s="27" t="s">
        <v>834</v>
      </c>
      <c r="D4408" s="27" t="s">
        <v>774</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789</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861</v>
      </c>
      <c r="B4410" s="27" t="s">
        <v>772</v>
      </c>
      <c r="C4410" s="27" t="s">
        <v>759</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775</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row>
    <row r="4413" spans="1:12">
      <c r="A4413" s="20" t="s">
        <v>1869</v>
      </c>
    </row>
    <row r="4414" spans="1:12">
      <c r="A4414" s="20" t="s">
        <v>830</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824</v>
      </c>
      <c r="B4415" s="27" t="s">
        <v>762</v>
      </c>
      <c r="C4415" s="27" t="s">
        <v>778</v>
      </c>
      <c r="D4415" s="27" t="s">
        <v>774</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889</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760</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1516</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760</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807</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t="s">
        <v>1868</v>
      </c>
      <c r="E4421" s="21">
        <f>IF(D4421="?OLD","!!!","")</f>
        <v/>
      </c>
      <c r="F4421" s="22" t="str">
        <f>IF(OR(E4421="",E4421="!!!"),"",IF(NOT(ISNA(VLOOKUP(E4421,E$1:E4420,1,FALSE()))),"OLD",IF(AND(E4421&lt;&gt;"",E4421&lt;&gt;"!!!"),"NEW","")))</f>
        <v> </v>
      </c>
      <c r="G4421" s="23" t="str">
        <f>IF(OR(E4421="",E4421="!!!"),"",IF(OR(J4421=0,AND(J4421=1,K4421=1),AND(J4421=1,I4421="SBJ"),AND(J4421=1,I4421=0)),"?IN_FOCUS",IF(J4421&lt;=2,"?ACTIVATED",IF(J4421&lt;&gt;"","?FAMILIAR",IF(F4421="NEW",IF(ISNA(VLOOKUP(E4421,#REF!,1,FALSE())),"?TYPE_IDENTIFIABLE","?REFERENTIAL"),"_")))))</f>
        <v> </v>
      </c>
      <c r="H4421" s="24" t="str">
        <f>IF(J4421&lt;&gt;1,"",IF(I4421="SBJ","CB","?"))</f>
        <v> </v>
      </c>
      <c r="I4421" s="25" t="str">
        <f>IF(OR(E4421="",E4421="!!!",F4421="NEW"),"",INDEX(B4420:B$2,-1+SUMPRODUCT(MAX(ROW(E4420:E$2)*(E4421=E4420:E$2)))))</f>
        <v> </v>
      </c>
      <c r="J4421" s="25" t="str">
        <f>IF(OR(E4421="",E4421="!!!",F4421="NEW"),"",COUNTBLANK(OFFSET(A$1,,,SUMPRODUCT(MAX(ROW(E$2:E4421)*(E4421=E$2:E4421)))))-COUNTBLANK(OFFSET(A$1,,,SUMPRODUCT(MAX(ROW(E$1:E4420)*(E2=E$1:E4420))))))</f>
        <v> </v>
      </c>
      <c r="K4421" s="25" t="str">
        <f>IF(OR(E4421="",E4421="!!!",F4421="NEW"),"",INDEX(J$1:J4420,SUMPRODUCT(MAX(ROW(E$1:E4420)*(E4421=E$1:E4420)))))</f>
        <v> </v>
      </c>
      <c r="L4421" s="26"/>
    </row>
    <row r="4422" spans="1:12">
      <c r="A4422" s="20" t="s">
        <v>1325</v>
      </c>
      <c r="B4422" s="27" t="s">
        <v>802</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t="s">
        <v>789</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861</v>
      </c>
      <c r="B4424" s="27" t="s">
        <v>772</v>
      </c>
      <c r="C4424" s="27" t="s">
        <v>759</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775</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row>
    <row r="4427" spans="1:12">
      <c r="A4427" s="20" t="s">
        <v>1870</v>
      </c>
    </row>
    <row r="4428" spans="1:12">
      <c r="A4428" s="20" t="s">
        <v>830</v>
      </c>
      <c r="E4428" s="21">
        <f>IF(D4428="?OLD","!!!","")</f>
        <v/>
      </c>
      <c r="F4428" s="22" t="str">
        <f>IF(OR(E4428="",E4428="!!!"),"",IF(NOT(ISNA(VLOOKUP(E4428,E$1:E4427,1,FALSE()))),"OLD",IF(AND(E4428&lt;&gt;"",E4428&lt;&gt;"!!!"),"NEW","")))</f>
        <v> </v>
      </c>
      <c r="G4428" s="23" t="str">
        <f>IF(OR(E4428="",E4428="!!!"),"",IF(OR(J4428=0,AND(J4428=1,K4428=1),AND(J4428=1,I4428="SBJ"),AND(J4428=1,I4428=0)),"?IN_FOCUS",IF(J4428&lt;=2,"?ACTIVATED",IF(J4428&lt;&gt;"","?FAMILIAR",IF(F4428="NEW",IF(ISNA(VLOOKUP(E4428,#REF!,1,FALSE())),"?TYPE_IDENTIFIABLE","?REFERENTIAL"),"_")))))</f>
        <v> </v>
      </c>
      <c r="H4428" s="24" t="str">
        <f>IF(J4428&lt;&gt;1,"",IF(I4428="SBJ","CB","?"))</f>
        <v> </v>
      </c>
      <c r="I4428" s="25" t="str">
        <f>IF(OR(E4428="",E4428="!!!",F4428="NEW"),"",INDEX(B4427:B$2,-1+SUMPRODUCT(MAX(ROW(E4427:E$2)*(E4428=E4427:E$2)))))</f>
        <v> </v>
      </c>
      <c r="J4428" s="25" t="str">
        <f>IF(OR(E4428="",E4428="!!!",F4428="NEW"),"",COUNTBLANK(OFFSET(A$1,,,SUMPRODUCT(MAX(ROW(E$2:E4428)*(E4428=E$2:E4428)))))-COUNTBLANK(OFFSET(A$1,,,SUMPRODUCT(MAX(ROW(E$1:E4427)*(E2=E$1:E4427))))))</f>
        <v> </v>
      </c>
      <c r="K4428" s="25" t="str">
        <f>IF(OR(E4428="",E4428="!!!",F4428="NEW"),"",INDEX(J$1:J4427,SUMPRODUCT(MAX(ROW(E$1:E4427)*(E4428=E$1:E4427)))))</f>
        <v> </v>
      </c>
      <c r="L4428" s="26"/>
    </row>
    <row r="4429" spans="1:12">
      <c r="A4429" s="20" t="s">
        <v>1161</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760</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824</v>
      </c>
      <c r="B4431" s="27" t="s">
        <v>762</v>
      </c>
      <c r="C4431" s="27" t="s">
        <v>778</v>
      </c>
      <c r="D4431" s="27" t="s">
        <v>774</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1335</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789</v>
      </c>
      <c r="E4433" s="21">
        <f>IF(D4433="?OLD","!!!","")</f>
        <v/>
      </c>
      <c r="F4433" s="22" t="str">
        <f>IF(OR(E4433="",E4433="!!!"),"",IF(NOT(ISNA(VLOOKUP(E4433,E$1:E4432,1,FALSE()))),"OLD",IF(AND(E4433&lt;&gt;"",E4433&lt;&gt;"!!!"),"NEW","")))</f>
        <v> </v>
      </c>
      <c r="G4433" s="23" t="str">
        <f>IF(OR(E4433="",E4433="!!!"),"",IF(OR(J4433=0,AND(J4433=1,K4433=1),AND(J4433=1,I4433="SBJ"),AND(J4433=1,I4433=0)),"?IN_FOCUS",IF(J4433&lt;=2,"?ACTIVATED",IF(J4433&lt;&gt;"","?FAMILIAR",IF(F4433="NEW",IF(ISNA(VLOOKUP(E4433,#REF!,1,FALSE())),"?TYPE_IDENTIFIABLE","?REFERENTIAL"),"_")))))</f>
        <v> </v>
      </c>
      <c r="H4433" s="24" t="str">
        <f>IF(J4433&lt;&gt;1,"",IF(I4433="SBJ","CB","?"))</f>
        <v> </v>
      </c>
      <c r="I4433" s="25" t="str">
        <f>IF(OR(E4433="",E4433="!!!",F4433="NEW"),"",INDEX(B4432:B$2,-1+SUMPRODUCT(MAX(ROW(E4432:E$2)*(E4433=E4432:E$2)))))</f>
        <v> </v>
      </c>
      <c r="J4433" s="25" t="str">
        <f>IF(OR(E4433="",E4433="!!!",F4433="NEW"),"",COUNTBLANK(OFFSET(A$1,,,SUMPRODUCT(MAX(ROW(E$2:E4433)*(E4433=E$2:E4433)))))-COUNTBLANK(OFFSET(A$1,,,SUMPRODUCT(MAX(ROW(E$1:E4432)*(E2=E$1:E4432))))))</f>
        <v> </v>
      </c>
      <c r="K4433" s="25" t="str">
        <f>IF(OR(E4433="",E4433="!!!",F4433="NEW"),"",INDEX(J$1:J4432,SUMPRODUCT(MAX(ROW(E$1:E4432)*(E4433=E$1:E4432)))))</f>
        <v> </v>
      </c>
      <c r="L4433" s="26"/>
    </row>
    <row r="4434" spans="1:12">
      <c r="A4434" s="20" t="s">
        <v>769</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1871</v>
      </c>
      <c r="B4435" s="27" t="s">
        <v>758</v>
      </c>
      <c r="C4435" s="27" t="s">
        <v>773</v>
      </c>
      <c r="D4435" s="27" t="s">
        <v>774</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824</v>
      </c>
      <c r="B4436" s="27" t="s">
        <v>895</v>
      </c>
      <c r="C4436" s="27" t="s">
        <v>778</v>
      </c>
      <c r="D4436" s="27" t="s">
        <v>774</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t="s">
        <v>982</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t="s">
        <v>1708</v>
      </c>
      <c r="E4438" s="21">
        <f>IF(D4438="?OLD","!!!","")</f>
        <v/>
      </c>
      <c r="F4438" s="22" t="str">
        <f>IF(OR(E4438="",E4438="!!!"),"",IF(NOT(ISNA(VLOOKUP(E4438,E$1:E4437,1,FALSE()))),"OLD",IF(AND(E4438&lt;&gt;"",E4438&lt;&gt;"!!!"),"NEW","")))</f>
        <v> </v>
      </c>
      <c r="G4438" s="23" t="str">
        <f>IF(OR(E4438="",E4438="!!!"),"",IF(OR(J4438=0,AND(J4438=1,K4438=1),AND(J4438=1,I4438="SBJ"),AND(J4438=1,I4438=0)),"?IN_FOCUS",IF(J4438&lt;=2,"?ACTIVATED",IF(J4438&lt;&gt;"","?FAMILIAR",IF(F4438="NEW",IF(ISNA(VLOOKUP(E4438,#REF!,1,FALSE())),"?TYPE_IDENTIFIABLE","?REFERENTIAL"),"_")))))</f>
        <v> </v>
      </c>
      <c r="H4438" s="24" t="str">
        <f>IF(J4438&lt;&gt;1,"",IF(I4438="SBJ","CB","?"))</f>
        <v> </v>
      </c>
      <c r="I4438" s="25" t="str">
        <f>IF(OR(E4438="",E4438="!!!",F4438="NEW"),"",INDEX(B4437:B$2,-1+SUMPRODUCT(MAX(ROW(E4437:E$2)*(E4438=E4437:E$2)))))</f>
        <v> </v>
      </c>
      <c r="J4438" s="25" t="str">
        <f>IF(OR(E4438="",E4438="!!!",F4438="NEW"),"",COUNTBLANK(OFFSET(A$1,,,SUMPRODUCT(MAX(ROW(E$2:E4438)*(E4438=E$2:E4438)))))-COUNTBLANK(OFFSET(A$1,,,SUMPRODUCT(MAX(ROW(E$1:E4437)*(E2=E$1:E4437))))))</f>
        <v> </v>
      </c>
      <c r="K4438" s="25" t="str">
        <f>IF(OR(E4438="",E4438="!!!",F4438="NEW"),"",INDEX(J$1:J4437,SUMPRODUCT(MAX(ROW(E$1:E4437)*(E4438=E$1:E4437)))))</f>
        <v> </v>
      </c>
      <c r="L4438" s="26"/>
    </row>
    <row r="4439" spans="1:12">
      <c r="A4439" s="20" t="s">
        <v>882</v>
      </c>
      <c r="E4439" s="21">
        <f>IF(D4439="?OLD","!!!","")</f>
        <v/>
      </c>
      <c r="F4439" s="22" t="str">
        <f>IF(OR(E4439="",E4439="!!!"),"",IF(NOT(ISNA(VLOOKUP(E4439,E$1:E4438,1,FALSE()))),"OLD",IF(AND(E4439&lt;&gt;"",E4439&lt;&gt;"!!!"),"NEW","")))</f>
        <v> </v>
      </c>
      <c r="G4439" s="23" t="str">
        <f>IF(OR(E4439="",E4439="!!!"),"",IF(OR(J4439=0,AND(J4439=1,K4439=1),AND(J4439=1,I4439="SBJ"),AND(J4439=1,I4439=0)),"?IN_FOCUS",IF(J4439&lt;=2,"?ACTIVATED",IF(J4439&lt;&gt;"","?FAMILIAR",IF(F4439="NEW",IF(ISNA(VLOOKUP(E4439,#REF!,1,FALSE())),"?TYPE_IDENTIFIABLE","?REFERENTIAL"),"_")))))</f>
        <v> </v>
      </c>
      <c r="H4439" s="24" t="str">
        <f>IF(J4439&lt;&gt;1,"",IF(I4439="SBJ","CB","?"))</f>
        <v> </v>
      </c>
      <c r="I4439" s="25" t="str">
        <f>IF(OR(E4439="",E4439="!!!",F4439="NEW"),"",INDEX(B4438:B$2,-1+SUMPRODUCT(MAX(ROW(E4438:E$2)*(E4439=E4438:E$2)))))</f>
        <v> </v>
      </c>
      <c r="J4439" s="25" t="str">
        <f>IF(OR(E4439="",E4439="!!!",F4439="NEW"),"",COUNTBLANK(OFFSET(A$1,,,SUMPRODUCT(MAX(ROW(E$2:E4439)*(E4439=E$2:E4439)))))-COUNTBLANK(OFFSET(A$1,,,SUMPRODUCT(MAX(ROW(E$1:E4438)*(E2=E$1:E4438))))))</f>
        <v> </v>
      </c>
      <c r="K4439" s="25" t="str">
        <f>IF(OR(E4439="",E4439="!!!",F4439="NEW"),"",INDEX(J$1:J4438,SUMPRODUCT(MAX(ROW(E$1:E4438)*(E4439=E$1:E4438)))))</f>
        <v> </v>
      </c>
      <c r="L4439" s="26"/>
    </row>
    <row r="4440" spans="1:12">
      <c r="A4440" s="20" t="s">
        <v>1343</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1236</v>
      </c>
      <c r="B4441" s="27" t="s">
        <v>1022</v>
      </c>
      <c r="C4441" s="27" t="s">
        <v>778</v>
      </c>
      <c r="D4441" s="27" t="s">
        <v>774</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982</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t="s">
        <v>1301</v>
      </c>
      <c r="B4443" s="27" t="s">
        <v>1036</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768</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t="s">
        <v>769</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1141</v>
      </c>
      <c r="B4446" s="27" t="s">
        <v>929</v>
      </c>
      <c r="C4446" s="27" t="s">
        <v>773</v>
      </c>
      <c r="D4446" s="27" t="s">
        <v>774</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853</v>
      </c>
      <c r="B4447" s="27" t="s">
        <v>1026</v>
      </c>
      <c r="C4447" s="27" t="s">
        <v>778</v>
      </c>
      <c r="D4447" s="27" t="s">
        <v>774</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1034</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t="s">
        <v>943</v>
      </c>
      <c r="E4449" s="21">
        <f>IF(D4449="?OLD","!!!","")</f>
        <v/>
      </c>
      <c r="F4449" s="22" t="str">
        <f>IF(OR(E4449="",E4449="!!!"),"",IF(NOT(ISNA(VLOOKUP(E4449,E$1:E4448,1,FALSE()))),"OLD",IF(AND(E4449&lt;&gt;"",E4449&lt;&gt;"!!!"),"NEW","")))</f>
        <v> </v>
      </c>
      <c r="G4449" s="23" t="str">
        <f>IF(OR(E4449="",E4449="!!!"),"",IF(OR(J4449=0,AND(J4449=1,K4449=1),AND(J4449=1,I4449="SBJ"),AND(J4449=1,I4449=0)),"?IN_FOCUS",IF(J4449&lt;=2,"?ACTIVATED",IF(J4449&lt;&gt;"","?FAMILIAR",IF(F4449="NEW",IF(ISNA(VLOOKUP(E4449,#REF!,1,FALSE())),"?TYPE_IDENTIFIABLE","?REFERENTIAL"),"_")))))</f>
        <v> </v>
      </c>
      <c r="H4449" s="24" t="str">
        <f>IF(J4449&lt;&gt;1,"",IF(I4449="SBJ","CB","?"))</f>
        <v> </v>
      </c>
      <c r="I4449" s="25" t="str">
        <f>IF(OR(E4449="",E4449="!!!",F4449="NEW"),"",INDEX(B4448:B$2,-1+SUMPRODUCT(MAX(ROW(E4448:E$2)*(E4449=E4448:E$2)))))</f>
        <v> </v>
      </c>
      <c r="J4449" s="25" t="str">
        <f>IF(OR(E4449="",E4449="!!!",F4449="NEW"),"",COUNTBLANK(OFFSET(A$1,,,SUMPRODUCT(MAX(ROW(E$2:E4449)*(E4449=E$2:E4449)))))-COUNTBLANK(OFFSET(A$1,,,SUMPRODUCT(MAX(ROW(E$1:E4448)*(E2=E$1:E4448))))))</f>
        <v> </v>
      </c>
      <c r="K4449" s="25" t="str">
        <f>IF(OR(E4449="",E4449="!!!",F4449="NEW"),"",INDEX(J$1:J4448,SUMPRODUCT(MAX(ROW(E$1:E4448)*(E4449=E$1:E4448)))))</f>
        <v> </v>
      </c>
      <c r="L4449" s="26"/>
    </row>
    <row r="4450" spans="1:12">
      <c r="A4450" s="20" t="s">
        <v>807</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t="s">
        <v>1756</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1872</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785</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760</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882</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t="s">
        <v>986</v>
      </c>
      <c r="B4456" s="27" t="s">
        <v>925</v>
      </c>
      <c r="C4456" s="27" t="s">
        <v>818</v>
      </c>
      <c r="D4456" s="27" t="s">
        <v>774</v>
      </c>
      <c r="E4456" s="21">
        <f>IF(D4456="?OLD","!!!","")</f>
        <v/>
      </c>
      <c r="F4456" s="22" t="str">
        <f>IF(OR(E4456="",E4456="!!!"),"",IF(NOT(ISNA(VLOOKUP(E4456,E$1:E4455,1,FALSE()))),"OLD",IF(AND(E4456&lt;&gt;"",E4456&lt;&gt;"!!!"),"NEW","")))</f>
        <v> </v>
      </c>
      <c r="G4456" s="23" t="str">
        <f>IF(OR(E4456="",E4456="!!!"),"",IF(OR(J4456=0,AND(J4456=1,K4456=1),AND(J4456=1,I4456="SBJ"),AND(J4456=1,I4456=0)),"?IN_FOCUS",IF(J4456&lt;=2,"?ACTIVATED",IF(J4456&lt;&gt;"","?FAMILIAR",IF(F4456="NEW",IF(ISNA(VLOOKUP(E4456,#REF!,1,FALSE())),"?TYPE_IDENTIFIABLE","?REFERENTIAL"),"_")))))</f>
        <v> </v>
      </c>
      <c r="H4456" s="24" t="str">
        <f>IF(J4456&lt;&gt;1,"",IF(I4456="SBJ","CB","?"))</f>
        <v> </v>
      </c>
      <c r="I4456" s="25" t="str">
        <f>IF(OR(E4456="",E4456="!!!",F4456="NEW"),"",INDEX(B4455:B$2,-1+SUMPRODUCT(MAX(ROW(E4455:E$2)*(E4456=E4455:E$2)))))</f>
        <v> </v>
      </c>
      <c r="J4456" s="25" t="str">
        <f>IF(OR(E4456="",E4456="!!!",F4456="NEW"),"",COUNTBLANK(OFFSET(A$1,,,SUMPRODUCT(MAX(ROW(E$2:E4456)*(E4456=E$2:E4456)))))-COUNTBLANK(OFFSET(A$1,,,SUMPRODUCT(MAX(ROW(E$1:E4455)*(E2=E$1:E4455))))))</f>
        <v> </v>
      </c>
      <c r="K4456" s="25" t="str">
        <f>IF(OR(E4456="",E4456="!!!",F4456="NEW"),"",INDEX(J$1:J4455,SUMPRODUCT(MAX(ROW(E$1:E4455)*(E4456=E$1:E4455)))))</f>
        <v> </v>
      </c>
      <c r="L4456" s="26"/>
    </row>
    <row r="4457" spans="1:12">
      <c r="A4457" s="20" t="s">
        <v>942</v>
      </c>
      <c r="E4457" s="21">
        <f>IF(D4457="?OLD","!!!","")</f>
        <v/>
      </c>
      <c r="F4457" s="22" t="str">
        <f>IF(OR(E4457="",E4457="!!!"),"",IF(NOT(ISNA(VLOOKUP(E4457,E$1:E4456,1,FALSE()))),"OLD",IF(AND(E4457&lt;&gt;"",E4457&lt;&gt;"!!!"),"NEW","")))</f>
        <v> </v>
      </c>
      <c r="G4457" s="23" t="str">
        <f>IF(OR(E4457="",E4457="!!!"),"",IF(OR(J4457=0,AND(J4457=1,K4457=1),AND(J4457=1,I4457="SBJ"),AND(J4457=1,I4457=0)),"?IN_FOCUS",IF(J4457&lt;=2,"?ACTIVATED",IF(J4457&lt;&gt;"","?FAMILIAR",IF(F4457="NEW",IF(ISNA(VLOOKUP(E4457,#REF!,1,FALSE())),"?TYPE_IDENTIFIABLE","?REFERENTIAL"),"_")))))</f>
        <v> </v>
      </c>
      <c r="H4457" s="24" t="str">
        <f>IF(J4457&lt;&gt;1,"",IF(I4457="SBJ","CB","?"))</f>
        <v> </v>
      </c>
      <c r="I4457" s="25" t="str">
        <f>IF(OR(E4457="",E4457="!!!",F4457="NEW"),"",INDEX(B4456:B$2,-1+SUMPRODUCT(MAX(ROW(E4456:E$2)*(E4457=E4456:E$2)))))</f>
        <v> </v>
      </c>
      <c r="J4457" s="25" t="str">
        <f>IF(OR(E4457="",E4457="!!!",F4457="NEW"),"",COUNTBLANK(OFFSET(A$1,,,SUMPRODUCT(MAX(ROW(E$2:E4457)*(E4457=E$2:E4457)))))-COUNTBLANK(OFFSET(A$1,,,SUMPRODUCT(MAX(ROW(E$1:E4456)*(E2=E$1:E4456))))))</f>
        <v> </v>
      </c>
      <c r="K4457" s="25" t="str">
        <f>IF(OR(E4457="",E4457="!!!",F4457="NEW"),"",INDEX(J$1:J4456,SUMPRODUCT(MAX(ROW(E$1:E4456)*(E4457=E$1:E4456)))))</f>
        <v> </v>
      </c>
      <c r="L4457" s="26"/>
    </row>
    <row r="4458" spans="1:12">
      <c r="A4458" s="20" t="s">
        <v>1728</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t="s">
        <v>41</v>
      </c>
      <c r="E4459" s="21">
        <f>IF(D4459="?OLD","!!!","")</f>
        <v/>
      </c>
      <c r="F4459" s="22" t="str">
        <f>IF(OR(E4459="",E4459="!!!"),"",IF(NOT(ISNA(VLOOKUP(E4459,E$1:E4458,1,FALSE()))),"OLD",IF(AND(E4459&lt;&gt;"",E4459&lt;&gt;"!!!"),"NEW","")))</f>
        <v> </v>
      </c>
      <c r="G4459" s="23" t="str">
        <f>IF(OR(E4459="",E4459="!!!"),"",IF(OR(J4459=0,AND(J4459=1,K4459=1),AND(J4459=1,I4459="SBJ"),AND(J4459=1,I4459=0)),"?IN_FOCUS",IF(J4459&lt;=2,"?ACTIVATED",IF(J4459&lt;&gt;"","?FAMILIAR",IF(F4459="NEW",IF(ISNA(VLOOKUP(E4459,#REF!,1,FALSE())),"?TYPE_IDENTIFIABLE","?REFERENTIAL"),"_")))))</f>
        <v> </v>
      </c>
      <c r="H4459" s="24" t="str">
        <f>IF(J4459&lt;&gt;1,"",IF(I4459="SBJ","CB","?"))</f>
        <v> </v>
      </c>
      <c r="I4459" s="25" t="str">
        <f>IF(OR(E4459="",E4459="!!!",F4459="NEW"),"",INDEX(B4458:B$2,-1+SUMPRODUCT(MAX(ROW(E4458:E$2)*(E4459=E4458:E$2)))))</f>
        <v> </v>
      </c>
      <c r="J4459" s="25" t="str">
        <f>IF(OR(E4459="",E4459="!!!",F4459="NEW"),"",COUNTBLANK(OFFSET(A$1,,,SUMPRODUCT(MAX(ROW(E$2:E4459)*(E4459=E$2:E4459)))))-COUNTBLANK(OFFSET(A$1,,,SUMPRODUCT(MAX(ROW(E$1:E4458)*(E2=E$1:E4458))))))</f>
        <v> </v>
      </c>
      <c r="K4459" s="25" t="str">
        <f>IF(OR(E4459="",E4459="!!!",F4459="NEW"),"",INDEX(J$1:J4458,SUMPRODUCT(MAX(ROW(E$1:E4458)*(E4459=E$1:E4458)))))</f>
        <v> </v>
      </c>
      <c r="L4459" s="26"/>
    </row>
    <row r="4460" spans="1:12">
      <c r="A4460" s="20" t="s">
        <v>1242</v>
      </c>
      <c r="B4460" s="27" t="s">
        <v>929</v>
      </c>
      <c r="C4460" s="27" t="s">
        <v>848</v>
      </c>
      <c r="D4460" s="27" t="s">
        <v>774</v>
      </c>
      <c r="E4460" s="21">
        <f>IF(D4460="?OLD","!!!","")</f>
        <v/>
      </c>
      <c r="F4460" s="22" t="str">
        <f>IF(OR(E4460="",E4460="!!!"),"",IF(NOT(ISNA(VLOOKUP(E4460,E$1:E4459,1,FALSE()))),"OLD",IF(AND(E4460&lt;&gt;"",E4460&lt;&gt;"!!!"),"NEW","")))</f>
        <v> </v>
      </c>
      <c r="G4460" s="23" t="str">
        <f>IF(OR(E4460="",E4460="!!!"),"",IF(OR(J4460=0,AND(J4460=1,K4460=1),AND(J4460=1,I4460="SBJ"),AND(J4460=1,I4460=0)),"?IN_FOCUS",IF(J4460&lt;=2,"?ACTIVATED",IF(J4460&lt;&gt;"","?FAMILIAR",IF(F4460="NEW",IF(ISNA(VLOOKUP(E4460,#REF!,1,FALSE())),"?TYPE_IDENTIFIABLE","?REFERENTIAL"),"_")))))</f>
        <v> </v>
      </c>
      <c r="H4460" s="24" t="str">
        <f>IF(J4460&lt;&gt;1,"",IF(I4460="SBJ","CB","?"))</f>
        <v> </v>
      </c>
      <c r="I4460" s="25" t="str">
        <f>IF(OR(E4460="",E4460="!!!",F4460="NEW"),"",INDEX(B4459:B$2,-1+SUMPRODUCT(MAX(ROW(E4459:E$2)*(E4460=E4459:E$2)))))</f>
        <v> </v>
      </c>
      <c r="J4460" s="25" t="str">
        <f>IF(OR(E4460="",E4460="!!!",F4460="NEW"),"",COUNTBLANK(OFFSET(A$1,,,SUMPRODUCT(MAX(ROW(E$2:E4460)*(E4460=E$2:E4460)))))-COUNTBLANK(OFFSET(A$1,,,SUMPRODUCT(MAX(ROW(E$1:E4459)*(E2=E$1:E4459))))))</f>
        <v> </v>
      </c>
      <c r="K4460" s="25" t="str">
        <f>IF(OR(E4460="",E4460="!!!",F4460="NEW"),"",INDEX(J$1:J4459,SUMPRODUCT(MAX(ROW(E$1:E4459)*(E4460=E$1:E4459)))))</f>
        <v> </v>
      </c>
      <c r="L4460" s="26"/>
    </row>
    <row r="4461" spans="1:12">
      <c r="A4461" s="20" t="s">
        <v>862</v>
      </c>
      <c r="B4461" s="27" t="s">
        <v>815</v>
      </c>
      <c r="C4461" s="27" t="s">
        <v>834</v>
      </c>
      <c r="D4461" s="27" t="s">
        <v>774</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760</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t="s">
        <v>340</v>
      </c>
      <c r="E4463" s="21">
        <f>IF(D4463="?OLD","!!!","")</f>
        <v/>
      </c>
      <c r="F4463" s="22" t="str">
        <f>IF(OR(E4463="",E4463="!!!"),"",IF(NOT(ISNA(VLOOKUP(E4463,E$1:E4462,1,FALSE()))),"OLD",IF(AND(E4463&lt;&gt;"",E4463&lt;&gt;"!!!"),"NEW","")))</f>
        <v> </v>
      </c>
      <c r="G4463" s="23" t="str">
        <f>IF(OR(E4463="",E4463="!!!"),"",IF(OR(J4463=0,AND(J4463=1,K4463=1),AND(J4463=1,I4463="SBJ"),AND(J4463=1,I4463=0)),"?IN_FOCUS",IF(J4463&lt;=2,"?ACTIVATED",IF(J4463&lt;&gt;"","?FAMILIAR",IF(F4463="NEW",IF(ISNA(VLOOKUP(E4463,#REF!,1,FALSE())),"?TYPE_IDENTIFIABLE","?REFERENTIAL"),"_")))))</f>
        <v> </v>
      </c>
      <c r="H4463" s="24" t="str">
        <f>IF(J4463&lt;&gt;1,"",IF(I4463="SBJ","CB","?"))</f>
        <v> </v>
      </c>
      <c r="I4463" s="25" t="str">
        <f>IF(OR(E4463="",E4463="!!!",F4463="NEW"),"",INDEX(B4462:B$2,-1+SUMPRODUCT(MAX(ROW(E4462:E$2)*(E4463=E4462:E$2)))))</f>
        <v> </v>
      </c>
      <c r="J4463" s="25" t="str">
        <f>IF(OR(E4463="",E4463="!!!",F4463="NEW"),"",COUNTBLANK(OFFSET(A$1,,,SUMPRODUCT(MAX(ROW(E$2:E4463)*(E4463=E$2:E4463)))))-COUNTBLANK(OFFSET(A$1,,,SUMPRODUCT(MAX(ROW(E$1:E4462)*(E2=E$1:E4462))))))</f>
        <v> </v>
      </c>
      <c r="K4463" s="25" t="str">
        <f>IF(OR(E4463="",E4463="!!!",F4463="NEW"),"",INDEX(J$1:J4462,SUMPRODUCT(MAX(ROW(E$1:E4462)*(E4463=E$1:E4462)))))</f>
        <v> </v>
      </c>
      <c r="L4463" s="26"/>
    </row>
    <row r="4464" spans="1:12">
      <c r="A4464" s="20" t="s">
        <v>1343</v>
      </c>
      <c r="E4464" s="21">
        <f>IF(D4464="?OLD","!!!","")</f>
        <v/>
      </c>
      <c r="F4464" s="22" t="str">
        <f>IF(OR(E4464="",E4464="!!!"),"",IF(NOT(ISNA(VLOOKUP(E4464,E$1:E4463,1,FALSE()))),"OLD",IF(AND(E4464&lt;&gt;"",E4464&lt;&gt;"!!!"),"NEW","")))</f>
        <v> </v>
      </c>
      <c r="G4464" s="23" t="str">
        <f>IF(OR(E4464="",E4464="!!!"),"",IF(OR(J4464=0,AND(J4464=1,K4464=1),AND(J4464=1,I4464="SBJ"),AND(J4464=1,I4464=0)),"?IN_FOCUS",IF(J4464&lt;=2,"?ACTIVATED",IF(J4464&lt;&gt;"","?FAMILIAR",IF(F4464="NEW",IF(ISNA(VLOOKUP(E4464,#REF!,1,FALSE())),"?TYPE_IDENTIFIABLE","?REFERENTIAL"),"_")))))</f>
        <v> </v>
      </c>
      <c r="H4464" s="24" t="str">
        <f>IF(J4464&lt;&gt;1,"",IF(I4464="SBJ","CB","?"))</f>
        <v> </v>
      </c>
      <c r="I4464" s="25" t="str">
        <f>IF(OR(E4464="",E4464="!!!",F4464="NEW"),"",INDEX(B4463:B$2,-1+SUMPRODUCT(MAX(ROW(E4463:E$2)*(E4464=E4463:E$2)))))</f>
        <v> </v>
      </c>
      <c r="J4464" s="25" t="str">
        <f>IF(OR(E4464="",E4464="!!!",F4464="NEW"),"",COUNTBLANK(OFFSET(A$1,,,SUMPRODUCT(MAX(ROW(E$2:E4464)*(E4464=E$2:E4464)))))-COUNTBLANK(OFFSET(A$1,,,SUMPRODUCT(MAX(ROW(E$1:E4463)*(E2=E$1:E4463))))))</f>
        <v> </v>
      </c>
      <c r="K4464" s="25" t="str">
        <f>IF(OR(E4464="",E4464="!!!",F4464="NEW"),"",INDEX(J$1:J4463,SUMPRODUCT(MAX(ROW(E$1:E4463)*(E4464=E$1:E4463)))))</f>
        <v> </v>
      </c>
      <c r="L4464" s="26"/>
    </row>
    <row r="4465" spans="1:12">
      <c r="A4465" s="20" t="s">
        <v>990</v>
      </c>
      <c r="B4465" s="27" t="s">
        <v>1024</v>
      </c>
      <c r="C4465" s="27" t="s">
        <v>778</v>
      </c>
      <c r="D4465" s="27" t="s">
        <v>774</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1034</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1242</v>
      </c>
      <c r="B4467" s="27" t="s">
        <v>927</v>
      </c>
      <c r="C4467" s="27" t="s">
        <v>848</v>
      </c>
      <c r="D4467" s="27" t="s">
        <v>774</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862</v>
      </c>
      <c r="B4468" s="27" t="s">
        <v>929</v>
      </c>
      <c r="C4468" s="27" t="s">
        <v>834</v>
      </c>
      <c r="D4468" s="27" t="s">
        <v>774</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760</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990</v>
      </c>
      <c r="B4470" s="27" t="s">
        <v>925</v>
      </c>
      <c r="C4470" s="27" t="s">
        <v>778</v>
      </c>
      <c r="D4470" s="27" t="s">
        <v>774</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942</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145</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847</v>
      </c>
      <c r="B4473" s="27" t="s">
        <v>927</v>
      </c>
      <c r="C4473" s="27" t="s">
        <v>848</v>
      </c>
      <c r="D4473" s="27" t="s">
        <v>774</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862</v>
      </c>
      <c r="B4474" s="27" t="s">
        <v>1187</v>
      </c>
      <c r="C4474" s="27" t="s">
        <v>834</v>
      </c>
      <c r="D4474" s="27" t="s">
        <v>774</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760</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t="s">
        <v>882</v>
      </c>
      <c r="E4476" s="21">
        <f>IF(D4476="?OLD","!!!","")</f>
        <v/>
      </c>
      <c r="F4476" s="22" t="str">
        <f>IF(OR(E4476="",E4476="!!!"),"",IF(NOT(ISNA(VLOOKUP(E4476,E$1:E4475,1,FALSE()))),"OLD",IF(AND(E4476&lt;&gt;"",E4476&lt;&gt;"!!!"),"NEW","")))</f>
        <v> </v>
      </c>
      <c r="G4476" s="23" t="str">
        <f>IF(OR(E4476="",E4476="!!!"),"",IF(OR(J4476=0,AND(J4476=1,K4476=1),AND(J4476=1,I4476="SBJ"),AND(J4476=1,I4476=0)),"?IN_FOCUS",IF(J4476&lt;=2,"?ACTIVATED",IF(J4476&lt;&gt;"","?FAMILIAR",IF(F4476="NEW",IF(ISNA(VLOOKUP(E4476,#REF!,1,FALSE())),"?TYPE_IDENTIFIABLE","?REFERENTIAL"),"_")))))</f>
        <v> </v>
      </c>
      <c r="H4476" s="24" t="str">
        <f>IF(J4476&lt;&gt;1,"",IF(I4476="SBJ","CB","?"))</f>
        <v> </v>
      </c>
      <c r="I4476" s="25" t="str">
        <f>IF(OR(E4476="",E4476="!!!",F4476="NEW"),"",INDEX(B4475:B$2,-1+SUMPRODUCT(MAX(ROW(E4475:E$2)*(E4476=E4475:E$2)))))</f>
        <v> </v>
      </c>
      <c r="J4476" s="25" t="str">
        <f>IF(OR(E4476="",E4476="!!!",F4476="NEW"),"",COUNTBLANK(OFFSET(A$1,,,SUMPRODUCT(MAX(ROW(E$2:E4476)*(E4476=E$2:E4476)))))-COUNTBLANK(OFFSET(A$1,,,SUMPRODUCT(MAX(ROW(E$1:E4475)*(E2=E$1:E4475))))))</f>
        <v> </v>
      </c>
      <c r="K4476" s="25" t="str">
        <f>IF(OR(E4476="",E4476="!!!",F4476="NEW"),"",INDEX(J$1:J4475,SUMPRODUCT(MAX(ROW(E$1:E4475)*(E4476=E$1:E4475)))))</f>
        <v> </v>
      </c>
      <c r="L4476" s="26"/>
    </row>
    <row r="4477" spans="1:12">
      <c r="A4477" s="20" t="s">
        <v>882</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t="s">
        <v>861</v>
      </c>
      <c r="B4478" s="27" t="s">
        <v>1026</v>
      </c>
      <c r="C4478" s="27" t="s">
        <v>989</v>
      </c>
      <c r="D4478" s="27" t="s">
        <v>774</v>
      </c>
      <c r="E4478" s="21">
        <f>IF(D4478="?OLD","!!!","")</f>
        <v/>
      </c>
      <c r="F4478" s="22" t="str">
        <f>IF(OR(E4478="",E4478="!!!"),"",IF(NOT(ISNA(VLOOKUP(E4478,E$1:E4477,1,FALSE()))),"OLD",IF(AND(E4478&lt;&gt;"",E4478&lt;&gt;"!!!"),"NEW","")))</f>
        <v> </v>
      </c>
      <c r="G4478" s="23" t="str">
        <f>IF(OR(E4478="",E4478="!!!"),"",IF(OR(J4478=0,AND(J4478=1,K4478=1),AND(J4478=1,I4478="SBJ"),AND(J4478=1,I4478=0)),"?IN_FOCUS",IF(J4478&lt;=2,"?ACTIVATED",IF(J4478&lt;&gt;"","?FAMILIAR",IF(F4478="NEW",IF(ISNA(VLOOKUP(E4478,#REF!,1,FALSE())),"?TYPE_IDENTIFIABLE","?REFERENTIAL"),"_")))))</f>
        <v> </v>
      </c>
      <c r="H4478" s="24" t="str">
        <f>IF(J4478&lt;&gt;1,"",IF(I4478="SBJ","CB","?"))</f>
        <v> </v>
      </c>
      <c r="I4478" s="25" t="str">
        <f>IF(OR(E4478="",E4478="!!!",F4478="NEW"),"",INDEX(B4477:B$2,-1+SUMPRODUCT(MAX(ROW(E4477:E$2)*(E4478=E4477:E$2)))))</f>
        <v> </v>
      </c>
      <c r="J4478" s="25" t="str">
        <f>IF(OR(E4478="",E4478="!!!",F4478="NEW"),"",COUNTBLANK(OFFSET(A$1,,,SUMPRODUCT(MAX(ROW(E$2:E4478)*(E4478=E$2:E4478)))))-COUNTBLANK(OFFSET(A$1,,,SUMPRODUCT(MAX(ROW(E$1:E4477)*(E2=E$1:E4477))))))</f>
        <v> </v>
      </c>
      <c r="K4478" s="25" t="str">
        <f>IF(OR(E4478="",E4478="!!!",F4478="NEW"),"",INDEX(J$1:J4477,SUMPRODUCT(MAX(ROW(E$1:E4477)*(E4478=E$1:E4477)))))</f>
        <v> </v>
      </c>
      <c r="L4478" s="26"/>
    </row>
    <row r="4479" spans="1:12">
      <c r="A4479" s="20" t="s">
        <v>825</v>
      </c>
      <c r="E4479" s="21">
        <f>IF(D4479="?OLD","!!!","")</f>
        <v/>
      </c>
      <c r="F4479" s="22" t="str">
        <f>IF(OR(E4479="",E4479="!!!"),"",IF(NOT(ISNA(VLOOKUP(E4479,E$1:E4478,1,FALSE()))),"OLD",IF(AND(E4479&lt;&gt;"",E4479&lt;&gt;"!!!"),"NEW","")))</f>
        <v> </v>
      </c>
      <c r="G4479" s="23" t="str">
        <f>IF(OR(E4479="",E4479="!!!"),"",IF(OR(J4479=0,AND(J4479=1,K4479=1),AND(J4479=1,I4479="SBJ"),AND(J4479=1,I4479=0)),"?IN_FOCUS",IF(J4479&lt;=2,"?ACTIVATED",IF(J4479&lt;&gt;"","?FAMILIAR",IF(F4479="NEW",IF(ISNA(VLOOKUP(E4479,#REF!,1,FALSE())),"?TYPE_IDENTIFIABLE","?REFERENTIAL"),"_")))))</f>
        <v> </v>
      </c>
      <c r="H4479" s="24" t="str">
        <f>IF(J4479&lt;&gt;1,"",IF(I4479="SBJ","CB","?"))</f>
        <v> </v>
      </c>
      <c r="I4479" s="25" t="str">
        <f>IF(OR(E4479="",E4479="!!!",F4479="NEW"),"",INDEX(B4478:B$2,-1+SUMPRODUCT(MAX(ROW(E4478:E$2)*(E4479=E4478:E$2)))))</f>
        <v> </v>
      </c>
      <c r="J4479" s="25" t="str">
        <f>IF(OR(E4479="",E4479="!!!",F4479="NEW"),"",COUNTBLANK(OFFSET(A$1,,,SUMPRODUCT(MAX(ROW(E$2:E4479)*(E4479=E$2:E4479)))))-COUNTBLANK(OFFSET(A$1,,,SUMPRODUCT(MAX(ROW(E$1:E4478)*(E2=E$1:E4478))))))</f>
        <v> </v>
      </c>
      <c r="K4479" s="25" t="str">
        <f>IF(OR(E4479="",E4479="!!!",F4479="NEW"),"",INDEX(J$1:J4478,SUMPRODUCT(MAX(ROW(E$1:E4478)*(E4479=E$1:E4478)))))</f>
        <v> </v>
      </c>
      <c r="L4479" s="26"/>
    </row>
    <row r="4480" spans="1:12">
      <c r="A4480" s="20" t="s">
        <v>1259</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807</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t="s">
        <v>89</v>
      </c>
      <c r="E4482" s="21">
        <f>IF(D4482="?OLD","!!!","")</f>
        <v/>
      </c>
      <c r="F4482" s="22" t="str">
        <f>IF(OR(E4482="",E4482="!!!"),"",IF(NOT(ISNA(VLOOKUP(E4482,E$1:E4481,1,FALSE()))),"OLD",IF(AND(E4482&lt;&gt;"",E4482&lt;&gt;"!!!"),"NEW","")))</f>
        <v> </v>
      </c>
      <c r="G4482" s="23" t="str">
        <f>IF(OR(E4482="",E4482="!!!"),"",IF(OR(J4482=0,AND(J4482=1,K4482=1),AND(J4482=1,I4482="SBJ"),AND(J4482=1,I4482=0)),"?IN_FOCUS",IF(J4482&lt;=2,"?ACTIVATED",IF(J4482&lt;&gt;"","?FAMILIAR",IF(F4482="NEW",IF(ISNA(VLOOKUP(E4482,#REF!,1,FALSE())),"?TYPE_IDENTIFIABLE","?REFERENTIAL"),"_")))))</f>
        <v> </v>
      </c>
      <c r="H4482" s="24" t="str">
        <f>IF(J4482&lt;&gt;1,"",IF(I4482="SBJ","CB","?"))</f>
        <v> </v>
      </c>
      <c r="I4482" s="25" t="str">
        <f>IF(OR(E4482="",E4482="!!!",F4482="NEW"),"",INDEX(B4481:B$2,-1+SUMPRODUCT(MAX(ROW(E4481:E$2)*(E4482=E4481:E$2)))))</f>
        <v> </v>
      </c>
      <c r="J4482" s="25" t="str">
        <f>IF(OR(E4482="",E4482="!!!",F4482="NEW"),"",COUNTBLANK(OFFSET(A$1,,,SUMPRODUCT(MAX(ROW(E$2:E4482)*(E4482=E$2:E4482)))))-COUNTBLANK(OFFSET(A$1,,,SUMPRODUCT(MAX(ROW(E$1:E4481)*(E2=E$1:E4481))))))</f>
        <v> </v>
      </c>
      <c r="K4482" s="25" t="str">
        <f>IF(OR(E4482="",E4482="!!!",F4482="NEW"),"",INDEX(J$1:J4481,SUMPRODUCT(MAX(ROW(E$1:E4481)*(E4482=E$1:E4481)))))</f>
        <v> </v>
      </c>
      <c r="L4482" s="26"/>
    </row>
    <row r="4483" spans="1:12">
      <c r="A4483" s="20" t="s">
        <v>764</v>
      </c>
      <c r="E4483" s="21">
        <f>IF(D4483="?OLD","!!!","")</f>
        <v/>
      </c>
      <c r="F4483" s="22" t="str">
        <f>IF(OR(E4483="",E4483="!!!"),"",IF(NOT(ISNA(VLOOKUP(E4483,E$1:E4482,1,FALSE()))),"OLD",IF(AND(E4483&lt;&gt;"",E4483&lt;&gt;"!!!"),"NEW","")))</f>
        <v> </v>
      </c>
      <c r="G4483" s="23" t="str">
        <f>IF(OR(E4483="",E4483="!!!"),"",IF(OR(J4483=0,AND(J4483=1,K4483=1),AND(J4483=1,I4483="SBJ"),AND(J4483=1,I4483=0)),"?IN_FOCUS",IF(J4483&lt;=2,"?ACTIVATED",IF(J4483&lt;&gt;"","?FAMILIAR",IF(F4483="NEW",IF(ISNA(VLOOKUP(E4483,#REF!,1,FALSE())),"?TYPE_IDENTIFIABLE","?REFERENTIAL"),"_")))))</f>
        <v> </v>
      </c>
      <c r="H4483" s="24" t="str">
        <f>IF(J4483&lt;&gt;1,"",IF(I4483="SBJ","CB","?"))</f>
        <v> </v>
      </c>
      <c r="I4483" s="25" t="str">
        <f>IF(OR(E4483="",E4483="!!!",F4483="NEW"),"",INDEX(B4482:B$2,-1+SUMPRODUCT(MAX(ROW(E4482:E$2)*(E4483=E4482:E$2)))))</f>
        <v> </v>
      </c>
      <c r="J4483" s="25" t="str">
        <f>IF(OR(E4483="",E4483="!!!",F4483="NEW"),"",COUNTBLANK(OFFSET(A$1,,,SUMPRODUCT(MAX(ROW(E$2:E4483)*(E4483=E$2:E4483)))))-COUNTBLANK(OFFSET(A$1,,,SUMPRODUCT(MAX(ROW(E$1:E4482)*(E2=E$1:E4482))))))</f>
        <v> </v>
      </c>
      <c r="K4483" s="25" t="str">
        <f>IF(OR(E4483="",E4483="!!!",F4483="NEW"),"",INDEX(J$1:J4482,SUMPRODUCT(MAX(ROW(E$1:E4482)*(E4483=E$1:E4482)))))</f>
        <v> </v>
      </c>
      <c r="L4483" s="26"/>
    </row>
    <row r="4484" spans="1:12">
      <c r="A4484" s="20" t="s">
        <v>1212</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1610</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1873</v>
      </c>
      <c r="B4486" s="27" t="s">
        <v>1032</v>
      </c>
      <c r="C4486" s="27" t="s">
        <v>767</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803</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t="s">
        <v>795</v>
      </c>
      <c r="B4488" s="27" t="s">
        <v>1463</v>
      </c>
      <c r="C4488" s="27" t="s">
        <v>778</v>
      </c>
      <c r="D4488" s="27" t="s">
        <v>774</v>
      </c>
      <c r="E4488" s="21">
        <f>IF(D4488="?OLD","!!!","")</f>
        <v/>
      </c>
      <c r="F4488" s="22" t="str">
        <f>IF(OR(E4488="",E4488="!!!"),"",IF(NOT(ISNA(VLOOKUP(E4488,E$1:E4487,1,FALSE()))),"OLD",IF(AND(E4488&lt;&gt;"",E4488&lt;&gt;"!!!"),"NEW","")))</f>
        <v> </v>
      </c>
      <c r="G4488" s="23" t="str">
        <f>IF(OR(E4488="",E4488="!!!"),"",IF(OR(J4488=0,AND(J4488=1,K4488=1),AND(J4488=1,I4488="SBJ"),AND(J4488=1,I4488=0)),"?IN_FOCUS",IF(J4488&lt;=2,"?ACTIVATED",IF(J4488&lt;&gt;"","?FAMILIAR",IF(F4488="NEW",IF(ISNA(VLOOKUP(E4488,#REF!,1,FALSE())),"?TYPE_IDENTIFIABLE","?REFERENTIAL"),"_")))))</f>
        <v> </v>
      </c>
      <c r="H4488" s="24" t="str">
        <f>IF(J4488&lt;&gt;1,"",IF(I4488="SBJ","CB","?"))</f>
        <v> </v>
      </c>
      <c r="I4488" s="25" t="str">
        <f>IF(OR(E4488="",E4488="!!!",F4488="NEW"),"",INDEX(B4487:B$2,-1+SUMPRODUCT(MAX(ROW(E4487:E$2)*(E4488=E4487:E$2)))))</f>
        <v> </v>
      </c>
      <c r="J4488" s="25" t="str">
        <f>IF(OR(E4488="",E4488="!!!",F4488="NEW"),"",COUNTBLANK(OFFSET(A$1,,,SUMPRODUCT(MAX(ROW(E$2:E4488)*(E4488=E$2:E4488)))))-COUNTBLANK(OFFSET(A$1,,,SUMPRODUCT(MAX(ROW(E$1:E4487)*(E2=E$1:E4487))))))</f>
        <v> </v>
      </c>
      <c r="K4488" s="25" t="str">
        <f>IF(OR(E4488="",E4488="!!!",F4488="NEW"),"",INDEX(J$1:J4487,SUMPRODUCT(MAX(ROW(E$1:E4487)*(E4488=E$1:E4487)))))</f>
        <v> </v>
      </c>
      <c r="L4488" s="26"/>
    </row>
    <row r="4489" spans="1:12">
      <c r="A4489" s="20" t="s">
        <v>1874</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775</v>
      </c>
      <c r="E4490" s="21">
        <f>IF(D4490="?OLD","!!!","")</f>
        <v/>
      </c>
      <c r="F4490" s="22" t="str">
        <f>IF(OR(E4490="",E4490="!!!"),"",IF(NOT(ISNA(VLOOKUP(E4490,E$1:E4489,1,FALSE()))),"OLD",IF(AND(E4490&lt;&gt;"",E4490&lt;&gt;"!!!"),"NEW","")))</f>
        <v> </v>
      </c>
      <c r="G4490" s="23" t="str">
        <f>IF(OR(E4490="",E4490="!!!"),"",IF(OR(J4490=0,AND(J4490=1,K4490=1),AND(J4490=1,I4490="SBJ"),AND(J4490=1,I4490=0)),"?IN_FOCUS",IF(J4490&lt;=2,"?ACTIVATED",IF(J4490&lt;&gt;"","?FAMILIAR",IF(F4490="NEW",IF(ISNA(VLOOKUP(E4490,#REF!,1,FALSE())),"?TYPE_IDENTIFIABLE","?REFERENTIAL"),"_")))))</f>
        <v> </v>
      </c>
      <c r="H4490" s="24" t="str">
        <f>IF(J4490&lt;&gt;1,"",IF(I4490="SBJ","CB","?"))</f>
        <v> </v>
      </c>
      <c r="I4490" s="25" t="str">
        <f>IF(OR(E4490="",E4490="!!!",F4490="NEW"),"",INDEX(B4489:B$2,-1+SUMPRODUCT(MAX(ROW(E4489:E$2)*(E4490=E4489:E$2)))))</f>
        <v> </v>
      </c>
      <c r="J4490" s="25" t="str">
        <f>IF(OR(E4490="",E4490="!!!",F4490="NEW"),"",COUNTBLANK(OFFSET(A$1,,,SUMPRODUCT(MAX(ROW(E$2:E4490)*(E4490=E$2:E4490)))))-COUNTBLANK(OFFSET(A$1,,,SUMPRODUCT(MAX(ROW(E$1:E4489)*(E2=E$1:E4489))))))</f>
        <v> </v>
      </c>
      <c r="K4490" s="25" t="str">
        <f>IF(OR(E4490="",E4490="!!!",F4490="NEW"),"",INDEX(J$1:J4489,SUMPRODUCT(MAX(ROW(E$1:E4489)*(E4490=E$1:E4489)))))</f>
        <v> </v>
      </c>
      <c r="L4490" s="26"/>
    </row>
    <row r="4491" spans="1:12">
      <c r="A4491" s="20"/>
    </row>
    <row r="4492" spans="1:12">
      <c r="A4492" s="20" t="s">
        <v>1875</v>
      </c>
    </row>
    <row r="4493" spans="1:12">
      <c r="A4493" s="20" t="s">
        <v>1025</v>
      </c>
      <c r="B4493" s="27" t="s">
        <v>762</v>
      </c>
      <c r="C4493" s="27" t="s">
        <v>778</v>
      </c>
      <c r="D4493" s="27" t="s">
        <v>774</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939</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t="s">
        <v>1253</v>
      </c>
      <c r="B4495" s="27" t="s">
        <v>766</v>
      </c>
      <c r="C4495" s="27" t="s">
        <v>778</v>
      </c>
      <c r="D4495" s="27" t="s">
        <v>774</v>
      </c>
      <c r="E4495" s="21">
        <f>IF(D4495="?OLD","!!!","")</f>
        <v/>
      </c>
      <c r="F4495" s="22" t="str">
        <f>IF(OR(E4495="",E4495="!!!"),"",IF(NOT(ISNA(VLOOKUP(E4495,E$1:E4494,1,FALSE()))),"OLD",IF(AND(E4495&lt;&gt;"",E4495&lt;&gt;"!!!"),"NEW","")))</f>
        <v> </v>
      </c>
      <c r="G4495" s="23" t="str">
        <f>IF(OR(E4495="",E4495="!!!"),"",IF(OR(J4495=0,AND(J4495=1,K4495=1),AND(J4495=1,I4495="SBJ"),AND(J4495=1,I4495=0)),"?IN_FOCUS",IF(J4495&lt;=2,"?ACTIVATED",IF(J4495&lt;&gt;"","?FAMILIAR",IF(F4495="NEW",IF(ISNA(VLOOKUP(E4495,#REF!,1,FALSE())),"?TYPE_IDENTIFIABLE","?REFERENTIAL"),"_")))))</f>
        <v> </v>
      </c>
      <c r="H4495" s="24" t="str">
        <f>IF(J4495&lt;&gt;1,"",IF(I4495="SBJ","CB","?"))</f>
        <v> </v>
      </c>
      <c r="I4495" s="25" t="str">
        <f>IF(OR(E4495="",E4495="!!!",F4495="NEW"),"",INDEX(B4494:B$2,-1+SUMPRODUCT(MAX(ROW(E4494:E$2)*(E4495=E4494:E$2)))))</f>
        <v> </v>
      </c>
      <c r="J4495" s="25" t="str">
        <f>IF(OR(E4495="",E4495="!!!",F4495="NEW"),"",COUNTBLANK(OFFSET(A$1,,,SUMPRODUCT(MAX(ROW(E$2:E4495)*(E4495=E$2:E4495)))))-COUNTBLANK(OFFSET(A$1,,,SUMPRODUCT(MAX(ROW(E$1:E4494)*(E2=E$1:E4494))))))</f>
        <v> </v>
      </c>
      <c r="K4495" s="25" t="str">
        <f>IF(OR(E4495="",E4495="!!!",F4495="NEW"),"",INDEX(J$1:J4494,SUMPRODUCT(MAX(ROW(E$1:E4494)*(E4495=E$1:E4494)))))</f>
        <v> </v>
      </c>
      <c r="L4495" s="26"/>
    </row>
    <row r="4496" spans="1:12">
      <c r="A4496" s="20" t="s">
        <v>807</v>
      </c>
      <c r="E4496" s="21">
        <f>IF(D4496="?OLD","!!!","")</f>
        <v/>
      </c>
      <c r="F4496" s="22" t="str">
        <f>IF(OR(E4496="",E4496="!!!"),"",IF(NOT(ISNA(VLOOKUP(E4496,E$1:E4495,1,FALSE()))),"OLD",IF(AND(E4496&lt;&gt;"",E4496&lt;&gt;"!!!"),"NEW","")))</f>
        <v> </v>
      </c>
      <c r="G4496" s="23" t="str">
        <f>IF(OR(E4496="",E4496="!!!"),"",IF(OR(J4496=0,AND(J4496=1,K4496=1),AND(J4496=1,I4496="SBJ"),AND(J4496=1,I4496=0)),"?IN_FOCUS",IF(J4496&lt;=2,"?ACTIVATED",IF(J4496&lt;&gt;"","?FAMILIAR",IF(F4496="NEW",IF(ISNA(VLOOKUP(E4496,#REF!,1,FALSE())),"?TYPE_IDENTIFIABLE","?REFERENTIAL"),"_")))))</f>
        <v> </v>
      </c>
      <c r="H4496" s="24" t="str">
        <f>IF(J4496&lt;&gt;1,"",IF(I4496="SBJ","CB","?"))</f>
        <v> </v>
      </c>
      <c r="I4496" s="25" t="str">
        <f>IF(OR(E4496="",E4496="!!!",F4496="NEW"),"",INDEX(B4495:B$2,-1+SUMPRODUCT(MAX(ROW(E4495:E$2)*(E4496=E4495:E$2)))))</f>
        <v> </v>
      </c>
      <c r="J4496" s="25" t="str">
        <f>IF(OR(E4496="",E4496="!!!",F4496="NEW"),"",COUNTBLANK(OFFSET(A$1,,,SUMPRODUCT(MAX(ROW(E$2:E4496)*(E4496=E$2:E4496)))))-COUNTBLANK(OFFSET(A$1,,,SUMPRODUCT(MAX(ROW(E$1:E4495)*(E2=E$1:E4495))))))</f>
        <v> </v>
      </c>
      <c r="K4496" s="25" t="str">
        <f>IF(OR(E4496="",E4496="!!!",F4496="NEW"),"",INDEX(J$1:J4495,SUMPRODUCT(MAX(ROW(E$1:E4495)*(E4496=E$1:E4495)))))</f>
        <v> </v>
      </c>
      <c r="L4496" s="26"/>
    </row>
    <row r="4497" spans="1:12">
      <c r="A4497" s="20" t="s">
        <v>769</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1876</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1877</v>
      </c>
      <c r="B4499" s="27" t="s">
        <v>758</v>
      </c>
      <c r="C4499" s="27" t="s">
        <v>773</v>
      </c>
      <c r="D4499" s="27" t="s">
        <v>774</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760</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853</v>
      </c>
      <c r="B4501" s="27" t="s">
        <v>800</v>
      </c>
      <c r="C4501" s="27" t="s">
        <v>778</v>
      </c>
      <c r="D4501" s="27" t="s">
        <v>774</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939</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t="s">
        <v>1253</v>
      </c>
      <c r="B4503" s="27" t="s">
        <v>802</v>
      </c>
      <c r="C4503" s="27" t="s">
        <v>778</v>
      </c>
      <c r="D4503" s="27" t="s">
        <v>774</v>
      </c>
      <c r="E4503" s="21">
        <f>IF(D4503="?OLD","!!!","")</f>
        <v/>
      </c>
      <c r="F4503" s="22" t="str">
        <f>IF(OR(E4503="",E4503="!!!"),"",IF(NOT(ISNA(VLOOKUP(E4503,E$1:E4502,1,FALSE()))),"OLD",IF(AND(E4503&lt;&gt;"",E4503&lt;&gt;"!!!"),"NEW","")))</f>
        <v> </v>
      </c>
      <c r="G4503" s="23" t="str">
        <f>IF(OR(E4503="",E4503="!!!"),"",IF(OR(J4503=0,AND(J4503=1,K4503=1),AND(J4503=1,I4503="SBJ"),AND(J4503=1,I4503=0)),"?IN_FOCUS",IF(J4503&lt;=2,"?ACTIVATED",IF(J4503&lt;&gt;"","?FAMILIAR",IF(F4503="NEW",IF(ISNA(VLOOKUP(E4503,#REF!,1,FALSE())),"?TYPE_IDENTIFIABLE","?REFERENTIAL"),"_")))))</f>
        <v> </v>
      </c>
      <c r="H4503" s="24" t="str">
        <f>IF(J4503&lt;&gt;1,"",IF(I4503="SBJ","CB","?"))</f>
        <v> </v>
      </c>
      <c r="I4503" s="25" t="str">
        <f>IF(OR(E4503="",E4503="!!!",F4503="NEW"),"",INDEX(B4502:B$2,-1+SUMPRODUCT(MAX(ROW(E4502:E$2)*(E4503=E4502:E$2)))))</f>
        <v> </v>
      </c>
      <c r="J4503" s="25" t="str">
        <f>IF(OR(E4503="",E4503="!!!",F4503="NEW"),"",COUNTBLANK(OFFSET(A$1,,,SUMPRODUCT(MAX(ROW(E$2:E4503)*(E4503=E$2:E4503)))))-COUNTBLANK(OFFSET(A$1,,,SUMPRODUCT(MAX(ROW(E$1:E4502)*(E2=E$1:E4502))))))</f>
        <v> </v>
      </c>
      <c r="K4503" s="25" t="str">
        <f>IF(OR(E4503="",E4503="!!!",F4503="NEW"),"",INDEX(J$1:J4502,SUMPRODUCT(MAX(ROW(E$1:E4502)*(E4503=E$1:E4502)))))</f>
        <v> </v>
      </c>
      <c r="L4503" s="26"/>
    </row>
    <row r="4504" spans="1:12">
      <c r="A4504" s="20" t="s">
        <v>807</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769</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1878</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t="s">
        <v>1879</v>
      </c>
      <c r="B4507" s="27" t="s">
        <v>772</v>
      </c>
      <c r="C4507" s="27" t="s">
        <v>773</v>
      </c>
      <c r="D4507" s="27" t="s">
        <v>774</v>
      </c>
      <c r="E4507" s="21">
        <f>IF(D4507="?OLD","!!!","")</f>
        <v/>
      </c>
      <c r="F4507" s="22" t="str">
        <f>IF(OR(E4507="",E4507="!!!"),"",IF(NOT(ISNA(VLOOKUP(E4507,E$1:E4506,1,FALSE()))),"OLD",IF(AND(E4507&lt;&gt;"",E4507&lt;&gt;"!!!"),"NEW","")))</f>
        <v> </v>
      </c>
      <c r="G4507" s="23" t="str">
        <f>IF(OR(E4507="",E4507="!!!"),"",IF(OR(J4507=0,AND(J4507=1,K4507=1),AND(J4507=1,I4507="SBJ"),AND(J4507=1,I4507=0)),"?IN_FOCUS",IF(J4507&lt;=2,"?ACTIVATED",IF(J4507&lt;&gt;"","?FAMILIAR",IF(F4507="NEW",IF(ISNA(VLOOKUP(E4507,#REF!,1,FALSE())),"?TYPE_IDENTIFIABLE","?REFERENTIAL"),"_")))))</f>
        <v> </v>
      </c>
      <c r="H4507" s="24" t="str">
        <f>IF(J4507&lt;&gt;1,"",IF(I4507="SBJ","CB","?"))</f>
        <v> </v>
      </c>
      <c r="I4507" s="25" t="str">
        <f>IF(OR(E4507="",E4507="!!!",F4507="NEW"),"",INDEX(B4506:B$2,-1+SUMPRODUCT(MAX(ROW(E4506:E$2)*(E4507=E4506:E$2)))))</f>
        <v> </v>
      </c>
      <c r="J4507" s="25" t="str">
        <f>IF(OR(E4507="",E4507="!!!",F4507="NEW"),"",COUNTBLANK(OFFSET(A$1,,,SUMPRODUCT(MAX(ROW(E$2:E4507)*(E4507=E$2:E4507)))))-COUNTBLANK(OFFSET(A$1,,,SUMPRODUCT(MAX(ROW(E$1:E4506)*(E2=E$1:E4506))))))</f>
        <v> </v>
      </c>
      <c r="K4507" s="25" t="str">
        <f>IF(OR(E4507="",E4507="!!!",F4507="NEW"),"",INDEX(J$1:J4506,SUMPRODUCT(MAX(ROW(E$1:E4506)*(E4507=E$1:E4506)))))</f>
        <v> </v>
      </c>
      <c r="L4507" s="26"/>
    </row>
    <row r="4508" spans="1:12">
      <c r="A4508" s="20" t="s">
        <v>760</v>
      </c>
      <c r="E4508" s="21">
        <f>IF(D4508="?OLD","!!!","")</f>
        <v/>
      </c>
      <c r="F4508" s="22" t="str">
        <f>IF(OR(E4508="",E4508="!!!"),"",IF(NOT(ISNA(VLOOKUP(E4508,E$1:E4507,1,FALSE()))),"OLD",IF(AND(E4508&lt;&gt;"",E4508&lt;&gt;"!!!"),"NEW","")))</f>
        <v> </v>
      </c>
      <c r="G4508" s="23" t="str">
        <f>IF(OR(E4508="",E4508="!!!"),"",IF(OR(J4508=0,AND(J4508=1,K4508=1),AND(J4508=1,I4508="SBJ"),AND(J4508=1,I4508=0)),"?IN_FOCUS",IF(J4508&lt;=2,"?ACTIVATED",IF(J4508&lt;&gt;"","?FAMILIAR",IF(F4508="NEW",IF(ISNA(VLOOKUP(E4508,#REF!,1,FALSE())),"?TYPE_IDENTIFIABLE","?REFERENTIAL"),"_")))))</f>
        <v> </v>
      </c>
      <c r="H4508" s="24" t="str">
        <f>IF(J4508&lt;&gt;1,"",IF(I4508="SBJ","CB","?"))</f>
        <v> </v>
      </c>
      <c r="I4508" s="25" t="str">
        <f>IF(OR(E4508="",E4508="!!!",F4508="NEW"),"",INDEX(B4507:B$2,-1+SUMPRODUCT(MAX(ROW(E4507:E$2)*(E4508=E4507:E$2)))))</f>
        <v> </v>
      </c>
      <c r="J4508" s="25" t="str">
        <f>IF(OR(E4508="",E4508="!!!",F4508="NEW"),"",COUNTBLANK(OFFSET(A$1,,,SUMPRODUCT(MAX(ROW(E$2:E4508)*(E4508=E$2:E4508)))))-COUNTBLANK(OFFSET(A$1,,,SUMPRODUCT(MAX(ROW(E$1:E4507)*(E2=E$1:E4507))))))</f>
        <v> </v>
      </c>
      <c r="K4508" s="25" t="str">
        <f>IF(OR(E4508="",E4508="!!!",F4508="NEW"),"",INDEX(J$1:J4507,SUMPRODUCT(MAX(ROW(E$1:E4507)*(E4508=E$1:E4507)))))</f>
        <v> </v>
      </c>
      <c r="L4508" s="26"/>
    </row>
    <row r="4509" spans="1:12">
      <c r="A4509" s="20" t="s">
        <v>853</v>
      </c>
      <c r="B4509" s="27" t="s">
        <v>800</v>
      </c>
      <c r="C4509" s="27" t="s">
        <v>778</v>
      </c>
      <c r="D4509" s="27" t="s">
        <v>774</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939</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1073</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1320</v>
      </c>
      <c r="B4512" s="27" t="s">
        <v>815</v>
      </c>
      <c r="C4512" s="27" t="s">
        <v>759</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12</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828</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1074</v>
      </c>
      <c r="B4515" s="27" t="s">
        <v>802</v>
      </c>
      <c r="C4515" s="27" t="s">
        <v>989</v>
      </c>
      <c r="D4515" s="27" t="s">
        <v>774</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340</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1880</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t="s">
        <v>1253</v>
      </c>
      <c r="B4518" s="27" t="s">
        <v>810</v>
      </c>
      <c r="C4518" s="27" t="s">
        <v>778</v>
      </c>
      <c r="D4518" s="27" t="s">
        <v>774</v>
      </c>
      <c r="E4518" s="21">
        <f>IF(D4518="?OLD","!!!","")</f>
        <v/>
      </c>
      <c r="F4518" s="22" t="str">
        <f>IF(OR(E4518="",E4518="!!!"),"",IF(NOT(ISNA(VLOOKUP(E4518,E$1:E4517,1,FALSE()))),"OLD",IF(AND(E4518&lt;&gt;"",E4518&lt;&gt;"!!!"),"NEW","")))</f>
        <v> </v>
      </c>
      <c r="G4518" s="23" t="str">
        <f>IF(OR(E4518="",E4518="!!!"),"",IF(OR(J4518=0,AND(J4518=1,K4518=1),AND(J4518=1,I4518="SBJ"),AND(J4518=1,I4518=0)),"?IN_FOCUS",IF(J4518&lt;=2,"?ACTIVATED",IF(J4518&lt;&gt;"","?FAMILIAR",IF(F4518="NEW",IF(ISNA(VLOOKUP(E4518,#REF!,1,FALSE())),"?TYPE_IDENTIFIABLE","?REFERENTIAL"),"_")))))</f>
        <v> </v>
      </c>
      <c r="H4518" s="24" t="str">
        <f>IF(J4518&lt;&gt;1,"",IF(I4518="SBJ","CB","?"))</f>
        <v> </v>
      </c>
      <c r="I4518" s="25" t="str">
        <f>IF(OR(E4518="",E4518="!!!",F4518="NEW"),"",INDEX(B4517:B$2,-1+SUMPRODUCT(MAX(ROW(E4517:E$2)*(E4518=E4517:E$2)))))</f>
        <v> </v>
      </c>
      <c r="J4518" s="25" t="str">
        <f>IF(OR(E4518="",E4518="!!!",F4518="NEW"),"",COUNTBLANK(OFFSET(A$1,,,SUMPRODUCT(MAX(ROW(E$2:E4518)*(E4518=E$2:E4518)))))-COUNTBLANK(OFFSET(A$1,,,SUMPRODUCT(MAX(ROW(E$1:E4517)*(E2=E$1:E4517))))))</f>
        <v> </v>
      </c>
      <c r="K4518" s="25" t="str">
        <f>IF(OR(E4518="",E4518="!!!",F4518="NEW"),"",INDEX(J$1:J4517,SUMPRODUCT(MAX(ROW(E$1:E4517)*(E4518=E$1:E4517)))))</f>
        <v> </v>
      </c>
      <c r="L4518" s="26"/>
    </row>
    <row r="4519" spans="1:12">
      <c r="A4519" s="20" t="s">
        <v>1455</v>
      </c>
      <c r="E4519" s="21">
        <f>IF(D4519="?OLD","!!!","")</f>
        <v/>
      </c>
      <c r="F4519" s="22" t="str">
        <f>IF(OR(E4519="",E4519="!!!"),"",IF(NOT(ISNA(VLOOKUP(E4519,E$1:E4518,1,FALSE()))),"OLD",IF(AND(E4519&lt;&gt;"",E4519&lt;&gt;"!!!"),"NEW","")))</f>
        <v> </v>
      </c>
      <c r="G4519" s="23" t="str">
        <f>IF(OR(E4519="",E4519="!!!"),"",IF(OR(J4519=0,AND(J4519=1,K4519=1),AND(J4519=1,I4519="SBJ"),AND(J4519=1,I4519=0)),"?IN_FOCUS",IF(J4519&lt;=2,"?ACTIVATED",IF(J4519&lt;&gt;"","?FAMILIAR",IF(F4519="NEW",IF(ISNA(VLOOKUP(E4519,#REF!,1,FALSE())),"?TYPE_IDENTIFIABLE","?REFERENTIAL"),"_")))))</f>
        <v> </v>
      </c>
      <c r="H4519" s="24" t="str">
        <f>IF(J4519&lt;&gt;1,"",IF(I4519="SBJ","CB","?"))</f>
        <v> </v>
      </c>
      <c r="I4519" s="25" t="str">
        <f>IF(OR(E4519="",E4519="!!!",F4519="NEW"),"",INDEX(B4518:B$2,-1+SUMPRODUCT(MAX(ROW(E4518:E$2)*(E4519=E4518:E$2)))))</f>
        <v> </v>
      </c>
      <c r="J4519" s="25" t="str">
        <f>IF(OR(E4519="",E4519="!!!",F4519="NEW"),"",COUNTBLANK(OFFSET(A$1,,,SUMPRODUCT(MAX(ROW(E$2:E4519)*(E4519=E$2:E4519)))))-COUNTBLANK(OFFSET(A$1,,,SUMPRODUCT(MAX(ROW(E$1:E4518)*(E2=E$1:E4518))))))</f>
        <v> </v>
      </c>
      <c r="K4519" s="25" t="str">
        <f>IF(OR(E4519="",E4519="!!!",F4519="NEW"),"",INDEX(J$1:J4518,SUMPRODUCT(MAX(ROW(E$1:E4518)*(E4519=E$1:E4518)))))</f>
        <v> </v>
      </c>
      <c r="L4519" s="26"/>
    </row>
    <row r="4520" spans="1:12">
      <c r="A4520" s="20" t="s">
        <v>785</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860</v>
      </c>
      <c r="E4521" s="21">
        <f>IF(D4521="?OLD","!!!","")</f>
        <v/>
      </c>
      <c r="F4521" s="22" t="str">
        <f>IF(OR(E4521="",E4521="!!!"),"",IF(NOT(ISNA(VLOOKUP(E4521,E$1:E4520,1,FALSE()))),"OLD",IF(AND(E4521&lt;&gt;"",E4521&lt;&gt;"!!!"),"NEW","")))</f>
        <v> </v>
      </c>
      <c r="G4521" s="23" t="str">
        <f>IF(OR(E4521="",E4521="!!!"),"",IF(OR(J4521=0,AND(J4521=1,K4521=1),AND(J4521=1,I4521="SBJ"),AND(J4521=1,I4521=0)),"?IN_FOCUS",IF(J4521&lt;=2,"?ACTIVATED",IF(J4521&lt;&gt;"","?FAMILIAR",IF(F4521="NEW",IF(ISNA(VLOOKUP(E4521,#REF!,1,FALSE())),"?TYPE_IDENTIFIABLE","?REFERENTIAL"),"_")))))</f>
        <v> </v>
      </c>
      <c r="H4521" s="24" t="str">
        <f>IF(J4521&lt;&gt;1,"",IF(I4521="SBJ","CB","?"))</f>
        <v> </v>
      </c>
      <c r="I4521" s="25" t="str">
        <f>IF(OR(E4521="",E4521="!!!",F4521="NEW"),"",INDEX(B4520:B$2,-1+SUMPRODUCT(MAX(ROW(E4520:E$2)*(E4521=E4520:E$2)))))</f>
        <v> </v>
      </c>
      <c r="J4521" s="25" t="str">
        <f>IF(OR(E4521="",E4521="!!!",F4521="NEW"),"",COUNTBLANK(OFFSET(A$1,,,SUMPRODUCT(MAX(ROW(E$2:E4521)*(E4521=E$2:E4521)))))-COUNTBLANK(OFFSET(A$1,,,SUMPRODUCT(MAX(ROW(E$1:E4520)*(E2=E$1:E4520))))))</f>
        <v> </v>
      </c>
      <c r="K4521" s="25" t="str">
        <f>IF(OR(E4521="",E4521="!!!",F4521="NEW"),"",INDEX(J$1:J4520,SUMPRODUCT(MAX(ROW(E$1:E4520)*(E4521=E$1:E4520)))))</f>
        <v> </v>
      </c>
      <c r="L4521" s="26"/>
    </row>
    <row r="4522" spans="1:12">
      <c r="A4522" s="20" t="s">
        <v>1881</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1560</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1882</v>
      </c>
      <c r="B4524" s="27" t="s">
        <v>863</v>
      </c>
      <c r="C4524" s="27" t="s">
        <v>767</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775</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row>
    <row r="4527" spans="1:12">
      <c r="A4527" s="20" t="s">
        <v>1883</v>
      </c>
    </row>
    <row r="4528" spans="1:12">
      <c r="A4528" s="20" t="s">
        <v>1025</v>
      </c>
      <c r="B4528" s="27" t="s">
        <v>762</v>
      </c>
      <c r="C4528" s="27" t="s">
        <v>778</v>
      </c>
      <c r="D4528" s="27" t="s">
        <v>774</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1045</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1884</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t="s">
        <v>775</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row>
    <row r="4533" spans="1:12">
      <c r="A4533" s="20" t="s">
        <v>1885</v>
      </c>
    </row>
    <row r="4534" spans="1:12">
      <c r="A4534" s="20" t="s">
        <v>830</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t="s">
        <v>875</v>
      </c>
      <c r="E4535" s="21">
        <f>IF(D4535="?OLD","!!!","")</f>
        <v/>
      </c>
      <c r="F4535" s="22" t="str">
        <f>IF(OR(E4535="",E4535="!!!"),"",IF(NOT(ISNA(VLOOKUP(E4535,E$1:E4534,1,FALSE()))),"OLD",IF(AND(E4535&lt;&gt;"",E4535&lt;&gt;"!!!"),"NEW","")))</f>
        <v> </v>
      </c>
      <c r="G4535" s="23" t="str">
        <f>IF(OR(E4535="",E4535="!!!"),"",IF(OR(J4535=0,AND(J4535=1,K4535=1),AND(J4535=1,I4535="SBJ"),AND(J4535=1,I4535=0)),"?IN_FOCUS",IF(J4535&lt;=2,"?ACTIVATED",IF(J4535&lt;&gt;"","?FAMILIAR",IF(F4535="NEW",IF(ISNA(VLOOKUP(E4535,#REF!,1,FALSE())),"?TYPE_IDENTIFIABLE","?REFERENTIAL"),"_")))))</f>
        <v> </v>
      </c>
      <c r="H4535" s="24" t="str">
        <f>IF(J4535&lt;&gt;1,"",IF(I4535="SBJ","CB","?"))</f>
        <v> </v>
      </c>
      <c r="I4535" s="25" t="str">
        <f>IF(OR(E4535="",E4535="!!!",F4535="NEW"),"",INDEX(B4534:B$2,-1+SUMPRODUCT(MAX(ROW(E4534:E$2)*(E4535=E4534:E$2)))))</f>
        <v> </v>
      </c>
      <c r="J4535" s="25" t="str">
        <f>IF(OR(E4535="",E4535="!!!",F4535="NEW"),"",COUNTBLANK(OFFSET(A$1,,,SUMPRODUCT(MAX(ROW(E$2:E4535)*(E4535=E$2:E4535)))))-COUNTBLANK(OFFSET(A$1,,,SUMPRODUCT(MAX(ROW(E$1:E4534)*(E2=E$1:E4534))))))</f>
        <v> </v>
      </c>
      <c r="K4535" s="25" t="str">
        <f>IF(OR(E4535="",E4535="!!!",F4535="NEW"),"",INDEX(J$1:J4534,SUMPRODUCT(MAX(ROW(E$1:E4534)*(E4535=E$1:E4534)))))</f>
        <v> </v>
      </c>
      <c r="L4535" s="26"/>
    </row>
    <row r="4536" spans="1:12">
      <c r="A4536" s="20" t="s">
        <v>769</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299</v>
      </c>
      <c r="B4537" s="27" t="s">
        <v>758</v>
      </c>
      <c r="C4537" s="27" t="s">
        <v>773</v>
      </c>
      <c r="D4537" s="27" t="s">
        <v>774</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768</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1816</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1651</v>
      </c>
      <c r="B4540" s="27" t="s">
        <v>772</v>
      </c>
      <c r="C4540" s="27" t="s">
        <v>799</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760</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990</v>
      </c>
      <c r="B4542" s="27" t="s">
        <v>762</v>
      </c>
      <c r="C4542" s="27" t="s">
        <v>778</v>
      </c>
      <c r="D4542" s="27" t="s">
        <v>774</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880</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882</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t="s">
        <v>1242</v>
      </c>
      <c r="B4545" s="27" t="s">
        <v>863</v>
      </c>
      <c r="C4545" s="27" t="s">
        <v>848</v>
      </c>
      <c r="D4545" s="27" t="s">
        <v>774</v>
      </c>
      <c r="E4545" s="21">
        <f>IF(D4545="?OLD","!!!","")</f>
        <v/>
      </c>
      <c r="F4545" s="22" t="str">
        <f>IF(OR(E4545="",E4545="!!!"),"",IF(NOT(ISNA(VLOOKUP(E4545,E$1:E4544,1,FALSE()))),"OLD",IF(AND(E4545&lt;&gt;"",E4545&lt;&gt;"!!!"),"NEW","")))</f>
        <v> </v>
      </c>
      <c r="G4545" s="23" t="str">
        <f>IF(OR(E4545="",E4545="!!!"),"",IF(OR(J4545=0,AND(J4545=1,K4545=1),AND(J4545=1,I4545="SBJ"),AND(J4545=1,I4545=0)),"?IN_FOCUS",IF(J4545&lt;=2,"?ACTIVATED",IF(J4545&lt;&gt;"","?FAMILIAR",IF(F4545="NEW",IF(ISNA(VLOOKUP(E4545,#REF!,1,FALSE())),"?TYPE_IDENTIFIABLE","?REFERENTIAL"),"_")))))</f>
        <v> </v>
      </c>
      <c r="H4545" s="24" t="str">
        <f>IF(J4545&lt;&gt;1,"",IF(I4545="SBJ","CB","?"))</f>
        <v> </v>
      </c>
      <c r="I4545" s="25" t="str">
        <f>IF(OR(E4545="",E4545="!!!",F4545="NEW"),"",INDEX(B4544:B$2,-1+SUMPRODUCT(MAX(ROW(E4544:E$2)*(E4545=E4544:E$2)))))</f>
        <v> </v>
      </c>
      <c r="J4545" s="25" t="str">
        <f>IF(OR(E4545="",E4545="!!!",F4545="NEW"),"",COUNTBLANK(OFFSET(A$1,,,SUMPRODUCT(MAX(ROW(E$2:E4545)*(E4545=E$2:E4545)))))-COUNTBLANK(OFFSET(A$1,,,SUMPRODUCT(MAX(ROW(E$1:E4544)*(E2=E$1:E4544))))))</f>
        <v> </v>
      </c>
      <c r="K4545" s="25" t="str">
        <f>IF(OR(E4545="",E4545="!!!",F4545="NEW"),"",INDEX(J$1:J4544,SUMPRODUCT(MAX(ROW(E$1:E4544)*(E4545=E$1:E4544)))))</f>
        <v> </v>
      </c>
      <c r="L4545" s="26"/>
    </row>
    <row r="4546" spans="1:12">
      <c r="A4546" s="20" t="s">
        <v>1528</v>
      </c>
      <c r="B4546" s="27" t="s">
        <v>800</v>
      </c>
      <c r="C4546" s="27" t="s">
        <v>834</v>
      </c>
      <c r="D4546" s="27" t="s">
        <v>774</v>
      </c>
      <c r="E4546" s="21">
        <f>IF(D4546="?OLD","!!!","")</f>
        <v/>
      </c>
      <c r="F4546" s="22" t="str">
        <f>IF(OR(E4546="",E4546="!!!"),"",IF(NOT(ISNA(VLOOKUP(E4546,E$1:E4545,1,FALSE()))),"OLD",IF(AND(E4546&lt;&gt;"",E4546&lt;&gt;"!!!"),"NEW","")))</f>
        <v> </v>
      </c>
      <c r="G4546" s="23" t="str">
        <f>IF(OR(E4546="",E4546="!!!"),"",IF(OR(J4546=0,AND(J4546=1,K4546=1),AND(J4546=1,I4546="SBJ"),AND(J4546=1,I4546=0)),"?IN_FOCUS",IF(J4546&lt;=2,"?ACTIVATED",IF(J4546&lt;&gt;"","?FAMILIAR",IF(F4546="NEW",IF(ISNA(VLOOKUP(E4546,#REF!,1,FALSE())),"?TYPE_IDENTIFIABLE","?REFERENTIAL"),"_")))))</f>
        <v> </v>
      </c>
      <c r="H4546" s="24" t="str">
        <f>IF(J4546&lt;&gt;1,"",IF(I4546="SBJ","CB","?"))</f>
        <v> </v>
      </c>
      <c r="I4546" s="25" t="str">
        <f>IF(OR(E4546="",E4546="!!!",F4546="NEW"),"",INDEX(B4545:B$2,-1+SUMPRODUCT(MAX(ROW(E4545:E$2)*(E4546=E4545:E$2)))))</f>
        <v> </v>
      </c>
      <c r="J4546" s="25" t="str">
        <f>IF(OR(E4546="",E4546="!!!",F4546="NEW"),"",COUNTBLANK(OFFSET(A$1,,,SUMPRODUCT(MAX(ROW(E$2:E4546)*(E4546=E$2:E4546)))))-COUNTBLANK(OFFSET(A$1,,,SUMPRODUCT(MAX(ROW(E$1:E4545)*(E2=E$1:E4545))))))</f>
        <v> </v>
      </c>
      <c r="K4546" s="25" t="str">
        <f>IF(OR(E4546="",E4546="!!!",F4546="NEW"),"",INDEX(J$1:J4545,SUMPRODUCT(MAX(ROW(E$1:E4545)*(E4546=E$1:E4545)))))</f>
        <v> </v>
      </c>
      <c r="L4546" s="26"/>
    </row>
    <row r="4547" spans="1:12">
      <c r="A4547" s="20" t="s">
        <v>825</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1886</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t="s">
        <v>1887</v>
      </c>
      <c r="E4549" s="21">
        <f>IF(D4549="?OLD","!!!","")</f>
        <v/>
      </c>
      <c r="F4549" s="22" t="str">
        <f>IF(OR(E4549="",E4549="!!!"),"",IF(NOT(ISNA(VLOOKUP(E4549,E$1:E4548,1,FALSE()))),"OLD",IF(AND(E4549&lt;&gt;"",E4549&lt;&gt;"!!!"),"NEW","")))</f>
        <v> </v>
      </c>
      <c r="G4549" s="23" t="str">
        <f>IF(OR(E4549="",E4549="!!!"),"",IF(OR(J4549=0,AND(J4549=1,K4549=1),AND(J4549=1,I4549="SBJ"),AND(J4549=1,I4549=0)),"?IN_FOCUS",IF(J4549&lt;=2,"?ACTIVATED",IF(J4549&lt;&gt;"","?FAMILIAR",IF(F4549="NEW",IF(ISNA(VLOOKUP(E4549,#REF!,1,FALSE())),"?TYPE_IDENTIFIABLE","?REFERENTIAL"),"_")))))</f>
        <v> </v>
      </c>
      <c r="H4549" s="24" t="str">
        <f>IF(J4549&lt;&gt;1,"",IF(I4549="SBJ","CB","?"))</f>
        <v> </v>
      </c>
      <c r="I4549" s="25" t="str">
        <f>IF(OR(E4549="",E4549="!!!",F4549="NEW"),"",INDEX(B4548:B$2,-1+SUMPRODUCT(MAX(ROW(E4548:E$2)*(E4549=E4548:E$2)))))</f>
        <v> </v>
      </c>
      <c r="J4549" s="25" t="str">
        <f>IF(OR(E4549="",E4549="!!!",F4549="NEW"),"",COUNTBLANK(OFFSET(A$1,,,SUMPRODUCT(MAX(ROW(E$2:E4549)*(E4549=E$2:E4549)))))-COUNTBLANK(OFFSET(A$1,,,SUMPRODUCT(MAX(ROW(E$1:E4548)*(E2=E$1:E4548))))))</f>
        <v> </v>
      </c>
      <c r="K4549" s="25" t="str">
        <f>IF(OR(E4549="",E4549="!!!",F4549="NEW"),"",INDEX(J$1:J4548,SUMPRODUCT(MAX(ROW(E$1:E4548)*(E4549=E$1:E4548)))))</f>
        <v> </v>
      </c>
      <c r="L4549" s="26"/>
    </row>
    <row r="4550" spans="1:12">
      <c r="A4550" s="20" t="s">
        <v>340</v>
      </c>
      <c r="E4550" s="21">
        <f>IF(D4550="?OLD","!!!","")</f>
        <v/>
      </c>
      <c r="F4550" s="22" t="str">
        <f>IF(OR(E4550="",E4550="!!!"),"",IF(NOT(ISNA(VLOOKUP(E4550,E$1:E4549,1,FALSE()))),"OLD",IF(AND(E4550&lt;&gt;"",E4550&lt;&gt;"!!!"),"NEW","")))</f>
        <v> </v>
      </c>
      <c r="G4550" s="23" t="str">
        <f>IF(OR(E4550="",E4550="!!!"),"",IF(OR(J4550=0,AND(J4550=1,K4550=1),AND(J4550=1,I4550="SBJ"),AND(J4550=1,I4550=0)),"?IN_FOCUS",IF(J4550&lt;=2,"?ACTIVATED",IF(J4550&lt;&gt;"","?FAMILIAR",IF(F4550="NEW",IF(ISNA(VLOOKUP(E4550,#REF!,1,FALSE())),"?TYPE_IDENTIFIABLE","?REFERENTIAL"),"_")))))</f>
        <v> </v>
      </c>
      <c r="H4550" s="24" t="str">
        <f>IF(J4550&lt;&gt;1,"",IF(I4550="SBJ","CB","?"))</f>
        <v> </v>
      </c>
      <c r="I4550" s="25" t="str">
        <f>IF(OR(E4550="",E4550="!!!",F4550="NEW"),"",INDEX(B4549:B$2,-1+SUMPRODUCT(MAX(ROW(E4549:E$2)*(E4550=E4549:E$2)))))</f>
        <v> </v>
      </c>
      <c r="J4550" s="25" t="str">
        <f>IF(OR(E4550="",E4550="!!!",F4550="NEW"),"",COUNTBLANK(OFFSET(A$1,,,SUMPRODUCT(MAX(ROW(E$2:E4550)*(E4550=E$2:E4550)))))-COUNTBLANK(OFFSET(A$1,,,SUMPRODUCT(MAX(ROW(E$1:E4549)*(E2=E$1:E4549))))))</f>
        <v> </v>
      </c>
      <c r="K4550" s="25" t="str">
        <f>IF(OR(E4550="",E4550="!!!",F4550="NEW"),"",INDEX(J$1:J4549,SUMPRODUCT(MAX(ROW(E$1:E4549)*(E4550=E$1:E4549)))))</f>
        <v> </v>
      </c>
      <c r="L4550" s="26"/>
    </row>
    <row r="4551" spans="1:12">
      <c r="A4551" s="20" t="s">
        <v>882</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1236</v>
      </c>
      <c r="B4552" s="27" t="s">
        <v>895</v>
      </c>
      <c r="C4552" s="27" t="s">
        <v>778</v>
      </c>
      <c r="D4552" s="27" t="s">
        <v>774</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825</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968</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995</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1843</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1242</v>
      </c>
      <c r="B4557" s="27" t="s">
        <v>815</v>
      </c>
      <c r="C4557" s="27" t="s">
        <v>848</v>
      </c>
      <c r="D4557" s="27" t="s">
        <v>774</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1844</v>
      </c>
      <c r="B4558" s="27" t="s">
        <v>810</v>
      </c>
      <c r="C4558" s="27" t="s">
        <v>834</v>
      </c>
      <c r="D4558" s="27" t="s">
        <v>774</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1888</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775</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row>
    <row r="4562" spans="1:12">
      <c r="A4562" s="20" t="s">
        <v>1889</v>
      </c>
    </row>
    <row r="4563" spans="1:12">
      <c r="A4563" s="20" t="s">
        <v>830</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823</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824</v>
      </c>
      <c r="B4565" s="27" t="s">
        <v>800</v>
      </c>
      <c r="C4565" s="27" t="s">
        <v>778</v>
      </c>
      <c r="D4565" s="27" t="s">
        <v>774</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967</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769</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t="s">
        <v>1840</v>
      </c>
      <c r="B4568" s="27" t="s">
        <v>802</v>
      </c>
      <c r="E4568" s="21">
        <f>IF(D4568="?OLD","!!!","")</f>
        <v/>
      </c>
      <c r="F4568" s="22" t="str">
        <f>IF(OR(E4568="",E4568="!!!"),"",IF(NOT(ISNA(VLOOKUP(E4568,E$1:E4567,1,FALSE()))),"OLD",IF(AND(E4568&lt;&gt;"",E4568&lt;&gt;"!!!"),"NEW","")))</f>
        <v> </v>
      </c>
      <c r="G4568" s="23" t="str">
        <f>IF(OR(E4568="",E4568="!!!"),"",IF(OR(J4568=0,AND(J4568=1,K4568=1),AND(J4568=1,I4568="SBJ"),AND(J4568=1,I4568=0)),"?IN_FOCUS",IF(J4568&lt;=2,"?ACTIVATED",IF(J4568&lt;&gt;"","?FAMILIAR",IF(F4568="NEW",IF(ISNA(VLOOKUP(E4568,#REF!,1,FALSE())),"?TYPE_IDENTIFIABLE","?REFERENTIAL"),"_")))))</f>
        <v> </v>
      </c>
      <c r="H4568" s="24" t="str">
        <f>IF(J4568&lt;&gt;1,"",IF(I4568="SBJ","CB","?"))</f>
        <v> </v>
      </c>
      <c r="I4568" s="25" t="str">
        <f>IF(OR(E4568="",E4568="!!!",F4568="NEW"),"",INDEX(B4567:B$2,-1+SUMPRODUCT(MAX(ROW(E4567:E$2)*(E4568=E4567:E$2)))))</f>
        <v> </v>
      </c>
      <c r="J4568" s="25" t="str">
        <f>IF(OR(E4568="",E4568="!!!",F4568="NEW"),"",COUNTBLANK(OFFSET(A$1,,,SUMPRODUCT(MAX(ROW(E$2:E4568)*(E4568=E$2:E4568)))))-COUNTBLANK(OFFSET(A$1,,,SUMPRODUCT(MAX(ROW(E$1:E4567)*(E2=E$1:E4567))))))</f>
        <v> </v>
      </c>
      <c r="K4568" s="25" t="str">
        <f>IF(OR(E4568="",E4568="!!!",F4568="NEW"),"",INDEX(J$1:J4567,SUMPRODUCT(MAX(ROW(E$1:E4567)*(E4568=E$1:E4567)))))</f>
        <v> </v>
      </c>
      <c r="L4568" s="26"/>
    </row>
    <row r="4569" spans="1:12">
      <c r="A4569" s="20" t="s">
        <v>936</v>
      </c>
      <c r="B4569" s="27" t="s">
        <v>1022</v>
      </c>
      <c r="C4569" s="27" t="s">
        <v>937</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982</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1299</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1259</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1115</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760</v>
      </c>
      <c r="E4574" s="21">
        <f>IF(D4574="?OLD","!!!","")</f>
        <v/>
      </c>
      <c r="F4574" s="22" t="str">
        <f>IF(OR(E4574="",E4574="!!!"),"",IF(NOT(ISNA(VLOOKUP(E4574,E$1:E4573,1,FALSE()))),"OLD",IF(AND(E4574&lt;&gt;"",E4574&lt;&gt;"!!!"),"NEW","")))</f>
        <v> </v>
      </c>
      <c r="G4574" s="23" t="str">
        <f>IF(OR(E4574="",E4574="!!!"),"",IF(OR(J4574=0,AND(J4574=1,K4574=1),AND(J4574=1,I4574="SBJ"),AND(J4574=1,I4574=0)),"?IN_FOCUS",IF(J4574&lt;=2,"?ACTIVATED",IF(J4574&lt;&gt;"","?FAMILIAR",IF(F4574="NEW",IF(ISNA(VLOOKUP(E4574,#REF!,1,FALSE())),"?TYPE_IDENTIFIABLE","?REFERENTIAL"),"_")))))</f>
        <v> </v>
      </c>
      <c r="H4574" s="24" t="str">
        <f>IF(J4574&lt;&gt;1,"",IF(I4574="SBJ","CB","?"))</f>
        <v> </v>
      </c>
      <c r="I4574" s="25" t="str">
        <f>IF(OR(E4574="",E4574="!!!",F4574="NEW"),"",INDEX(B4573:B$2,-1+SUMPRODUCT(MAX(ROW(E4573:E$2)*(E4574=E4573:E$2)))))</f>
        <v> </v>
      </c>
      <c r="J4574" s="25" t="str">
        <f>IF(OR(E4574="",E4574="!!!",F4574="NEW"),"",COUNTBLANK(OFFSET(A$1,,,SUMPRODUCT(MAX(ROW(E$2:E4574)*(E4574=E$2:E4574)))))-COUNTBLANK(OFFSET(A$1,,,SUMPRODUCT(MAX(ROW(E$1:E4573)*(E2=E$1:E4573))))))</f>
        <v> </v>
      </c>
      <c r="K4574" s="25" t="str">
        <f>IF(OR(E4574="",E4574="!!!",F4574="NEW"),"",INDEX(J$1:J4573,SUMPRODUCT(MAX(ROW(E$1:E4573)*(E4574=E$1:E4573)))))</f>
        <v> </v>
      </c>
      <c r="L4574" s="26"/>
    </row>
    <row r="4575" spans="1:12">
      <c r="A4575" s="20" t="s">
        <v>893</v>
      </c>
      <c r="B4575" s="27" t="s">
        <v>762</v>
      </c>
      <c r="C4575" s="27" t="s">
        <v>778</v>
      </c>
      <c r="D4575" s="27" t="s">
        <v>774</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880</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t="s">
        <v>893</v>
      </c>
      <c r="B4577" s="27" t="s">
        <v>800</v>
      </c>
      <c r="C4577" s="27" t="s">
        <v>778</v>
      </c>
      <c r="D4577" s="27" t="s">
        <v>774</v>
      </c>
      <c r="E4577" s="21">
        <f>IF(D4577="?OLD","!!!","")</f>
        <v/>
      </c>
      <c r="F4577" s="22" t="str">
        <f>IF(OR(E4577="",E4577="!!!"),"",IF(NOT(ISNA(VLOOKUP(E4577,E$1:E4576,1,FALSE()))),"OLD",IF(AND(E4577&lt;&gt;"",E4577&lt;&gt;"!!!"),"NEW","")))</f>
        <v> </v>
      </c>
      <c r="G4577" s="23" t="str">
        <f>IF(OR(E4577="",E4577="!!!"),"",IF(OR(J4577=0,AND(J4577=1,K4577=1),AND(J4577=1,I4577="SBJ"),AND(J4577=1,I4577=0)),"?IN_FOCUS",IF(J4577&lt;=2,"?ACTIVATED",IF(J4577&lt;&gt;"","?FAMILIAR",IF(F4577="NEW",IF(ISNA(VLOOKUP(E4577,#REF!,1,FALSE())),"?TYPE_IDENTIFIABLE","?REFERENTIAL"),"_")))))</f>
        <v> </v>
      </c>
      <c r="H4577" s="24" t="str">
        <f>IF(J4577&lt;&gt;1,"",IF(I4577="SBJ","CB","?"))</f>
        <v> </v>
      </c>
      <c r="I4577" s="25" t="str">
        <f>IF(OR(E4577="",E4577="!!!",F4577="NEW"),"",INDEX(B4576:B$2,-1+SUMPRODUCT(MAX(ROW(E4576:E$2)*(E4577=E4576:E$2)))))</f>
        <v> </v>
      </c>
      <c r="J4577" s="25" t="str">
        <f>IF(OR(E4577="",E4577="!!!",F4577="NEW"),"",COUNTBLANK(OFFSET(A$1,,,SUMPRODUCT(MAX(ROW(E$2:E4577)*(E4577=E$2:E4577)))))-COUNTBLANK(OFFSET(A$1,,,SUMPRODUCT(MAX(ROW(E$1:E4576)*(E2=E$1:E4576))))))</f>
        <v> </v>
      </c>
      <c r="K4577" s="25" t="str">
        <f>IF(OR(E4577="",E4577="!!!",F4577="NEW"),"",INDEX(J$1:J4576,SUMPRODUCT(MAX(ROW(E$1:E4576)*(E4577=E$1:E4576)))))</f>
        <v> </v>
      </c>
      <c r="L4577" s="26"/>
    </row>
    <row r="4578" spans="1:12">
      <c r="A4578" s="20" t="s">
        <v>894</v>
      </c>
      <c r="E4578" s="21">
        <f>IF(D4578="?OLD","!!!","")</f>
        <v/>
      </c>
      <c r="F4578" s="22" t="str">
        <f>IF(OR(E4578="",E4578="!!!"),"",IF(NOT(ISNA(VLOOKUP(E4578,E$1:E4577,1,FALSE()))),"OLD",IF(AND(E4578&lt;&gt;"",E4578&lt;&gt;"!!!"),"NEW","")))</f>
        <v> </v>
      </c>
      <c r="G4578" s="23" t="str">
        <f>IF(OR(E4578="",E4578="!!!"),"",IF(OR(J4578=0,AND(J4578=1,K4578=1),AND(J4578=1,I4578="SBJ"),AND(J4578=1,I4578=0)),"?IN_FOCUS",IF(J4578&lt;=2,"?ACTIVATED",IF(J4578&lt;&gt;"","?FAMILIAR",IF(F4578="NEW",IF(ISNA(VLOOKUP(E4578,#REF!,1,FALSE())),"?TYPE_IDENTIFIABLE","?REFERENTIAL"),"_")))))</f>
        <v> </v>
      </c>
      <c r="H4578" s="24" t="str">
        <f>IF(J4578&lt;&gt;1,"",IF(I4578="SBJ","CB","?"))</f>
        <v> </v>
      </c>
      <c r="I4578" s="25" t="str">
        <f>IF(OR(E4578="",E4578="!!!",F4578="NEW"),"",INDEX(B4577:B$2,-1+SUMPRODUCT(MAX(ROW(E4577:E$2)*(E4578=E4577:E$2)))))</f>
        <v> </v>
      </c>
      <c r="J4578" s="25" t="str">
        <f>IF(OR(E4578="",E4578="!!!",F4578="NEW"),"",COUNTBLANK(OFFSET(A$1,,,SUMPRODUCT(MAX(ROW(E$2:E4578)*(E4578=E$2:E4578)))))-COUNTBLANK(OFFSET(A$1,,,SUMPRODUCT(MAX(ROW(E$1:E4577)*(E2=E$1:E4577))))))</f>
        <v> </v>
      </c>
      <c r="K4578" s="25" t="str">
        <f>IF(OR(E4578="",E4578="!!!",F4578="NEW"),"",INDEX(J$1:J4577,SUMPRODUCT(MAX(ROW(E$1:E4577)*(E4578=E$1:E4577)))))</f>
        <v> </v>
      </c>
      <c r="L4578" s="26"/>
    </row>
    <row r="4579" spans="1:12">
      <c r="A4579" s="20" t="s">
        <v>754</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769</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1890</v>
      </c>
      <c r="B4581" s="27" t="s">
        <v>772</v>
      </c>
      <c r="C4581" s="27" t="s">
        <v>773</v>
      </c>
      <c r="D4581" s="27" t="s">
        <v>774</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760</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1236</v>
      </c>
      <c r="B4583" s="27" t="s">
        <v>800</v>
      </c>
      <c r="C4583" s="27" t="s">
        <v>778</v>
      </c>
      <c r="D4583" s="27" t="s">
        <v>774</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t="s">
        <v>982</v>
      </c>
      <c r="E4584" s="21">
        <f>IF(D4584="?OLD","!!!","")</f>
        <v/>
      </c>
      <c r="F4584" s="22" t="str">
        <f>IF(OR(E4584="",E4584="!!!"),"",IF(NOT(ISNA(VLOOKUP(E4584,E$1:E4583,1,FALSE()))),"OLD",IF(AND(E4584&lt;&gt;"",E4584&lt;&gt;"!!!"),"NEW","")))</f>
        <v> </v>
      </c>
      <c r="G4584" s="23" t="str">
        <f>IF(OR(E4584="",E4584="!!!"),"",IF(OR(J4584=0,AND(J4584=1,K4584=1),AND(J4584=1,I4584="SBJ"),AND(J4584=1,I4584=0)),"?IN_FOCUS",IF(J4584&lt;=2,"?ACTIVATED",IF(J4584&lt;&gt;"","?FAMILIAR",IF(F4584="NEW",IF(ISNA(VLOOKUP(E4584,#REF!,1,FALSE())),"?TYPE_IDENTIFIABLE","?REFERENTIAL"),"_")))))</f>
        <v> </v>
      </c>
      <c r="H4584" s="24" t="str">
        <f>IF(J4584&lt;&gt;1,"",IF(I4584="SBJ","CB","?"))</f>
        <v> </v>
      </c>
      <c r="I4584" s="25" t="str">
        <f>IF(OR(E4584="",E4584="!!!",F4584="NEW"),"",INDEX(B4583:B$2,-1+SUMPRODUCT(MAX(ROW(E4583:E$2)*(E4584=E4583:E$2)))))</f>
        <v> </v>
      </c>
      <c r="J4584" s="25" t="str">
        <f>IF(OR(E4584="",E4584="!!!",F4584="NEW"),"",COUNTBLANK(OFFSET(A$1,,,SUMPRODUCT(MAX(ROW(E$2:E4584)*(E4584=E$2:E4584)))))-COUNTBLANK(OFFSET(A$1,,,SUMPRODUCT(MAX(ROW(E$1:E4583)*(E2=E$1:E4583))))))</f>
        <v> </v>
      </c>
      <c r="K4584" s="25" t="str">
        <f>IF(OR(E4584="",E4584="!!!",F4584="NEW"),"",INDEX(J$1:J4583,SUMPRODUCT(MAX(ROW(E$1:E4583)*(E4584=E$1:E4583)))))</f>
        <v> </v>
      </c>
      <c r="L4584" s="26"/>
    </row>
    <row r="4585" spans="1:12">
      <c r="A4585" s="20" t="s">
        <v>947</v>
      </c>
      <c r="E4585" s="21">
        <f>IF(D4585="?OLD","!!!","")</f>
        <v/>
      </c>
      <c r="F4585" s="22" t="str">
        <f>IF(OR(E4585="",E4585="!!!"),"",IF(NOT(ISNA(VLOOKUP(E4585,E$1:E4584,1,FALSE()))),"OLD",IF(AND(E4585&lt;&gt;"",E4585&lt;&gt;"!!!"),"NEW","")))</f>
        <v> </v>
      </c>
      <c r="G4585" s="23" t="str">
        <f>IF(OR(E4585="",E4585="!!!"),"",IF(OR(J4585=0,AND(J4585=1,K4585=1),AND(J4585=1,I4585="SBJ"),AND(J4585=1,I4585=0)),"?IN_FOCUS",IF(J4585&lt;=2,"?ACTIVATED",IF(J4585&lt;&gt;"","?FAMILIAR",IF(F4585="NEW",IF(ISNA(VLOOKUP(E4585,#REF!,1,FALSE())),"?TYPE_IDENTIFIABLE","?REFERENTIAL"),"_")))))</f>
        <v> </v>
      </c>
      <c r="H4585" s="24" t="str">
        <f>IF(J4585&lt;&gt;1,"",IF(I4585="SBJ","CB","?"))</f>
        <v> </v>
      </c>
      <c r="I4585" s="25" t="str">
        <f>IF(OR(E4585="",E4585="!!!",F4585="NEW"),"",INDEX(B4584:B$2,-1+SUMPRODUCT(MAX(ROW(E4584:E$2)*(E4585=E4584:E$2)))))</f>
        <v> </v>
      </c>
      <c r="J4585" s="25" t="str">
        <f>IF(OR(E4585="",E4585="!!!",F4585="NEW"),"",COUNTBLANK(OFFSET(A$1,,,SUMPRODUCT(MAX(ROW(E$2:E4585)*(E4585=E$2:E4585)))))-COUNTBLANK(OFFSET(A$1,,,SUMPRODUCT(MAX(ROW(E$1:E4584)*(E2=E$1:E4584))))))</f>
        <v> </v>
      </c>
      <c r="K4585" s="25" t="str">
        <f>IF(OR(E4585="",E4585="!!!",F4585="NEW"),"",INDEX(J$1:J4584,SUMPRODUCT(MAX(ROW(E$1:E4584)*(E4585=E$1:E4584)))))</f>
        <v> </v>
      </c>
      <c r="L4585" s="26"/>
    </row>
    <row r="4586" spans="1:12">
      <c r="A4586" s="20" t="s">
        <v>982</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764</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1891</v>
      </c>
      <c r="B4588" s="27" t="s">
        <v>810</v>
      </c>
      <c r="C4588" s="27" t="s">
        <v>767</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t="s">
        <v>775</v>
      </c>
      <c r="E4589" s="21">
        <f>IF(D4589="?OLD","!!!","")</f>
        <v/>
      </c>
      <c r="F4589" s="22" t="str">
        <f>IF(OR(E4589="",E4589="!!!"),"",IF(NOT(ISNA(VLOOKUP(E4589,E$1:E4588,1,FALSE()))),"OLD",IF(AND(E4589&lt;&gt;"",E4589&lt;&gt;"!!!"),"NEW","")))</f>
        <v> </v>
      </c>
      <c r="G4589" s="23" t="str">
        <f>IF(OR(E4589="",E4589="!!!"),"",IF(OR(J4589=0,AND(J4589=1,K4589=1),AND(J4589=1,I4589="SBJ"),AND(J4589=1,I4589=0)),"?IN_FOCUS",IF(J4589&lt;=2,"?ACTIVATED",IF(J4589&lt;&gt;"","?FAMILIAR",IF(F4589="NEW",IF(ISNA(VLOOKUP(E4589,#REF!,1,FALSE())),"?TYPE_IDENTIFIABLE","?REFERENTIAL"),"_")))))</f>
        <v> </v>
      </c>
      <c r="H4589" s="24" t="str">
        <f>IF(J4589&lt;&gt;1,"",IF(I4589="SBJ","CB","?"))</f>
        <v> </v>
      </c>
      <c r="I4589" s="25" t="str">
        <f>IF(OR(E4589="",E4589="!!!",F4589="NEW"),"",INDEX(B4588:B$2,-1+SUMPRODUCT(MAX(ROW(E4588:E$2)*(E4589=E4588:E$2)))))</f>
        <v> </v>
      </c>
      <c r="J4589" s="25" t="str">
        <f>IF(OR(E4589="",E4589="!!!",F4589="NEW"),"",COUNTBLANK(OFFSET(A$1,,,SUMPRODUCT(MAX(ROW(E$2:E4589)*(E4589=E$2:E4589)))))-COUNTBLANK(OFFSET(A$1,,,SUMPRODUCT(MAX(ROW(E$1:E4588)*(E2=E$1:E4588))))))</f>
        <v> </v>
      </c>
      <c r="K4589" s="25" t="str">
        <f>IF(OR(E4589="",E4589="!!!",F4589="NEW"),"",INDEX(J$1:J4588,SUMPRODUCT(MAX(ROW(E$1:E4588)*(E4589=E$1:E4588)))))</f>
        <v> </v>
      </c>
      <c r="L4589" s="26"/>
    </row>
    <row r="4590" spans="1:12">
      <c r="A4590" s="20"/>
    </row>
    <row r="4591" spans="1:12">
      <c r="A4591" s="20" t="s">
        <v>1892</v>
      </c>
    </row>
    <row r="4592" spans="1:12">
      <c r="A4592" s="20" t="s">
        <v>903</v>
      </c>
      <c r="E4592" s="21">
        <f>IF(D4592="?OLD","!!!","")</f>
        <v/>
      </c>
      <c r="F4592" s="22" t="str">
        <f>IF(OR(E4592="",E4592="!!!"),"",IF(NOT(ISNA(VLOOKUP(E4592,E$1:E4591,1,FALSE()))),"OLD",IF(AND(E4592&lt;&gt;"",E4592&lt;&gt;"!!!"),"NEW","")))</f>
        <v> </v>
      </c>
      <c r="G4592" s="23" t="str">
        <f>IF(OR(E4592="",E4592="!!!"),"",IF(OR(J4592=0,AND(J4592=1,K4592=1),AND(J4592=1,I4592="SBJ"),AND(J4592=1,I4592=0)),"?IN_FOCUS",IF(J4592&lt;=2,"?ACTIVATED",IF(J4592&lt;&gt;"","?FAMILIAR",IF(F4592="NEW",IF(ISNA(VLOOKUP(E4592,#REF!,1,FALSE())),"?TYPE_IDENTIFIABLE","?REFERENTIAL"),"_")))))</f>
        <v> </v>
      </c>
      <c r="H4592" s="24" t="str">
        <f>IF(J4592&lt;&gt;1,"",IF(I4592="SBJ","CB","?"))</f>
        <v> </v>
      </c>
      <c r="I4592" s="25" t="str">
        <f>IF(OR(E4592="",E4592="!!!",F4592="NEW"),"",INDEX(B4591:B$2,-1+SUMPRODUCT(MAX(ROW(E4591:E$2)*(E4592=E4591:E$2)))))</f>
        <v> </v>
      </c>
      <c r="J4592" s="25" t="str">
        <f>IF(OR(E4592="",E4592="!!!",F4592="NEW"),"",COUNTBLANK(OFFSET(A$1,,,SUMPRODUCT(MAX(ROW(E$2:E4592)*(E4592=E$2:E4592)))))-COUNTBLANK(OFFSET(A$1,,,SUMPRODUCT(MAX(ROW(E$1:E4591)*(E2=E$1:E4591))))))</f>
        <v> </v>
      </c>
      <c r="K4592" s="25" t="str">
        <f>IF(OR(E4592="",E4592="!!!",F4592="NEW"),"",INDEX(J$1:J4591,SUMPRODUCT(MAX(ROW(E$1:E4591)*(E4592=E$1:E4591)))))</f>
        <v> </v>
      </c>
      <c r="L4592" s="26"/>
    </row>
    <row r="4593" spans="1:12">
      <c r="A4593" s="20" t="s">
        <v>824</v>
      </c>
      <c r="B4593" s="27" t="s">
        <v>762</v>
      </c>
      <c r="C4593" s="27" t="s">
        <v>778</v>
      </c>
      <c r="D4593" s="27" t="s">
        <v>774</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894</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12</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824</v>
      </c>
      <c r="B4596" s="27" t="s">
        <v>800</v>
      </c>
      <c r="C4596" s="27" t="s">
        <v>778</v>
      </c>
      <c r="D4596" s="27" t="s">
        <v>774</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894</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t="s">
        <v>1422</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847</v>
      </c>
      <c r="B4599" s="27" t="s">
        <v>815</v>
      </c>
      <c r="C4599" s="27" t="s">
        <v>848</v>
      </c>
      <c r="D4599" s="27" t="s">
        <v>774</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t="s">
        <v>872</v>
      </c>
      <c r="B4600" s="27" t="s">
        <v>895</v>
      </c>
      <c r="C4600" s="27" t="s">
        <v>834</v>
      </c>
      <c r="D4600" s="27" t="s">
        <v>774</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825</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1893</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775</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row>
    <row r="4605" spans="1:12">
      <c r="A4605" s="20" t="s">
        <v>791</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t="s">
        <v>1894</v>
      </c>
    </row>
    <row r="4607" spans="1:12">
      <c r="A4607" s="20" t="s">
        <v>824</v>
      </c>
      <c r="B4607" s="27" t="s">
        <v>762</v>
      </c>
      <c r="C4607" s="27" t="s">
        <v>778</v>
      </c>
      <c r="D4607" s="27" t="s">
        <v>774</v>
      </c>
      <c r="E4607" s="21">
        <f>IF(D4607="?OLD","!!!","")</f>
        <v/>
      </c>
      <c r="F4607" s="22" t="str">
        <f>IF(OR(E4607="",E4607="!!!"),"",IF(NOT(ISNA(VLOOKUP(E4607,E$1:E4606,1,FALSE()))),"OLD",IF(AND(E4607&lt;&gt;"",E4607&lt;&gt;"!!!"),"NEW","")))</f>
        <v> </v>
      </c>
      <c r="G4607" s="23" t="str">
        <f>IF(OR(E4607="",E4607="!!!"),"",IF(OR(J4607=0,AND(J4607=1,K4607=1),AND(J4607=1,I4607="SBJ"),AND(J4607=1,I4607=0)),"?IN_FOCUS",IF(J4607&lt;=2,"?ACTIVATED",IF(J4607&lt;&gt;"","?FAMILIAR",IF(F4607="NEW",IF(ISNA(VLOOKUP(E4607,#REF!,1,FALSE())),"?TYPE_IDENTIFIABLE","?REFERENTIAL"),"_")))))</f>
        <v> </v>
      </c>
      <c r="H4607" s="24" t="str">
        <f>IF(J4607&lt;&gt;1,"",IF(I4607="SBJ","CB","?"))</f>
        <v> </v>
      </c>
      <c r="I4607" s="25" t="str">
        <f>IF(OR(E4607="",E4607="!!!",F4607="NEW"),"",INDEX(B4606:B$2,-1+SUMPRODUCT(MAX(ROW(E4606:E$2)*(E4607=E4606:E$2)))))</f>
        <v> </v>
      </c>
      <c r="J4607" s="25" t="str">
        <f>IF(OR(E4607="",E4607="!!!",F4607="NEW"),"",COUNTBLANK(OFFSET(A$1,,,SUMPRODUCT(MAX(ROW(E$2:E4607)*(E4607=E$2:E4607)))))-COUNTBLANK(OFFSET(A$1,,,SUMPRODUCT(MAX(ROW(E$1:E4606)*(E2=E$1:E4606))))))</f>
        <v> </v>
      </c>
      <c r="K4607" s="25" t="str">
        <f>IF(OR(E4607="",E4607="!!!",F4607="NEW"),"",INDEX(J$1:J4606,SUMPRODUCT(MAX(ROW(E$1:E4606)*(E4607=E$1:E4606)))))</f>
        <v> </v>
      </c>
      <c r="L4607" s="26"/>
    </row>
    <row r="4608" spans="1:12">
      <c r="A4608" s="20" t="s">
        <v>894</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760</v>
      </c>
      <c r="E4609" s="21">
        <f>IF(D4609="?OLD","!!!","")</f>
        <v/>
      </c>
      <c r="F4609" s="22" t="str">
        <f>IF(OR(E4609="",E4609="!!!"),"",IF(NOT(ISNA(VLOOKUP(E4609,E$1:E4608,1,FALSE()))),"OLD",IF(AND(E4609&lt;&gt;"",E4609&lt;&gt;"!!!"),"NEW","")))</f>
        <v> </v>
      </c>
      <c r="G4609" s="23" t="str">
        <f>IF(OR(E4609="",E4609="!!!"),"",IF(OR(J4609=0,AND(J4609=1,K4609=1),AND(J4609=1,I4609="SBJ"),AND(J4609=1,I4609=0)),"?IN_FOCUS",IF(J4609&lt;=2,"?ACTIVATED",IF(J4609&lt;&gt;"","?FAMILIAR",IF(F4609="NEW",IF(ISNA(VLOOKUP(E4609,#REF!,1,FALSE())),"?TYPE_IDENTIFIABLE","?REFERENTIAL"),"_")))))</f>
        <v> </v>
      </c>
      <c r="H4609" s="24" t="str">
        <f>IF(J4609&lt;&gt;1,"",IF(I4609="SBJ","CB","?"))</f>
        <v> </v>
      </c>
      <c r="I4609" s="25" t="str">
        <f>IF(OR(E4609="",E4609="!!!",F4609="NEW"),"",INDEX(B4608:B$2,-1+SUMPRODUCT(MAX(ROW(E4608:E$2)*(E4609=E4608:E$2)))))</f>
        <v> </v>
      </c>
      <c r="J4609" s="25" t="str">
        <f>IF(OR(E4609="",E4609="!!!",F4609="NEW"),"",COUNTBLANK(OFFSET(A$1,,,SUMPRODUCT(MAX(ROW(E$2:E4609)*(E4609=E$2:E4609)))))-COUNTBLANK(OFFSET(A$1,,,SUMPRODUCT(MAX(ROW(E$1:E4608)*(E2=E$1:E4608))))))</f>
        <v> </v>
      </c>
      <c r="K4609" s="25" t="str">
        <f>IF(OR(E4609="",E4609="!!!",F4609="NEW"),"",INDEX(J$1:J4608,SUMPRODUCT(MAX(ROW(E$1:E4608)*(E4609=E$1:E4608)))))</f>
        <v> </v>
      </c>
      <c r="L4609" s="26"/>
    </row>
    <row r="4610" spans="1:12">
      <c r="A4610" s="20" t="s">
        <v>752</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912</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t="s">
        <v>333</v>
      </c>
      <c r="B4612" s="27" t="s">
        <v>800</v>
      </c>
      <c r="C4612" s="27" t="s">
        <v>773</v>
      </c>
      <c r="D4612" s="27" t="s">
        <v>774</v>
      </c>
      <c r="E4612" s="21">
        <f>IF(D4612="?OLD","!!!","")</f>
        <v/>
      </c>
      <c r="F4612" s="22" t="str">
        <f>IF(OR(E4612="",E4612="!!!"),"",IF(NOT(ISNA(VLOOKUP(E4612,E$1:E4611,1,FALSE()))),"OLD",IF(AND(E4612&lt;&gt;"",E4612&lt;&gt;"!!!"),"NEW","")))</f>
        <v> </v>
      </c>
      <c r="G4612" s="23" t="str">
        <f>IF(OR(E4612="",E4612="!!!"),"",IF(OR(J4612=0,AND(J4612=1,K4612=1),AND(J4612=1,I4612="SBJ"),AND(J4612=1,I4612=0)),"?IN_FOCUS",IF(J4612&lt;=2,"?ACTIVATED",IF(J4612&lt;&gt;"","?FAMILIAR",IF(F4612="NEW",IF(ISNA(VLOOKUP(E4612,#REF!,1,FALSE())),"?TYPE_IDENTIFIABLE","?REFERENTIAL"),"_")))))</f>
        <v> </v>
      </c>
      <c r="H4612" s="24" t="str">
        <f>IF(J4612&lt;&gt;1,"",IF(I4612="SBJ","CB","?"))</f>
        <v> </v>
      </c>
      <c r="I4612" s="25" t="str">
        <f>IF(OR(E4612="",E4612="!!!",F4612="NEW"),"",INDEX(B4611:B$2,-1+SUMPRODUCT(MAX(ROW(E4611:E$2)*(E4612=E4611:E$2)))))</f>
        <v> </v>
      </c>
      <c r="J4612" s="25" t="str">
        <f>IF(OR(E4612="",E4612="!!!",F4612="NEW"),"",COUNTBLANK(OFFSET(A$1,,,SUMPRODUCT(MAX(ROW(E$2:E4612)*(E4612=E$2:E4612)))))-COUNTBLANK(OFFSET(A$1,,,SUMPRODUCT(MAX(ROW(E$1:E4611)*(E2=E$1:E4611))))))</f>
        <v> </v>
      </c>
      <c r="K4612" s="25" t="str">
        <f>IF(OR(E4612="",E4612="!!!",F4612="NEW"),"",INDEX(J$1:J4611,SUMPRODUCT(MAX(ROW(E$1:E4611)*(E4612=E$1:E4611)))))</f>
        <v> </v>
      </c>
      <c r="L4612" s="26"/>
    </row>
    <row r="4613" spans="1:12">
      <c r="A4613" s="20" t="s">
        <v>924</v>
      </c>
      <c r="B4613" s="27" t="s">
        <v>1022</v>
      </c>
      <c r="C4613" s="27" t="s">
        <v>778</v>
      </c>
      <c r="D4613" s="27" t="s">
        <v>774</v>
      </c>
      <c r="E4613" s="21">
        <f>IF(D4613="?OLD","!!!","")</f>
        <v/>
      </c>
      <c r="F4613" s="22" t="str">
        <f>IF(OR(E4613="",E4613="!!!"),"",IF(NOT(ISNA(VLOOKUP(E4613,E$1:E4612,1,FALSE()))),"OLD",IF(AND(E4613&lt;&gt;"",E4613&lt;&gt;"!!!"),"NEW","")))</f>
        <v> </v>
      </c>
      <c r="G4613" s="23" t="str">
        <f>IF(OR(E4613="",E4613="!!!"),"",IF(OR(J4613=0,AND(J4613=1,K4613=1),AND(J4613=1,I4613="SBJ"),AND(J4613=1,I4613=0)),"?IN_FOCUS",IF(J4613&lt;=2,"?ACTIVATED",IF(J4613&lt;&gt;"","?FAMILIAR",IF(F4613="NEW",IF(ISNA(VLOOKUP(E4613,#REF!,1,FALSE())),"?TYPE_IDENTIFIABLE","?REFERENTIAL"),"_")))))</f>
        <v> </v>
      </c>
      <c r="H4613" s="24" t="str">
        <f>IF(J4613&lt;&gt;1,"",IF(I4613="SBJ","CB","?"))</f>
        <v> </v>
      </c>
      <c r="I4613" s="25" t="str">
        <f>IF(OR(E4613="",E4613="!!!",F4613="NEW"),"",INDEX(B4612:B$2,-1+SUMPRODUCT(MAX(ROW(E4612:E$2)*(E4613=E4612:E$2)))))</f>
        <v> </v>
      </c>
      <c r="J4613" s="25" t="str">
        <f>IF(OR(E4613="",E4613="!!!",F4613="NEW"),"",COUNTBLANK(OFFSET(A$1,,,SUMPRODUCT(MAX(ROW(E$2:E4613)*(E4613=E$2:E4613)))))-COUNTBLANK(OFFSET(A$1,,,SUMPRODUCT(MAX(ROW(E$1:E4612)*(E2=E$1:E4612))))))</f>
        <v> </v>
      </c>
      <c r="K4613" s="25" t="str">
        <f>IF(OR(E4613="",E4613="!!!",F4613="NEW"),"",INDEX(J$1:J4612,SUMPRODUCT(MAX(ROW(E$1:E4612)*(E4613=E$1:E4612)))))</f>
        <v> </v>
      </c>
      <c r="L4613" s="26"/>
    </row>
    <row r="4614" spans="1:12">
      <c r="A4614" s="20" t="s">
        <v>158</v>
      </c>
      <c r="E4614" s="21">
        <f>IF(D4614="?OLD","!!!","")</f>
        <v/>
      </c>
      <c r="F4614" s="22" t="str">
        <f>IF(OR(E4614="",E4614="!!!"),"",IF(NOT(ISNA(VLOOKUP(E4614,E$1:E4613,1,FALSE()))),"OLD",IF(AND(E4614&lt;&gt;"",E4614&lt;&gt;"!!!"),"NEW","")))</f>
        <v> </v>
      </c>
      <c r="G4614" s="23" t="str">
        <f>IF(OR(E4614="",E4614="!!!"),"",IF(OR(J4614=0,AND(J4614=1,K4614=1),AND(J4614=1,I4614="SBJ"),AND(J4614=1,I4614=0)),"?IN_FOCUS",IF(J4614&lt;=2,"?ACTIVATED",IF(J4614&lt;&gt;"","?FAMILIAR",IF(F4614="NEW",IF(ISNA(VLOOKUP(E4614,#REF!,1,FALSE())),"?TYPE_IDENTIFIABLE","?REFERENTIAL"),"_")))))</f>
        <v> </v>
      </c>
      <c r="H4614" s="24" t="str">
        <f>IF(J4614&lt;&gt;1,"",IF(I4614="SBJ","CB","?"))</f>
        <v> </v>
      </c>
      <c r="I4614" s="25" t="str">
        <f>IF(OR(E4614="",E4614="!!!",F4614="NEW"),"",INDEX(B4613:B$2,-1+SUMPRODUCT(MAX(ROW(E4613:E$2)*(E4614=E4613:E$2)))))</f>
        <v> </v>
      </c>
      <c r="J4614" s="25" t="str">
        <f>IF(OR(E4614="",E4614="!!!",F4614="NEW"),"",COUNTBLANK(OFFSET(A$1,,,SUMPRODUCT(MAX(ROW(E$2:E4614)*(E4614=E$2:E4614)))))-COUNTBLANK(OFFSET(A$1,,,SUMPRODUCT(MAX(ROW(E$1:E4613)*(E2=E$1:E4613))))))</f>
        <v> </v>
      </c>
      <c r="K4614" s="25" t="str">
        <f>IF(OR(E4614="",E4614="!!!",F4614="NEW"),"",INDEX(J$1:J4613,SUMPRODUCT(MAX(ROW(E$1:E4613)*(E4614=E$1:E4613)))))</f>
        <v> </v>
      </c>
      <c r="L4614" s="26"/>
    </row>
    <row r="4615" spans="1:12">
      <c r="A4615" s="20" t="s">
        <v>785</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926</v>
      </c>
      <c r="B4616" s="27" t="s">
        <v>929</v>
      </c>
      <c r="C4616" s="27" t="s">
        <v>848</v>
      </c>
      <c r="D4616" s="27" t="s">
        <v>774</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928</v>
      </c>
      <c r="B4617" s="27" t="s">
        <v>815</v>
      </c>
      <c r="C4617" s="27" t="s">
        <v>834</v>
      </c>
      <c r="D4617" s="27" t="s">
        <v>774</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779</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1895</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1301</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758</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931</v>
      </c>
      <c r="B4622" s="27" t="s">
        <v>758</v>
      </c>
      <c r="C4622" s="27" t="s">
        <v>767</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t="s">
        <v>754</v>
      </c>
      <c r="E4623" s="21">
        <f>IF(D4623="?OLD","!!!","")</f>
        <v/>
      </c>
      <c r="F4623" s="22" t="str">
        <f>IF(OR(E4623="",E4623="!!!"),"",IF(NOT(ISNA(VLOOKUP(E4623,E$1:E4622,1,FALSE()))),"OLD",IF(AND(E4623&lt;&gt;"",E4623&lt;&gt;"!!!"),"NEW","")))</f>
        <v> </v>
      </c>
      <c r="G4623" s="23" t="str">
        <f>IF(OR(E4623="",E4623="!!!"),"",IF(OR(J4623=0,AND(J4623=1,K4623=1),AND(J4623=1,I4623="SBJ"),AND(J4623=1,I4623=0)),"?IN_FOCUS",IF(J4623&lt;=2,"?ACTIVATED",IF(J4623&lt;&gt;"","?FAMILIAR",IF(F4623="NEW",IF(ISNA(VLOOKUP(E4623,#REF!,1,FALSE())),"?TYPE_IDENTIFIABLE","?REFERENTIAL"),"_")))))</f>
        <v> </v>
      </c>
      <c r="H4623" s="24" t="str">
        <f>IF(J4623&lt;&gt;1,"",IF(I4623="SBJ","CB","?"))</f>
        <v> </v>
      </c>
      <c r="I4623" s="25" t="str">
        <f>IF(OR(E4623="",E4623="!!!",F4623="NEW"),"",INDEX(B4622:B$2,-1+SUMPRODUCT(MAX(ROW(E4622:E$2)*(E4623=E4622:E$2)))))</f>
        <v> </v>
      </c>
      <c r="J4623" s="25" t="str">
        <f>IF(OR(E4623="",E4623="!!!",F4623="NEW"),"",COUNTBLANK(OFFSET(A$1,,,SUMPRODUCT(MAX(ROW(E$2:E4623)*(E4623=E$2:E4623)))))-COUNTBLANK(OFFSET(A$1,,,SUMPRODUCT(MAX(ROW(E$1:E4622)*(E2=E$1:E4622))))))</f>
        <v> </v>
      </c>
      <c r="K4623" s="25" t="str">
        <f>IF(OR(E4623="",E4623="!!!",F4623="NEW"),"",INDEX(J$1:J4622,SUMPRODUCT(MAX(ROW(E$1:E4622)*(E4623=E$1:E4622)))))</f>
        <v> </v>
      </c>
      <c r="L4623" s="26"/>
    </row>
    <row r="4624" spans="1:12">
      <c r="A4624" s="20" t="s">
        <v>769</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932</v>
      </c>
      <c r="B4625" s="27" t="s">
        <v>772</v>
      </c>
      <c r="C4625" s="27" t="s">
        <v>773</v>
      </c>
      <c r="D4625" s="27" t="s">
        <v>774</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t="s">
        <v>775</v>
      </c>
      <c r="E4626" s="21">
        <f>IF(D4626="?OLD","!!!","")</f>
        <v/>
      </c>
      <c r="F4626" s="22" t="str">
        <f>IF(OR(E4626="",E4626="!!!"),"",IF(NOT(ISNA(VLOOKUP(E4626,E$1:E4625,1,FALSE()))),"OLD",IF(AND(E4626&lt;&gt;"",E4626&lt;&gt;"!!!"),"NEW","")))</f>
        <v> </v>
      </c>
      <c r="G4626" s="23" t="str">
        <f>IF(OR(E4626="",E4626="!!!"),"",IF(OR(J4626=0,AND(J4626=1,K4626=1),AND(J4626=1,I4626="SBJ"),AND(J4626=1,I4626=0)),"?IN_FOCUS",IF(J4626&lt;=2,"?ACTIVATED",IF(J4626&lt;&gt;"","?FAMILIAR",IF(F4626="NEW",IF(ISNA(VLOOKUP(E4626,#REF!,1,FALSE())),"?TYPE_IDENTIFIABLE","?REFERENTIAL"),"_")))))</f>
        <v> </v>
      </c>
      <c r="H4626" s="24" t="str">
        <f>IF(J4626&lt;&gt;1,"",IF(I4626="SBJ","CB","?"))</f>
        <v> </v>
      </c>
      <c r="I4626" s="25" t="str">
        <f>IF(OR(E4626="",E4626="!!!",F4626="NEW"),"",INDEX(B4625:B$2,-1+SUMPRODUCT(MAX(ROW(E4625:E$2)*(E4626=E4625:E$2)))))</f>
        <v> </v>
      </c>
      <c r="J4626" s="25" t="str">
        <f>IF(OR(E4626="",E4626="!!!",F4626="NEW"),"",COUNTBLANK(OFFSET(A$1,,,SUMPRODUCT(MAX(ROW(E$2:E4626)*(E4626=E$2:E4626)))))-COUNTBLANK(OFFSET(A$1,,,SUMPRODUCT(MAX(ROW(E$1:E4625)*(E2=E$1:E4625))))))</f>
        <v> </v>
      </c>
      <c r="K4626" s="25" t="str">
        <f>IF(OR(E4626="",E4626="!!!",F4626="NEW"),"",INDEX(J$1:J4625,SUMPRODUCT(MAX(ROW(E$1:E4625)*(E4626=E$1:E4625)))))</f>
        <v> </v>
      </c>
      <c r="L4626" s="26"/>
    </row>
    <row r="4627" spans="1:12">
      <c r="A4627" s="20"/>
    </row>
    <row r="4628" spans="1:12">
      <c r="A4628" s="20" t="s">
        <v>1896</v>
      </c>
    </row>
    <row r="4629" spans="1:12">
      <c r="A4629" s="20" t="s">
        <v>924</v>
      </c>
      <c r="B4629" s="27" t="s">
        <v>762</v>
      </c>
      <c r="C4629" s="27" t="s">
        <v>778</v>
      </c>
      <c r="D4629" s="27" t="s">
        <v>774</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45</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935</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85</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936</v>
      </c>
      <c r="B4633" s="27" t="s">
        <v>802</v>
      </c>
      <c r="C4633" s="27" t="s">
        <v>937</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795</v>
      </c>
      <c r="B4634" s="27" t="s">
        <v>800</v>
      </c>
      <c r="C4634" s="27" t="s">
        <v>778</v>
      </c>
      <c r="D4634" s="27" t="s">
        <v>774</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1897</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930</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t="s">
        <v>775</v>
      </c>
      <c r="E4637" s="21">
        <f>IF(D4637="?OLD","!!!","")</f>
        <v/>
      </c>
      <c r="F4637" s="22" t="str">
        <f>IF(OR(E4637="",E4637="!!!"),"",IF(NOT(ISNA(VLOOKUP(E4637,E$1:E4636,1,FALSE()))),"OLD",IF(AND(E4637&lt;&gt;"",E4637&lt;&gt;"!!!"),"NEW","")))</f>
        <v> </v>
      </c>
      <c r="G4637" s="23" t="str">
        <f>IF(OR(E4637="",E4637="!!!"),"",IF(OR(J4637=0,AND(J4637=1,K4637=1),AND(J4637=1,I4637="SBJ"),AND(J4637=1,I4637=0)),"?IN_FOCUS",IF(J4637&lt;=2,"?ACTIVATED",IF(J4637&lt;&gt;"","?FAMILIAR",IF(F4637="NEW",IF(ISNA(VLOOKUP(E4637,#REF!,1,FALSE())),"?TYPE_IDENTIFIABLE","?REFERENTIAL"),"_")))))</f>
        <v> </v>
      </c>
      <c r="H4637" s="24" t="str">
        <f>IF(J4637&lt;&gt;1,"",IF(I4637="SBJ","CB","?"))</f>
        <v> </v>
      </c>
      <c r="I4637" s="25" t="str">
        <f>IF(OR(E4637="",E4637="!!!",F4637="NEW"),"",INDEX(B4636:B$2,-1+SUMPRODUCT(MAX(ROW(E4636:E$2)*(E4637=E4636:E$2)))))</f>
        <v> </v>
      </c>
      <c r="J4637" s="25" t="str">
        <f>IF(OR(E4637="",E4637="!!!",F4637="NEW"),"",COUNTBLANK(OFFSET(A$1,,,SUMPRODUCT(MAX(ROW(E$2:E4637)*(E4637=E$2:E4637)))))-COUNTBLANK(OFFSET(A$1,,,SUMPRODUCT(MAX(ROW(E$1:E4636)*(E2=E$1:E4636))))))</f>
        <v> </v>
      </c>
      <c r="K4637" s="25" t="str">
        <f>IF(OR(E4637="",E4637="!!!",F4637="NEW"),"",INDEX(J$1:J4636,SUMPRODUCT(MAX(ROW(E$1:E4636)*(E4637=E$1:E4636)))))</f>
        <v> </v>
      </c>
      <c r="L4637" s="26"/>
    </row>
    <row r="4638" spans="1:12">
      <c r="A4638" s="20"/>
    </row>
    <row r="4639" spans="1:12">
      <c r="A4639" s="20" t="s">
        <v>1898</v>
      </c>
    </row>
    <row r="4640" spans="1:12">
      <c r="A4640" s="20" t="s">
        <v>824</v>
      </c>
      <c r="B4640" s="27" t="s">
        <v>762</v>
      </c>
      <c r="C4640" s="27" t="s">
        <v>778</v>
      </c>
      <c r="D4640" s="27" t="s">
        <v>774</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93</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928</v>
      </c>
      <c r="B4642" s="27" t="s">
        <v>800</v>
      </c>
      <c r="C4642" s="27" t="s">
        <v>759</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982</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t="s">
        <v>1899</v>
      </c>
      <c r="E4644" s="21">
        <f>IF(D4644="?OLD","!!!","")</f>
        <v/>
      </c>
      <c r="F4644" s="22" t="str">
        <f>IF(OR(E4644="",E4644="!!!"),"",IF(NOT(ISNA(VLOOKUP(E4644,E$1:E4643,1,FALSE()))),"OLD",IF(AND(E4644&lt;&gt;"",E4644&lt;&gt;"!!!"),"NEW","")))</f>
        <v> </v>
      </c>
      <c r="G4644" s="23" t="str">
        <f>IF(OR(E4644="",E4644="!!!"),"",IF(OR(J4644=0,AND(J4644=1,K4644=1),AND(J4644=1,I4644="SBJ"),AND(J4644=1,I4644=0)),"?IN_FOCUS",IF(J4644&lt;=2,"?ACTIVATED",IF(J4644&lt;&gt;"","?FAMILIAR",IF(F4644="NEW",IF(ISNA(VLOOKUP(E4644,#REF!,1,FALSE())),"?TYPE_IDENTIFIABLE","?REFERENTIAL"),"_")))))</f>
        <v> </v>
      </c>
      <c r="H4644" s="24" t="str">
        <f>IF(J4644&lt;&gt;1,"",IF(I4644="SBJ","CB","?"))</f>
        <v> </v>
      </c>
      <c r="I4644" s="25" t="str">
        <f>IF(OR(E4644="",E4644="!!!",F4644="NEW"),"",INDEX(B4643:B$2,-1+SUMPRODUCT(MAX(ROW(E4643:E$2)*(E4644=E4643:E$2)))))</f>
        <v> </v>
      </c>
      <c r="J4644" s="25" t="str">
        <f>IF(OR(E4644="",E4644="!!!",F4644="NEW"),"",COUNTBLANK(OFFSET(A$1,,,SUMPRODUCT(MAX(ROW(E$2:E4644)*(E4644=E$2:E4644)))))-COUNTBLANK(OFFSET(A$1,,,SUMPRODUCT(MAX(ROW(E$1:E4643)*(E2=E$1:E4643))))))</f>
        <v> </v>
      </c>
      <c r="K4644" s="25" t="str">
        <f>IF(OR(E4644="",E4644="!!!",F4644="NEW"),"",INDEX(J$1:J4643,SUMPRODUCT(MAX(ROW(E$1:E4643)*(E4644=E$1:E4643)))))</f>
        <v> </v>
      </c>
      <c r="L4644" s="26"/>
    </row>
    <row r="4645" spans="1:12">
      <c r="A4645" s="20" t="s">
        <v>908</v>
      </c>
      <c r="B4645" s="27" t="s">
        <v>802</v>
      </c>
      <c r="C4645" s="27" t="s">
        <v>778</v>
      </c>
      <c r="D4645" s="27" t="s">
        <v>774</v>
      </c>
      <c r="E4645" s="21">
        <f>IF(D4645="?OLD","!!!","")</f>
        <v/>
      </c>
      <c r="F4645" s="22" t="str">
        <f>IF(OR(E4645="",E4645="!!!"),"",IF(NOT(ISNA(VLOOKUP(E4645,E$1:E4644,1,FALSE()))),"OLD",IF(AND(E4645&lt;&gt;"",E4645&lt;&gt;"!!!"),"NEW","")))</f>
        <v> </v>
      </c>
      <c r="G4645" s="23" t="str">
        <f>IF(OR(E4645="",E4645="!!!"),"",IF(OR(J4645=0,AND(J4645=1,K4645=1),AND(J4645=1,I4645="SBJ"),AND(J4645=1,I4645=0)),"?IN_FOCUS",IF(J4645&lt;=2,"?ACTIVATED",IF(J4645&lt;&gt;"","?FAMILIAR",IF(F4645="NEW",IF(ISNA(VLOOKUP(E4645,#REF!,1,FALSE())),"?TYPE_IDENTIFIABLE","?REFERENTIAL"),"_")))))</f>
        <v> </v>
      </c>
      <c r="H4645" s="24" t="str">
        <f>IF(J4645&lt;&gt;1,"",IF(I4645="SBJ","CB","?"))</f>
        <v> </v>
      </c>
      <c r="I4645" s="25" t="str">
        <f>IF(OR(E4645="",E4645="!!!",F4645="NEW"),"",INDEX(B4644:B$2,-1+SUMPRODUCT(MAX(ROW(E4644:E$2)*(E4645=E4644:E$2)))))</f>
        <v> </v>
      </c>
      <c r="J4645" s="25" t="str">
        <f>IF(OR(E4645="",E4645="!!!",F4645="NEW"),"",COUNTBLANK(OFFSET(A$1,,,SUMPRODUCT(MAX(ROW(E$2:E4645)*(E4645=E$2:E4645)))))-COUNTBLANK(OFFSET(A$1,,,SUMPRODUCT(MAX(ROW(E$1:E4644)*(E2=E$1:E4644))))))</f>
        <v> </v>
      </c>
      <c r="K4645" s="25" t="str">
        <f>IF(OR(E4645="",E4645="!!!",F4645="NEW"),"",INDEX(J$1:J4644,SUMPRODUCT(MAX(ROW(E$1:E4644)*(E4645=E$1:E4644)))))</f>
        <v> </v>
      </c>
      <c r="L4645" s="26"/>
    </row>
    <row r="4646" spans="1:12">
      <c r="A4646" s="20" t="s">
        <v>769</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1517</v>
      </c>
      <c r="B4647" s="27" t="s">
        <v>802</v>
      </c>
      <c r="C4647" s="27" t="s">
        <v>773</v>
      </c>
      <c r="D4647" s="27" t="s">
        <v>774</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t="s">
        <v>824</v>
      </c>
      <c r="B4648" s="27" t="s">
        <v>1022</v>
      </c>
      <c r="C4648" s="27" t="s">
        <v>778</v>
      </c>
      <c r="D4648" s="27" t="s">
        <v>774</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t="s">
        <v>1529</v>
      </c>
      <c r="E4649" s="21">
        <f>IF(D4649="?OLD","!!!","")</f>
        <v/>
      </c>
      <c r="F4649" s="22" t="str">
        <f>IF(OR(E4649="",E4649="!!!"),"",IF(NOT(ISNA(VLOOKUP(E4649,E$1:E4648,1,FALSE()))),"OLD",IF(AND(E4649&lt;&gt;"",E4649&lt;&gt;"!!!"),"NEW","")))</f>
        <v> </v>
      </c>
      <c r="G4649" s="23" t="str">
        <f>IF(OR(E4649="",E4649="!!!"),"",IF(OR(J4649=0,AND(J4649=1,K4649=1),AND(J4649=1,I4649="SBJ"),AND(J4649=1,I4649=0)),"?IN_FOCUS",IF(J4649&lt;=2,"?ACTIVATED",IF(J4649&lt;&gt;"","?FAMILIAR",IF(F4649="NEW",IF(ISNA(VLOOKUP(E4649,#REF!,1,FALSE())),"?TYPE_IDENTIFIABLE","?REFERENTIAL"),"_")))))</f>
        <v> </v>
      </c>
      <c r="H4649" s="24" t="str">
        <f>IF(J4649&lt;&gt;1,"",IF(I4649="SBJ","CB","?"))</f>
        <v> </v>
      </c>
      <c r="I4649" s="25" t="str">
        <f>IF(OR(E4649="",E4649="!!!",F4649="NEW"),"",INDEX(B4648:B$2,-1+SUMPRODUCT(MAX(ROW(E4648:E$2)*(E4649=E4648:E$2)))))</f>
        <v> </v>
      </c>
      <c r="J4649" s="25" t="str">
        <f>IF(OR(E4649="",E4649="!!!",F4649="NEW"),"",COUNTBLANK(OFFSET(A$1,,,SUMPRODUCT(MAX(ROW(E$2:E4649)*(E4649=E$2:E4649)))))-COUNTBLANK(OFFSET(A$1,,,SUMPRODUCT(MAX(ROW(E$1:E4648)*(E2=E$1:E4648))))))</f>
        <v> </v>
      </c>
      <c r="K4649" s="25" t="str">
        <f>IF(OR(E4649="",E4649="!!!",F4649="NEW"),"",INDEX(J$1:J4648,SUMPRODUCT(MAX(ROW(E$1:E4648)*(E4649=E$1:E4648)))))</f>
        <v> </v>
      </c>
      <c r="L4649" s="26"/>
    </row>
    <row r="4650" spans="1:12">
      <c r="A4650" s="20" t="s">
        <v>1900</v>
      </c>
      <c r="B4650" s="27" t="s">
        <v>1036</v>
      </c>
      <c r="C4650" s="27" t="s">
        <v>759</v>
      </c>
      <c r="E4650" s="21">
        <f>IF(D4650="?OLD","!!!","")</f>
        <v/>
      </c>
      <c r="F4650" s="22" t="str">
        <f>IF(OR(E4650="",E4650="!!!"),"",IF(NOT(ISNA(VLOOKUP(E4650,E$1:E4649,1,FALSE()))),"OLD",IF(AND(E4650&lt;&gt;"",E4650&lt;&gt;"!!!"),"NEW","")))</f>
        <v> </v>
      </c>
      <c r="G4650" s="23" t="str">
        <f>IF(OR(E4650="",E4650="!!!"),"",IF(OR(J4650=0,AND(J4650=1,K4650=1),AND(J4650=1,I4650="SBJ"),AND(J4650=1,I4650=0)),"?IN_FOCUS",IF(J4650&lt;=2,"?ACTIVATED",IF(J4650&lt;&gt;"","?FAMILIAR",IF(F4650="NEW",IF(ISNA(VLOOKUP(E4650,#REF!,1,FALSE())),"?TYPE_IDENTIFIABLE","?REFERENTIAL"),"_")))))</f>
        <v> </v>
      </c>
      <c r="H4650" s="24" t="str">
        <f>IF(J4650&lt;&gt;1,"",IF(I4650="SBJ","CB","?"))</f>
        <v> </v>
      </c>
      <c r="I4650" s="25" t="str">
        <f>IF(OR(E4650="",E4650="!!!",F4650="NEW"),"",INDEX(B4649:B$2,-1+SUMPRODUCT(MAX(ROW(E4649:E$2)*(E4650=E4649:E$2)))))</f>
        <v> </v>
      </c>
      <c r="J4650" s="25" t="str">
        <f>IF(OR(E4650="",E4650="!!!",F4650="NEW"),"",COUNTBLANK(OFFSET(A$1,,,SUMPRODUCT(MAX(ROW(E$2:E4650)*(E4650=E$2:E4650)))))-COUNTBLANK(OFFSET(A$1,,,SUMPRODUCT(MAX(ROW(E$1:E4649)*(E2=E$1:E4649))))))</f>
        <v> </v>
      </c>
      <c r="K4650" s="25" t="str">
        <f>IF(OR(E4650="",E4650="!!!",F4650="NEW"),"",INDEX(J$1:J4649,SUMPRODUCT(MAX(ROW(E$1:E4649)*(E4650=E$1:E4649)))))</f>
        <v> </v>
      </c>
      <c r="L4650" s="26"/>
    </row>
    <row r="4651" spans="1:12">
      <c r="A4651" s="20" t="s">
        <v>871</v>
      </c>
      <c r="E4651" s="21">
        <f>IF(D4651="?OLD","!!!","")</f>
        <v/>
      </c>
      <c r="F4651" s="22" t="str">
        <f>IF(OR(E4651="",E4651="!!!"),"",IF(NOT(ISNA(VLOOKUP(E4651,E$1:E4650,1,FALSE()))),"OLD",IF(AND(E4651&lt;&gt;"",E4651&lt;&gt;"!!!"),"NEW","")))</f>
        <v> </v>
      </c>
      <c r="G4651" s="23" t="str">
        <f>IF(OR(E4651="",E4651="!!!"),"",IF(OR(J4651=0,AND(J4651=1,K4651=1),AND(J4651=1,I4651="SBJ"),AND(J4651=1,I4651=0)),"?IN_FOCUS",IF(J4651&lt;=2,"?ACTIVATED",IF(J4651&lt;&gt;"","?FAMILIAR",IF(F4651="NEW",IF(ISNA(VLOOKUP(E4651,#REF!,1,FALSE())),"?TYPE_IDENTIFIABLE","?REFERENTIAL"),"_")))))</f>
        <v> </v>
      </c>
      <c r="H4651" s="24" t="str">
        <f>IF(J4651&lt;&gt;1,"",IF(I4651="SBJ","CB","?"))</f>
        <v> </v>
      </c>
      <c r="I4651" s="25" t="str">
        <f>IF(OR(E4651="",E4651="!!!",F4651="NEW"),"",INDEX(B4650:B$2,-1+SUMPRODUCT(MAX(ROW(E4650:E$2)*(E4651=E4650:E$2)))))</f>
        <v> </v>
      </c>
      <c r="J4651" s="25" t="str">
        <f>IF(OR(E4651="",E4651="!!!",F4651="NEW"),"",COUNTBLANK(OFFSET(A$1,,,SUMPRODUCT(MAX(ROW(E$2:E4651)*(E4651=E$2:E4651)))))-COUNTBLANK(OFFSET(A$1,,,SUMPRODUCT(MAX(ROW(E$1:E4650)*(E2=E$1:E4650))))))</f>
        <v> </v>
      </c>
      <c r="K4651" s="25" t="str">
        <f>IF(OR(E4651="",E4651="!!!",F4651="NEW"),"",INDEX(J$1:J4650,SUMPRODUCT(MAX(ROW(E$1:E4650)*(E4651=E$1:E4650)))))</f>
        <v> </v>
      </c>
      <c r="L4651" s="26"/>
    </row>
    <row r="4652" spans="1:12">
      <c r="A4652" s="20" t="s">
        <v>1497</v>
      </c>
      <c r="B4652" s="27" t="s">
        <v>929</v>
      </c>
      <c r="C4652" s="27" t="s">
        <v>759</v>
      </c>
      <c r="E4652" s="21">
        <f>IF(D4652="?OLD","!!!","")</f>
        <v/>
      </c>
      <c r="F4652" s="22" t="str">
        <f>IF(OR(E4652="",E4652="!!!"),"",IF(NOT(ISNA(VLOOKUP(E4652,E$1:E4651,1,FALSE()))),"OLD",IF(AND(E4652&lt;&gt;"",E4652&lt;&gt;"!!!"),"NEW","")))</f>
        <v> </v>
      </c>
      <c r="G4652" s="23" t="str">
        <f>IF(OR(E4652="",E4652="!!!"),"",IF(OR(J4652=0,AND(J4652=1,K4652=1),AND(J4652=1,I4652="SBJ"),AND(J4652=1,I4652=0)),"?IN_FOCUS",IF(J4652&lt;=2,"?ACTIVATED",IF(J4652&lt;&gt;"","?FAMILIAR",IF(F4652="NEW",IF(ISNA(VLOOKUP(E4652,#REF!,1,FALSE())),"?TYPE_IDENTIFIABLE","?REFERENTIAL"),"_")))))</f>
        <v> </v>
      </c>
      <c r="H4652" s="24" t="str">
        <f>IF(J4652&lt;&gt;1,"",IF(I4652="SBJ","CB","?"))</f>
        <v> </v>
      </c>
      <c r="I4652" s="25" t="str">
        <f>IF(OR(E4652="",E4652="!!!",F4652="NEW"),"",INDEX(B4651:B$2,-1+SUMPRODUCT(MAX(ROW(E4651:E$2)*(E4652=E4651:E$2)))))</f>
        <v> </v>
      </c>
      <c r="J4652" s="25" t="str">
        <f>IF(OR(E4652="",E4652="!!!",F4652="NEW"),"",COUNTBLANK(OFFSET(A$1,,,SUMPRODUCT(MAX(ROW(E$2:E4652)*(E4652=E$2:E4652)))))-COUNTBLANK(OFFSET(A$1,,,SUMPRODUCT(MAX(ROW(E$1:E4651)*(E2=E$1:E4651))))))</f>
        <v> </v>
      </c>
      <c r="K4652" s="25" t="str">
        <f>IF(OR(E4652="",E4652="!!!",F4652="NEW"),"",INDEX(J$1:J4651,SUMPRODUCT(MAX(ROW(E$1:E4651)*(E4652=E$1:E4651)))))</f>
        <v> </v>
      </c>
      <c r="L4652" s="26"/>
    </row>
    <row r="4653" spans="1:12">
      <c r="A4653" s="20" t="s">
        <v>775</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row>
    <row r="4655" spans="1:12">
      <c r="A4655" s="20" t="s">
        <v>1901</v>
      </c>
    </row>
    <row r="4656" spans="1:12">
      <c r="A4656" s="20" t="s">
        <v>903</v>
      </c>
      <c r="E4656" s="21">
        <f>IF(D4656="?OLD","!!!","")</f>
        <v/>
      </c>
      <c r="F4656" s="22" t="str">
        <f>IF(OR(E4656="",E4656="!!!"),"",IF(NOT(ISNA(VLOOKUP(E4656,E$1:E4655,1,FALSE()))),"OLD",IF(AND(E4656&lt;&gt;"",E4656&lt;&gt;"!!!"),"NEW","")))</f>
        <v> </v>
      </c>
      <c r="G4656" s="23" t="str">
        <f>IF(OR(E4656="",E4656="!!!"),"",IF(OR(J4656=0,AND(J4656=1,K4656=1),AND(J4656=1,I4656="SBJ"),AND(J4656=1,I4656=0)),"?IN_FOCUS",IF(J4656&lt;=2,"?ACTIVATED",IF(J4656&lt;&gt;"","?FAMILIAR",IF(F4656="NEW",IF(ISNA(VLOOKUP(E4656,#REF!,1,FALSE())),"?TYPE_IDENTIFIABLE","?REFERENTIAL"),"_")))))</f>
        <v> </v>
      </c>
      <c r="H4656" s="24" t="str">
        <f>IF(J4656&lt;&gt;1,"",IF(I4656="SBJ","CB","?"))</f>
        <v> </v>
      </c>
      <c r="I4656" s="25" t="str">
        <f>IF(OR(E4656="",E4656="!!!",F4656="NEW"),"",INDEX(B4655:B$2,-1+SUMPRODUCT(MAX(ROW(E4655:E$2)*(E4656=E4655:E$2)))))</f>
        <v> </v>
      </c>
      <c r="J4656" s="25" t="str">
        <f>IF(OR(E4656="",E4656="!!!",F4656="NEW"),"",COUNTBLANK(OFFSET(A$1,,,SUMPRODUCT(MAX(ROW(E$2:E4656)*(E4656=E$2:E4656)))))-COUNTBLANK(OFFSET(A$1,,,SUMPRODUCT(MAX(ROW(E$1:E4655)*(E2=E$1:E4655))))))</f>
        <v> </v>
      </c>
      <c r="K4656" s="25" t="str">
        <f>IF(OR(E4656="",E4656="!!!",F4656="NEW"),"",INDEX(J$1:J4655,SUMPRODUCT(MAX(ROW(E$1:E4655)*(E4656=E$1:E4655)))))</f>
        <v> </v>
      </c>
      <c r="L4656" s="26"/>
    </row>
    <row r="4657" spans="1:12">
      <c r="A4657" s="20" t="s">
        <v>824</v>
      </c>
      <c r="B4657" s="27" t="s">
        <v>762</v>
      </c>
      <c r="C4657" s="27" t="s">
        <v>778</v>
      </c>
      <c r="D4657" s="27" t="s">
        <v>774</v>
      </c>
      <c r="E4657" s="21">
        <f>IF(D4657="?OLD","!!!","")</f>
        <v/>
      </c>
      <c r="F4657" s="22" t="str">
        <f>IF(OR(E4657="",E4657="!!!"),"",IF(NOT(ISNA(VLOOKUP(E4657,E$1:E4656,1,FALSE()))),"OLD",IF(AND(E4657&lt;&gt;"",E4657&lt;&gt;"!!!"),"NEW","")))</f>
        <v> </v>
      </c>
      <c r="G4657" s="23" t="str">
        <f>IF(OR(E4657="",E4657="!!!"),"",IF(OR(J4657=0,AND(J4657=1,K4657=1),AND(J4657=1,I4657="SBJ"),AND(J4657=1,I4657=0)),"?IN_FOCUS",IF(J4657&lt;=2,"?ACTIVATED",IF(J4657&lt;&gt;"","?FAMILIAR",IF(F4657="NEW",IF(ISNA(VLOOKUP(E4657,#REF!,1,FALSE())),"?TYPE_IDENTIFIABLE","?REFERENTIAL"),"_")))))</f>
        <v> </v>
      </c>
      <c r="H4657" s="24" t="str">
        <f>IF(J4657&lt;&gt;1,"",IF(I4657="SBJ","CB","?"))</f>
        <v> </v>
      </c>
      <c r="I4657" s="25" t="str">
        <f>IF(OR(E4657="",E4657="!!!",F4657="NEW"),"",INDEX(B4656:B$2,-1+SUMPRODUCT(MAX(ROW(E4656:E$2)*(E4657=E4656:E$2)))))</f>
        <v> </v>
      </c>
      <c r="J4657" s="25" t="str">
        <f>IF(OR(E4657="",E4657="!!!",F4657="NEW"),"",COUNTBLANK(OFFSET(A$1,,,SUMPRODUCT(MAX(ROW(E$2:E4657)*(E4657=E$2:E4657)))))-COUNTBLANK(OFFSET(A$1,,,SUMPRODUCT(MAX(ROW(E$1:E4656)*(E2=E$1:E4656))))))</f>
        <v> </v>
      </c>
      <c r="K4657" s="25" t="str">
        <f>IF(OR(E4657="",E4657="!!!",F4657="NEW"),"",INDEX(J$1:J4656,SUMPRODUCT(MAX(ROW(E$1:E4656)*(E4657=E$1:E4656)))))</f>
        <v> </v>
      </c>
      <c r="L4657" s="26"/>
    </row>
    <row r="4658" spans="1:12">
      <c r="A4658" s="20" t="s">
        <v>915</v>
      </c>
      <c r="E4658" s="21">
        <f>IF(D4658="?OLD","!!!","")</f>
        <v/>
      </c>
      <c r="F4658" s="22" t="str">
        <f>IF(OR(E4658="",E4658="!!!"),"",IF(NOT(ISNA(VLOOKUP(E4658,E$1:E4657,1,FALSE()))),"OLD",IF(AND(E4658&lt;&gt;"",E4658&lt;&gt;"!!!"),"NEW","")))</f>
        <v> </v>
      </c>
      <c r="G4658" s="23" t="str">
        <f>IF(OR(E4658="",E4658="!!!"),"",IF(OR(J4658=0,AND(J4658=1,K4658=1),AND(J4658=1,I4658="SBJ"),AND(J4658=1,I4658=0)),"?IN_FOCUS",IF(J4658&lt;=2,"?ACTIVATED",IF(J4658&lt;&gt;"","?FAMILIAR",IF(F4658="NEW",IF(ISNA(VLOOKUP(E4658,#REF!,1,FALSE())),"?TYPE_IDENTIFIABLE","?REFERENTIAL"),"_")))))</f>
        <v> </v>
      </c>
      <c r="H4658" s="24" t="str">
        <f>IF(J4658&lt;&gt;1,"",IF(I4658="SBJ","CB","?"))</f>
        <v> </v>
      </c>
      <c r="I4658" s="25" t="str">
        <f>IF(OR(E4658="",E4658="!!!",F4658="NEW"),"",INDEX(B4657:B$2,-1+SUMPRODUCT(MAX(ROW(E4657:E$2)*(E4658=E4657:E$2)))))</f>
        <v> </v>
      </c>
      <c r="J4658" s="25" t="str">
        <f>IF(OR(E4658="",E4658="!!!",F4658="NEW"),"",COUNTBLANK(OFFSET(A$1,,,SUMPRODUCT(MAX(ROW(E$2:E4658)*(E4658=E$2:E4658)))))-COUNTBLANK(OFFSET(A$1,,,SUMPRODUCT(MAX(ROW(E$1:E4657)*(E2=E$1:E4657))))))</f>
        <v> </v>
      </c>
      <c r="K4658" s="25" t="str">
        <f>IF(OR(E4658="",E4658="!!!",F4658="NEW"),"",INDEX(J$1:J4657,SUMPRODUCT(MAX(ROW(E$1:E4657)*(E4658=E$1:E4657)))))</f>
        <v> </v>
      </c>
      <c r="L4658" s="26"/>
    </row>
    <row r="4659" spans="1:12">
      <c r="A4659" s="20" t="s">
        <v>806</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t="s">
        <v>1668</v>
      </c>
      <c r="E4660" s="21">
        <f>IF(D4660="?OLD","!!!","")</f>
        <v/>
      </c>
      <c r="F4660" s="22" t="str">
        <f>IF(OR(E4660="",E4660="!!!"),"",IF(NOT(ISNA(VLOOKUP(E4660,E$1:E4659,1,FALSE()))),"OLD",IF(AND(E4660&lt;&gt;"",E4660&lt;&gt;"!!!"),"NEW","")))</f>
        <v> </v>
      </c>
      <c r="G4660" s="23" t="str">
        <f>IF(OR(E4660="",E4660="!!!"),"",IF(OR(J4660=0,AND(J4660=1,K4660=1),AND(J4660=1,I4660="SBJ"),AND(J4660=1,I4660=0)),"?IN_FOCUS",IF(J4660&lt;=2,"?ACTIVATED",IF(J4660&lt;&gt;"","?FAMILIAR",IF(F4660="NEW",IF(ISNA(VLOOKUP(E4660,#REF!,1,FALSE())),"?TYPE_IDENTIFIABLE","?REFERENTIAL"),"_")))))</f>
        <v> </v>
      </c>
      <c r="H4660" s="24" t="str">
        <f>IF(J4660&lt;&gt;1,"",IF(I4660="SBJ","CB","?"))</f>
        <v> </v>
      </c>
      <c r="I4660" s="25" t="str">
        <f>IF(OR(E4660="",E4660="!!!",F4660="NEW"),"",INDEX(B4659:B$2,-1+SUMPRODUCT(MAX(ROW(E4659:E$2)*(E4660=E4659:E$2)))))</f>
        <v> </v>
      </c>
      <c r="J4660" s="25" t="str">
        <f>IF(OR(E4660="",E4660="!!!",F4660="NEW"),"",COUNTBLANK(OFFSET(A$1,,,SUMPRODUCT(MAX(ROW(E$2:E4660)*(E4660=E$2:E4660)))))-COUNTBLANK(OFFSET(A$1,,,SUMPRODUCT(MAX(ROW(E$1:E4659)*(E2=E$1:E4659))))))</f>
        <v> </v>
      </c>
      <c r="K4660" s="25" t="str">
        <f>IF(OR(E4660="",E4660="!!!",F4660="NEW"),"",INDEX(J$1:J4659,SUMPRODUCT(MAX(ROW(E$1:E4659)*(E4660=E$1:E4659)))))</f>
        <v> </v>
      </c>
      <c r="L4660" s="26"/>
    </row>
    <row r="4661" spans="1:12">
      <c r="A4661" s="20" t="s">
        <v>824</v>
      </c>
      <c r="B4661" s="27" t="s">
        <v>800</v>
      </c>
      <c r="C4661" s="27" t="s">
        <v>778</v>
      </c>
      <c r="D4661" s="27" t="s">
        <v>774</v>
      </c>
      <c r="E4661" s="21">
        <f>IF(D4661="?OLD","!!!","")</f>
        <v/>
      </c>
      <c r="F4661" s="22" t="str">
        <f>IF(OR(E4661="",E4661="!!!"),"",IF(NOT(ISNA(VLOOKUP(E4661,E$1:E4660,1,FALSE()))),"OLD",IF(AND(E4661&lt;&gt;"",E4661&lt;&gt;"!!!"),"NEW","")))</f>
        <v> </v>
      </c>
      <c r="G4661" s="23" t="str">
        <f>IF(OR(E4661="",E4661="!!!"),"",IF(OR(J4661=0,AND(J4661=1,K4661=1),AND(J4661=1,I4661="SBJ"),AND(J4661=1,I4661=0)),"?IN_FOCUS",IF(J4661&lt;=2,"?ACTIVATED",IF(J4661&lt;&gt;"","?FAMILIAR",IF(F4661="NEW",IF(ISNA(VLOOKUP(E4661,#REF!,1,FALSE())),"?TYPE_IDENTIFIABLE","?REFERENTIAL"),"_")))))</f>
        <v> </v>
      </c>
      <c r="H4661" s="24" t="str">
        <f>IF(J4661&lt;&gt;1,"",IF(I4661="SBJ","CB","?"))</f>
        <v> </v>
      </c>
      <c r="I4661" s="25" t="str">
        <f>IF(OR(E4661="",E4661="!!!",F4661="NEW"),"",INDEX(B4660:B$2,-1+SUMPRODUCT(MAX(ROW(E4660:E$2)*(E4661=E4660:E$2)))))</f>
        <v> </v>
      </c>
      <c r="J4661" s="25" t="str">
        <f>IF(OR(E4661="",E4661="!!!",F4661="NEW"),"",COUNTBLANK(OFFSET(A$1,,,SUMPRODUCT(MAX(ROW(E$2:E4661)*(E4661=E$2:E4661)))))-COUNTBLANK(OFFSET(A$1,,,SUMPRODUCT(MAX(ROW(E$1:E4660)*(E2=E$1:E4660))))))</f>
        <v> </v>
      </c>
      <c r="K4661" s="25" t="str">
        <f>IF(OR(E4661="",E4661="!!!",F4661="NEW"),"",INDEX(J$1:J4660,SUMPRODUCT(MAX(ROW(E$1:E4660)*(E4661=E$1:E4660)))))</f>
        <v> </v>
      </c>
      <c r="L4661" s="26"/>
    </row>
    <row r="4662" spans="1:12">
      <c r="A4662" s="20" t="s">
        <v>942</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t="s">
        <v>158</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1902</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882</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1343</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824</v>
      </c>
      <c r="B4667" s="27" t="s">
        <v>895</v>
      </c>
      <c r="C4667" s="27" t="s">
        <v>778</v>
      </c>
      <c r="D4667" s="27" t="s">
        <v>774</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982</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935</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t="s">
        <v>1299</v>
      </c>
      <c r="E4670" s="21">
        <f>IF(D4670="?OLD","!!!","")</f>
        <v/>
      </c>
      <c r="F4670" s="22" t="str">
        <f>IF(OR(E4670="",E4670="!!!"),"",IF(NOT(ISNA(VLOOKUP(E4670,E$1:E4669,1,FALSE()))),"OLD",IF(AND(E4670&lt;&gt;"",E4670&lt;&gt;"!!!"),"NEW","")))</f>
        <v> </v>
      </c>
      <c r="G4670" s="23" t="str">
        <f>IF(OR(E4670="",E4670="!!!"),"",IF(OR(J4670=0,AND(J4670=1,K4670=1),AND(J4670=1,I4670="SBJ"),AND(J4670=1,I4670=0)),"?IN_FOCUS",IF(J4670&lt;=2,"?ACTIVATED",IF(J4670&lt;&gt;"","?FAMILIAR",IF(F4670="NEW",IF(ISNA(VLOOKUP(E4670,#REF!,1,FALSE())),"?TYPE_IDENTIFIABLE","?REFERENTIAL"),"_")))))</f>
        <v> </v>
      </c>
      <c r="H4670" s="24" t="str">
        <f>IF(J4670&lt;&gt;1,"",IF(I4670="SBJ","CB","?"))</f>
        <v> </v>
      </c>
      <c r="I4670" s="25" t="str">
        <f>IF(OR(E4670="",E4670="!!!",F4670="NEW"),"",INDEX(B4669:B$2,-1+SUMPRODUCT(MAX(ROW(E4669:E$2)*(E4670=E4669:E$2)))))</f>
        <v> </v>
      </c>
      <c r="J4670" s="25" t="str">
        <f>IF(OR(E4670="",E4670="!!!",F4670="NEW"),"",COUNTBLANK(OFFSET(A$1,,,SUMPRODUCT(MAX(ROW(E$2:E4670)*(E4670=E$2:E4670)))))-COUNTBLANK(OFFSET(A$1,,,SUMPRODUCT(MAX(ROW(E$1:E4669)*(E2=E$1:E4669))))))</f>
        <v> </v>
      </c>
      <c r="K4670" s="25" t="str">
        <f>IF(OR(E4670="",E4670="!!!",F4670="NEW"),"",INDEX(J$1:J4669,SUMPRODUCT(MAX(ROW(E$1:E4669)*(E4670=E$1:E4669)))))</f>
        <v> </v>
      </c>
      <c r="L4670" s="26"/>
    </row>
    <row r="4671" spans="1:12">
      <c r="A4671" s="20" t="s">
        <v>568</v>
      </c>
      <c r="E4671" s="21">
        <f>IF(D4671="?OLD","!!!","")</f>
        <v/>
      </c>
      <c r="F4671" s="22" t="str">
        <f>IF(OR(E4671="",E4671="!!!"),"",IF(NOT(ISNA(VLOOKUP(E4671,E$1:E4670,1,FALSE()))),"OLD",IF(AND(E4671&lt;&gt;"",E4671&lt;&gt;"!!!"),"NEW","")))</f>
        <v> </v>
      </c>
      <c r="G4671" s="23" t="str">
        <f>IF(OR(E4671="",E4671="!!!"),"",IF(OR(J4671=0,AND(J4671=1,K4671=1),AND(J4671=1,I4671="SBJ"),AND(J4671=1,I4671=0)),"?IN_FOCUS",IF(J4671&lt;=2,"?ACTIVATED",IF(J4671&lt;&gt;"","?FAMILIAR",IF(F4671="NEW",IF(ISNA(VLOOKUP(E4671,#REF!,1,FALSE())),"?TYPE_IDENTIFIABLE","?REFERENTIAL"),"_")))))</f>
        <v> </v>
      </c>
      <c r="H4671" s="24" t="str">
        <f>IF(J4671&lt;&gt;1,"",IF(I4671="SBJ","CB","?"))</f>
        <v> </v>
      </c>
      <c r="I4671" s="25" t="str">
        <f>IF(OR(E4671="",E4671="!!!",F4671="NEW"),"",INDEX(B4670:B$2,-1+SUMPRODUCT(MAX(ROW(E4670:E$2)*(E4671=E4670:E$2)))))</f>
        <v> </v>
      </c>
      <c r="J4671" s="25" t="str">
        <f>IF(OR(E4671="",E4671="!!!",F4671="NEW"),"",COUNTBLANK(OFFSET(A$1,,,SUMPRODUCT(MAX(ROW(E$2:E4671)*(E4671=E$2:E4671)))))-COUNTBLANK(OFFSET(A$1,,,SUMPRODUCT(MAX(ROW(E$1:E4670)*(E2=E$1:E4670))))))</f>
        <v> </v>
      </c>
      <c r="K4671" s="25" t="str">
        <f>IF(OR(E4671="",E4671="!!!",F4671="NEW"),"",INDEX(J$1:J4670,SUMPRODUCT(MAX(ROW(E$1:E4670)*(E4671=E$1:E4670)))))</f>
        <v> </v>
      </c>
      <c r="L4671" s="26"/>
    </row>
    <row r="4672" spans="1:12">
      <c r="A4672" s="20" t="s">
        <v>754</v>
      </c>
      <c r="E4672" s="21">
        <f>IF(D4672="?OLD","!!!","")</f>
        <v/>
      </c>
      <c r="F4672" s="22" t="str">
        <f>IF(OR(E4672="",E4672="!!!"),"",IF(NOT(ISNA(VLOOKUP(E4672,E$1:E4671,1,FALSE()))),"OLD",IF(AND(E4672&lt;&gt;"",E4672&lt;&gt;"!!!"),"NEW","")))</f>
        <v> </v>
      </c>
      <c r="G4672" s="23" t="str">
        <f>IF(OR(E4672="",E4672="!!!"),"",IF(OR(J4672=0,AND(J4672=1,K4672=1),AND(J4672=1,I4672="SBJ"),AND(J4672=1,I4672=0)),"?IN_FOCUS",IF(J4672&lt;=2,"?ACTIVATED",IF(J4672&lt;&gt;"","?FAMILIAR",IF(F4672="NEW",IF(ISNA(VLOOKUP(E4672,#REF!,1,FALSE())),"?TYPE_IDENTIFIABLE","?REFERENTIAL"),"_")))))</f>
        <v> </v>
      </c>
      <c r="H4672" s="24" t="str">
        <f>IF(J4672&lt;&gt;1,"",IF(I4672="SBJ","CB","?"))</f>
        <v> </v>
      </c>
      <c r="I4672" s="25" t="str">
        <f>IF(OR(E4672="",E4672="!!!",F4672="NEW"),"",INDEX(B4671:B$2,-1+SUMPRODUCT(MAX(ROW(E4671:E$2)*(E4672=E4671:E$2)))))</f>
        <v> </v>
      </c>
      <c r="J4672" s="25" t="str">
        <f>IF(OR(E4672="",E4672="!!!",F4672="NEW"),"",COUNTBLANK(OFFSET(A$1,,,SUMPRODUCT(MAX(ROW(E$2:E4672)*(E4672=E$2:E4672)))))-COUNTBLANK(OFFSET(A$1,,,SUMPRODUCT(MAX(ROW(E$1:E4671)*(E2=E$1:E4671))))))</f>
        <v> </v>
      </c>
      <c r="K4672" s="25" t="str">
        <f>IF(OR(E4672="",E4672="!!!",F4672="NEW"),"",INDEX(J$1:J4671,SUMPRODUCT(MAX(ROW(E$1:E4671)*(E4672=E$1:E4671)))))</f>
        <v> </v>
      </c>
      <c r="L4672" s="26"/>
    </row>
    <row r="4673" spans="1:12">
      <c r="A4673" s="20" t="s">
        <v>769</v>
      </c>
      <c r="E4673" s="21">
        <f>IF(D4673="?OLD","!!!","")</f>
        <v/>
      </c>
      <c r="F4673" s="22" t="str">
        <f>IF(OR(E4673="",E4673="!!!"),"",IF(NOT(ISNA(VLOOKUP(E4673,E$1:E4672,1,FALSE()))),"OLD",IF(AND(E4673&lt;&gt;"",E4673&lt;&gt;"!!!"),"NEW","")))</f>
        <v> </v>
      </c>
      <c r="G4673" s="23" t="str">
        <f>IF(OR(E4673="",E4673="!!!"),"",IF(OR(J4673=0,AND(J4673=1,K4673=1),AND(J4673=1,I4673="SBJ"),AND(J4673=1,I4673=0)),"?IN_FOCUS",IF(J4673&lt;=2,"?ACTIVATED",IF(J4673&lt;&gt;"","?FAMILIAR",IF(F4673="NEW",IF(ISNA(VLOOKUP(E4673,#REF!,1,FALSE())),"?TYPE_IDENTIFIABLE","?REFERENTIAL"),"_")))))</f>
        <v> </v>
      </c>
      <c r="H4673" s="24" t="str">
        <f>IF(J4673&lt;&gt;1,"",IF(I4673="SBJ","CB","?"))</f>
        <v> </v>
      </c>
      <c r="I4673" s="25" t="str">
        <f>IF(OR(E4673="",E4673="!!!",F4673="NEW"),"",INDEX(B4672:B$2,-1+SUMPRODUCT(MAX(ROW(E4672:E$2)*(E4673=E4672:E$2)))))</f>
        <v> </v>
      </c>
      <c r="J4673" s="25" t="str">
        <f>IF(OR(E4673="",E4673="!!!",F4673="NEW"),"",COUNTBLANK(OFFSET(A$1,,,SUMPRODUCT(MAX(ROW(E$2:E4673)*(E4673=E$2:E4673)))))-COUNTBLANK(OFFSET(A$1,,,SUMPRODUCT(MAX(ROW(E$1:E4672)*(E2=E$1:E4672))))))</f>
        <v> </v>
      </c>
      <c r="K4673" s="25" t="str">
        <f>IF(OR(E4673="",E4673="!!!",F4673="NEW"),"",INDEX(J$1:J4672,SUMPRODUCT(MAX(ROW(E$1:E4672)*(E4673=E$1:E4672)))))</f>
        <v> </v>
      </c>
      <c r="L4673" s="26"/>
    </row>
    <row r="4674" spans="1:12">
      <c r="A4674" s="20" t="s">
        <v>1903</v>
      </c>
      <c r="B4674" s="27" t="s">
        <v>772</v>
      </c>
      <c r="C4674" s="27" t="s">
        <v>834</v>
      </c>
      <c r="D4674" s="27" t="s">
        <v>774</v>
      </c>
      <c r="E4674" s="21">
        <f>IF(D4674="?OLD","!!!","")</f>
        <v/>
      </c>
      <c r="F4674" s="22" t="str">
        <f>IF(OR(E4674="",E4674="!!!"),"",IF(NOT(ISNA(VLOOKUP(E4674,E$1:E4673,1,FALSE()))),"OLD",IF(AND(E4674&lt;&gt;"",E4674&lt;&gt;"!!!"),"NEW","")))</f>
        <v> </v>
      </c>
      <c r="G4674" s="23" t="str">
        <f>IF(OR(E4674="",E4674="!!!"),"",IF(OR(J4674=0,AND(J4674=1,K4674=1),AND(J4674=1,I4674="SBJ"),AND(J4674=1,I4674=0)),"?IN_FOCUS",IF(J4674&lt;=2,"?ACTIVATED",IF(J4674&lt;&gt;"","?FAMILIAR",IF(F4674="NEW",IF(ISNA(VLOOKUP(E4674,#REF!,1,FALSE())),"?TYPE_IDENTIFIABLE","?REFERENTIAL"),"_")))))</f>
        <v> </v>
      </c>
      <c r="H4674" s="24" t="str">
        <f>IF(J4674&lt;&gt;1,"",IF(I4674="SBJ","CB","?"))</f>
        <v> </v>
      </c>
      <c r="I4674" s="25" t="str">
        <f>IF(OR(E4674="",E4674="!!!",F4674="NEW"),"",INDEX(B4673:B$2,-1+SUMPRODUCT(MAX(ROW(E4673:E$2)*(E4674=E4673:E$2)))))</f>
        <v> </v>
      </c>
      <c r="J4674" s="25" t="str">
        <f>IF(OR(E4674="",E4674="!!!",F4674="NEW"),"",COUNTBLANK(OFFSET(A$1,,,SUMPRODUCT(MAX(ROW(E$2:E4674)*(E4674=E$2:E4674)))))-COUNTBLANK(OFFSET(A$1,,,SUMPRODUCT(MAX(ROW(E$1:E4673)*(E2=E$1:E4673))))))</f>
        <v> </v>
      </c>
      <c r="K4674" s="25" t="str">
        <f>IF(OR(E4674="",E4674="!!!",F4674="NEW"),"",INDEX(J$1:J4673,SUMPRODUCT(MAX(ROW(E$1:E4673)*(E4674=E$1:E4673)))))</f>
        <v> </v>
      </c>
      <c r="L4674" s="26"/>
    </row>
    <row r="4675" spans="1:12">
      <c r="A4675" s="20" t="s">
        <v>768</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1073</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1904</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t="s">
        <v>1637</v>
      </c>
      <c r="B4678" s="27" t="s">
        <v>863</v>
      </c>
      <c r="C4678" s="27" t="s">
        <v>989</v>
      </c>
      <c r="D4678" s="27" t="s">
        <v>774</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768</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t="s">
        <v>1056</v>
      </c>
      <c r="B4680" s="27" t="s">
        <v>815</v>
      </c>
      <c r="C4680" s="27" t="s">
        <v>811</v>
      </c>
      <c r="D4680" s="27" t="s">
        <v>774</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t="s">
        <v>775</v>
      </c>
      <c r="E4681" s="21">
        <f>IF(D4681="?OLD","!!!","")</f>
        <v/>
      </c>
      <c r="F4681" s="22" t="str">
        <f>IF(OR(E4681="",E4681="!!!"),"",IF(NOT(ISNA(VLOOKUP(E4681,E$1:E4680,1,FALSE()))),"OLD",IF(AND(E4681&lt;&gt;"",E4681&lt;&gt;"!!!"),"NEW","")))</f>
        <v> </v>
      </c>
      <c r="G4681" s="23" t="str">
        <f>IF(OR(E4681="",E4681="!!!"),"",IF(OR(J4681=0,AND(J4681=1,K4681=1),AND(J4681=1,I4681="SBJ"),AND(J4681=1,I4681=0)),"?IN_FOCUS",IF(J4681&lt;=2,"?ACTIVATED",IF(J4681&lt;&gt;"","?FAMILIAR",IF(F4681="NEW",IF(ISNA(VLOOKUP(E4681,#REF!,1,FALSE())),"?TYPE_IDENTIFIABLE","?REFERENTIAL"),"_")))))</f>
        <v> </v>
      </c>
      <c r="H4681" s="24" t="str">
        <f>IF(J4681&lt;&gt;1,"",IF(I4681="SBJ","CB","?"))</f>
        <v> </v>
      </c>
      <c r="I4681" s="25" t="str">
        <f>IF(OR(E4681="",E4681="!!!",F4681="NEW"),"",INDEX(B4680:B$2,-1+SUMPRODUCT(MAX(ROW(E4680:E$2)*(E4681=E4680:E$2)))))</f>
        <v> </v>
      </c>
      <c r="J4681" s="25" t="str">
        <f>IF(OR(E4681="",E4681="!!!",F4681="NEW"),"",COUNTBLANK(OFFSET(A$1,,,SUMPRODUCT(MAX(ROW(E$2:E4681)*(E4681=E$2:E4681)))))-COUNTBLANK(OFFSET(A$1,,,SUMPRODUCT(MAX(ROW(E$1:E4680)*(E2=E$1:E4680))))))</f>
        <v> </v>
      </c>
      <c r="K4681" s="25" t="str">
        <f>IF(OR(E4681="",E4681="!!!",F4681="NEW"),"",INDEX(J$1:J4680,SUMPRODUCT(MAX(ROW(E$1:E4680)*(E4681=E$1:E4680)))))</f>
        <v> </v>
      </c>
      <c r="L4681" s="26"/>
    </row>
    <row r="4682" spans="1:12">
      <c r="A4682" s="20"/>
    </row>
    <row r="4683" spans="1:12">
      <c r="A4683" s="20" t="s">
        <v>1905</v>
      </c>
    </row>
    <row r="4684" spans="1:12">
      <c r="A4684" s="20" t="s">
        <v>824</v>
      </c>
      <c r="B4684" s="27" t="s">
        <v>762</v>
      </c>
      <c r="C4684" s="27" t="s">
        <v>778</v>
      </c>
      <c r="D4684" s="27" t="s">
        <v>774</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896</v>
      </c>
      <c r="E4685" s="21">
        <f>IF(D4685="?OLD","!!!","")</f>
        <v/>
      </c>
      <c r="F4685" s="22" t="str">
        <f>IF(OR(E4685="",E4685="!!!"),"",IF(NOT(ISNA(VLOOKUP(E4685,E$1:E4684,1,FALSE()))),"OLD",IF(AND(E4685&lt;&gt;"",E4685&lt;&gt;"!!!"),"NEW","")))</f>
        <v> </v>
      </c>
      <c r="G4685" s="23" t="str">
        <f>IF(OR(E4685="",E4685="!!!"),"",IF(OR(J4685=0,AND(J4685=1,K4685=1),AND(J4685=1,I4685="SBJ"),AND(J4685=1,I4685=0)),"?IN_FOCUS",IF(J4685&lt;=2,"?ACTIVATED",IF(J4685&lt;&gt;"","?FAMILIAR",IF(F4685="NEW",IF(ISNA(VLOOKUP(E4685,#REF!,1,FALSE())),"?TYPE_IDENTIFIABLE","?REFERENTIAL"),"_")))))</f>
        <v> </v>
      </c>
      <c r="H4685" s="24" t="str">
        <f>IF(J4685&lt;&gt;1,"",IF(I4685="SBJ","CB","?"))</f>
        <v> </v>
      </c>
      <c r="I4685" s="25" t="str">
        <f>IF(OR(E4685="",E4685="!!!",F4685="NEW"),"",INDEX(B4684:B$2,-1+SUMPRODUCT(MAX(ROW(E4684:E$2)*(E4685=E4684:E$2)))))</f>
        <v> </v>
      </c>
      <c r="J4685" s="25" t="str">
        <f>IF(OR(E4685="",E4685="!!!",F4685="NEW"),"",COUNTBLANK(OFFSET(A$1,,,SUMPRODUCT(MAX(ROW(E$2:E4685)*(E4685=E$2:E4685)))))-COUNTBLANK(OFFSET(A$1,,,SUMPRODUCT(MAX(ROW(E$1:E4684)*(E2=E$1:E4684))))))</f>
        <v> </v>
      </c>
      <c r="K4685" s="25" t="str">
        <f>IF(OR(E4685="",E4685="!!!",F4685="NEW"),"",INDEX(J$1:J4684,SUMPRODUCT(MAX(ROW(E$1:E4684)*(E4685=E$1:E4684)))))</f>
        <v> </v>
      </c>
      <c r="L4685" s="26"/>
    </row>
    <row r="4686" spans="1:12">
      <c r="A4686" s="20" t="s">
        <v>1906</v>
      </c>
      <c r="E4686" s="21">
        <f>IF(D4686="?OLD","!!!","")</f>
        <v/>
      </c>
      <c r="F4686" s="22" t="str">
        <f>IF(OR(E4686="",E4686="!!!"),"",IF(NOT(ISNA(VLOOKUP(E4686,E$1:E4685,1,FALSE()))),"OLD",IF(AND(E4686&lt;&gt;"",E4686&lt;&gt;"!!!"),"NEW","")))</f>
        <v> </v>
      </c>
      <c r="G4686" s="23" t="str">
        <f>IF(OR(E4686="",E4686="!!!"),"",IF(OR(J4686=0,AND(J4686=1,K4686=1),AND(J4686=1,I4686="SBJ"),AND(J4686=1,I4686=0)),"?IN_FOCUS",IF(J4686&lt;=2,"?ACTIVATED",IF(J4686&lt;&gt;"","?FAMILIAR",IF(F4686="NEW",IF(ISNA(VLOOKUP(E4686,#REF!,1,FALSE())),"?TYPE_IDENTIFIABLE","?REFERENTIAL"),"_")))))</f>
        <v> </v>
      </c>
      <c r="H4686" s="24" t="str">
        <f>IF(J4686&lt;&gt;1,"",IF(I4686="SBJ","CB","?"))</f>
        <v> </v>
      </c>
      <c r="I4686" s="25" t="str">
        <f>IF(OR(E4686="",E4686="!!!",F4686="NEW"),"",INDEX(B4685:B$2,-1+SUMPRODUCT(MAX(ROW(E4685:E$2)*(E4686=E4685:E$2)))))</f>
        <v> </v>
      </c>
      <c r="J4686" s="25" t="str">
        <f>IF(OR(E4686="",E4686="!!!",F4686="NEW"),"",COUNTBLANK(OFFSET(A$1,,,SUMPRODUCT(MAX(ROW(E$2:E4686)*(E4686=E$2:E4686)))))-COUNTBLANK(OFFSET(A$1,,,SUMPRODUCT(MAX(ROW(E$1:E4685)*(E2=E$1:E4685))))))</f>
        <v> </v>
      </c>
      <c r="K4686" s="25" t="str">
        <f>IF(OR(E4686="",E4686="!!!",F4686="NEW"),"",INDEX(J$1:J4685,SUMPRODUCT(MAX(ROW(E$1:E4685)*(E4686=E$1:E4685)))))</f>
        <v> </v>
      </c>
      <c r="L4686" s="26"/>
    </row>
    <row r="4687" spans="1:12">
      <c r="A4687" s="20" t="s">
        <v>568</v>
      </c>
      <c r="E4687" s="21">
        <f>IF(D4687="?OLD","!!!","")</f>
        <v/>
      </c>
      <c r="F4687" s="22" t="str">
        <f>IF(OR(E4687="",E4687="!!!"),"",IF(NOT(ISNA(VLOOKUP(E4687,E$1:E4686,1,FALSE()))),"OLD",IF(AND(E4687&lt;&gt;"",E4687&lt;&gt;"!!!"),"NEW","")))</f>
        <v> </v>
      </c>
      <c r="G4687" s="23" t="str">
        <f>IF(OR(E4687="",E4687="!!!"),"",IF(OR(J4687=0,AND(J4687=1,K4687=1),AND(J4687=1,I4687="SBJ"),AND(J4687=1,I4687=0)),"?IN_FOCUS",IF(J4687&lt;=2,"?ACTIVATED",IF(J4687&lt;&gt;"","?FAMILIAR",IF(F4687="NEW",IF(ISNA(VLOOKUP(E4687,#REF!,1,FALSE())),"?TYPE_IDENTIFIABLE","?REFERENTIAL"),"_")))))</f>
        <v> </v>
      </c>
      <c r="H4687" s="24" t="str">
        <f>IF(J4687&lt;&gt;1,"",IF(I4687="SBJ","CB","?"))</f>
        <v> </v>
      </c>
      <c r="I4687" s="25" t="str">
        <f>IF(OR(E4687="",E4687="!!!",F4687="NEW"),"",INDEX(B4686:B$2,-1+SUMPRODUCT(MAX(ROW(E4686:E$2)*(E4687=E4686:E$2)))))</f>
        <v> </v>
      </c>
      <c r="J4687" s="25" t="str">
        <f>IF(OR(E4687="",E4687="!!!",F4687="NEW"),"",COUNTBLANK(OFFSET(A$1,,,SUMPRODUCT(MAX(ROW(E$2:E4687)*(E4687=E$2:E4687)))))-COUNTBLANK(OFFSET(A$1,,,SUMPRODUCT(MAX(ROW(E$1:E4686)*(E2=E$1:E4686))))))</f>
        <v> </v>
      </c>
      <c r="K4687" s="25" t="str">
        <f>IF(OR(E4687="",E4687="!!!",F4687="NEW"),"",INDEX(J$1:J4686,SUMPRODUCT(MAX(ROW(E$1:E4686)*(E4687=E$1:E4686)))))</f>
        <v> </v>
      </c>
      <c r="L4687" s="26"/>
    </row>
    <row r="4688" spans="1:12">
      <c r="A4688" s="20" t="s">
        <v>1432</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1907</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333</v>
      </c>
      <c r="B4690" s="27" t="s">
        <v>766</v>
      </c>
      <c r="C4690" s="27" t="s">
        <v>759</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t="s">
        <v>760</v>
      </c>
      <c r="E4691" s="21">
        <f>IF(D4691="?OLD","!!!","")</f>
        <v/>
      </c>
      <c r="F4691" s="22" t="str">
        <f>IF(OR(E4691="",E4691="!!!"),"",IF(NOT(ISNA(VLOOKUP(E4691,E$1:E4690,1,FALSE()))),"OLD",IF(AND(E4691&lt;&gt;"",E4691&lt;&gt;"!!!"),"NEW","")))</f>
        <v> </v>
      </c>
      <c r="G4691" s="23" t="str">
        <f>IF(OR(E4691="",E4691="!!!"),"",IF(OR(J4691=0,AND(J4691=1,K4691=1),AND(J4691=1,I4691="SBJ"),AND(J4691=1,I4691=0)),"?IN_FOCUS",IF(J4691&lt;=2,"?ACTIVATED",IF(J4691&lt;&gt;"","?FAMILIAR",IF(F4691="NEW",IF(ISNA(VLOOKUP(E4691,#REF!,1,FALSE())),"?TYPE_IDENTIFIABLE","?REFERENTIAL"),"_")))))</f>
        <v> </v>
      </c>
      <c r="H4691" s="24" t="str">
        <f>IF(J4691&lt;&gt;1,"",IF(I4691="SBJ","CB","?"))</f>
        <v> </v>
      </c>
      <c r="I4691" s="25" t="str">
        <f>IF(OR(E4691="",E4691="!!!",F4691="NEW"),"",INDEX(B4690:B$2,-1+SUMPRODUCT(MAX(ROW(E4690:E$2)*(E4691=E4690:E$2)))))</f>
        <v> </v>
      </c>
      <c r="J4691" s="25" t="str">
        <f>IF(OR(E4691="",E4691="!!!",F4691="NEW"),"",COUNTBLANK(OFFSET(A$1,,,SUMPRODUCT(MAX(ROW(E$2:E4691)*(E4691=E$2:E4691)))))-COUNTBLANK(OFFSET(A$1,,,SUMPRODUCT(MAX(ROW(E$1:E4690)*(E2=E$1:E4690))))))</f>
        <v> </v>
      </c>
      <c r="K4691" s="25" t="str">
        <f>IF(OR(E4691="",E4691="!!!",F4691="NEW"),"",INDEX(J$1:J4690,SUMPRODUCT(MAX(ROW(E$1:E4690)*(E4691=E$1:E4690)))))</f>
        <v> </v>
      </c>
      <c r="L4691" s="26"/>
    </row>
    <row r="4692" spans="1:12">
      <c r="A4692" s="20" t="s">
        <v>340</v>
      </c>
      <c r="E4692" s="21">
        <f>IF(D4692="?OLD","!!!","")</f>
        <v/>
      </c>
      <c r="F4692" s="22" t="str">
        <f>IF(OR(E4692="",E4692="!!!"),"",IF(NOT(ISNA(VLOOKUP(E4692,E$1:E4691,1,FALSE()))),"OLD",IF(AND(E4692&lt;&gt;"",E4692&lt;&gt;"!!!"),"NEW","")))</f>
        <v> </v>
      </c>
      <c r="G4692" s="23" t="str">
        <f>IF(OR(E4692="",E4692="!!!"),"",IF(OR(J4692=0,AND(J4692=1,K4692=1),AND(J4692=1,I4692="SBJ"),AND(J4692=1,I4692=0)),"?IN_FOCUS",IF(J4692&lt;=2,"?ACTIVATED",IF(J4692&lt;&gt;"","?FAMILIAR",IF(F4692="NEW",IF(ISNA(VLOOKUP(E4692,#REF!,1,FALSE())),"?TYPE_IDENTIFIABLE","?REFERENTIAL"),"_")))))</f>
        <v> </v>
      </c>
      <c r="H4692" s="24" t="str">
        <f>IF(J4692&lt;&gt;1,"",IF(I4692="SBJ","CB","?"))</f>
        <v> </v>
      </c>
      <c r="I4692" s="25" t="str">
        <f>IF(OR(E4692="",E4692="!!!",F4692="NEW"),"",INDEX(B4691:B$2,-1+SUMPRODUCT(MAX(ROW(E4691:E$2)*(E4692=E4691:E$2)))))</f>
        <v> </v>
      </c>
      <c r="J4692" s="25" t="str">
        <f>IF(OR(E4692="",E4692="!!!",F4692="NEW"),"",COUNTBLANK(OFFSET(A$1,,,SUMPRODUCT(MAX(ROW(E$2:E4692)*(E4692=E$2:E4692)))))-COUNTBLANK(OFFSET(A$1,,,SUMPRODUCT(MAX(ROW(E$1:E4691)*(E2=E$1:E4691))))))</f>
        <v> </v>
      </c>
      <c r="K4692" s="25" t="str">
        <f>IF(OR(E4692="",E4692="!!!",F4692="NEW"),"",INDEX(J$1:J4691,SUMPRODUCT(MAX(ROW(E$1:E4691)*(E4692=E$1:E4691)))))</f>
        <v> </v>
      </c>
      <c r="L4692" s="26"/>
    </row>
    <row r="4693" spans="1:12">
      <c r="A4693" s="20" t="s">
        <v>824</v>
      </c>
      <c r="B4693" s="27" t="s">
        <v>800</v>
      </c>
      <c r="C4693" s="27" t="s">
        <v>778</v>
      </c>
      <c r="D4693" s="27" t="s">
        <v>774</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1908</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t="s">
        <v>1212</v>
      </c>
      <c r="E4695" s="21">
        <f>IF(D4695="?OLD","!!!","")</f>
        <v/>
      </c>
      <c r="F4695" s="22" t="str">
        <f>IF(OR(E4695="",E4695="!!!"),"",IF(NOT(ISNA(VLOOKUP(E4695,E$1:E4694,1,FALSE()))),"OLD",IF(AND(E4695&lt;&gt;"",E4695&lt;&gt;"!!!"),"NEW","")))</f>
        <v> </v>
      </c>
      <c r="G4695" s="23" t="str">
        <f>IF(OR(E4695="",E4695="!!!"),"",IF(OR(J4695=0,AND(J4695=1,K4695=1),AND(J4695=1,I4695="SBJ"),AND(J4695=1,I4695=0)),"?IN_FOCUS",IF(J4695&lt;=2,"?ACTIVATED",IF(J4695&lt;&gt;"","?FAMILIAR",IF(F4695="NEW",IF(ISNA(VLOOKUP(E4695,#REF!,1,FALSE())),"?TYPE_IDENTIFIABLE","?REFERENTIAL"),"_")))))</f>
        <v> </v>
      </c>
      <c r="H4695" s="24" t="str">
        <f>IF(J4695&lt;&gt;1,"",IF(I4695="SBJ","CB","?"))</f>
        <v> </v>
      </c>
      <c r="I4695" s="25" t="str">
        <f>IF(OR(E4695="",E4695="!!!",F4695="NEW"),"",INDEX(B4694:B$2,-1+SUMPRODUCT(MAX(ROW(E4694:E$2)*(E4695=E4694:E$2)))))</f>
        <v> </v>
      </c>
      <c r="J4695" s="25" t="str">
        <f>IF(OR(E4695="",E4695="!!!",F4695="NEW"),"",COUNTBLANK(OFFSET(A$1,,,SUMPRODUCT(MAX(ROW(E$2:E4695)*(E4695=E$2:E4695)))))-COUNTBLANK(OFFSET(A$1,,,SUMPRODUCT(MAX(ROW(E$1:E4694)*(E2=E$1:E4694))))))</f>
        <v> </v>
      </c>
      <c r="K4695" s="25" t="str">
        <f>IF(OR(E4695="",E4695="!!!",F4695="NEW"),"",INDEX(J$1:J4694,SUMPRODUCT(MAX(ROW(E$1:E4694)*(E4695=E$1:E4694)))))</f>
        <v> </v>
      </c>
      <c r="L4695" s="26"/>
    </row>
    <row r="4696" spans="1:12">
      <c r="A4696" s="20" t="s">
        <v>1909</v>
      </c>
      <c r="E4696" s="21">
        <f>IF(D4696="?OLD","!!!","")</f>
        <v/>
      </c>
      <c r="F4696" s="22" t="str">
        <f>IF(OR(E4696="",E4696="!!!"),"",IF(NOT(ISNA(VLOOKUP(E4696,E$1:E4695,1,FALSE()))),"OLD",IF(AND(E4696&lt;&gt;"",E4696&lt;&gt;"!!!"),"NEW","")))</f>
        <v> </v>
      </c>
      <c r="G4696" s="23" t="str">
        <f>IF(OR(E4696="",E4696="!!!"),"",IF(OR(J4696=0,AND(J4696=1,K4696=1),AND(J4696=1,I4696="SBJ"),AND(J4696=1,I4696=0)),"?IN_FOCUS",IF(J4696&lt;=2,"?ACTIVATED",IF(J4696&lt;&gt;"","?FAMILIAR",IF(F4696="NEW",IF(ISNA(VLOOKUP(E4696,#REF!,1,FALSE())),"?TYPE_IDENTIFIABLE","?REFERENTIAL"),"_")))))</f>
        <v> </v>
      </c>
      <c r="H4696" s="24" t="str">
        <f>IF(J4696&lt;&gt;1,"",IF(I4696="SBJ","CB","?"))</f>
        <v> </v>
      </c>
      <c r="I4696" s="25" t="str">
        <f>IF(OR(E4696="",E4696="!!!",F4696="NEW"),"",INDEX(B4695:B$2,-1+SUMPRODUCT(MAX(ROW(E4695:E$2)*(E4696=E4695:E$2)))))</f>
        <v> </v>
      </c>
      <c r="J4696" s="25" t="str">
        <f>IF(OR(E4696="",E4696="!!!",F4696="NEW"),"",COUNTBLANK(OFFSET(A$1,,,SUMPRODUCT(MAX(ROW(E$2:E4696)*(E4696=E$2:E4696)))))-COUNTBLANK(OFFSET(A$1,,,SUMPRODUCT(MAX(ROW(E$1:E4695)*(E2=E$1:E4695))))))</f>
        <v> </v>
      </c>
      <c r="K4696" s="25" t="str">
        <f>IF(OR(E4696="",E4696="!!!",F4696="NEW"),"",INDEX(J$1:J4695,SUMPRODUCT(MAX(ROW(E$1:E4695)*(E4696=E$1:E4695)))))</f>
        <v> </v>
      </c>
      <c r="L4696" s="26"/>
    </row>
    <row r="4697" spans="1:12">
      <c r="A4697" s="20" t="s">
        <v>996</v>
      </c>
      <c r="E4697" s="21">
        <f>IF(D4697="?OLD","!!!","")</f>
        <v/>
      </c>
      <c r="F4697" s="22" t="str">
        <f>IF(OR(E4697="",E4697="!!!"),"",IF(NOT(ISNA(VLOOKUP(E4697,E$1:E4696,1,FALSE()))),"OLD",IF(AND(E4697&lt;&gt;"",E4697&lt;&gt;"!!!"),"NEW","")))</f>
        <v> </v>
      </c>
      <c r="G4697" s="23" t="str">
        <f>IF(OR(E4697="",E4697="!!!"),"",IF(OR(J4697=0,AND(J4697=1,K4697=1),AND(J4697=1,I4697="SBJ"),AND(J4697=1,I4697=0)),"?IN_FOCUS",IF(J4697&lt;=2,"?ACTIVATED",IF(J4697&lt;&gt;"","?FAMILIAR",IF(F4697="NEW",IF(ISNA(VLOOKUP(E4697,#REF!,1,FALSE())),"?TYPE_IDENTIFIABLE","?REFERENTIAL"),"_")))))</f>
        <v> </v>
      </c>
      <c r="H4697" s="24" t="str">
        <f>IF(J4697&lt;&gt;1,"",IF(I4697="SBJ","CB","?"))</f>
        <v> </v>
      </c>
      <c r="I4697" s="25" t="str">
        <f>IF(OR(E4697="",E4697="!!!",F4697="NEW"),"",INDEX(B4696:B$2,-1+SUMPRODUCT(MAX(ROW(E4696:E$2)*(E4697=E4696:E$2)))))</f>
        <v> </v>
      </c>
      <c r="J4697" s="25" t="str">
        <f>IF(OR(E4697="",E4697="!!!",F4697="NEW"),"",COUNTBLANK(OFFSET(A$1,,,SUMPRODUCT(MAX(ROW(E$2:E4697)*(E4697=E$2:E4697)))))-COUNTBLANK(OFFSET(A$1,,,SUMPRODUCT(MAX(ROW(E$1:E4696)*(E2=E$1:E4696))))))</f>
        <v> </v>
      </c>
      <c r="K4697" s="25" t="str">
        <f>IF(OR(E4697="",E4697="!!!",F4697="NEW"),"",INDEX(J$1:J4696,SUMPRODUCT(MAX(ROW(E$1:E4696)*(E4697=E$1:E4696)))))</f>
        <v> </v>
      </c>
      <c r="L4697" s="26"/>
    </row>
    <row r="4698" spans="1:12">
      <c r="A4698" s="20" t="s">
        <v>920</v>
      </c>
      <c r="B4698" s="27" t="s">
        <v>863</v>
      </c>
      <c r="C4698" s="27" t="s">
        <v>848</v>
      </c>
      <c r="D4698" s="27" t="s">
        <v>774</v>
      </c>
      <c r="E4698" s="21">
        <f>IF(D4698="?OLD","!!!","")</f>
        <v/>
      </c>
      <c r="F4698" s="22" t="str">
        <f>IF(OR(E4698="",E4698="!!!"),"",IF(NOT(ISNA(VLOOKUP(E4698,E$1:E4697,1,FALSE()))),"OLD",IF(AND(E4698&lt;&gt;"",E4698&lt;&gt;"!!!"),"NEW","")))</f>
        <v> </v>
      </c>
      <c r="G4698" s="23" t="str">
        <f>IF(OR(E4698="",E4698="!!!"),"",IF(OR(J4698=0,AND(J4698=1,K4698=1),AND(J4698=1,I4698="SBJ"),AND(J4698=1,I4698=0)),"?IN_FOCUS",IF(J4698&lt;=2,"?ACTIVATED",IF(J4698&lt;&gt;"","?FAMILIAR",IF(F4698="NEW",IF(ISNA(VLOOKUP(E4698,#REF!,1,FALSE())),"?TYPE_IDENTIFIABLE","?REFERENTIAL"),"_")))))</f>
        <v> </v>
      </c>
      <c r="H4698" s="24" t="str">
        <f>IF(J4698&lt;&gt;1,"",IF(I4698="SBJ","CB","?"))</f>
        <v> </v>
      </c>
      <c r="I4698" s="25" t="str">
        <f>IF(OR(E4698="",E4698="!!!",F4698="NEW"),"",INDEX(B4697:B$2,-1+SUMPRODUCT(MAX(ROW(E4697:E$2)*(E4698=E4697:E$2)))))</f>
        <v> </v>
      </c>
      <c r="J4698" s="25" t="str">
        <f>IF(OR(E4698="",E4698="!!!",F4698="NEW"),"",COUNTBLANK(OFFSET(A$1,,,SUMPRODUCT(MAX(ROW(E$2:E4698)*(E4698=E$2:E4698)))))-COUNTBLANK(OFFSET(A$1,,,SUMPRODUCT(MAX(ROW(E$1:E4697)*(E2=E$1:E4697))))))</f>
        <v> </v>
      </c>
      <c r="K4698" s="25" t="str">
        <f>IF(OR(E4698="",E4698="!!!",F4698="NEW"),"",INDEX(J$1:J4697,SUMPRODUCT(MAX(ROW(E$1:E4697)*(E4698=E$1:E4697)))))</f>
        <v> </v>
      </c>
      <c r="L4698" s="26"/>
    </row>
    <row r="4699" spans="1:12">
      <c r="A4699" s="20" t="s">
        <v>1910</v>
      </c>
      <c r="E4699" s="21">
        <f>IF(D4699="?OLD","!!!","")</f>
        <v/>
      </c>
      <c r="F4699" s="22" t="str">
        <f>IF(OR(E4699="",E4699="!!!"),"",IF(NOT(ISNA(VLOOKUP(E4699,E$1:E4698,1,FALSE()))),"OLD",IF(AND(E4699&lt;&gt;"",E4699&lt;&gt;"!!!"),"NEW","")))</f>
        <v> </v>
      </c>
      <c r="G4699" s="23" t="str">
        <f>IF(OR(E4699="",E4699="!!!"),"",IF(OR(J4699=0,AND(J4699=1,K4699=1),AND(J4699=1,I4699="SBJ"),AND(J4699=1,I4699=0)),"?IN_FOCUS",IF(J4699&lt;=2,"?ACTIVATED",IF(J4699&lt;&gt;"","?FAMILIAR",IF(F4699="NEW",IF(ISNA(VLOOKUP(E4699,#REF!,1,FALSE())),"?TYPE_IDENTIFIABLE","?REFERENTIAL"),"_")))))</f>
        <v> </v>
      </c>
      <c r="H4699" s="24" t="str">
        <f>IF(J4699&lt;&gt;1,"",IF(I4699="SBJ","CB","?"))</f>
        <v> </v>
      </c>
      <c r="I4699" s="25" t="str">
        <f>IF(OR(E4699="",E4699="!!!",F4699="NEW"),"",INDEX(B4698:B$2,-1+SUMPRODUCT(MAX(ROW(E4698:E$2)*(E4699=E4698:E$2)))))</f>
        <v> </v>
      </c>
      <c r="J4699" s="25" t="str">
        <f>IF(OR(E4699="",E4699="!!!",F4699="NEW"),"",COUNTBLANK(OFFSET(A$1,,,SUMPRODUCT(MAX(ROW(E$2:E4699)*(E4699=E$2:E4699)))))-COUNTBLANK(OFFSET(A$1,,,SUMPRODUCT(MAX(ROW(E$1:E4698)*(E2=E$1:E4698))))))</f>
        <v> </v>
      </c>
      <c r="K4699" s="25" t="str">
        <f>IF(OR(E4699="",E4699="!!!",F4699="NEW"),"",INDEX(J$1:J4698,SUMPRODUCT(MAX(ROW(E$1:E4698)*(E4699=E$1:E4698)))))</f>
        <v> </v>
      </c>
      <c r="L4699" s="26"/>
    </row>
    <row r="4700" spans="1:12">
      <c r="A4700" s="20" t="s">
        <v>1911</v>
      </c>
      <c r="B4700" s="27" t="s">
        <v>772</v>
      </c>
      <c r="C4700" s="27" t="s">
        <v>834</v>
      </c>
      <c r="D4700" s="27" t="s">
        <v>774</v>
      </c>
      <c r="E4700" s="21">
        <f>IF(D4700="?OLD","!!!","")</f>
        <v/>
      </c>
      <c r="F4700" s="22" t="str">
        <f>IF(OR(E4700="",E4700="!!!"),"",IF(NOT(ISNA(VLOOKUP(E4700,E$1:E4699,1,FALSE()))),"OLD",IF(AND(E4700&lt;&gt;"",E4700&lt;&gt;"!!!"),"NEW","")))</f>
        <v> </v>
      </c>
      <c r="G4700" s="23" t="str">
        <f>IF(OR(E4700="",E4700="!!!"),"",IF(OR(J4700=0,AND(J4700=1,K4700=1),AND(J4700=1,I4700="SBJ"),AND(J4700=1,I4700=0)),"?IN_FOCUS",IF(J4700&lt;=2,"?ACTIVATED",IF(J4700&lt;&gt;"","?FAMILIAR",IF(F4700="NEW",IF(ISNA(VLOOKUP(E4700,#REF!,1,FALSE())),"?TYPE_IDENTIFIABLE","?REFERENTIAL"),"_")))))</f>
        <v> </v>
      </c>
      <c r="H4700" s="24" t="str">
        <f>IF(J4700&lt;&gt;1,"",IF(I4700="SBJ","CB","?"))</f>
        <v> </v>
      </c>
      <c r="I4700" s="25" t="str">
        <f>IF(OR(E4700="",E4700="!!!",F4700="NEW"),"",INDEX(B4699:B$2,-1+SUMPRODUCT(MAX(ROW(E4699:E$2)*(E4700=E4699:E$2)))))</f>
        <v> </v>
      </c>
      <c r="J4700" s="25" t="str">
        <f>IF(OR(E4700="",E4700="!!!",F4700="NEW"),"",COUNTBLANK(OFFSET(A$1,,,SUMPRODUCT(MAX(ROW(E$2:E4700)*(E4700=E$2:E4700)))))-COUNTBLANK(OFFSET(A$1,,,SUMPRODUCT(MAX(ROW(E$1:E4699)*(E2=E$1:E4699))))))</f>
        <v> </v>
      </c>
      <c r="K4700" s="25" t="str">
        <f>IF(OR(E4700="",E4700="!!!",F4700="NEW"),"",INDEX(J$1:J4699,SUMPRODUCT(MAX(ROW(E$1:E4699)*(E4700=E$1:E4699)))))</f>
        <v> </v>
      </c>
      <c r="L4700" s="26"/>
    </row>
    <row r="4701" spans="1:12">
      <c r="A4701" s="20" t="s">
        <v>775</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row>
    <row r="4703" spans="1:12">
      <c r="A4703" s="20" t="s">
        <v>1912</v>
      </c>
    </row>
    <row r="4704" spans="1:12">
      <c r="A4704" s="20" t="s">
        <v>830</v>
      </c>
      <c r="E4704" s="21">
        <f>IF(D4704="?OLD","!!!","")</f>
        <v/>
      </c>
      <c r="F4704" s="22" t="str">
        <f>IF(OR(E4704="",E4704="!!!"),"",IF(NOT(ISNA(VLOOKUP(E4704,E$1:E4703,1,FALSE()))),"OLD",IF(AND(E4704&lt;&gt;"",E4704&lt;&gt;"!!!"),"NEW","")))</f>
        <v> </v>
      </c>
      <c r="G4704" s="23" t="str">
        <f>IF(OR(E4704="",E4704="!!!"),"",IF(OR(J4704=0,AND(J4704=1,K4704=1),AND(J4704=1,I4704="SBJ"),AND(J4704=1,I4704=0)),"?IN_FOCUS",IF(J4704&lt;=2,"?ACTIVATED",IF(J4704&lt;&gt;"","?FAMILIAR",IF(F4704="NEW",IF(ISNA(VLOOKUP(E4704,#REF!,1,FALSE())),"?TYPE_IDENTIFIABLE","?REFERENTIAL"),"_")))))</f>
        <v> </v>
      </c>
      <c r="H4704" s="24" t="str">
        <f>IF(J4704&lt;&gt;1,"",IF(I4704="SBJ","CB","?"))</f>
        <v> </v>
      </c>
      <c r="I4704" s="25" t="str">
        <f>IF(OR(E4704="",E4704="!!!",F4704="NEW"),"",INDEX(B4703:B$2,-1+SUMPRODUCT(MAX(ROW(E4703:E$2)*(E4704=E4703:E$2)))))</f>
        <v> </v>
      </c>
      <c r="J4704" s="25" t="str">
        <f>IF(OR(E4704="",E4704="!!!",F4704="NEW"),"",COUNTBLANK(OFFSET(A$1,,,SUMPRODUCT(MAX(ROW(E$2:E4704)*(E4704=E$2:E4704)))))-COUNTBLANK(OFFSET(A$1,,,SUMPRODUCT(MAX(ROW(E$1:E4703)*(E2=E$1:E4703))))))</f>
        <v> </v>
      </c>
      <c r="K4704" s="25" t="str">
        <f>IF(OR(E4704="",E4704="!!!",F4704="NEW"),"",INDEX(J$1:J4703,SUMPRODUCT(MAX(ROW(E$1:E4703)*(E4704=E$1:E4703)))))</f>
        <v> </v>
      </c>
      <c r="L4704" s="26"/>
    </row>
    <row r="4705" spans="1:12">
      <c r="A4705" s="20" t="s">
        <v>824</v>
      </c>
      <c r="B4705" s="27" t="s">
        <v>762</v>
      </c>
      <c r="C4705" s="27" t="s">
        <v>778</v>
      </c>
      <c r="D4705" s="27" t="s">
        <v>774</v>
      </c>
      <c r="E4705" s="21">
        <f>IF(D4705="?OLD","!!!","")</f>
        <v/>
      </c>
      <c r="F4705" s="22" t="str">
        <f>IF(OR(E4705="",E4705="!!!"),"",IF(NOT(ISNA(VLOOKUP(E4705,E$1:E4704,1,FALSE()))),"OLD",IF(AND(E4705&lt;&gt;"",E4705&lt;&gt;"!!!"),"NEW","")))</f>
        <v> </v>
      </c>
      <c r="G4705" s="23" t="str">
        <f>IF(OR(E4705="",E4705="!!!"),"",IF(OR(J4705=0,AND(J4705=1,K4705=1),AND(J4705=1,I4705="SBJ"),AND(J4705=1,I4705=0)),"?IN_FOCUS",IF(J4705&lt;=2,"?ACTIVATED",IF(J4705&lt;&gt;"","?FAMILIAR",IF(F4705="NEW",IF(ISNA(VLOOKUP(E4705,#REF!,1,FALSE())),"?TYPE_IDENTIFIABLE","?REFERENTIAL"),"_")))))</f>
        <v> </v>
      </c>
      <c r="H4705" s="24" t="str">
        <f>IF(J4705&lt;&gt;1,"",IF(I4705="SBJ","CB","?"))</f>
        <v> </v>
      </c>
      <c r="I4705" s="25" t="str">
        <f>IF(OR(E4705="",E4705="!!!",F4705="NEW"),"",INDEX(B4704:B$2,-1+SUMPRODUCT(MAX(ROW(E4704:E$2)*(E4705=E4704:E$2)))))</f>
        <v> </v>
      </c>
      <c r="J4705" s="25" t="str">
        <f>IF(OR(E4705="",E4705="!!!",F4705="NEW"),"",COUNTBLANK(OFFSET(A$1,,,SUMPRODUCT(MAX(ROW(E$2:E4705)*(E4705=E$2:E4705)))))-COUNTBLANK(OFFSET(A$1,,,SUMPRODUCT(MAX(ROW(E$1:E4704)*(E2=E$1:E4704))))))</f>
        <v> </v>
      </c>
      <c r="K4705" s="25" t="str">
        <f>IF(OR(E4705="",E4705="!!!",F4705="NEW"),"",INDEX(J$1:J4704,SUMPRODUCT(MAX(ROW(E$1:E4704)*(E4705=E$1:E4704)))))</f>
        <v> </v>
      </c>
      <c r="L4705" s="26"/>
    </row>
    <row r="4706" spans="1:12">
      <c r="A4706" s="20" t="s">
        <v>1000</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1422</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1913</v>
      </c>
      <c r="B4708" s="27" t="s">
        <v>800</v>
      </c>
      <c r="C4708" s="27" t="s">
        <v>759</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1151</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1914</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1005</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769</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1550</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1915</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1916</v>
      </c>
      <c r="B4715" s="27" t="s">
        <v>802</v>
      </c>
      <c r="C4715" s="27" t="s">
        <v>773</v>
      </c>
      <c r="D4715" s="27" t="s">
        <v>774</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775</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row>
    <row r="4718" spans="1:12">
      <c r="A4718" s="20" t="s">
        <v>1917</v>
      </c>
    </row>
    <row r="4719" spans="1:12">
      <c r="A4719" s="20" t="s">
        <v>1918</v>
      </c>
      <c r="E4719" s="21">
        <f>IF(D4719="?OLD","!!!","")</f>
        <v/>
      </c>
      <c r="F4719" s="22" t="str">
        <f>IF(OR(E4719="",E4719="!!!"),"",IF(NOT(ISNA(VLOOKUP(E4719,E$1:E4718,1,FALSE()))),"OLD",IF(AND(E4719&lt;&gt;"",E4719&lt;&gt;"!!!"),"NEW","")))</f>
        <v> </v>
      </c>
      <c r="G4719" s="23" t="str">
        <f>IF(OR(E4719="",E4719="!!!"),"",IF(OR(J4719=0,AND(J4719=1,K4719=1),AND(J4719=1,I4719="SBJ"),AND(J4719=1,I4719=0)),"?IN_FOCUS",IF(J4719&lt;=2,"?ACTIVATED",IF(J4719&lt;&gt;"","?FAMILIAR",IF(F4719="NEW",IF(ISNA(VLOOKUP(E4719,#REF!,1,FALSE())),"?TYPE_IDENTIFIABLE","?REFERENTIAL"),"_")))))</f>
        <v> </v>
      </c>
      <c r="H4719" s="24" t="str">
        <f>IF(J4719&lt;&gt;1,"",IF(I4719="SBJ","CB","?"))</f>
        <v> </v>
      </c>
      <c r="I4719" s="25" t="str">
        <f>IF(OR(E4719="",E4719="!!!",F4719="NEW"),"",INDEX(B4718:B$2,-1+SUMPRODUCT(MAX(ROW(E4718:E$2)*(E4719=E4718:E$2)))))</f>
        <v> </v>
      </c>
      <c r="J4719" s="25" t="str">
        <f>IF(OR(E4719="",E4719="!!!",F4719="NEW"),"",COUNTBLANK(OFFSET(A$1,,,SUMPRODUCT(MAX(ROW(E$2:E4719)*(E4719=E$2:E4719)))))-COUNTBLANK(OFFSET(A$1,,,SUMPRODUCT(MAX(ROW(E$1:E4718)*(E2=E$1:E4718))))))</f>
        <v> </v>
      </c>
      <c r="K4719" s="25" t="str">
        <f>IF(OR(E4719="",E4719="!!!",F4719="NEW"),"",INDEX(J$1:J4718,SUMPRODUCT(MAX(ROW(E$1:E4718)*(E4719=E$1:E4718)))))</f>
        <v> </v>
      </c>
      <c r="L4719" s="26"/>
    </row>
    <row r="4720" spans="1:12">
      <c r="A4720" s="20" t="s">
        <v>1118</v>
      </c>
      <c r="E4720" s="21">
        <f>IF(D4720="?OLD","!!!","")</f>
        <v/>
      </c>
      <c r="F4720" s="22" t="str">
        <f>IF(OR(E4720="",E4720="!!!"),"",IF(NOT(ISNA(VLOOKUP(E4720,E$1:E4719,1,FALSE()))),"OLD",IF(AND(E4720&lt;&gt;"",E4720&lt;&gt;"!!!"),"NEW","")))</f>
        <v> </v>
      </c>
      <c r="G4720" s="23" t="str">
        <f>IF(OR(E4720="",E4720="!!!"),"",IF(OR(J4720=0,AND(J4720=1,K4720=1),AND(J4720=1,I4720="SBJ"),AND(J4720=1,I4720=0)),"?IN_FOCUS",IF(J4720&lt;=2,"?ACTIVATED",IF(J4720&lt;&gt;"","?FAMILIAR",IF(F4720="NEW",IF(ISNA(VLOOKUP(E4720,#REF!,1,FALSE())),"?TYPE_IDENTIFIABLE","?REFERENTIAL"),"_")))))</f>
        <v> </v>
      </c>
      <c r="H4720" s="24" t="str">
        <f>IF(J4720&lt;&gt;1,"",IF(I4720="SBJ","CB","?"))</f>
        <v> </v>
      </c>
      <c r="I4720" s="25" t="str">
        <f>IF(OR(E4720="",E4720="!!!",F4720="NEW"),"",INDEX(B4719:B$2,-1+SUMPRODUCT(MAX(ROW(E4719:E$2)*(E4720=E4719:E$2)))))</f>
        <v> </v>
      </c>
      <c r="J4720" s="25" t="str">
        <f>IF(OR(E4720="",E4720="!!!",F4720="NEW"),"",COUNTBLANK(OFFSET(A$1,,,SUMPRODUCT(MAX(ROW(E$2:E4720)*(E4720=E$2:E4720)))))-COUNTBLANK(OFFSET(A$1,,,SUMPRODUCT(MAX(ROW(E$1:E4719)*(E2=E$1:E4719))))))</f>
        <v> </v>
      </c>
      <c r="K4720" s="25" t="str">
        <f>IF(OR(E4720="",E4720="!!!",F4720="NEW"),"",INDEX(J$1:J4719,SUMPRODUCT(MAX(ROW(E$1:E4719)*(E4720=E$1:E4719)))))</f>
        <v> </v>
      </c>
      <c r="L4720" s="26"/>
    </row>
    <row r="4721" spans="1:12">
      <c r="A4721" s="20" t="s">
        <v>48</v>
      </c>
      <c r="E4721" s="21">
        <f>IF(D4721="?OLD","!!!","")</f>
        <v/>
      </c>
      <c r="F4721" s="22" t="str">
        <f>IF(OR(E4721="",E4721="!!!"),"",IF(NOT(ISNA(VLOOKUP(E4721,E$1:E4720,1,FALSE()))),"OLD",IF(AND(E4721&lt;&gt;"",E4721&lt;&gt;"!!!"),"NEW","")))</f>
        <v> </v>
      </c>
      <c r="G4721" s="23" t="str">
        <f>IF(OR(E4721="",E4721="!!!"),"",IF(OR(J4721=0,AND(J4721=1,K4721=1),AND(J4721=1,I4721="SBJ"),AND(J4721=1,I4721=0)),"?IN_FOCUS",IF(J4721&lt;=2,"?ACTIVATED",IF(J4721&lt;&gt;"","?FAMILIAR",IF(F4721="NEW",IF(ISNA(VLOOKUP(E4721,#REF!,1,FALSE())),"?TYPE_IDENTIFIABLE","?REFERENTIAL"),"_")))))</f>
        <v> </v>
      </c>
      <c r="H4721" s="24" t="str">
        <f>IF(J4721&lt;&gt;1,"",IF(I4721="SBJ","CB","?"))</f>
        <v> </v>
      </c>
      <c r="I4721" s="25" t="str">
        <f>IF(OR(E4721="",E4721="!!!",F4721="NEW"),"",INDEX(B4720:B$2,-1+SUMPRODUCT(MAX(ROW(E4720:E$2)*(E4721=E4720:E$2)))))</f>
        <v> </v>
      </c>
      <c r="J4721" s="25" t="str">
        <f>IF(OR(E4721="",E4721="!!!",F4721="NEW"),"",COUNTBLANK(OFFSET(A$1,,,SUMPRODUCT(MAX(ROW(E$2:E4721)*(E4721=E$2:E4721)))))-COUNTBLANK(OFFSET(A$1,,,SUMPRODUCT(MAX(ROW(E$1:E4720)*(E2=E$1:E4720))))))</f>
        <v> </v>
      </c>
      <c r="K4721" s="25" t="str">
        <f>IF(OR(E4721="",E4721="!!!",F4721="NEW"),"",INDEX(J$1:J4720,SUMPRODUCT(MAX(ROW(E$1:E4720)*(E4721=E$1:E4720)))))</f>
        <v> </v>
      </c>
      <c r="L4721" s="26"/>
    </row>
    <row r="4722" spans="1:12">
      <c r="A4722" s="20" t="s">
        <v>827</v>
      </c>
      <c r="B4722" s="27" t="s">
        <v>758</v>
      </c>
      <c r="C4722" s="27" t="s">
        <v>989</v>
      </c>
      <c r="D4722" s="27" t="s">
        <v>774</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760</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t="s">
        <v>824</v>
      </c>
      <c r="B4724" s="27" t="s">
        <v>762</v>
      </c>
      <c r="C4724" s="27" t="s">
        <v>778</v>
      </c>
      <c r="D4724" s="27" t="s">
        <v>774</v>
      </c>
      <c r="E4724" s="21">
        <f>IF(D4724="?OLD","!!!","")</f>
        <v/>
      </c>
      <c r="F4724" s="22" t="str">
        <f>IF(OR(E4724="",E4724="!!!"),"",IF(NOT(ISNA(VLOOKUP(E4724,E$1:E4723,1,FALSE()))),"OLD",IF(AND(E4724&lt;&gt;"",E4724&lt;&gt;"!!!"),"NEW","")))</f>
        <v> </v>
      </c>
      <c r="G4724" s="23" t="str">
        <f>IF(OR(E4724="",E4724="!!!"),"",IF(OR(J4724=0,AND(J4724=1,K4724=1),AND(J4724=1,I4724="SBJ"),AND(J4724=1,I4724=0)),"?IN_FOCUS",IF(J4724&lt;=2,"?ACTIVATED",IF(J4724&lt;&gt;"","?FAMILIAR",IF(F4724="NEW",IF(ISNA(VLOOKUP(E4724,#REF!,1,FALSE())),"?TYPE_IDENTIFIABLE","?REFERENTIAL"),"_")))))</f>
        <v> </v>
      </c>
      <c r="H4724" s="24" t="str">
        <f>IF(J4724&lt;&gt;1,"",IF(I4724="SBJ","CB","?"))</f>
        <v> </v>
      </c>
      <c r="I4724" s="25" t="str">
        <f>IF(OR(E4724="",E4724="!!!",F4724="NEW"),"",INDEX(B4723:B$2,-1+SUMPRODUCT(MAX(ROW(E4723:E$2)*(E4724=E4723:E$2)))))</f>
        <v> </v>
      </c>
      <c r="J4724" s="25" t="str">
        <f>IF(OR(E4724="",E4724="!!!",F4724="NEW"),"",COUNTBLANK(OFFSET(A$1,,,SUMPRODUCT(MAX(ROW(E$2:E4724)*(E4724=E$2:E4724)))))-COUNTBLANK(OFFSET(A$1,,,SUMPRODUCT(MAX(ROW(E$1:E4723)*(E2=E$1:E4723))))))</f>
        <v> </v>
      </c>
      <c r="K4724" s="25" t="str">
        <f>IF(OR(E4724="",E4724="!!!",F4724="NEW"),"",INDEX(J$1:J4723,SUMPRODUCT(MAX(ROW(E$1:E4723)*(E4724=E$1:E4723)))))</f>
        <v> </v>
      </c>
      <c r="L4724" s="26"/>
    </row>
    <row r="4725" spans="1:12">
      <c r="A4725" s="20" t="s">
        <v>982</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t="s">
        <v>1919</v>
      </c>
      <c r="E4726" s="21">
        <f>IF(D4726="?OLD","!!!","")</f>
        <v/>
      </c>
      <c r="F4726" s="22" t="str">
        <f>IF(OR(E4726="",E4726="!!!"),"",IF(NOT(ISNA(VLOOKUP(E4726,E$1:E4725,1,FALSE()))),"OLD",IF(AND(E4726&lt;&gt;"",E4726&lt;&gt;"!!!"),"NEW","")))</f>
        <v> </v>
      </c>
      <c r="G4726" s="23" t="str">
        <f>IF(OR(E4726="",E4726="!!!"),"",IF(OR(J4726=0,AND(J4726=1,K4726=1),AND(J4726=1,I4726="SBJ"),AND(J4726=1,I4726=0)),"?IN_FOCUS",IF(J4726&lt;=2,"?ACTIVATED",IF(J4726&lt;&gt;"","?FAMILIAR",IF(F4726="NEW",IF(ISNA(VLOOKUP(E4726,#REF!,1,FALSE())),"?TYPE_IDENTIFIABLE","?REFERENTIAL"),"_")))))</f>
        <v> </v>
      </c>
      <c r="H4726" s="24" t="str">
        <f>IF(J4726&lt;&gt;1,"",IF(I4726="SBJ","CB","?"))</f>
        <v> </v>
      </c>
      <c r="I4726" s="25" t="str">
        <f>IF(OR(E4726="",E4726="!!!",F4726="NEW"),"",INDEX(B4725:B$2,-1+SUMPRODUCT(MAX(ROW(E4725:E$2)*(E4726=E4725:E$2)))))</f>
        <v> </v>
      </c>
      <c r="J4726" s="25" t="str">
        <f>IF(OR(E4726="",E4726="!!!",F4726="NEW"),"",COUNTBLANK(OFFSET(A$1,,,SUMPRODUCT(MAX(ROW(E$2:E4726)*(E4726=E$2:E4726)))))-COUNTBLANK(OFFSET(A$1,,,SUMPRODUCT(MAX(ROW(E$1:E4725)*(E2=E$1:E4725))))))</f>
        <v> </v>
      </c>
      <c r="K4726" s="25" t="str">
        <f>IF(OR(E4726="",E4726="!!!",F4726="NEW"),"",INDEX(J$1:J4725,SUMPRODUCT(MAX(ROW(E$1:E4725)*(E4726=E$1:E4725)))))</f>
        <v> </v>
      </c>
      <c r="L4726" s="26"/>
    </row>
    <row r="4727" spans="1:12">
      <c r="A4727" s="20" t="s">
        <v>340</v>
      </c>
      <c r="E4727" s="21">
        <f>IF(D4727="?OLD","!!!","")</f>
        <v/>
      </c>
      <c r="F4727" s="22" t="str">
        <f>IF(OR(E4727="",E4727="!!!"),"",IF(NOT(ISNA(VLOOKUP(E4727,E$1:E4726,1,FALSE()))),"OLD",IF(AND(E4727&lt;&gt;"",E4727&lt;&gt;"!!!"),"NEW","")))</f>
        <v> </v>
      </c>
      <c r="G4727" s="23" t="str">
        <f>IF(OR(E4727="",E4727="!!!"),"",IF(OR(J4727=0,AND(J4727=1,K4727=1),AND(J4727=1,I4727="SBJ"),AND(J4727=1,I4727=0)),"?IN_FOCUS",IF(J4727&lt;=2,"?ACTIVATED",IF(J4727&lt;&gt;"","?FAMILIAR",IF(F4727="NEW",IF(ISNA(VLOOKUP(E4727,#REF!,1,FALSE())),"?TYPE_IDENTIFIABLE","?REFERENTIAL"),"_")))))</f>
        <v> </v>
      </c>
      <c r="H4727" s="24" t="str">
        <f>IF(J4727&lt;&gt;1,"",IF(I4727="SBJ","CB","?"))</f>
        <v> </v>
      </c>
      <c r="I4727" s="25" t="str">
        <f>IF(OR(E4727="",E4727="!!!",F4727="NEW"),"",INDEX(B4726:B$2,-1+SUMPRODUCT(MAX(ROW(E4726:E$2)*(E4727=E4726:E$2)))))</f>
        <v> </v>
      </c>
      <c r="J4727" s="25" t="str">
        <f>IF(OR(E4727="",E4727="!!!",F4727="NEW"),"",COUNTBLANK(OFFSET(A$1,,,SUMPRODUCT(MAX(ROW(E$2:E4727)*(E4727=E$2:E4727)))))-COUNTBLANK(OFFSET(A$1,,,SUMPRODUCT(MAX(ROW(E$1:E4726)*(E2=E$1:E4726))))))</f>
        <v> </v>
      </c>
      <c r="K4727" s="25" t="str">
        <f>IF(OR(E4727="",E4727="!!!",F4727="NEW"),"",INDEX(J$1:J4726,SUMPRODUCT(MAX(ROW(E$1:E4726)*(E4727=E$1:E4726)))))</f>
        <v> </v>
      </c>
      <c r="L4727" s="26"/>
    </row>
    <row r="4728" spans="1:12">
      <c r="A4728" s="20" t="s">
        <v>1920</v>
      </c>
      <c r="E4728" s="21">
        <f>IF(D4728="?OLD","!!!","")</f>
        <v/>
      </c>
      <c r="F4728" s="22" t="str">
        <f>IF(OR(E4728="",E4728="!!!"),"",IF(NOT(ISNA(VLOOKUP(E4728,E$1:E4727,1,FALSE()))),"OLD",IF(AND(E4728&lt;&gt;"",E4728&lt;&gt;"!!!"),"NEW","")))</f>
        <v> </v>
      </c>
      <c r="G4728" s="23" t="str">
        <f>IF(OR(E4728="",E4728="!!!"),"",IF(OR(J4728=0,AND(J4728=1,K4728=1),AND(J4728=1,I4728="SBJ"),AND(J4728=1,I4728=0)),"?IN_FOCUS",IF(J4728&lt;=2,"?ACTIVATED",IF(J4728&lt;&gt;"","?FAMILIAR",IF(F4728="NEW",IF(ISNA(VLOOKUP(E4728,#REF!,1,FALSE())),"?TYPE_IDENTIFIABLE","?REFERENTIAL"),"_")))))</f>
        <v> </v>
      </c>
      <c r="H4728" s="24" t="str">
        <f>IF(J4728&lt;&gt;1,"",IF(I4728="SBJ","CB","?"))</f>
        <v> </v>
      </c>
      <c r="I4728" s="25" t="str">
        <f>IF(OR(E4728="",E4728="!!!",F4728="NEW"),"",INDEX(B4727:B$2,-1+SUMPRODUCT(MAX(ROW(E4727:E$2)*(E4728=E4727:E$2)))))</f>
        <v> </v>
      </c>
      <c r="J4728" s="25" t="str">
        <f>IF(OR(E4728="",E4728="!!!",F4728="NEW"),"",COUNTBLANK(OFFSET(A$1,,,SUMPRODUCT(MAX(ROW(E$2:E4728)*(E4728=E$2:E4728)))))-COUNTBLANK(OFFSET(A$1,,,SUMPRODUCT(MAX(ROW(E$1:E4727)*(E2=E$1:E4727))))))</f>
        <v> </v>
      </c>
      <c r="K4728" s="25" t="str">
        <f>IF(OR(E4728="",E4728="!!!",F4728="NEW"),"",INDEX(J$1:J4727,SUMPRODUCT(MAX(ROW(E$1:E4727)*(E4728=E$1:E4727)))))</f>
        <v> </v>
      </c>
      <c r="L4728" s="26"/>
    </row>
    <row r="4729" spans="1:12">
      <c r="A4729" s="20" t="s">
        <v>769</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1921</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1922</v>
      </c>
      <c r="B4731" s="27" t="s">
        <v>766</v>
      </c>
      <c r="C4731" s="27" t="s">
        <v>773</v>
      </c>
      <c r="D4731" s="27" t="s">
        <v>774</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768</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t="s">
        <v>1923</v>
      </c>
      <c r="E4733" s="21">
        <f>IF(D4733="?OLD","!!!","")</f>
        <v/>
      </c>
      <c r="F4733" s="22" t="str">
        <f>IF(OR(E4733="",E4733="!!!"),"",IF(NOT(ISNA(VLOOKUP(E4733,E$1:E4732,1,FALSE()))),"OLD",IF(AND(E4733&lt;&gt;"",E4733&lt;&gt;"!!!"),"NEW","")))</f>
        <v> </v>
      </c>
      <c r="G4733" s="23" t="str">
        <f>IF(OR(E4733="",E4733="!!!"),"",IF(OR(J4733=0,AND(J4733=1,K4733=1),AND(J4733=1,I4733="SBJ"),AND(J4733=1,I4733=0)),"?IN_FOCUS",IF(J4733&lt;=2,"?ACTIVATED",IF(J4733&lt;&gt;"","?FAMILIAR",IF(F4733="NEW",IF(ISNA(VLOOKUP(E4733,#REF!,1,FALSE())),"?TYPE_IDENTIFIABLE","?REFERENTIAL"),"_")))))</f>
        <v> </v>
      </c>
      <c r="H4733" s="24" t="str">
        <f>IF(J4733&lt;&gt;1,"",IF(I4733="SBJ","CB","?"))</f>
        <v> </v>
      </c>
      <c r="I4733" s="25" t="str">
        <f>IF(OR(E4733="",E4733="!!!",F4733="NEW"),"",INDEX(B4732:B$2,-1+SUMPRODUCT(MAX(ROW(E4732:E$2)*(E4733=E4732:E$2)))))</f>
        <v> </v>
      </c>
      <c r="J4733" s="25" t="str">
        <f>IF(OR(E4733="",E4733="!!!",F4733="NEW"),"",COUNTBLANK(OFFSET(A$1,,,SUMPRODUCT(MAX(ROW(E$2:E4733)*(E4733=E$2:E4733)))))-COUNTBLANK(OFFSET(A$1,,,SUMPRODUCT(MAX(ROW(E$1:E4732)*(E2=E$1:E4732))))))</f>
        <v> </v>
      </c>
      <c r="K4733" s="25" t="str">
        <f>IF(OR(E4733="",E4733="!!!",F4733="NEW"),"",INDEX(J$1:J4732,SUMPRODUCT(MAX(ROW(E$1:E4732)*(E4733=E$1:E4732)))))</f>
        <v> </v>
      </c>
      <c r="L4733" s="26"/>
    </row>
    <row r="4734" spans="1:12">
      <c r="A4734" s="20" t="s">
        <v>1924</v>
      </c>
      <c r="B4734" s="27" t="s">
        <v>772</v>
      </c>
      <c r="C4734" s="27" t="s">
        <v>759</v>
      </c>
      <c r="E4734" s="21">
        <f>IF(D4734="?OLD","!!!","")</f>
        <v/>
      </c>
      <c r="F4734" s="22" t="str">
        <f>IF(OR(E4734="",E4734="!!!"),"",IF(NOT(ISNA(VLOOKUP(E4734,E$1:E4733,1,FALSE()))),"OLD",IF(AND(E4734&lt;&gt;"",E4734&lt;&gt;"!!!"),"NEW","")))</f>
        <v> </v>
      </c>
      <c r="G4734" s="23" t="str">
        <f>IF(OR(E4734="",E4734="!!!"),"",IF(OR(J4734=0,AND(J4734=1,K4734=1),AND(J4734=1,I4734="SBJ"),AND(J4734=1,I4734=0)),"?IN_FOCUS",IF(J4734&lt;=2,"?ACTIVATED",IF(J4734&lt;&gt;"","?FAMILIAR",IF(F4734="NEW",IF(ISNA(VLOOKUP(E4734,#REF!,1,FALSE())),"?TYPE_IDENTIFIABLE","?REFERENTIAL"),"_")))))</f>
        <v> </v>
      </c>
      <c r="H4734" s="24" t="str">
        <f>IF(J4734&lt;&gt;1,"",IF(I4734="SBJ","CB","?"))</f>
        <v> </v>
      </c>
      <c r="I4734" s="25" t="str">
        <f>IF(OR(E4734="",E4734="!!!",F4734="NEW"),"",INDEX(B4733:B$2,-1+SUMPRODUCT(MAX(ROW(E4733:E$2)*(E4734=E4733:E$2)))))</f>
        <v> </v>
      </c>
      <c r="J4734" s="25" t="str">
        <f>IF(OR(E4734="",E4734="!!!",F4734="NEW"),"",COUNTBLANK(OFFSET(A$1,,,SUMPRODUCT(MAX(ROW(E$2:E4734)*(E4734=E$2:E4734)))))-COUNTBLANK(OFFSET(A$1,,,SUMPRODUCT(MAX(ROW(E$1:E4733)*(E2=E$1:E4733))))))</f>
        <v> </v>
      </c>
      <c r="K4734" s="25" t="str">
        <f>IF(OR(E4734="",E4734="!!!",F4734="NEW"),"",INDEX(J$1:J4733,SUMPRODUCT(MAX(ROW(E$1:E4733)*(E4734=E$1:E4733)))))</f>
        <v> </v>
      </c>
      <c r="L4734" s="26"/>
    </row>
    <row r="4735" spans="1:12">
      <c r="A4735" s="20" t="s">
        <v>760</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t="s">
        <v>340</v>
      </c>
      <c r="E4736" s="21">
        <f>IF(D4736="?OLD","!!!","")</f>
        <v/>
      </c>
      <c r="F4736" s="22" t="str">
        <f>IF(OR(E4736="",E4736="!!!"),"",IF(NOT(ISNA(VLOOKUP(E4736,E$1:E4735,1,FALSE()))),"OLD",IF(AND(E4736&lt;&gt;"",E4736&lt;&gt;"!!!"),"NEW","")))</f>
        <v> </v>
      </c>
      <c r="G4736" s="23" t="str">
        <f>IF(OR(E4736="",E4736="!!!"),"",IF(OR(J4736=0,AND(J4736=1,K4736=1),AND(J4736=1,I4736="SBJ"),AND(J4736=1,I4736=0)),"?IN_FOCUS",IF(J4736&lt;=2,"?ACTIVATED",IF(J4736&lt;&gt;"","?FAMILIAR",IF(F4736="NEW",IF(ISNA(VLOOKUP(E4736,#REF!,1,FALSE())),"?TYPE_IDENTIFIABLE","?REFERENTIAL"),"_")))))</f>
        <v> </v>
      </c>
      <c r="H4736" s="24" t="str">
        <f>IF(J4736&lt;&gt;1,"",IF(I4736="SBJ","CB","?"))</f>
        <v> </v>
      </c>
      <c r="I4736" s="25" t="str">
        <f>IF(OR(E4736="",E4736="!!!",F4736="NEW"),"",INDEX(B4735:B$2,-1+SUMPRODUCT(MAX(ROW(E4735:E$2)*(E4736=E4735:E$2)))))</f>
        <v> </v>
      </c>
      <c r="J4736" s="25" t="str">
        <f>IF(OR(E4736="",E4736="!!!",F4736="NEW"),"",COUNTBLANK(OFFSET(A$1,,,SUMPRODUCT(MAX(ROW(E$2:E4736)*(E4736=E$2:E4736)))))-COUNTBLANK(OFFSET(A$1,,,SUMPRODUCT(MAX(ROW(E$1:E4735)*(E2=E$1:E4735))))))</f>
        <v> </v>
      </c>
      <c r="K4736" s="25" t="str">
        <f>IF(OR(E4736="",E4736="!!!",F4736="NEW"),"",INDEX(J$1:J4735,SUMPRODUCT(MAX(ROW(E$1:E4735)*(E4736=E$1:E4735)))))</f>
        <v> </v>
      </c>
      <c r="L4736" s="26"/>
    </row>
    <row r="4737" spans="1:12">
      <c r="A4737" s="20" t="s">
        <v>824</v>
      </c>
      <c r="B4737" s="27" t="s">
        <v>800</v>
      </c>
      <c r="C4737" s="27" t="s">
        <v>778</v>
      </c>
      <c r="D4737" s="27" t="s">
        <v>774</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982</v>
      </c>
      <c r="E4738" s="21">
        <f>IF(D4738="?OLD","!!!","")</f>
        <v/>
      </c>
      <c r="F4738" s="22" t="str">
        <f>IF(OR(E4738="",E4738="!!!"),"",IF(NOT(ISNA(VLOOKUP(E4738,E$1:E4737,1,FALSE()))),"OLD",IF(AND(E4738&lt;&gt;"",E4738&lt;&gt;"!!!"),"NEW","")))</f>
        <v> </v>
      </c>
      <c r="G4738" s="23" t="str">
        <f>IF(OR(E4738="",E4738="!!!"),"",IF(OR(J4738=0,AND(J4738=1,K4738=1),AND(J4738=1,I4738="SBJ"),AND(J4738=1,I4738=0)),"?IN_FOCUS",IF(J4738&lt;=2,"?ACTIVATED",IF(J4738&lt;&gt;"","?FAMILIAR",IF(F4738="NEW",IF(ISNA(VLOOKUP(E4738,#REF!,1,FALSE())),"?TYPE_IDENTIFIABLE","?REFERENTIAL"),"_")))))</f>
        <v> </v>
      </c>
      <c r="H4738" s="24" t="str">
        <f>IF(J4738&lt;&gt;1,"",IF(I4738="SBJ","CB","?"))</f>
        <v> </v>
      </c>
      <c r="I4738" s="25" t="str">
        <f>IF(OR(E4738="",E4738="!!!",F4738="NEW"),"",INDEX(B4737:B$2,-1+SUMPRODUCT(MAX(ROW(E4737:E$2)*(E4738=E4737:E$2)))))</f>
        <v> </v>
      </c>
      <c r="J4738" s="25" t="str">
        <f>IF(OR(E4738="",E4738="!!!",F4738="NEW"),"",COUNTBLANK(OFFSET(A$1,,,SUMPRODUCT(MAX(ROW(E$2:E4738)*(E4738=E$2:E4738)))))-COUNTBLANK(OFFSET(A$1,,,SUMPRODUCT(MAX(ROW(E$1:E4737)*(E2=E$1:E4737))))))</f>
        <v> </v>
      </c>
      <c r="K4738" s="25" t="str">
        <f>IF(OR(E4738="",E4738="!!!",F4738="NEW"),"",INDEX(J$1:J4737,SUMPRODUCT(MAX(ROW(E$1:E4737)*(E4738=E$1:E4737)))))</f>
        <v> </v>
      </c>
      <c r="L4738" s="26"/>
    </row>
    <row r="4739" spans="1:12">
      <c r="A4739" s="20" t="s">
        <v>33</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807</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138</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1422</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795</v>
      </c>
      <c r="B4743" s="27" t="s">
        <v>1022</v>
      </c>
      <c r="C4743" s="27" t="s">
        <v>778</v>
      </c>
      <c r="D4743" s="27" t="s">
        <v>774</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1925</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1772</v>
      </c>
      <c r="B4745" s="27" t="s">
        <v>1036</v>
      </c>
      <c r="C4745" s="27" t="s">
        <v>811</v>
      </c>
      <c r="D4745" s="27" t="s">
        <v>774</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t="s">
        <v>1082</v>
      </c>
      <c r="E4746" s="21">
        <f>IF(D4746="?OLD","!!!","")</f>
        <v/>
      </c>
      <c r="F4746" s="22" t="str">
        <f>IF(OR(E4746="",E4746="!!!"),"",IF(NOT(ISNA(VLOOKUP(E4746,E$1:E4745,1,FALSE()))),"OLD",IF(AND(E4746&lt;&gt;"",E4746&lt;&gt;"!!!"),"NEW","")))</f>
        <v> </v>
      </c>
      <c r="G4746" s="23" t="str">
        <f>IF(OR(E4746="",E4746="!!!"),"",IF(OR(J4746=0,AND(J4746=1,K4746=1),AND(J4746=1,I4746="SBJ"),AND(J4746=1,I4746=0)),"?IN_FOCUS",IF(J4746&lt;=2,"?ACTIVATED",IF(J4746&lt;&gt;"","?FAMILIAR",IF(F4746="NEW",IF(ISNA(VLOOKUP(E4746,#REF!,1,FALSE())),"?TYPE_IDENTIFIABLE","?REFERENTIAL"),"_")))))</f>
        <v> </v>
      </c>
      <c r="H4746" s="24" t="str">
        <f>IF(J4746&lt;&gt;1,"",IF(I4746="SBJ","CB","?"))</f>
        <v> </v>
      </c>
      <c r="I4746" s="25" t="str">
        <f>IF(OR(E4746="",E4746="!!!",F4746="NEW"),"",INDEX(B4745:B$2,-1+SUMPRODUCT(MAX(ROW(E4745:E$2)*(E4746=E4745:E$2)))))</f>
        <v> </v>
      </c>
      <c r="J4746" s="25" t="str">
        <f>IF(OR(E4746="",E4746="!!!",F4746="NEW"),"",COUNTBLANK(OFFSET(A$1,,,SUMPRODUCT(MAX(ROW(E$2:E4746)*(E4746=E$2:E4746)))))-COUNTBLANK(OFFSET(A$1,,,SUMPRODUCT(MAX(ROW(E$1:E4745)*(E2=E$1:E4745))))))</f>
        <v> </v>
      </c>
      <c r="K4746" s="25" t="str">
        <f>IF(OR(E4746="",E4746="!!!",F4746="NEW"),"",INDEX(J$1:J4745,SUMPRODUCT(MAX(ROW(E$1:E4745)*(E4746=E$1:E4745)))))</f>
        <v> </v>
      </c>
      <c r="L4746" s="26"/>
    </row>
    <row r="4747" spans="1:12">
      <c r="A4747" s="20" t="s">
        <v>775</v>
      </c>
      <c r="E4747" s="21">
        <f>IF(D4747="?OLD","!!!","")</f>
        <v/>
      </c>
      <c r="F4747" s="22" t="str">
        <f>IF(OR(E4747="",E4747="!!!"),"",IF(NOT(ISNA(VLOOKUP(E4747,E$1:E4746,1,FALSE()))),"OLD",IF(AND(E4747&lt;&gt;"",E4747&lt;&gt;"!!!"),"NEW","")))</f>
        <v> </v>
      </c>
      <c r="G4747" s="23" t="str">
        <f>IF(OR(E4747="",E4747="!!!"),"",IF(OR(J4747=0,AND(J4747=1,K4747=1),AND(J4747=1,I4747="SBJ"),AND(J4747=1,I4747=0)),"?IN_FOCUS",IF(J4747&lt;=2,"?ACTIVATED",IF(J4747&lt;&gt;"","?FAMILIAR",IF(F4747="NEW",IF(ISNA(VLOOKUP(E4747,#REF!,1,FALSE())),"?TYPE_IDENTIFIABLE","?REFERENTIAL"),"_")))))</f>
        <v> </v>
      </c>
      <c r="H4747" s="24" t="str">
        <f>IF(J4747&lt;&gt;1,"",IF(I4747="SBJ","CB","?"))</f>
        <v> </v>
      </c>
      <c r="I4747" s="25" t="str">
        <f>IF(OR(E4747="",E4747="!!!",F4747="NEW"),"",INDEX(B4746:B$2,-1+SUMPRODUCT(MAX(ROW(E4746:E$2)*(E4747=E4746:E$2)))))</f>
        <v> </v>
      </c>
      <c r="J4747" s="25" t="str">
        <f>IF(OR(E4747="",E4747="!!!",F4747="NEW"),"",COUNTBLANK(OFFSET(A$1,,,SUMPRODUCT(MAX(ROW(E$2:E4747)*(E4747=E$2:E4747)))))-COUNTBLANK(OFFSET(A$1,,,SUMPRODUCT(MAX(ROW(E$1:E4746)*(E2=E$1:E4746))))))</f>
        <v> </v>
      </c>
      <c r="K4747" s="25" t="str">
        <f>IF(OR(E4747="",E4747="!!!",F4747="NEW"),"",INDEX(J$1:J4746,SUMPRODUCT(MAX(ROW(E$1:E4746)*(E4747=E$1:E4746)))))</f>
        <v> </v>
      </c>
      <c r="L4747" s="26"/>
    </row>
    <row r="4748" spans="1:12">
      <c r="A4748" s="20"/>
    </row>
    <row r="4749" spans="1:12">
      <c r="A4749" s="20" t="s">
        <v>1926</v>
      </c>
    </row>
    <row r="4750" spans="1:12">
      <c r="A4750" s="20" t="s">
        <v>830</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1150</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824</v>
      </c>
      <c r="B4752" s="27" t="s">
        <v>800</v>
      </c>
      <c r="C4752" s="27" t="s">
        <v>778</v>
      </c>
      <c r="D4752" s="27" t="s">
        <v>774</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t="s">
        <v>982</v>
      </c>
      <c r="E4753" s="21">
        <f>IF(D4753="?OLD","!!!","")</f>
        <v/>
      </c>
      <c r="F4753" s="22" t="str">
        <f>IF(OR(E4753="",E4753="!!!"),"",IF(NOT(ISNA(VLOOKUP(E4753,E$1:E4752,1,FALSE()))),"OLD",IF(AND(E4753&lt;&gt;"",E4753&lt;&gt;"!!!"),"NEW","")))</f>
        <v> </v>
      </c>
      <c r="G4753" s="23" t="str">
        <f>IF(OR(E4753="",E4753="!!!"),"",IF(OR(J4753=0,AND(J4753=1,K4753=1),AND(J4753=1,I4753="SBJ"),AND(J4753=1,I4753=0)),"?IN_FOCUS",IF(J4753&lt;=2,"?ACTIVATED",IF(J4753&lt;&gt;"","?FAMILIAR",IF(F4753="NEW",IF(ISNA(VLOOKUP(E4753,#REF!,1,FALSE())),"?TYPE_IDENTIFIABLE","?REFERENTIAL"),"_")))))</f>
        <v> </v>
      </c>
      <c r="H4753" s="24" t="str">
        <f>IF(J4753&lt;&gt;1,"",IF(I4753="SBJ","CB","?"))</f>
        <v> </v>
      </c>
      <c r="I4753" s="25" t="str">
        <f>IF(OR(E4753="",E4753="!!!",F4753="NEW"),"",INDEX(B4752:B$2,-1+SUMPRODUCT(MAX(ROW(E4752:E$2)*(E4753=E4752:E$2)))))</f>
        <v> </v>
      </c>
      <c r="J4753" s="25" t="str">
        <f>IF(OR(E4753="",E4753="!!!",F4753="NEW"),"",COUNTBLANK(OFFSET(A$1,,,SUMPRODUCT(MAX(ROW(E$2:E4753)*(E4753=E$2:E4753)))))-COUNTBLANK(OFFSET(A$1,,,SUMPRODUCT(MAX(ROW(E$1:E4752)*(E2=E$1:E4752))))))</f>
        <v> </v>
      </c>
      <c r="K4753" s="25" t="str">
        <f>IF(OR(E4753="",E4753="!!!",F4753="NEW"),"",INDEX(J$1:J4752,SUMPRODUCT(MAX(ROW(E$1:E4752)*(E4753=E$1:E4752)))))</f>
        <v> </v>
      </c>
      <c r="L4753" s="26"/>
    </row>
    <row r="4754" spans="1:12">
      <c r="A4754" s="20" t="s">
        <v>1585</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t="s">
        <v>894</v>
      </c>
      <c r="E4755" s="21">
        <f>IF(D4755="?OLD","!!!","")</f>
        <v/>
      </c>
      <c r="F4755" s="22" t="str">
        <f>IF(OR(E4755="",E4755="!!!"),"",IF(NOT(ISNA(VLOOKUP(E4755,E$1:E4754,1,FALSE()))),"OLD",IF(AND(E4755&lt;&gt;"",E4755&lt;&gt;"!!!"),"NEW","")))</f>
        <v> </v>
      </c>
      <c r="G4755" s="23" t="str">
        <f>IF(OR(E4755="",E4755="!!!"),"",IF(OR(J4755=0,AND(J4755=1,K4755=1),AND(J4755=1,I4755="SBJ"),AND(J4755=1,I4755=0)),"?IN_FOCUS",IF(J4755&lt;=2,"?ACTIVATED",IF(J4755&lt;&gt;"","?FAMILIAR",IF(F4755="NEW",IF(ISNA(VLOOKUP(E4755,#REF!,1,FALSE())),"?TYPE_IDENTIFIABLE","?REFERENTIAL"),"_")))))</f>
        <v> </v>
      </c>
      <c r="H4755" s="24" t="str">
        <f>IF(J4755&lt;&gt;1,"",IF(I4755="SBJ","CB","?"))</f>
        <v> </v>
      </c>
      <c r="I4755" s="25" t="str">
        <f>IF(OR(E4755="",E4755="!!!",F4755="NEW"),"",INDEX(B4754:B$2,-1+SUMPRODUCT(MAX(ROW(E4754:E$2)*(E4755=E4754:E$2)))))</f>
        <v> </v>
      </c>
      <c r="J4755" s="25" t="str">
        <f>IF(OR(E4755="",E4755="!!!",F4755="NEW"),"",COUNTBLANK(OFFSET(A$1,,,SUMPRODUCT(MAX(ROW(E$2:E4755)*(E4755=E$2:E4755)))))-COUNTBLANK(OFFSET(A$1,,,SUMPRODUCT(MAX(ROW(E$1:E4754)*(E2=E$1:E4754))))))</f>
        <v> </v>
      </c>
      <c r="K4755" s="25" t="str">
        <f>IF(OR(E4755="",E4755="!!!",F4755="NEW"),"",INDEX(J$1:J4754,SUMPRODUCT(MAX(ROW(E$1:E4754)*(E4755=E$1:E4754)))))</f>
        <v> </v>
      </c>
      <c r="L4755" s="26"/>
    </row>
    <row r="4756" spans="1:12">
      <c r="A4756" s="20" t="s">
        <v>769</v>
      </c>
      <c r="E4756" s="21">
        <f>IF(D4756="?OLD","!!!","")</f>
        <v/>
      </c>
      <c r="F4756" s="22" t="str">
        <f>IF(OR(E4756="",E4756="!!!"),"",IF(NOT(ISNA(VLOOKUP(E4756,E$1:E4755,1,FALSE()))),"OLD",IF(AND(E4756&lt;&gt;"",E4756&lt;&gt;"!!!"),"NEW","")))</f>
        <v> </v>
      </c>
      <c r="G4756" s="23" t="str">
        <f>IF(OR(E4756="",E4756="!!!"),"",IF(OR(J4756=0,AND(J4756=1,K4756=1),AND(J4756=1,I4756="SBJ"),AND(J4756=1,I4756=0)),"?IN_FOCUS",IF(J4756&lt;=2,"?ACTIVATED",IF(J4756&lt;&gt;"","?FAMILIAR",IF(F4756="NEW",IF(ISNA(VLOOKUP(E4756,#REF!,1,FALSE())),"?TYPE_IDENTIFIABLE","?REFERENTIAL"),"_")))))</f>
        <v> </v>
      </c>
      <c r="H4756" s="24" t="str">
        <f>IF(J4756&lt;&gt;1,"",IF(I4756="SBJ","CB","?"))</f>
        <v> </v>
      </c>
      <c r="I4756" s="25" t="str">
        <f>IF(OR(E4756="",E4756="!!!",F4756="NEW"),"",INDEX(B4755:B$2,-1+SUMPRODUCT(MAX(ROW(E4755:E$2)*(E4756=E4755:E$2)))))</f>
        <v> </v>
      </c>
      <c r="J4756" s="25" t="str">
        <f>IF(OR(E4756="",E4756="!!!",F4756="NEW"),"",COUNTBLANK(OFFSET(A$1,,,SUMPRODUCT(MAX(ROW(E$2:E4756)*(E4756=E$2:E4756)))))-COUNTBLANK(OFFSET(A$1,,,SUMPRODUCT(MAX(ROW(E$1:E4755)*(E2=E$1:E4755))))))</f>
        <v> </v>
      </c>
      <c r="K4756" s="25" t="str">
        <f>IF(OR(E4756="",E4756="!!!",F4756="NEW"),"",INDEX(J$1:J4755,SUMPRODUCT(MAX(ROW(E$1:E4755)*(E4756=E$1:E4755)))))</f>
        <v> </v>
      </c>
      <c r="L4756" s="26"/>
    </row>
    <row r="4757" spans="1:12">
      <c r="A4757" s="20" t="s">
        <v>1101</v>
      </c>
      <c r="B4757" s="27" t="s">
        <v>802</v>
      </c>
      <c r="C4757" s="27" t="s">
        <v>773</v>
      </c>
      <c r="D4757" s="27" t="s">
        <v>774</v>
      </c>
      <c r="E4757" s="21">
        <f>IF(D4757="?OLD","!!!","")</f>
        <v/>
      </c>
      <c r="F4757" s="22" t="str">
        <f>IF(OR(E4757="",E4757="!!!"),"",IF(NOT(ISNA(VLOOKUP(E4757,E$1:E4756,1,FALSE()))),"OLD",IF(AND(E4757&lt;&gt;"",E4757&lt;&gt;"!!!"),"NEW","")))</f>
        <v> </v>
      </c>
      <c r="G4757" s="23" t="str">
        <f>IF(OR(E4757="",E4757="!!!"),"",IF(OR(J4757=0,AND(J4757=1,K4757=1),AND(J4757=1,I4757="SBJ"),AND(J4757=1,I4757=0)),"?IN_FOCUS",IF(J4757&lt;=2,"?ACTIVATED",IF(J4757&lt;&gt;"","?FAMILIAR",IF(F4757="NEW",IF(ISNA(VLOOKUP(E4757,#REF!,1,FALSE())),"?TYPE_IDENTIFIABLE","?REFERENTIAL"),"_")))))</f>
        <v> </v>
      </c>
      <c r="H4757" s="24" t="str">
        <f>IF(J4757&lt;&gt;1,"",IF(I4757="SBJ","CB","?"))</f>
        <v> </v>
      </c>
      <c r="I4757" s="25" t="str">
        <f>IF(OR(E4757="",E4757="!!!",F4757="NEW"),"",INDEX(B4756:B$2,-1+SUMPRODUCT(MAX(ROW(E4756:E$2)*(E4757=E4756:E$2)))))</f>
        <v> </v>
      </c>
      <c r="J4757" s="25" t="str">
        <f>IF(OR(E4757="",E4757="!!!",F4757="NEW"),"",COUNTBLANK(OFFSET(A$1,,,SUMPRODUCT(MAX(ROW(E$2:E4757)*(E4757=E$2:E4757)))))-COUNTBLANK(OFFSET(A$1,,,SUMPRODUCT(MAX(ROW(E$1:E4756)*(E2=E$1:E4756))))))</f>
        <v> </v>
      </c>
      <c r="K4757" s="25" t="str">
        <f>IF(OR(E4757="",E4757="!!!",F4757="NEW"),"",INDEX(J$1:J4756,SUMPRODUCT(MAX(ROW(E$1:E4756)*(E4757=E$1:E4756)))))</f>
        <v> </v>
      </c>
      <c r="L4757" s="26"/>
    </row>
    <row r="4758" spans="1:12">
      <c r="A4758" s="20" t="s">
        <v>824</v>
      </c>
      <c r="B4758" s="27" t="s">
        <v>1022</v>
      </c>
      <c r="C4758" s="27" t="s">
        <v>778</v>
      </c>
      <c r="D4758" s="27" t="s">
        <v>774</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t="s">
        <v>825</v>
      </c>
      <c r="E4759" s="21">
        <f>IF(D4759="?OLD","!!!","")</f>
        <v/>
      </c>
      <c r="F4759" s="22" t="str">
        <f>IF(OR(E4759="",E4759="!!!"),"",IF(NOT(ISNA(VLOOKUP(E4759,E$1:E4758,1,FALSE()))),"OLD",IF(AND(E4759&lt;&gt;"",E4759&lt;&gt;"!!!"),"NEW","")))</f>
        <v> </v>
      </c>
      <c r="G4759" s="23" t="str">
        <f>IF(OR(E4759="",E4759="!!!"),"",IF(OR(J4759=0,AND(J4759=1,K4759=1),AND(J4759=1,I4759="SBJ"),AND(J4759=1,I4759=0)),"?IN_FOCUS",IF(J4759&lt;=2,"?ACTIVATED",IF(J4759&lt;&gt;"","?FAMILIAR",IF(F4759="NEW",IF(ISNA(VLOOKUP(E4759,#REF!,1,FALSE())),"?TYPE_IDENTIFIABLE","?REFERENTIAL"),"_")))))</f>
        <v> </v>
      </c>
      <c r="H4759" s="24" t="str">
        <f>IF(J4759&lt;&gt;1,"",IF(I4759="SBJ","CB","?"))</f>
        <v> </v>
      </c>
      <c r="I4759" s="25" t="str">
        <f>IF(OR(E4759="",E4759="!!!",F4759="NEW"),"",INDEX(B4758:B$2,-1+SUMPRODUCT(MAX(ROW(E4758:E$2)*(E4759=E4758:E$2)))))</f>
        <v> </v>
      </c>
      <c r="J4759" s="25" t="str">
        <f>IF(OR(E4759="",E4759="!!!",F4759="NEW"),"",COUNTBLANK(OFFSET(A$1,,,SUMPRODUCT(MAX(ROW(E$2:E4759)*(E4759=E$2:E4759)))))-COUNTBLANK(OFFSET(A$1,,,SUMPRODUCT(MAX(ROW(E$1:E4758)*(E2=E$1:E4758))))))</f>
        <v> </v>
      </c>
      <c r="K4759" s="25" t="str">
        <f>IF(OR(E4759="",E4759="!!!",F4759="NEW"),"",INDEX(J$1:J4758,SUMPRODUCT(MAX(ROW(E$1:E4758)*(E4759=E$1:E4758)))))</f>
        <v> </v>
      </c>
      <c r="L4759" s="26"/>
    </row>
    <row r="4760" spans="1:12">
      <c r="A4760" s="20" t="s">
        <v>1927</v>
      </c>
      <c r="E4760" s="21">
        <f>IF(D4760="?OLD","!!!","")</f>
        <v/>
      </c>
      <c r="F4760" s="22" t="str">
        <f>IF(OR(E4760="",E4760="!!!"),"",IF(NOT(ISNA(VLOOKUP(E4760,E$1:E4759,1,FALSE()))),"OLD",IF(AND(E4760&lt;&gt;"",E4760&lt;&gt;"!!!"),"NEW","")))</f>
        <v> </v>
      </c>
      <c r="G4760" s="23" t="str">
        <f>IF(OR(E4760="",E4760="!!!"),"",IF(OR(J4760=0,AND(J4760=1,K4760=1),AND(J4760=1,I4760="SBJ"),AND(J4760=1,I4760=0)),"?IN_FOCUS",IF(J4760&lt;=2,"?ACTIVATED",IF(J4760&lt;&gt;"","?FAMILIAR",IF(F4760="NEW",IF(ISNA(VLOOKUP(E4760,#REF!,1,FALSE())),"?TYPE_IDENTIFIABLE","?REFERENTIAL"),"_")))))</f>
        <v> </v>
      </c>
      <c r="H4760" s="24" t="str">
        <f>IF(J4760&lt;&gt;1,"",IF(I4760="SBJ","CB","?"))</f>
        <v> </v>
      </c>
      <c r="I4760" s="25" t="str">
        <f>IF(OR(E4760="",E4760="!!!",F4760="NEW"),"",INDEX(B4759:B$2,-1+SUMPRODUCT(MAX(ROW(E4759:E$2)*(E4760=E4759:E$2)))))</f>
        <v> </v>
      </c>
      <c r="J4760" s="25" t="str">
        <f>IF(OR(E4760="",E4760="!!!",F4760="NEW"),"",COUNTBLANK(OFFSET(A$1,,,SUMPRODUCT(MAX(ROW(E$2:E4760)*(E4760=E$2:E4760)))))-COUNTBLANK(OFFSET(A$1,,,SUMPRODUCT(MAX(ROW(E$1:E4759)*(E2=E$1:E4759))))))</f>
        <v> </v>
      </c>
      <c r="K4760" s="25" t="str">
        <f>IF(OR(E4760="",E4760="!!!",F4760="NEW"),"",INDEX(J$1:J4759,SUMPRODUCT(MAX(ROW(E$1:E4759)*(E4760=E$1:E4759)))))</f>
        <v> </v>
      </c>
      <c r="L4760" s="26"/>
    </row>
    <row r="4761" spans="1:12">
      <c r="A4761" s="20" t="s">
        <v>1034</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1928</v>
      </c>
      <c r="B4762" s="27" t="s">
        <v>1036</v>
      </c>
      <c r="C4762" s="27" t="s">
        <v>759</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t="s">
        <v>760</v>
      </c>
      <c r="E4763" s="21">
        <f>IF(D4763="?OLD","!!!","")</f>
        <v/>
      </c>
      <c r="F4763" s="22" t="str">
        <f>IF(OR(E4763="",E4763="!!!"),"",IF(NOT(ISNA(VLOOKUP(E4763,E$1:E4762,1,FALSE()))),"OLD",IF(AND(E4763&lt;&gt;"",E4763&lt;&gt;"!!!"),"NEW","")))</f>
        <v> </v>
      </c>
      <c r="G4763" s="23" t="str">
        <f>IF(OR(E4763="",E4763="!!!"),"",IF(OR(J4763=0,AND(J4763=1,K4763=1),AND(J4763=1,I4763="SBJ"),AND(J4763=1,I4763=0)),"?IN_FOCUS",IF(J4763&lt;=2,"?ACTIVATED",IF(J4763&lt;&gt;"","?FAMILIAR",IF(F4763="NEW",IF(ISNA(VLOOKUP(E4763,#REF!,1,FALSE())),"?TYPE_IDENTIFIABLE","?REFERENTIAL"),"_")))))</f>
        <v> </v>
      </c>
      <c r="H4763" s="24" t="str">
        <f>IF(J4763&lt;&gt;1,"",IF(I4763="SBJ","CB","?"))</f>
        <v> </v>
      </c>
      <c r="I4763" s="25" t="str">
        <f>IF(OR(E4763="",E4763="!!!",F4763="NEW"),"",INDEX(B4762:B$2,-1+SUMPRODUCT(MAX(ROW(E4762:E$2)*(E4763=E4762:E$2)))))</f>
        <v> </v>
      </c>
      <c r="J4763" s="25" t="str">
        <f>IF(OR(E4763="",E4763="!!!",F4763="NEW"),"",COUNTBLANK(OFFSET(A$1,,,SUMPRODUCT(MAX(ROW(E$2:E4763)*(E4763=E$2:E4763)))))-COUNTBLANK(OFFSET(A$1,,,SUMPRODUCT(MAX(ROW(E$1:E4762)*(E2=E$1:E4762))))))</f>
        <v> </v>
      </c>
      <c r="K4763" s="25" t="str">
        <f>IF(OR(E4763="",E4763="!!!",F4763="NEW"),"",INDEX(J$1:J4762,SUMPRODUCT(MAX(ROW(E$1:E4762)*(E4763=E$1:E4762)))))</f>
        <v> </v>
      </c>
      <c r="L4763" s="26"/>
    </row>
    <row r="4764" spans="1:12">
      <c r="A4764" s="20" t="s">
        <v>1929</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t="s">
        <v>1930</v>
      </c>
      <c r="B4765" s="27" t="s">
        <v>1313</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t="s">
        <v>807</v>
      </c>
      <c r="E4766" s="21">
        <f>IF(D4766="?OLD","!!!","")</f>
        <v/>
      </c>
      <c r="F4766" s="22" t="str">
        <f>IF(OR(E4766="",E4766="!!!"),"",IF(NOT(ISNA(VLOOKUP(E4766,E$1:E4765,1,FALSE()))),"OLD",IF(AND(E4766&lt;&gt;"",E4766&lt;&gt;"!!!"),"NEW","")))</f>
        <v> </v>
      </c>
      <c r="G4766" s="23" t="str">
        <f>IF(OR(E4766="",E4766="!!!"),"",IF(OR(J4766=0,AND(J4766=1,K4766=1),AND(J4766=1,I4766="SBJ"),AND(J4766=1,I4766=0)),"?IN_FOCUS",IF(J4766&lt;=2,"?ACTIVATED",IF(J4766&lt;&gt;"","?FAMILIAR",IF(F4766="NEW",IF(ISNA(VLOOKUP(E4766,#REF!,1,FALSE())),"?TYPE_IDENTIFIABLE","?REFERENTIAL"),"_")))))</f>
        <v> </v>
      </c>
      <c r="H4766" s="24" t="str">
        <f>IF(J4766&lt;&gt;1,"",IF(I4766="SBJ","CB","?"))</f>
        <v> </v>
      </c>
      <c r="I4766" s="25" t="str">
        <f>IF(OR(E4766="",E4766="!!!",F4766="NEW"),"",INDEX(B4765:B$2,-1+SUMPRODUCT(MAX(ROW(E4765:E$2)*(E4766=E4765:E$2)))))</f>
        <v> </v>
      </c>
      <c r="J4766" s="25" t="str">
        <f>IF(OR(E4766="",E4766="!!!",F4766="NEW"),"",COUNTBLANK(OFFSET(A$1,,,SUMPRODUCT(MAX(ROW(E$2:E4766)*(E4766=E$2:E4766)))))-COUNTBLANK(OFFSET(A$1,,,SUMPRODUCT(MAX(ROW(E$1:E4765)*(E2=E$1:E4765))))))</f>
        <v> </v>
      </c>
      <c r="K4766" s="25" t="str">
        <f>IF(OR(E4766="",E4766="!!!",F4766="NEW"),"",INDEX(J$1:J4765,SUMPRODUCT(MAX(ROW(E$1:E4765)*(E4766=E$1:E4765)))))</f>
        <v> </v>
      </c>
      <c r="L4766" s="26"/>
    </row>
    <row r="4767" spans="1:12">
      <c r="A4767" s="20" t="s">
        <v>764</v>
      </c>
      <c r="E4767" s="21">
        <f>IF(D4767="?OLD","!!!","")</f>
        <v/>
      </c>
      <c r="F4767" s="22" t="str">
        <f>IF(OR(E4767="",E4767="!!!"),"",IF(NOT(ISNA(VLOOKUP(E4767,E$1:E4766,1,FALSE()))),"OLD",IF(AND(E4767&lt;&gt;"",E4767&lt;&gt;"!!!"),"NEW","")))</f>
        <v> </v>
      </c>
      <c r="G4767" s="23" t="str">
        <f>IF(OR(E4767="",E4767="!!!"),"",IF(OR(J4767=0,AND(J4767=1,K4767=1),AND(J4767=1,I4767="SBJ"),AND(J4767=1,I4767=0)),"?IN_FOCUS",IF(J4767&lt;=2,"?ACTIVATED",IF(J4767&lt;&gt;"","?FAMILIAR",IF(F4767="NEW",IF(ISNA(VLOOKUP(E4767,#REF!,1,FALSE())),"?TYPE_IDENTIFIABLE","?REFERENTIAL"),"_")))))</f>
        <v> </v>
      </c>
      <c r="H4767" s="24" t="str">
        <f>IF(J4767&lt;&gt;1,"",IF(I4767="SBJ","CB","?"))</f>
        <v> </v>
      </c>
      <c r="I4767" s="25" t="str">
        <f>IF(OR(E4767="",E4767="!!!",F4767="NEW"),"",INDEX(B4766:B$2,-1+SUMPRODUCT(MAX(ROW(E4766:E$2)*(E4767=E4766:E$2)))))</f>
        <v> </v>
      </c>
      <c r="J4767" s="25" t="str">
        <f>IF(OR(E4767="",E4767="!!!",F4767="NEW"),"",COUNTBLANK(OFFSET(A$1,,,SUMPRODUCT(MAX(ROW(E$2:E4767)*(E4767=E$2:E4767)))))-COUNTBLANK(OFFSET(A$1,,,SUMPRODUCT(MAX(ROW(E$1:E4766)*(E2=E$1:E4766))))))</f>
        <v> </v>
      </c>
      <c r="K4767" s="25" t="str">
        <f>IF(OR(E4767="",E4767="!!!",F4767="NEW"),"",INDEX(J$1:J4766,SUMPRODUCT(MAX(ROW(E$1:E4766)*(E4767=E$1:E4766)))))</f>
        <v> </v>
      </c>
      <c r="L4767" s="26"/>
    </row>
    <row r="4768" spans="1:12">
      <c r="A4768" s="20" t="s">
        <v>1931</v>
      </c>
      <c r="B4768" s="27" t="s">
        <v>1303</v>
      </c>
      <c r="C4768" s="27" t="s">
        <v>767</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819</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1932</v>
      </c>
      <c r="B4770" s="27" t="s">
        <v>927</v>
      </c>
      <c r="C4770" s="27" t="s">
        <v>834</v>
      </c>
      <c r="D4770" s="27" t="s">
        <v>774</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871</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1215</v>
      </c>
      <c r="B4772" s="27" t="s">
        <v>1033</v>
      </c>
      <c r="C4772" s="27" t="s">
        <v>848</v>
      </c>
      <c r="D4772" s="27" t="s">
        <v>774</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1933</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928</v>
      </c>
      <c r="B4774" s="27" t="s">
        <v>1303</v>
      </c>
      <c r="C4774" s="27" t="s">
        <v>834</v>
      </c>
      <c r="D4774" s="27" t="s">
        <v>774</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t="s">
        <v>340</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1163</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807</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1934</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862</v>
      </c>
      <c r="B4779" s="27" t="s">
        <v>1032</v>
      </c>
      <c r="C4779" s="27" t="s">
        <v>759</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t="s">
        <v>839</v>
      </c>
      <c r="E4780" s="21">
        <f>IF(D4780="?OLD","!!!","")</f>
        <v/>
      </c>
      <c r="F4780" s="22" t="str">
        <f>IF(OR(E4780="",E4780="!!!"),"",IF(NOT(ISNA(VLOOKUP(E4780,E$1:E4779,1,FALSE()))),"OLD",IF(AND(E4780&lt;&gt;"",E4780&lt;&gt;"!!!"),"NEW","")))</f>
        <v> </v>
      </c>
      <c r="G4780" s="23" t="str">
        <f>IF(OR(E4780="",E4780="!!!"),"",IF(OR(J4780=0,AND(J4780=1,K4780=1),AND(J4780=1,I4780="SBJ"),AND(J4780=1,I4780=0)),"?IN_FOCUS",IF(J4780&lt;=2,"?ACTIVATED",IF(J4780&lt;&gt;"","?FAMILIAR",IF(F4780="NEW",IF(ISNA(VLOOKUP(E4780,#REF!,1,FALSE())),"?TYPE_IDENTIFIABLE","?REFERENTIAL"),"_")))))</f>
        <v> </v>
      </c>
      <c r="H4780" s="24" t="str">
        <f>IF(J4780&lt;&gt;1,"",IF(I4780="SBJ","CB","?"))</f>
        <v> </v>
      </c>
      <c r="I4780" s="25" t="str">
        <f>IF(OR(E4780="",E4780="!!!",F4780="NEW"),"",INDEX(B4779:B$2,-1+SUMPRODUCT(MAX(ROW(E4779:E$2)*(E4780=E4779:E$2)))))</f>
        <v> </v>
      </c>
      <c r="J4780" s="25" t="str">
        <f>IF(OR(E4780="",E4780="!!!",F4780="NEW"),"",COUNTBLANK(OFFSET(A$1,,,SUMPRODUCT(MAX(ROW(E$2:E4780)*(E4780=E$2:E4780)))))-COUNTBLANK(OFFSET(A$1,,,SUMPRODUCT(MAX(ROW(E$1:E4779)*(E2=E$1:E4779))))))</f>
        <v> </v>
      </c>
      <c r="K4780" s="25" t="str">
        <f>IF(OR(E4780="",E4780="!!!",F4780="NEW"),"",INDEX(J$1:J4779,SUMPRODUCT(MAX(ROW(E$1:E4779)*(E4780=E$1:E4779)))))</f>
        <v> </v>
      </c>
      <c r="L4780" s="26"/>
    </row>
    <row r="4781" spans="1:12">
      <c r="A4781" s="20" t="s">
        <v>768</v>
      </c>
      <c r="E4781" s="21">
        <f>IF(D4781="?OLD","!!!","")</f>
        <v/>
      </c>
      <c r="F4781" s="22" t="str">
        <f>IF(OR(E4781="",E4781="!!!"),"",IF(NOT(ISNA(VLOOKUP(E4781,E$1:E4780,1,FALSE()))),"OLD",IF(AND(E4781&lt;&gt;"",E4781&lt;&gt;"!!!"),"NEW","")))</f>
        <v> </v>
      </c>
      <c r="G4781" s="23" t="str">
        <f>IF(OR(E4781="",E4781="!!!"),"",IF(OR(J4781=0,AND(J4781=1,K4781=1),AND(J4781=1,I4781="SBJ"),AND(J4781=1,I4781=0)),"?IN_FOCUS",IF(J4781&lt;=2,"?ACTIVATED",IF(J4781&lt;&gt;"","?FAMILIAR",IF(F4781="NEW",IF(ISNA(VLOOKUP(E4781,#REF!,1,FALSE())),"?TYPE_IDENTIFIABLE","?REFERENTIAL"),"_")))))</f>
        <v> </v>
      </c>
      <c r="H4781" s="24" t="str">
        <f>IF(J4781&lt;&gt;1,"",IF(I4781="SBJ","CB","?"))</f>
        <v> </v>
      </c>
      <c r="I4781" s="25" t="str">
        <f>IF(OR(E4781="",E4781="!!!",F4781="NEW"),"",INDEX(B4780:B$2,-1+SUMPRODUCT(MAX(ROW(E4780:E$2)*(E4781=E4780:E$2)))))</f>
        <v> </v>
      </c>
      <c r="J4781" s="25" t="str">
        <f>IF(OR(E4781="",E4781="!!!",F4781="NEW"),"",COUNTBLANK(OFFSET(A$1,,,SUMPRODUCT(MAX(ROW(E$2:E4781)*(E4781=E$2:E4781)))))-COUNTBLANK(OFFSET(A$1,,,SUMPRODUCT(MAX(ROW(E$1:E4780)*(E2=E$1:E4780))))))</f>
        <v> </v>
      </c>
      <c r="K4781" s="25" t="str">
        <f>IF(OR(E4781="",E4781="!!!",F4781="NEW"),"",INDEX(J$1:J4780,SUMPRODUCT(MAX(ROW(E$1:E4780)*(E4781=E$1:E4780)))))</f>
        <v> </v>
      </c>
      <c r="L4781" s="26"/>
    </row>
    <row r="4782" spans="1:12">
      <c r="A4782" s="20" t="s">
        <v>1935</v>
      </c>
      <c r="B4782" s="27" t="s">
        <v>1033</v>
      </c>
      <c r="C4782" s="27" t="s">
        <v>759</v>
      </c>
      <c r="E4782" s="21">
        <f>IF(D4782="?OLD","!!!","")</f>
        <v/>
      </c>
      <c r="F4782" s="22" t="str">
        <f>IF(OR(E4782="",E4782="!!!"),"",IF(NOT(ISNA(VLOOKUP(E4782,E$1:E4781,1,FALSE()))),"OLD",IF(AND(E4782&lt;&gt;"",E4782&lt;&gt;"!!!"),"NEW","")))</f>
        <v> </v>
      </c>
      <c r="G4782" s="23" t="str">
        <f>IF(OR(E4782="",E4782="!!!"),"",IF(OR(J4782=0,AND(J4782=1,K4782=1),AND(J4782=1,I4782="SBJ"),AND(J4782=1,I4782=0)),"?IN_FOCUS",IF(J4782&lt;=2,"?ACTIVATED",IF(J4782&lt;&gt;"","?FAMILIAR",IF(F4782="NEW",IF(ISNA(VLOOKUP(E4782,#REF!,1,FALSE())),"?TYPE_IDENTIFIABLE","?REFERENTIAL"),"_")))))</f>
        <v> </v>
      </c>
      <c r="H4782" s="24" t="str">
        <f>IF(J4782&lt;&gt;1,"",IF(I4782="SBJ","CB","?"))</f>
        <v> </v>
      </c>
      <c r="I4782" s="25" t="str">
        <f>IF(OR(E4782="",E4782="!!!",F4782="NEW"),"",INDEX(B4781:B$2,-1+SUMPRODUCT(MAX(ROW(E4781:E$2)*(E4782=E4781:E$2)))))</f>
        <v> </v>
      </c>
      <c r="J4782" s="25" t="str">
        <f>IF(OR(E4782="",E4782="!!!",F4782="NEW"),"",COUNTBLANK(OFFSET(A$1,,,SUMPRODUCT(MAX(ROW(E$2:E4782)*(E4782=E$2:E4782)))))-COUNTBLANK(OFFSET(A$1,,,SUMPRODUCT(MAX(ROW(E$1:E4781)*(E2=E$1:E4781))))))</f>
        <v> </v>
      </c>
      <c r="K4782" s="25" t="str">
        <f>IF(OR(E4782="",E4782="!!!",F4782="NEW"),"",INDEX(J$1:J4781,SUMPRODUCT(MAX(ROW(E$1:E4781)*(E4782=E$1:E4781)))))</f>
        <v> </v>
      </c>
      <c r="L4782" s="26"/>
    </row>
    <row r="4783" spans="1:12">
      <c r="A4783" s="20" t="s">
        <v>760</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t="s">
        <v>824</v>
      </c>
      <c r="B4784" s="27" t="s">
        <v>762</v>
      </c>
      <c r="C4784" s="27" t="s">
        <v>778</v>
      </c>
      <c r="D4784" s="27" t="s">
        <v>774</v>
      </c>
      <c r="E4784" s="21">
        <f>IF(D4784="?OLD","!!!","")</f>
        <v/>
      </c>
      <c r="F4784" s="22" t="str">
        <f>IF(OR(E4784="",E4784="!!!"),"",IF(NOT(ISNA(VLOOKUP(E4784,E$1:E4783,1,FALSE()))),"OLD",IF(AND(E4784&lt;&gt;"",E4784&lt;&gt;"!!!"),"NEW","")))</f>
        <v> </v>
      </c>
      <c r="G4784" s="23" t="str">
        <f>IF(OR(E4784="",E4784="!!!"),"",IF(OR(J4784=0,AND(J4784=1,K4784=1),AND(J4784=1,I4784="SBJ"),AND(J4784=1,I4784=0)),"?IN_FOCUS",IF(J4784&lt;=2,"?ACTIVATED",IF(J4784&lt;&gt;"","?FAMILIAR",IF(F4784="NEW",IF(ISNA(VLOOKUP(E4784,#REF!,1,FALSE())),"?TYPE_IDENTIFIABLE","?REFERENTIAL"),"_")))))</f>
        <v> </v>
      </c>
      <c r="H4784" s="24" t="str">
        <f>IF(J4784&lt;&gt;1,"",IF(I4784="SBJ","CB","?"))</f>
        <v> </v>
      </c>
      <c r="I4784" s="25" t="str">
        <f>IF(OR(E4784="",E4784="!!!",F4784="NEW"),"",INDEX(B4783:B$2,-1+SUMPRODUCT(MAX(ROW(E4783:E$2)*(E4784=E4783:E$2)))))</f>
        <v> </v>
      </c>
      <c r="J4784" s="25" t="str">
        <f>IF(OR(E4784="",E4784="!!!",F4784="NEW"),"",COUNTBLANK(OFFSET(A$1,,,SUMPRODUCT(MAX(ROW(E$2:E4784)*(E4784=E$2:E4784)))))-COUNTBLANK(OFFSET(A$1,,,SUMPRODUCT(MAX(ROW(E$1:E4783)*(E2=E$1:E4783))))))</f>
        <v> </v>
      </c>
      <c r="K4784" s="25" t="str">
        <f>IF(OR(E4784="",E4784="!!!",F4784="NEW"),"",INDEX(J$1:J4783,SUMPRODUCT(MAX(ROW(E$1:E4783)*(E4784=E$1:E4783)))))</f>
        <v> </v>
      </c>
      <c r="L4784" s="26"/>
    </row>
    <row r="4785" spans="1:12">
      <c r="A4785" s="20" t="s">
        <v>1936</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882</v>
      </c>
      <c r="E4786" s="21">
        <f>IF(D4786="?OLD","!!!","")</f>
        <v/>
      </c>
      <c r="F4786" s="22" t="str">
        <f>IF(OR(E4786="",E4786="!!!"),"",IF(NOT(ISNA(VLOOKUP(E4786,E$1:E4785,1,FALSE()))),"OLD",IF(AND(E4786&lt;&gt;"",E4786&lt;&gt;"!!!"),"NEW","")))</f>
        <v> </v>
      </c>
      <c r="G4786" s="23" t="str">
        <f>IF(OR(E4786="",E4786="!!!"),"",IF(OR(J4786=0,AND(J4786=1,K4786=1),AND(J4786=1,I4786="SBJ"),AND(J4786=1,I4786=0)),"?IN_FOCUS",IF(J4786&lt;=2,"?ACTIVATED",IF(J4786&lt;&gt;"","?FAMILIAR",IF(F4786="NEW",IF(ISNA(VLOOKUP(E4786,#REF!,1,FALSE())),"?TYPE_IDENTIFIABLE","?REFERENTIAL"),"_")))))</f>
        <v> </v>
      </c>
      <c r="H4786" s="24" t="str">
        <f>IF(J4786&lt;&gt;1,"",IF(I4786="SBJ","CB","?"))</f>
        <v> </v>
      </c>
      <c r="I4786" s="25" t="str">
        <f>IF(OR(E4786="",E4786="!!!",F4786="NEW"),"",INDEX(B4785:B$2,-1+SUMPRODUCT(MAX(ROW(E4785:E$2)*(E4786=E4785:E$2)))))</f>
        <v> </v>
      </c>
      <c r="J4786" s="25" t="str">
        <f>IF(OR(E4786="",E4786="!!!",F4786="NEW"),"",COUNTBLANK(OFFSET(A$1,,,SUMPRODUCT(MAX(ROW(E$2:E4786)*(E4786=E$2:E4786)))))-COUNTBLANK(OFFSET(A$1,,,SUMPRODUCT(MAX(ROW(E$1:E4785)*(E2=E$1:E4785))))))</f>
        <v> </v>
      </c>
      <c r="K4786" s="25" t="str">
        <f>IF(OR(E4786="",E4786="!!!",F4786="NEW"),"",INDEX(J$1:J4785,SUMPRODUCT(MAX(ROW(E$1:E4785)*(E4786=E$1:E4785)))))</f>
        <v> </v>
      </c>
      <c r="L4786" s="26"/>
    </row>
    <row r="4787" spans="1:12">
      <c r="A4787" s="20" t="s">
        <v>1320</v>
      </c>
      <c r="B4787" s="27" t="s">
        <v>758</v>
      </c>
      <c r="C4787" s="27" t="s">
        <v>989</v>
      </c>
      <c r="D4787" s="27" t="s">
        <v>774</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882</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847</v>
      </c>
      <c r="B4789" s="27" t="s">
        <v>863</v>
      </c>
      <c r="C4789" s="27" t="s">
        <v>848</v>
      </c>
      <c r="D4789" s="27" t="s">
        <v>774</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1904</v>
      </c>
      <c r="B4790" s="27" t="s">
        <v>800</v>
      </c>
      <c r="C4790" s="27" t="s">
        <v>834</v>
      </c>
      <c r="D4790" s="27" t="s">
        <v>774</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982</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1937</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t="s">
        <v>908</v>
      </c>
      <c r="B4793" s="27" t="s">
        <v>802</v>
      </c>
      <c r="C4793" s="27" t="s">
        <v>778</v>
      </c>
      <c r="D4793" s="27" t="s">
        <v>774</v>
      </c>
      <c r="E4793" s="21">
        <f>IF(D4793="?OLD","!!!","")</f>
        <v/>
      </c>
      <c r="F4793" s="22" t="str">
        <f>IF(OR(E4793="",E4793="!!!"),"",IF(NOT(ISNA(VLOOKUP(E4793,E$1:E4792,1,FALSE()))),"OLD",IF(AND(E4793&lt;&gt;"",E4793&lt;&gt;"!!!"),"NEW","")))</f>
        <v> </v>
      </c>
      <c r="G4793" s="23" t="str">
        <f>IF(OR(E4793="",E4793="!!!"),"",IF(OR(J4793=0,AND(J4793=1,K4793=1),AND(J4793=1,I4793="SBJ"),AND(J4793=1,I4793=0)),"?IN_FOCUS",IF(J4793&lt;=2,"?ACTIVATED",IF(J4793&lt;&gt;"","?FAMILIAR",IF(F4793="NEW",IF(ISNA(VLOOKUP(E4793,#REF!,1,FALSE())),"?TYPE_IDENTIFIABLE","?REFERENTIAL"),"_")))))</f>
        <v> </v>
      </c>
      <c r="H4793" s="24" t="str">
        <f>IF(J4793&lt;&gt;1,"",IF(I4793="SBJ","CB","?"))</f>
        <v> </v>
      </c>
      <c r="I4793" s="25" t="str">
        <f>IF(OR(E4793="",E4793="!!!",F4793="NEW"),"",INDEX(B4792:B$2,-1+SUMPRODUCT(MAX(ROW(E4792:E$2)*(E4793=E4792:E$2)))))</f>
        <v> </v>
      </c>
      <c r="J4793" s="25" t="str">
        <f>IF(OR(E4793="",E4793="!!!",F4793="NEW"),"",COUNTBLANK(OFFSET(A$1,,,SUMPRODUCT(MAX(ROW(E$2:E4793)*(E4793=E$2:E4793)))))-COUNTBLANK(OFFSET(A$1,,,SUMPRODUCT(MAX(ROW(E$1:E4792)*(E2=E$1:E4792))))))</f>
        <v> </v>
      </c>
      <c r="K4793" s="25" t="str">
        <f>IF(OR(E4793="",E4793="!!!",F4793="NEW"),"",INDEX(J$1:J4792,SUMPRODUCT(MAX(ROW(E$1:E4792)*(E4793=E$1:E4792)))))</f>
        <v> </v>
      </c>
      <c r="L4793" s="26"/>
    </row>
    <row r="4794" spans="1:12">
      <c r="A4794" s="20" t="s">
        <v>764</v>
      </c>
      <c r="E4794" s="21">
        <f>IF(D4794="?OLD","!!!","")</f>
        <v/>
      </c>
      <c r="F4794" s="22" t="str">
        <f>IF(OR(E4794="",E4794="!!!"),"",IF(NOT(ISNA(VLOOKUP(E4794,E$1:E4793,1,FALSE()))),"OLD",IF(AND(E4794&lt;&gt;"",E4794&lt;&gt;"!!!"),"NEW","")))</f>
        <v> </v>
      </c>
      <c r="G4794" s="23" t="str">
        <f>IF(OR(E4794="",E4794="!!!"),"",IF(OR(J4794=0,AND(J4794=1,K4794=1),AND(J4794=1,I4794="SBJ"),AND(J4794=1,I4794=0)),"?IN_FOCUS",IF(J4794&lt;=2,"?ACTIVATED",IF(J4794&lt;&gt;"","?FAMILIAR",IF(F4794="NEW",IF(ISNA(VLOOKUP(E4794,#REF!,1,FALSE())),"?TYPE_IDENTIFIABLE","?REFERENTIAL"),"_")))))</f>
        <v> </v>
      </c>
      <c r="H4794" s="24" t="str">
        <f>IF(J4794&lt;&gt;1,"",IF(I4794="SBJ","CB","?"))</f>
        <v> </v>
      </c>
      <c r="I4794" s="25" t="str">
        <f>IF(OR(E4794="",E4794="!!!",F4794="NEW"),"",INDEX(B4793:B$2,-1+SUMPRODUCT(MAX(ROW(E4793:E$2)*(E4794=E4793:E$2)))))</f>
        <v> </v>
      </c>
      <c r="J4794" s="25" t="str">
        <f>IF(OR(E4794="",E4794="!!!",F4794="NEW"),"",COUNTBLANK(OFFSET(A$1,,,SUMPRODUCT(MAX(ROW(E$2:E4794)*(E4794=E$2:E4794)))))-COUNTBLANK(OFFSET(A$1,,,SUMPRODUCT(MAX(ROW(E$1:E4793)*(E2=E$1:E4793))))))</f>
        <v> </v>
      </c>
      <c r="K4794" s="25" t="str">
        <f>IF(OR(E4794="",E4794="!!!",F4794="NEW"),"",INDEX(J$1:J4793,SUMPRODUCT(MAX(ROW(E$1:E4793)*(E4794=E$1:E4793)))))</f>
        <v> </v>
      </c>
      <c r="L4794" s="26"/>
    </row>
    <row r="4795" spans="1:12">
      <c r="A4795" s="20" t="s">
        <v>1938</v>
      </c>
      <c r="B4795" s="27" t="s">
        <v>802</v>
      </c>
      <c r="C4795" s="27" t="s">
        <v>767</v>
      </c>
      <c r="E4795" s="21">
        <f>IF(D4795="?OLD","!!!","")</f>
        <v/>
      </c>
      <c r="F4795" s="22" t="str">
        <f>IF(OR(E4795="",E4795="!!!"),"",IF(NOT(ISNA(VLOOKUP(E4795,E$1:E4794,1,FALSE()))),"OLD",IF(AND(E4795&lt;&gt;"",E4795&lt;&gt;"!!!"),"NEW","")))</f>
        <v> </v>
      </c>
      <c r="G4795" s="23" t="str">
        <f>IF(OR(E4795="",E4795="!!!"),"",IF(OR(J4795=0,AND(J4795=1,K4795=1),AND(J4795=1,I4795="SBJ"),AND(J4795=1,I4795=0)),"?IN_FOCUS",IF(J4795&lt;=2,"?ACTIVATED",IF(J4795&lt;&gt;"","?FAMILIAR",IF(F4795="NEW",IF(ISNA(VLOOKUP(E4795,#REF!,1,FALSE())),"?TYPE_IDENTIFIABLE","?REFERENTIAL"),"_")))))</f>
        <v> </v>
      </c>
      <c r="H4795" s="24" t="str">
        <f>IF(J4795&lt;&gt;1,"",IF(I4795="SBJ","CB","?"))</f>
        <v> </v>
      </c>
      <c r="I4795" s="25" t="str">
        <f>IF(OR(E4795="",E4795="!!!",F4795="NEW"),"",INDEX(B4794:B$2,-1+SUMPRODUCT(MAX(ROW(E4794:E$2)*(E4795=E4794:E$2)))))</f>
        <v> </v>
      </c>
      <c r="J4795" s="25" t="str">
        <f>IF(OR(E4795="",E4795="!!!",F4795="NEW"),"",COUNTBLANK(OFFSET(A$1,,,SUMPRODUCT(MAX(ROW(E$2:E4795)*(E4795=E$2:E4795)))))-COUNTBLANK(OFFSET(A$1,,,SUMPRODUCT(MAX(ROW(E$1:E4794)*(E2=E$1:E4794))))))</f>
        <v> </v>
      </c>
      <c r="K4795" s="25" t="str">
        <f>IF(OR(E4795="",E4795="!!!",F4795="NEW"),"",INDEX(J$1:J4794,SUMPRODUCT(MAX(ROW(E$1:E4794)*(E4795=E$1:E4794)))))</f>
        <v> </v>
      </c>
      <c r="L4795" s="26"/>
    </row>
    <row r="4796" spans="1:12">
      <c r="A4796" s="20" t="s">
        <v>340</v>
      </c>
      <c r="E4796" s="21">
        <f>IF(D4796="?OLD","!!!","")</f>
        <v/>
      </c>
      <c r="F4796" s="22" t="str">
        <f>IF(OR(E4796="",E4796="!!!"),"",IF(NOT(ISNA(VLOOKUP(E4796,E$1:E4795,1,FALSE()))),"OLD",IF(AND(E4796&lt;&gt;"",E4796&lt;&gt;"!!!"),"NEW","")))</f>
        <v> </v>
      </c>
      <c r="G4796" s="23" t="str">
        <f>IF(OR(E4796="",E4796="!!!"),"",IF(OR(J4796=0,AND(J4796=1,K4796=1),AND(J4796=1,I4796="SBJ"),AND(J4796=1,I4796=0)),"?IN_FOCUS",IF(J4796&lt;=2,"?ACTIVATED",IF(J4796&lt;&gt;"","?FAMILIAR",IF(F4796="NEW",IF(ISNA(VLOOKUP(E4796,#REF!,1,FALSE())),"?TYPE_IDENTIFIABLE","?REFERENTIAL"),"_")))))</f>
        <v> </v>
      </c>
      <c r="H4796" s="24" t="str">
        <f>IF(J4796&lt;&gt;1,"",IF(I4796="SBJ","CB","?"))</f>
        <v> </v>
      </c>
      <c r="I4796" s="25" t="str">
        <f>IF(OR(E4796="",E4796="!!!",F4796="NEW"),"",INDEX(B4795:B$2,-1+SUMPRODUCT(MAX(ROW(E4795:E$2)*(E4796=E4795:E$2)))))</f>
        <v> </v>
      </c>
      <c r="J4796" s="25" t="str">
        <f>IF(OR(E4796="",E4796="!!!",F4796="NEW"),"",COUNTBLANK(OFFSET(A$1,,,SUMPRODUCT(MAX(ROW(E$2:E4796)*(E4796=E$2:E4796)))))-COUNTBLANK(OFFSET(A$1,,,SUMPRODUCT(MAX(ROW(E$1:E4795)*(E2=E$1:E4795))))))</f>
        <v> </v>
      </c>
      <c r="K4796" s="25" t="str">
        <f>IF(OR(E4796="",E4796="!!!",F4796="NEW"),"",INDEX(J$1:J4795,SUMPRODUCT(MAX(ROW(E$1:E4795)*(E4796=E$1:E4795)))))</f>
        <v> </v>
      </c>
      <c r="L4796" s="26"/>
    </row>
    <row r="4797" spans="1:12">
      <c r="A4797" s="20" t="s">
        <v>882</v>
      </c>
      <c r="E4797" s="21">
        <f>IF(D4797="?OLD","!!!","")</f>
        <v/>
      </c>
      <c r="F4797" s="22" t="str">
        <f>IF(OR(E4797="",E4797="!!!"),"",IF(NOT(ISNA(VLOOKUP(E4797,E$1:E4796,1,FALSE()))),"OLD",IF(AND(E4797&lt;&gt;"",E4797&lt;&gt;"!!!"),"NEW","")))</f>
        <v> </v>
      </c>
      <c r="G4797" s="23" t="str">
        <f>IF(OR(E4797="",E4797="!!!"),"",IF(OR(J4797=0,AND(J4797=1,K4797=1),AND(J4797=1,I4797="SBJ"),AND(J4797=1,I4797=0)),"?IN_FOCUS",IF(J4797&lt;=2,"?ACTIVATED",IF(J4797&lt;&gt;"","?FAMILIAR",IF(F4797="NEW",IF(ISNA(VLOOKUP(E4797,#REF!,1,FALSE())),"?TYPE_IDENTIFIABLE","?REFERENTIAL"),"_")))))</f>
        <v> </v>
      </c>
      <c r="H4797" s="24" t="str">
        <f>IF(J4797&lt;&gt;1,"",IF(I4797="SBJ","CB","?"))</f>
        <v> </v>
      </c>
      <c r="I4797" s="25" t="str">
        <f>IF(OR(E4797="",E4797="!!!",F4797="NEW"),"",INDEX(B4796:B$2,-1+SUMPRODUCT(MAX(ROW(E4796:E$2)*(E4797=E4796:E$2)))))</f>
        <v> </v>
      </c>
      <c r="J4797" s="25" t="str">
        <f>IF(OR(E4797="",E4797="!!!",F4797="NEW"),"",COUNTBLANK(OFFSET(A$1,,,SUMPRODUCT(MAX(ROW(E$2:E4797)*(E4797=E$2:E4797)))))-COUNTBLANK(OFFSET(A$1,,,SUMPRODUCT(MAX(ROW(E$1:E4796)*(E2=E$1:E4796))))))</f>
        <v> </v>
      </c>
      <c r="K4797" s="25" t="str">
        <f>IF(OR(E4797="",E4797="!!!",F4797="NEW"),"",INDEX(J$1:J4796,SUMPRODUCT(MAX(ROW(E$1:E4796)*(E4797=E$1:E4796)))))</f>
        <v> </v>
      </c>
      <c r="L4797" s="26"/>
    </row>
    <row r="4798" spans="1:12">
      <c r="A4798" s="20" t="s">
        <v>824</v>
      </c>
      <c r="B4798" s="27" t="s">
        <v>895</v>
      </c>
      <c r="C4798" s="27" t="s">
        <v>778</v>
      </c>
      <c r="D4798" s="27" t="s">
        <v>774</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825</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1939</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807</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t="s">
        <v>1042</v>
      </c>
      <c r="E4802" s="21">
        <f>IF(D4802="?OLD","!!!","")</f>
        <v/>
      </c>
      <c r="F4802" s="22" t="str">
        <f>IF(OR(E4802="",E4802="!!!"),"",IF(NOT(ISNA(VLOOKUP(E4802,E$1:E4801,1,FALSE()))),"OLD",IF(AND(E4802&lt;&gt;"",E4802&lt;&gt;"!!!"),"NEW","")))</f>
        <v> </v>
      </c>
      <c r="G4802" s="23" t="str">
        <f>IF(OR(E4802="",E4802="!!!"),"",IF(OR(J4802=0,AND(J4802=1,K4802=1),AND(J4802=1,I4802="SBJ"),AND(J4802=1,I4802=0)),"?IN_FOCUS",IF(J4802&lt;=2,"?ACTIVATED",IF(J4802&lt;&gt;"","?FAMILIAR",IF(F4802="NEW",IF(ISNA(VLOOKUP(E4802,#REF!,1,FALSE())),"?TYPE_IDENTIFIABLE","?REFERENTIAL"),"_")))))</f>
        <v> </v>
      </c>
      <c r="H4802" s="24" t="str">
        <f>IF(J4802&lt;&gt;1,"",IF(I4802="SBJ","CB","?"))</f>
        <v> </v>
      </c>
      <c r="I4802" s="25" t="str">
        <f>IF(OR(E4802="",E4802="!!!",F4802="NEW"),"",INDEX(B4801:B$2,-1+SUMPRODUCT(MAX(ROW(E4801:E$2)*(E4802=E4801:E$2)))))</f>
        <v> </v>
      </c>
      <c r="J4802" s="25" t="str">
        <f>IF(OR(E4802="",E4802="!!!",F4802="NEW"),"",COUNTBLANK(OFFSET(A$1,,,SUMPRODUCT(MAX(ROW(E$2:E4802)*(E4802=E$2:E4802)))))-COUNTBLANK(OFFSET(A$1,,,SUMPRODUCT(MAX(ROW(E$1:E4801)*(E2=E$1:E4801))))))</f>
        <v> </v>
      </c>
      <c r="K4802" s="25" t="str">
        <f>IF(OR(E4802="",E4802="!!!",F4802="NEW"),"",INDEX(J$1:J4801,SUMPRODUCT(MAX(ROW(E$1:E4801)*(E4802=E$1:E4801)))))</f>
        <v> </v>
      </c>
      <c r="L4802" s="26"/>
    </row>
    <row r="4803" spans="1:12">
      <c r="A4803" s="20" t="s">
        <v>993</v>
      </c>
      <c r="B4803" s="27" t="s">
        <v>1036</v>
      </c>
      <c r="C4803" s="27" t="s">
        <v>778</v>
      </c>
      <c r="D4803" s="27" t="s">
        <v>774</v>
      </c>
      <c r="E4803" s="21">
        <f>IF(D4803="?OLD","!!!","")</f>
        <v/>
      </c>
      <c r="F4803" s="22" t="str">
        <f>IF(OR(E4803="",E4803="!!!"),"",IF(NOT(ISNA(VLOOKUP(E4803,E$1:E4802,1,FALSE()))),"OLD",IF(AND(E4803&lt;&gt;"",E4803&lt;&gt;"!!!"),"NEW","")))</f>
        <v> </v>
      </c>
      <c r="G4803" s="23" t="str">
        <f>IF(OR(E4803="",E4803="!!!"),"",IF(OR(J4803=0,AND(J4803=1,K4803=1),AND(J4803=1,I4803="SBJ"),AND(J4803=1,I4803=0)),"?IN_FOCUS",IF(J4803&lt;=2,"?ACTIVATED",IF(J4803&lt;&gt;"","?FAMILIAR",IF(F4803="NEW",IF(ISNA(VLOOKUP(E4803,#REF!,1,FALSE())),"?TYPE_IDENTIFIABLE","?REFERENTIAL"),"_")))))</f>
        <v> </v>
      </c>
      <c r="H4803" s="24" t="str">
        <f>IF(J4803&lt;&gt;1,"",IF(I4803="SBJ","CB","?"))</f>
        <v> </v>
      </c>
      <c r="I4803" s="25" t="str">
        <f>IF(OR(E4803="",E4803="!!!",F4803="NEW"),"",INDEX(B4802:B$2,-1+SUMPRODUCT(MAX(ROW(E4802:E$2)*(E4803=E4802:E$2)))))</f>
        <v> </v>
      </c>
      <c r="J4803" s="25" t="str">
        <f>IF(OR(E4803="",E4803="!!!",F4803="NEW"),"",COUNTBLANK(OFFSET(A$1,,,SUMPRODUCT(MAX(ROW(E$2:E4803)*(E4803=E$2:E4803)))))-COUNTBLANK(OFFSET(A$1,,,SUMPRODUCT(MAX(ROW(E$1:E4802)*(E2=E$1:E4802))))))</f>
        <v> </v>
      </c>
      <c r="K4803" s="25" t="str">
        <f>IF(OR(E4803="",E4803="!!!",F4803="NEW"),"",INDEX(J$1:J4802,SUMPRODUCT(MAX(ROW(E$1:E4802)*(E4803=E$1:E4802)))))</f>
        <v> </v>
      </c>
      <c r="L4803" s="26"/>
    </row>
    <row r="4804" spans="1:12">
      <c r="A4804" s="20" t="s">
        <v>1115</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1215</v>
      </c>
      <c r="B4805" s="27" t="s">
        <v>929</v>
      </c>
      <c r="C4805" s="27" t="s">
        <v>848</v>
      </c>
      <c r="D4805" s="27" t="s">
        <v>774</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t="s">
        <v>1940</v>
      </c>
      <c r="B4806" s="27" t="s">
        <v>815</v>
      </c>
      <c r="C4806" s="27" t="s">
        <v>834</v>
      </c>
      <c r="D4806" s="27" t="s">
        <v>774</v>
      </c>
      <c r="E4806" s="21">
        <f>IF(D4806="?OLD","!!!","")</f>
        <v/>
      </c>
      <c r="F4806" s="22" t="str">
        <f>IF(OR(E4806="",E4806="!!!"),"",IF(NOT(ISNA(VLOOKUP(E4806,E$1:E4805,1,FALSE()))),"OLD",IF(AND(E4806&lt;&gt;"",E4806&lt;&gt;"!!!"),"NEW","")))</f>
        <v> </v>
      </c>
      <c r="G4806" s="23" t="str">
        <f>IF(OR(E4806="",E4806="!!!"),"",IF(OR(J4806=0,AND(J4806=1,K4806=1),AND(J4806=1,I4806="SBJ"),AND(J4806=1,I4806=0)),"?IN_FOCUS",IF(J4806&lt;=2,"?ACTIVATED",IF(J4806&lt;&gt;"","?FAMILIAR",IF(F4806="NEW",IF(ISNA(VLOOKUP(E4806,#REF!,1,FALSE())),"?TYPE_IDENTIFIABLE","?REFERENTIAL"),"_")))))</f>
        <v> </v>
      </c>
      <c r="H4806" s="24" t="str">
        <f>IF(J4806&lt;&gt;1,"",IF(I4806="SBJ","CB","?"))</f>
        <v> </v>
      </c>
      <c r="I4806" s="25" t="str">
        <f>IF(OR(E4806="",E4806="!!!",F4806="NEW"),"",INDEX(B4805:B$2,-1+SUMPRODUCT(MAX(ROW(E4805:E$2)*(E4806=E4805:E$2)))))</f>
        <v> </v>
      </c>
      <c r="J4806" s="25" t="str">
        <f>IF(OR(E4806="",E4806="!!!",F4806="NEW"),"",COUNTBLANK(OFFSET(A$1,,,SUMPRODUCT(MAX(ROW(E$2:E4806)*(E4806=E$2:E4806)))))-COUNTBLANK(OFFSET(A$1,,,SUMPRODUCT(MAX(ROW(E$1:E4805)*(E2=E$1:E4805))))))</f>
        <v> </v>
      </c>
      <c r="K4806" s="25" t="str">
        <f>IF(OR(E4806="",E4806="!!!",F4806="NEW"),"",INDEX(J$1:J4805,SUMPRODUCT(MAX(ROW(E$1:E4805)*(E4806=E$1:E4805)))))</f>
        <v> </v>
      </c>
      <c r="L4806" s="26"/>
    </row>
    <row r="4807" spans="1:12">
      <c r="A4807" s="20" t="s">
        <v>775</v>
      </c>
      <c r="E4807" s="21">
        <f>IF(D4807="?OLD","!!!","")</f>
        <v/>
      </c>
      <c r="F4807" s="22" t="str">
        <f>IF(OR(E4807="",E4807="!!!"),"",IF(NOT(ISNA(VLOOKUP(E4807,E$1:E4806,1,FALSE()))),"OLD",IF(AND(E4807&lt;&gt;"",E4807&lt;&gt;"!!!"),"NEW","")))</f>
        <v> </v>
      </c>
      <c r="G4807" s="23" t="str">
        <f>IF(OR(E4807="",E4807="!!!"),"",IF(OR(J4807=0,AND(J4807=1,K4807=1),AND(J4807=1,I4807="SBJ"),AND(J4807=1,I4807=0)),"?IN_FOCUS",IF(J4807&lt;=2,"?ACTIVATED",IF(J4807&lt;&gt;"","?FAMILIAR",IF(F4807="NEW",IF(ISNA(VLOOKUP(E4807,#REF!,1,FALSE())),"?TYPE_IDENTIFIABLE","?REFERENTIAL"),"_")))))</f>
        <v> </v>
      </c>
      <c r="H4807" s="24" t="str">
        <f>IF(J4807&lt;&gt;1,"",IF(I4807="SBJ","CB","?"))</f>
        <v> </v>
      </c>
      <c r="I4807" s="25" t="str">
        <f>IF(OR(E4807="",E4807="!!!",F4807="NEW"),"",INDEX(B4806:B$2,-1+SUMPRODUCT(MAX(ROW(E4806:E$2)*(E4807=E4806:E$2)))))</f>
        <v> </v>
      </c>
      <c r="J4807" s="25" t="str">
        <f>IF(OR(E4807="",E4807="!!!",F4807="NEW"),"",COUNTBLANK(OFFSET(A$1,,,SUMPRODUCT(MAX(ROW(E$2:E4807)*(E4807=E$2:E4807)))))-COUNTBLANK(OFFSET(A$1,,,SUMPRODUCT(MAX(ROW(E$1:E4806)*(E2=E$1:E4806))))))</f>
        <v> </v>
      </c>
      <c r="K4807" s="25" t="str">
        <f>IF(OR(E4807="",E4807="!!!",F4807="NEW"),"",INDEX(J$1:J4806,SUMPRODUCT(MAX(ROW(E$1:E4806)*(E4807=E$1:E4806)))))</f>
        <v> </v>
      </c>
      <c r="L4807" s="26"/>
    </row>
    <row r="4808" spans="1:12">
      <c r="A4808" s="20"/>
    </row>
    <row r="4809" spans="1:12">
      <c r="A4809" s="20" t="s">
        <v>1941</v>
      </c>
    </row>
    <row r="4810" spans="1:12">
      <c r="A4810" s="20" t="s">
        <v>1942</v>
      </c>
      <c r="E4810" s="21">
        <f>IF(D4810="?OLD","!!!","")</f>
        <v/>
      </c>
      <c r="F4810" s="22" t="str">
        <f>IF(OR(E4810="",E4810="!!!"),"",IF(NOT(ISNA(VLOOKUP(E4810,E$1:E4809,1,FALSE()))),"OLD",IF(AND(E4810&lt;&gt;"",E4810&lt;&gt;"!!!"),"NEW","")))</f>
        <v> </v>
      </c>
      <c r="G4810" s="23" t="str">
        <f>IF(OR(E4810="",E4810="!!!"),"",IF(OR(J4810=0,AND(J4810=1,K4810=1),AND(J4810=1,I4810="SBJ"),AND(J4810=1,I4810=0)),"?IN_FOCUS",IF(J4810&lt;=2,"?ACTIVATED",IF(J4810&lt;&gt;"","?FAMILIAR",IF(F4810="NEW",IF(ISNA(VLOOKUP(E4810,#REF!,1,FALSE())),"?TYPE_IDENTIFIABLE","?REFERENTIAL"),"_")))))</f>
        <v> </v>
      </c>
      <c r="H4810" s="24" t="str">
        <f>IF(J4810&lt;&gt;1,"",IF(I4810="SBJ","CB","?"))</f>
        <v> </v>
      </c>
      <c r="I4810" s="25" t="str">
        <f>IF(OR(E4810="",E4810="!!!",F4810="NEW"),"",INDEX(B4809:B$2,-1+SUMPRODUCT(MAX(ROW(E4809:E$2)*(E4810=E4809:E$2)))))</f>
        <v> </v>
      </c>
      <c r="J4810" s="25" t="str">
        <f>IF(OR(E4810="",E4810="!!!",F4810="NEW"),"",COUNTBLANK(OFFSET(A$1,,,SUMPRODUCT(MAX(ROW(E$2:E4810)*(E4810=E$2:E4810)))))-COUNTBLANK(OFFSET(A$1,,,SUMPRODUCT(MAX(ROW(E$1:E4809)*(E2=E$1:E4809))))))</f>
        <v> </v>
      </c>
      <c r="K4810" s="25" t="str">
        <f>IF(OR(E4810="",E4810="!!!",F4810="NEW"),"",INDEX(J$1:J4809,SUMPRODUCT(MAX(ROW(E$1:E4809)*(E4810=E$1:E4809)))))</f>
        <v> </v>
      </c>
      <c r="L4810" s="26"/>
    </row>
    <row r="4811" spans="1:12">
      <c r="A4811" s="20" t="s">
        <v>924</v>
      </c>
      <c r="B4811" s="27" t="s">
        <v>766</v>
      </c>
      <c r="C4811" s="27" t="s">
        <v>778</v>
      </c>
      <c r="D4811" s="27" t="s">
        <v>774</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775</v>
      </c>
      <c r="E4812" s="21">
        <f>IF(D4812="?OLD","!!!","")</f>
        <v/>
      </c>
      <c r="F4812" s="22" t="str">
        <f>IF(OR(E4812="",E4812="!!!"),"",IF(NOT(ISNA(VLOOKUP(E4812,E$1:E4811,1,FALSE()))),"OLD",IF(AND(E4812&lt;&gt;"",E4812&lt;&gt;"!!!"),"NEW","")))</f>
        <v> </v>
      </c>
      <c r="G4812" s="23" t="str">
        <f>IF(OR(E4812="",E4812="!!!"),"",IF(OR(J4812=0,AND(J4812=1,K4812=1),AND(J4812=1,I4812="SBJ"),AND(J4812=1,I4812=0)),"?IN_FOCUS",IF(J4812&lt;=2,"?ACTIVATED",IF(J4812&lt;&gt;"","?FAMILIAR",IF(F4812="NEW",IF(ISNA(VLOOKUP(E4812,#REF!,1,FALSE())),"?TYPE_IDENTIFIABLE","?REFERENTIAL"),"_")))))</f>
        <v> </v>
      </c>
      <c r="H4812" s="24" t="str">
        <f>IF(J4812&lt;&gt;1,"",IF(I4812="SBJ","CB","?"))</f>
        <v> </v>
      </c>
      <c r="I4812" s="25" t="str">
        <f>IF(OR(E4812="",E4812="!!!",F4812="NEW"),"",INDEX(B4811:B$2,-1+SUMPRODUCT(MAX(ROW(E4811:E$2)*(E4812=E4811:E$2)))))</f>
        <v> </v>
      </c>
      <c r="J4812" s="25" t="str">
        <f>IF(OR(E4812="",E4812="!!!",F4812="NEW"),"",COUNTBLANK(OFFSET(A$1,,,SUMPRODUCT(MAX(ROW(E$2:E4812)*(E4812=E$2:E4812)))))-COUNTBLANK(OFFSET(A$1,,,SUMPRODUCT(MAX(ROW(E$1:E4811)*(E2=E$1:E4811))))))</f>
        <v> </v>
      </c>
      <c r="K4812" s="25" t="str">
        <f>IF(OR(E4812="",E4812="!!!",F4812="NEW"),"",INDEX(J$1:J4811,SUMPRODUCT(MAX(ROW(E$1:E4811)*(E4812=E$1:E4811)))))</f>
        <v> </v>
      </c>
      <c r="L4812" s="26"/>
    </row>
    <row r="4813" spans="1:12">
      <c r="A4813" s="20"/>
    </row>
    <row r="4814" spans="1:12">
      <c r="A4814" s="20" t="s">
        <v>1943</v>
      </c>
    </row>
    <row r="4815" spans="1:12">
      <c r="A4815" s="20" t="s">
        <v>844</v>
      </c>
      <c r="E4815" s="21">
        <f>IF(D4815="?OLD","!!!","")</f>
        <v/>
      </c>
      <c r="F4815" s="22" t="str">
        <f>IF(OR(E4815="",E4815="!!!"),"",IF(NOT(ISNA(VLOOKUP(E4815,E$1:E4814,1,FALSE()))),"OLD",IF(AND(E4815&lt;&gt;"",E4815&lt;&gt;"!!!"),"NEW","")))</f>
        <v> </v>
      </c>
      <c r="G4815" s="23" t="str">
        <f>IF(OR(E4815="",E4815="!!!"),"",IF(OR(J4815=0,AND(J4815=1,K4815=1),AND(J4815=1,I4815="SBJ"),AND(J4815=1,I4815=0)),"?IN_FOCUS",IF(J4815&lt;=2,"?ACTIVATED",IF(J4815&lt;&gt;"","?FAMILIAR",IF(F4815="NEW",IF(ISNA(VLOOKUP(E4815,#REF!,1,FALSE())),"?TYPE_IDENTIFIABLE","?REFERENTIAL"),"_")))))</f>
        <v> </v>
      </c>
      <c r="H4815" s="24" t="str">
        <f>IF(J4815&lt;&gt;1,"",IF(I4815="SBJ","CB","?"))</f>
        <v> </v>
      </c>
      <c r="I4815" s="25" t="str">
        <f>IF(OR(E4815="",E4815="!!!",F4815="NEW"),"",INDEX(B4814:B$2,-1+SUMPRODUCT(MAX(ROW(E4814:E$2)*(E4815=E4814:E$2)))))</f>
        <v> </v>
      </c>
      <c r="J4815" s="25" t="str">
        <f>IF(OR(E4815="",E4815="!!!",F4815="NEW"),"",COUNTBLANK(OFFSET(A$1,,,SUMPRODUCT(MAX(ROW(E$2:E4815)*(E4815=E$2:E4815)))))-COUNTBLANK(OFFSET(A$1,,,SUMPRODUCT(MAX(ROW(E$1:E4814)*(E2=E$1:E4814))))))</f>
        <v> </v>
      </c>
      <c r="K4815" s="25" t="str">
        <f>IF(OR(E4815="",E4815="!!!",F4815="NEW"),"",INDEX(J$1:J4814,SUMPRODUCT(MAX(ROW(E$1:E4814)*(E4815=E$1:E4814)))))</f>
        <v> </v>
      </c>
      <c r="L4815" s="26"/>
    </row>
    <row r="4816" spans="1:12">
      <c r="A4816" s="20" t="s">
        <v>37</v>
      </c>
      <c r="B4816" s="27" t="s">
        <v>758</v>
      </c>
      <c r="C4816" s="27" t="s">
        <v>759</v>
      </c>
      <c r="E4816" s="21">
        <f>IF(D4816="?OLD","!!!","")</f>
        <v/>
      </c>
      <c r="F4816" s="22" t="str">
        <f>IF(OR(E4816="",E4816="!!!"),"",IF(NOT(ISNA(VLOOKUP(E4816,E$1:E4815,1,FALSE()))),"OLD",IF(AND(E4816&lt;&gt;"",E4816&lt;&gt;"!!!"),"NEW","")))</f>
        <v> </v>
      </c>
      <c r="G4816" s="23" t="str">
        <f>IF(OR(E4816="",E4816="!!!"),"",IF(OR(J4816=0,AND(J4816=1,K4816=1),AND(J4816=1,I4816="SBJ"),AND(J4816=1,I4816=0)),"?IN_FOCUS",IF(J4816&lt;=2,"?ACTIVATED",IF(J4816&lt;&gt;"","?FAMILIAR",IF(F4816="NEW",IF(ISNA(VLOOKUP(E4816,#REF!,1,FALSE())),"?TYPE_IDENTIFIABLE","?REFERENTIAL"),"_")))))</f>
        <v> </v>
      </c>
      <c r="H4816" s="24" t="str">
        <f>IF(J4816&lt;&gt;1,"",IF(I4816="SBJ","CB","?"))</f>
        <v> </v>
      </c>
      <c r="I4816" s="25" t="str">
        <f>IF(OR(E4816="",E4816="!!!",F4816="NEW"),"",INDEX(B4815:B$2,-1+SUMPRODUCT(MAX(ROW(E4815:E$2)*(E4816=E4815:E$2)))))</f>
        <v> </v>
      </c>
      <c r="J4816" s="25" t="str">
        <f>IF(OR(E4816="",E4816="!!!",F4816="NEW"),"",COUNTBLANK(OFFSET(A$1,,,SUMPRODUCT(MAX(ROW(E$2:E4816)*(E4816=E$2:E4816)))))-COUNTBLANK(OFFSET(A$1,,,SUMPRODUCT(MAX(ROW(E$1:E4815)*(E2=E$1:E4815))))))</f>
        <v> </v>
      </c>
      <c r="K4816" s="25" t="str">
        <f>IF(OR(E4816="",E4816="!!!",F4816="NEW"),"",INDEX(J$1:J4815,SUMPRODUCT(MAX(ROW(E$1:E4815)*(E4816=E$1:E4815)))))</f>
        <v> </v>
      </c>
      <c r="L4816" s="26"/>
    </row>
    <row r="4817" spans="1:12">
      <c r="A4817" s="20" t="s">
        <v>340</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1944</v>
      </c>
      <c r="B4818" s="27" t="s">
        <v>758</v>
      </c>
      <c r="C4818" s="27" t="s">
        <v>759</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845</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2024-01-13T08:33:11Z</dcterms:created>
  <dcterms:modified xsi:type="dcterms:W3CDTF">2024-01-13T08:33:11Z</dcterms:modified>
</cp:coreProperties>
</file>