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<sst xmlns="http://schemas.openxmlformats.org/spreadsheetml/2006/main" count="1116" uniqueCount="400">
  <si>
    <t>ID</t>
  </si>
  <si>
    <t>PRED_ID</t>
  </si>
  <si>
    <t>MARKER_AUTO</t>
  </si>
  <si>
    <t>PREDICATE</t>
  </si>
  <si>
    <t>TEXT</t>
  </si>
  <si>
    <t>SENTENCE</t>
  </si>
  <si>
    <t>MARKER</t>
  </si>
  <si>
    <t>TARGET</t>
  </si>
  <si>
    <t>RELATION</t>
  </si>
  <si>
    <t>COMMENT</t>
  </si>
  <si>
    <t>1</t>
  </si>
  <si>
    <t>3</t>
  </si>
  <si>
    <t>_</t>
  </si>
  <si>
    <t>reach</t>
  </si>
  <si>
    <t>Frankie Dettori reaches 3,000 winners with victory at Newmarket on Predilection Dettori sprays champagne after a double at Newmarket takes him to 3,000 wins Jockey Frankie Dettori secured his 3,000th British winner at Newmarket on Friday .</t>
  </si>
  <si>
    <t>file://conllu/en/bbc.242418.conllu#s1_0</t>
  </si>
  <si>
    <t>2</t>
  </si>
  <si>
    <t>bring</t>
  </si>
  <si>
    <t>He brought up the landmark with his second winner of the night at his local track on Predilection , trained by John Gosden .</t>
  </si>
  <si>
    <t>file://conllu/en/bbc.242418.conllu#s2_0</t>
  </si>
  <si>
    <t>8</t>
  </si>
  <si>
    <t>be (be jockey)</t>
  </si>
  <si>
    <t>The 45 year old Italian is the sixth jockey to reach the landmark in Flat racing .</t>
  </si>
  <si>
    <t>file://conllu/en/bbc.242418.conllu#s3_0</t>
  </si>
  <si>
    <t>4</t>
  </si>
  <si>
    <t>follow</t>
  </si>
  <si>
    <t>He follows Sir Gordon Richards , Doug Smith , Lester Piggott , Pat Eddery and Willie Carson .</t>
  </si>
  <si>
    <t>file://conllu/en/bbc.242418.conllu#s4_0</t>
  </si>
  <si>
    <t>5</t>
  </si>
  <si>
    <t>14</t>
  </si>
  <si>
    <t>say</t>
  </si>
  <si>
    <t>Three time champion jockey Dettori , who earlier won on Ghayyar , said : &amp;quot; It 's special . &amp;quot;</t>
  </si>
  <si>
    <t>file://conllu/en/bbc.242418.conllu#s5_0</t>
  </si>
  <si>
    <t>6</t>
  </si>
  <si>
    <t>because?</t>
  </si>
  <si>
    <t>be (be emotional)</t>
  </si>
  <si>
    <t>I 'm very emotional because my family are here as well I 'm very pleased for it to have happened at Newmarket because this is where I landed 30 years ago .</t>
  </si>
  <si>
    <t>file://conllu/en/bbc.242418.conllu#s6_0</t>
  </si>
  <si>
    <t>7</t>
  </si>
  <si>
    <t>be (be meeting)</t>
  </si>
  <si>
    <t>It 's not a big meeting , it 's not a Royal Ascot it 's a mundane Friday night with 20,000 people .</t>
  </si>
  <si>
    <t>file://conllu/en/bbc.242418.conllu#s7_0</t>
  </si>
  <si>
    <t>and?</t>
  </si>
  <si>
    <t>be (be relieved)</t>
  </si>
  <si>
    <t>I 'm relieved and very humble .</t>
  </si>
  <si>
    <t>file://conllu/en/bbc.242418.conllu#s8_0</t>
  </si>
  <si>
    <t>9</t>
  </si>
  <si>
    <t>as?</t>
  </si>
  <si>
    <t>soak</t>
  </si>
  <si>
    <t>Dettori soaks up the cheers as he brings in Predilection after victory</t>
  </si>
  <si>
    <t>file://conllu/en/bbc.242418.conllu#s9_0</t>
  </si>
  <si>
    <t>10</t>
  </si>
  <si>
    <t>Two jockeys have reached the milestone in jump racing champion jockey Richard Johnson and retired 20 time champion Sir Anthony McCoy , who had more than 4,300 victories in a record breaking career .</t>
  </si>
  <si>
    <t>file://conllu/en/bbc.242418.conllu#s10_0</t>
  </si>
  <si>
    <t>11</t>
  </si>
  <si>
    <t>12</t>
  </si>
  <si>
    <t>win</t>
  </si>
  <si>
    <t>Lester Piggott , nine time Derby winner , 4,493 career wins Frankie is one of the best jockeys of the modern era and it is no surprise he has reached this landmark so few have achieved before him .</t>
  </si>
  <si>
    <t>file://conllu/en/bbc.242418.conllu#s11_0</t>
  </si>
  <si>
    <t>but?</t>
  </si>
  <si>
    <t>be (be stylish)</t>
  </si>
  <si>
    <t>He is stylish and strong , but it is his tactical nous that sets him apart from others in the weighing room .</t>
  </si>
  <si>
    <t>file://conllu/en/bbc.242418.conllu#s12_0</t>
  </si>
  <si>
    <t>13</t>
  </si>
  <si>
    <t>for?</t>
  </si>
  <si>
    <t>be (be ambassador)</t>
  </si>
  <si>
    <t>He is a fantastic ambassador for racing , his enthusiasm and charisma have been drawing fans to the sport for years .</t>
  </si>
  <si>
    <t>file://conllu/en/bbc.242418.conllu#s13_0</t>
  </si>
  <si>
    <t>I said to Frankie a few weeks ago at Epsom he 'd have ridden 6,000 winners if he was n't just a weekend and big race jockey !</t>
  </si>
  <si>
    <t>file://conllu/en/bbc.242418.conllu#s14_0</t>
  </si>
  <si>
    <t>15</t>
  </si>
  <si>
    <t>though?</t>
  </si>
  <si>
    <t>ride</t>
  </si>
  <si>
    <t>Seriously though , Frankie 's been riding winners in the UK for the best part of 30 years which is great to see .</t>
  </si>
  <si>
    <t>file://conllu/en/bbc.242418.conllu#s15_0</t>
  </si>
  <si>
    <t>16</t>
  </si>
  <si>
    <t>be (be character)</t>
  </si>
  <si>
    <t>He 's a lively character which is good for British racing but more than that , he 's an incredible jockey .</t>
  </si>
  <si>
    <t>file://conllu/en/bbc.242418.conllu#s16_0</t>
  </si>
  <si>
    <t>17</t>
  </si>
  <si>
    <t>celebrate</t>
  </si>
  <si>
    <t>Frankie Dettori celebrated the milestone with a trademark flying dismount From flying finishes to flying dismounts , Frankie Dettori has been the poster boy of British Flat racing for two decades .</t>
  </si>
  <si>
    <t>file://conllu/en/bbc.242418.conllu#s17_0</t>
  </si>
  <si>
    <t>18</t>
  </si>
  <si>
    <t>be (be ride)</t>
  </si>
  <si>
    <t>It has been a rollercoaster ride .</t>
  </si>
  <si>
    <t>file://conllu/en/bbc.242418.conllu#s18_0</t>
  </si>
  <si>
    <t>19</t>
  </si>
  <si>
    <t>also?</t>
  </si>
  <si>
    <t>Stack</t>
  </si>
  <si>
    <t>Stacks of big race winners , including his famous 1996 ' Magnificent Seven ' at Ascot , but he also survived a plane crash and served a drugs ban .</t>
  </si>
  <si>
    <t>file://conllu/en/bbc.242418.conllu#s19_0</t>
  </si>
  <si>
    <t>WORD</t>
  </si>
  <si>
    <t>GR</t>
  </si>
  <si>
    <t>NP_TYPE</t>
  </si>
  <si>
    <t>REF_AUTO</t>
  </si>
  <si>
    <t>COREF</t>
  </si>
  <si>
    <t>REF</t>
  </si>
  <si>
    <t>IS</t>
  </si>
  <si>
    <t>CB</t>
  </si>
  <si>
    <t>GR_ANTE</t>
  </si>
  <si>
    <t>REF_DIST</t>
  </si>
  <si>
    <t>REF_DIST_ANTE</t>
  </si>
  <si>
    <t># text = Frankie Dettori reaches 3,000 winners with victory at Newmarket on Predilection Dettori sprays champagne after a double at Newmarket takes him to 3,000 wins Jockey Frankie Dettori secured his 3,000th British winner at Newmarket on Friday.</t>
  </si>
  <si>
    <t>Frankie</t>
  </si>
  <si>
    <t>SBJ</t>
  </si>
  <si>
    <t>ne</t>
  </si>
  <si>
    <t>?OLD</t>
  </si>
  <si>
    <t>Dettori</t>
  </si>
  <si>
    <t>reaches</t>
  </si>
  <si>
    <t>3,000</t>
  </si>
  <si>
    <t>winners</t>
  </si>
  <si>
    <t>SBJ_2</t>
  </si>
  <si>
    <t>indef-np.quant</t>
  </si>
  <si>
    <t>with</t>
  </si>
  <si>
    <t>victory</t>
  </si>
  <si>
    <t>other_3</t>
  </si>
  <si>
    <t>indef-np.bare</t>
  </si>
  <si>
    <t>at</t>
  </si>
  <si>
    <t>Newmarket</t>
  </si>
  <si>
    <t>other_4</t>
  </si>
  <si>
    <t>on</t>
  </si>
  <si>
    <t>Predilection</t>
  </si>
  <si>
    <t>other_5</t>
  </si>
  <si>
    <t>sprays</t>
  </si>
  <si>
    <t>champagne</t>
  </si>
  <si>
    <t>OBJ_2</t>
  </si>
  <si>
    <t>after</t>
  </si>
  <si>
    <t>a</t>
  </si>
  <si>
    <t>double</t>
  </si>
  <si>
    <t>other_2</t>
  </si>
  <si>
    <t>indef-np.a</t>
  </si>
  <si>
    <t>takes</t>
  </si>
  <si>
    <t>him</t>
  </si>
  <si>
    <t>OBJ_3</t>
  </si>
  <si>
    <t>pron.pper</t>
  </si>
  <si>
    <t>to</t>
  </si>
  <si>
    <t>wins</t>
  </si>
  <si>
    <t>Jockey</t>
  </si>
  <si>
    <t>secured</t>
  </si>
  <si>
    <t>his</t>
  </si>
  <si>
    <t>pron.ppos</t>
  </si>
  <si>
    <t>3,000th</t>
  </si>
  <si>
    <t>British</t>
  </si>
  <si>
    <t>winner</t>
  </si>
  <si>
    <t>def-np.poss</t>
  </si>
  <si>
    <t>Friday</t>
  </si>
  <si>
    <t>.</t>
  </si>
  <si>
    <t># text = He brought up the landmark with his second winner of the night at his local track - on Predilection, trained by John Gosden.</t>
  </si>
  <si>
    <t>He</t>
  </si>
  <si>
    <t>brought</t>
  </si>
  <si>
    <t>up</t>
  </si>
  <si>
    <t>the</t>
  </si>
  <si>
    <t>landmark</t>
  </si>
  <si>
    <t>OBJ</t>
  </si>
  <si>
    <t>def-np.the</t>
  </si>
  <si>
    <t>second</t>
  </si>
  <si>
    <t>other</t>
  </si>
  <si>
    <t>of</t>
  </si>
  <si>
    <t>night</t>
  </si>
  <si>
    <t>local</t>
  </si>
  <si>
    <t>track</t>
  </si>
  <si>
    <t>,</t>
  </si>
  <si>
    <t>trained</t>
  </si>
  <si>
    <t>by</t>
  </si>
  <si>
    <t>John</t>
  </si>
  <si>
    <t>Gosden</t>
  </si>
  <si>
    <t># text = The 45-year-old Italian is the sixth jockey to reach the landmark in Flat racing.</t>
  </si>
  <si>
    <t>The</t>
  </si>
  <si>
    <t>45</t>
  </si>
  <si>
    <t>year</t>
  </si>
  <si>
    <t>old</t>
  </si>
  <si>
    <t>Italian</t>
  </si>
  <si>
    <t>is</t>
  </si>
  <si>
    <t>sixth</t>
  </si>
  <si>
    <t>jockey</t>
  </si>
  <si>
    <t>in</t>
  </si>
  <si>
    <t>Flat</t>
  </si>
  <si>
    <t>racing</t>
  </si>
  <si>
    <t># text = He follows Sir Gordon Richards, Doug Smith, Lester Piggott, Pat Eddery and Willie Carson.</t>
  </si>
  <si>
    <t>follows</t>
  </si>
  <si>
    <t>Sir</t>
  </si>
  <si>
    <t>Gordon</t>
  </si>
  <si>
    <t>Richards</t>
  </si>
  <si>
    <t>Doug</t>
  </si>
  <si>
    <t>Smith</t>
  </si>
  <si>
    <t>Lester</t>
  </si>
  <si>
    <t>Piggott</t>
  </si>
  <si>
    <t>Pat</t>
  </si>
  <si>
    <t>Eddery</t>
  </si>
  <si>
    <t>and</t>
  </si>
  <si>
    <t>Willie</t>
  </si>
  <si>
    <t>Carson</t>
  </si>
  <si>
    <t>--</t>
  </si>
  <si>
    <t># text = Three-time champion jockey Dettori, who earlier won on Ghayyar, said: "It's special."</t>
  </si>
  <si>
    <t>Three</t>
  </si>
  <si>
    <t>time</t>
  </si>
  <si>
    <t>champion</t>
  </si>
  <si>
    <t>who</t>
  </si>
  <si>
    <t>SBJ_3</t>
  </si>
  <si>
    <t>earlier</t>
  </si>
  <si>
    <t>won</t>
  </si>
  <si>
    <t>Ghayyar</t>
  </si>
  <si>
    <t>said</t>
  </si>
  <si>
    <t>:</t>
  </si>
  <si>
    <t>&amp;quot;</t>
  </si>
  <si>
    <t>It</t>
  </si>
  <si>
    <t>'s</t>
  </si>
  <si>
    <t>special</t>
  </si>
  <si>
    <t># text = I'm very emotional because my family are here as well I'm very pleased for it to have happened at Newmarket because this is where I landed 30 years ago.</t>
  </si>
  <si>
    <t>I</t>
  </si>
  <si>
    <t>'m</t>
  </si>
  <si>
    <t>very</t>
  </si>
  <si>
    <t>emotional</t>
  </si>
  <si>
    <t>because</t>
  </si>
  <si>
    <t>my</t>
  </si>
  <si>
    <t>family</t>
  </si>
  <si>
    <t>are</t>
  </si>
  <si>
    <t>here</t>
  </si>
  <si>
    <t>pron.padv</t>
  </si>
  <si>
    <t>as</t>
  </si>
  <si>
    <t>well</t>
  </si>
  <si>
    <t>pleased</t>
  </si>
  <si>
    <t>for</t>
  </si>
  <si>
    <t>it</t>
  </si>
  <si>
    <t>have</t>
  </si>
  <si>
    <t>happened</t>
  </si>
  <si>
    <t>this</t>
  </si>
  <si>
    <t>pron.pds</t>
  </si>
  <si>
    <t>where</t>
  </si>
  <si>
    <t>pron.pint</t>
  </si>
  <si>
    <t>landed</t>
  </si>
  <si>
    <t>30</t>
  </si>
  <si>
    <t>years</t>
  </si>
  <si>
    <t>ago</t>
  </si>
  <si>
    <t># text = It's not a big meeting, it's not a Royal Ascot - it's a mundane Friday night with 20,000 people.</t>
  </si>
  <si>
    <t>not</t>
  </si>
  <si>
    <t>big</t>
  </si>
  <si>
    <t>meeting</t>
  </si>
  <si>
    <t>Royal</t>
  </si>
  <si>
    <t>Ascot</t>
  </si>
  <si>
    <t>mundane</t>
  </si>
  <si>
    <t>20,000</t>
  </si>
  <si>
    <t>people</t>
  </si>
  <si>
    <t># text = I'm relieved and very humble.</t>
  </si>
  <si>
    <t>relieved</t>
  </si>
  <si>
    <t>humble</t>
  </si>
  <si>
    <t># text = Dettori soaks up the cheers as he brings in Predilection after victory</t>
  </si>
  <si>
    <t>soaks</t>
  </si>
  <si>
    <t>cheers</t>
  </si>
  <si>
    <t>he</t>
  </si>
  <si>
    <t>brings</t>
  </si>
  <si>
    <t># text = Two jockeys have reached the milestone in jump racing - champion jockey Richard Johnson and retired 20-time champion Sir Anthony McCoy, who had more than 4,300 victories in a record-breaking career.</t>
  </si>
  <si>
    <t>Two</t>
  </si>
  <si>
    <t>jockeys</t>
  </si>
  <si>
    <t>reached</t>
  </si>
  <si>
    <t>milestone</t>
  </si>
  <si>
    <t>jump</t>
  </si>
  <si>
    <t>Richard</t>
  </si>
  <si>
    <t>Johnson</t>
  </si>
  <si>
    <t>retired</t>
  </si>
  <si>
    <t>20</t>
  </si>
  <si>
    <t>Anthony</t>
  </si>
  <si>
    <t>McCoy</t>
  </si>
  <si>
    <t>had</t>
  </si>
  <si>
    <t>more</t>
  </si>
  <si>
    <t>than</t>
  </si>
  <si>
    <t>4,300</t>
  </si>
  <si>
    <t>victories</t>
  </si>
  <si>
    <t>record</t>
  </si>
  <si>
    <t>breaking</t>
  </si>
  <si>
    <t>career</t>
  </si>
  <si>
    <t># text = Lester Piggott, nine-time Derby winner, 4,493 career wins Frankie is one of the best jockeys of the modern era and it is no surprise he has reached this landmark so few have achieved before him.</t>
  </si>
  <si>
    <t>nine</t>
  </si>
  <si>
    <t>Derby</t>
  </si>
  <si>
    <t>4,493</t>
  </si>
  <si>
    <t>one</t>
  </si>
  <si>
    <t>best</t>
  </si>
  <si>
    <t>modern</t>
  </si>
  <si>
    <t>era</t>
  </si>
  <si>
    <t>no</t>
  </si>
  <si>
    <t>surprise</t>
  </si>
  <si>
    <t>has</t>
  </si>
  <si>
    <t>def-np.dem</t>
  </si>
  <si>
    <t>so</t>
  </si>
  <si>
    <t>few</t>
  </si>
  <si>
    <t>SBJ_4</t>
  </si>
  <si>
    <t>achieved</t>
  </si>
  <si>
    <t>before</t>
  </si>
  <si>
    <t># text = He is stylish and strong, but it is his tactical nous that sets him apart from others in the weighing room.</t>
  </si>
  <si>
    <t>stylish</t>
  </si>
  <si>
    <t>strong</t>
  </si>
  <si>
    <t>but</t>
  </si>
  <si>
    <t>tactical</t>
  </si>
  <si>
    <t>nous</t>
  </si>
  <si>
    <t>that</t>
  </si>
  <si>
    <t>sets</t>
  </si>
  <si>
    <t>apart</t>
  </si>
  <si>
    <t>from</t>
  </si>
  <si>
    <t>others</t>
  </si>
  <si>
    <t>weighing</t>
  </si>
  <si>
    <t>room</t>
  </si>
  <si>
    <t># text = He is a fantastic ambassador for racing, his enthusiasm and charisma have been drawing fans to the sport for years.</t>
  </si>
  <si>
    <t>fantastic</t>
  </si>
  <si>
    <t>ambassador</t>
  </si>
  <si>
    <t>enthusiasm</t>
  </si>
  <si>
    <t>charisma</t>
  </si>
  <si>
    <t>been</t>
  </si>
  <si>
    <t>drawing</t>
  </si>
  <si>
    <t>fans</t>
  </si>
  <si>
    <t>sport</t>
  </si>
  <si>
    <t># text = I said to Frankie a few weeks ago at Epsom he'd have ridden 6,000 winners if he wasn't just a weekend and big-race jockey!</t>
  </si>
  <si>
    <t>weeks</t>
  </si>
  <si>
    <t>Epsom</t>
  </si>
  <si>
    <t>'d</t>
  </si>
  <si>
    <t>ridden</t>
  </si>
  <si>
    <t>6,000</t>
  </si>
  <si>
    <t>if</t>
  </si>
  <si>
    <t>was</t>
  </si>
  <si>
    <t>n't</t>
  </si>
  <si>
    <t>just</t>
  </si>
  <si>
    <t>weekend</t>
  </si>
  <si>
    <t>race</t>
  </si>
  <si>
    <t>!</t>
  </si>
  <si>
    <t># text = Seriously though, Frankie's been riding winners in the UK for the best part of 30 years which is great to see.</t>
  </si>
  <si>
    <t>Seriously</t>
  </si>
  <si>
    <t>though</t>
  </si>
  <si>
    <t>riding</t>
  </si>
  <si>
    <t>UK</t>
  </si>
  <si>
    <t>part</t>
  </si>
  <si>
    <t>which</t>
  </si>
  <si>
    <t>great</t>
  </si>
  <si>
    <t>see</t>
  </si>
  <si>
    <t># text = He's a lively character which is good for British racing but more than that, he's an incredible jockey.</t>
  </si>
  <si>
    <t>lively</t>
  </si>
  <si>
    <t>character</t>
  </si>
  <si>
    <t>good</t>
  </si>
  <si>
    <t>an</t>
  </si>
  <si>
    <t>incredible</t>
  </si>
  <si>
    <t># text = Frankie Dettori celebrated the milestone with a trademark flying dismount From flying finishes to flying dismounts, Frankie Dettori has been the poster boy of British Flat racing for two decades.</t>
  </si>
  <si>
    <t>celebrated</t>
  </si>
  <si>
    <t>trademark</t>
  </si>
  <si>
    <t>flying</t>
  </si>
  <si>
    <t>dismount</t>
  </si>
  <si>
    <t>From</t>
  </si>
  <si>
    <t>finishes</t>
  </si>
  <si>
    <t>dismounts</t>
  </si>
  <si>
    <t>poster</t>
  </si>
  <si>
    <t>boy</t>
  </si>
  <si>
    <t>two</t>
  </si>
  <si>
    <t>decades</t>
  </si>
  <si>
    <t># text = It has been a rollercoaster ride.</t>
  </si>
  <si>
    <t>rollercoaster</t>
  </si>
  <si>
    <t># text = Stacks of big-race winners, including his famous 1996 'Magnificent Seven' at Ascot, but he also survived a plane crash and served a drugs ban.</t>
  </si>
  <si>
    <t>Stacks</t>
  </si>
  <si>
    <t>including</t>
  </si>
  <si>
    <t>famous</t>
  </si>
  <si>
    <t>1996</t>
  </si>
  <si>
    <t>'</t>
  </si>
  <si>
    <t>Magnificent</t>
  </si>
  <si>
    <t>Seven</t>
  </si>
  <si>
    <t>also</t>
  </si>
  <si>
    <t>survived</t>
  </si>
  <si>
    <t>plane</t>
  </si>
  <si>
    <t>crash</t>
  </si>
  <si>
    <t>served</t>
  </si>
  <si>
    <t>drugs</t>
  </si>
  <si>
    <t>ban</t>
  </si>
  <si>
    <t># text = Three years ago he initially struggled when returning from that six-month suspension, but he showed formidable strength of character to defy the doubters and return to his best.</t>
  </si>
  <si>
    <t>initially</t>
  </si>
  <si>
    <t>struggled</t>
  </si>
  <si>
    <t>when</t>
  </si>
  <si>
    <t>returning</t>
  </si>
  <si>
    <t>six</t>
  </si>
  <si>
    <t>month</t>
  </si>
  <si>
    <t>suspension</t>
  </si>
  <si>
    <t>showed</t>
  </si>
  <si>
    <t>formidable</t>
  </si>
  <si>
    <t>strength</t>
  </si>
  <si>
    <t>defy</t>
  </si>
  <si>
    <t>doubters</t>
  </si>
  <si>
    <t>OBJ_5</t>
  </si>
  <si>
    <t>return</t>
  </si>
  <si>
    <t>other_7</t>
  </si>
  <si>
    <t># text = And he may not be done for some time - Dettori has previously said he would like to carry on competing until the age of 50, at least.</t>
  </si>
  <si>
    <t>And</t>
  </si>
  <si>
    <t>may</t>
  </si>
  <si>
    <t>be</t>
  </si>
  <si>
    <t>done</t>
  </si>
  <si>
    <t>some</t>
  </si>
  <si>
    <t>previously</t>
  </si>
  <si>
    <t>would</t>
  </si>
  <si>
    <t>like</t>
  </si>
  <si>
    <t>carry</t>
  </si>
  <si>
    <t>competing</t>
  </si>
  <si>
    <t>until</t>
  </si>
  <si>
    <t>age</t>
  </si>
  <si>
    <t>def-np.quant</t>
  </si>
  <si>
    <t>50</t>
  </si>
  <si>
    <t>least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</si>
</sst>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16</v>
      </c>
      <c r="C3" s="6" t="s">
        <v>12</v>
      </c>
      <c r="D3" s="7" t="s">
        <v>17</v>
      </c>
      <c r="E3" s="8" t="s">
        <v>18</v>
      </c>
      <c r="F3" s="6" t="s">
        <v>19</v>
      </c>
      <c r="G3" s="9">
        <f>IF(A3=1,"_",IF(C3="_","???",C3))</f>
        <v/>
      </c>
      <c r="H3" s="10" t="s">
        <v>12</v>
      </c>
      <c r="I3" s="11" t="s">
        <v>12</v>
      </c>
      <c r="J3" s="12"/>
    </row>
    <row r="4" spans="1:10" ht="60" customHeight="1">
      <c r="A4" s="6" t="s">
        <v>11</v>
      </c>
      <c r="B4" s="6" t="s">
        <v>20</v>
      </c>
      <c r="C4" s="6" t="s">
        <v>12</v>
      </c>
      <c r="D4" s="7" t="s">
        <v>21</v>
      </c>
      <c r="E4" s="8" t="s">
        <v>22</v>
      </c>
      <c r="F4" s="6" t="s">
        <v>23</v>
      </c>
      <c r="G4" s="9">
        <f>IF(A4=1,"_",IF(C4="_","???",C4))</f>
        <v/>
      </c>
      <c r="H4" s="10" t="s">
        <v>12</v>
      </c>
      <c r="I4" s="11" t="s">
        <v>12</v>
      </c>
      <c r="J4" s="12"/>
    </row>
    <row r="5" spans="1:10" ht="60" customHeight="1">
      <c r="A5" s="6" t="s">
        <v>24</v>
      </c>
      <c r="B5" s="6" t="s">
        <v>16</v>
      </c>
      <c r="C5" s="6" t="s">
        <v>12</v>
      </c>
      <c r="D5" s="7" t="s">
        <v>25</v>
      </c>
      <c r="E5" s="8" t="s">
        <v>26</v>
      </c>
      <c r="F5" s="6" t="s">
        <v>27</v>
      </c>
      <c r="G5" s="9">
        <f>IF(A5=1,"_",IF(C5="_","???",C5))</f>
        <v/>
      </c>
      <c r="H5" s="10" t="s">
        <v>12</v>
      </c>
      <c r="I5" s="11" t="s">
        <v>12</v>
      </c>
      <c r="J5" s="12"/>
    </row>
    <row r="6" spans="1:10" ht="60" customHeight="1">
      <c r="A6" s="6" t="s">
        <v>28</v>
      </c>
      <c r="B6" s="6" t="s">
        <v>29</v>
      </c>
      <c r="C6" s="6" t="s">
        <v>12</v>
      </c>
      <c r="D6" s="7" t="s">
        <v>30</v>
      </c>
      <c r="E6" s="8" t="s">
        <v>31</v>
      </c>
      <c r="F6" s="6" t="s">
        <v>32</v>
      </c>
      <c r="G6" s="9">
        <f>IF(A6=1,"_",IF(C6="_","???",C6))</f>
        <v/>
      </c>
      <c r="H6" s="10" t="s">
        <v>12</v>
      </c>
      <c r="I6" s="11" t="s">
        <v>12</v>
      </c>
      <c r="J6" s="12"/>
    </row>
    <row r="7" spans="1:10" ht="60" customHeight="1">
      <c r="A7" s="6" t="s">
        <v>33</v>
      </c>
      <c r="B7" s="6" t="s">
        <v>16</v>
      </c>
      <c r="C7" s="6" t="s">
        <v>34</v>
      </c>
      <c r="D7" s="7" t="s">
        <v>35</v>
      </c>
      <c r="E7" s="8" t="s">
        <v>36</v>
      </c>
      <c r="F7" s="6" t="s">
        <v>37</v>
      </c>
      <c r="G7" s="9">
        <f>IF(A7=1,"_",IF(C7="_","???",C7))</f>
        <v/>
      </c>
      <c r="H7" s="10" t="s">
        <v>12</v>
      </c>
      <c r="I7" s="11" t="s">
        <v>12</v>
      </c>
      <c r="J7" s="12"/>
    </row>
    <row r="8" spans="1:10" ht="60" customHeight="1">
      <c r="A8" s="6" t="s">
        <v>38</v>
      </c>
      <c r="B8" s="6" t="s">
        <v>16</v>
      </c>
      <c r="C8" s="6" t="s">
        <v>12</v>
      </c>
      <c r="D8" s="7" t="s">
        <v>39</v>
      </c>
      <c r="E8" s="8" t="s">
        <v>40</v>
      </c>
      <c r="F8" s="6" t="s">
        <v>41</v>
      </c>
      <c r="G8" s="9">
        <f>IF(A8=1,"_",IF(C8="_","???",C8))</f>
        <v/>
      </c>
      <c r="H8" s="10" t="s">
        <v>12</v>
      </c>
      <c r="I8" s="11" t="s">
        <v>12</v>
      </c>
      <c r="J8" s="12"/>
    </row>
    <row r="9" spans="1:10" ht="60" customHeight="1">
      <c r="A9" s="6" t="s">
        <v>20</v>
      </c>
      <c r="B9" s="6" t="s">
        <v>16</v>
      </c>
      <c r="C9" s="6" t="s">
        <v>42</v>
      </c>
      <c r="D9" s="7" t="s">
        <v>43</v>
      </c>
      <c r="E9" s="8" t="s">
        <v>44</v>
      </c>
      <c r="F9" s="6" t="s">
        <v>45</v>
      </c>
      <c r="G9" s="9">
        <f>IF(A9=1,"_",IF(C9="_","???",C9))</f>
        <v/>
      </c>
      <c r="H9" s="10" t="s">
        <v>12</v>
      </c>
      <c r="I9" s="11" t="s">
        <v>12</v>
      </c>
      <c r="J9" s="12"/>
    </row>
    <row r="10" spans="1:10" ht="60" customHeight="1">
      <c r="A10" s="6" t="s">
        <v>46</v>
      </c>
      <c r="B10" s="6" t="s">
        <v>16</v>
      </c>
      <c r="C10" s="6" t="s">
        <v>47</v>
      </c>
      <c r="D10" s="7" t="s">
        <v>48</v>
      </c>
      <c r="E10" s="8" t="s">
        <v>49</v>
      </c>
      <c r="F10" s="6" t="s">
        <v>50</v>
      </c>
      <c r="G10" s="9">
        <f>IF(A10=1,"_",IF(C10="_","???",C10))</f>
        <v/>
      </c>
      <c r="H10" s="10" t="s">
        <v>12</v>
      </c>
      <c r="I10" s="11" t="s">
        <v>12</v>
      </c>
      <c r="J10" s="12"/>
    </row>
    <row r="11" spans="1:10" ht="60" customHeight="1">
      <c r="A11" s="6" t="s">
        <v>51</v>
      </c>
      <c r="B11" s="6" t="s">
        <v>24</v>
      </c>
      <c r="C11" s="6" t="s">
        <v>12</v>
      </c>
      <c r="D11" s="7" t="s">
        <v>13</v>
      </c>
      <c r="E11" s="8" t="s">
        <v>52</v>
      </c>
      <c r="F11" s="6" t="s">
        <v>53</v>
      </c>
      <c r="G11" s="9">
        <f>IF(A11=1,"_",IF(C11="_","???",C11))</f>
        <v/>
      </c>
      <c r="H11" s="10" t="s">
        <v>12</v>
      </c>
      <c r="I11" s="11" t="s">
        <v>12</v>
      </c>
      <c r="J11" s="12"/>
    </row>
    <row r="12" spans="1:10" ht="60" customHeight="1">
      <c r="A12" s="6" t="s">
        <v>54</v>
      </c>
      <c r="B12" s="6" t="s">
        <v>55</v>
      </c>
      <c r="C12" s="6" t="s">
        <v>42</v>
      </c>
      <c r="D12" s="7" t="s">
        <v>56</v>
      </c>
      <c r="E12" s="8" t="s">
        <v>57</v>
      </c>
      <c r="F12" s="6" t="s">
        <v>58</v>
      </c>
      <c r="G12" s="9">
        <f>IF(A12=1,"_",IF(C12="_","???",C12))</f>
        <v/>
      </c>
      <c r="H12" s="10" t="s">
        <v>12</v>
      </c>
      <c r="I12" s="11" t="s">
        <v>12</v>
      </c>
      <c r="J12" s="12"/>
    </row>
    <row r="13" spans="1:10" ht="60" customHeight="1">
      <c r="A13" s="6" t="s">
        <v>55</v>
      </c>
      <c r="B13" s="6" t="s">
        <v>16</v>
      </c>
      <c r="C13" s="6" t="s">
        <v>59</v>
      </c>
      <c r="D13" s="7" t="s">
        <v>60</v>
      </c>
      <c r="E13" s="8" t="s">
        <v>61</v>
      </c>
      <c r="F13" s="6" t="s">
        <v>62</v>
      </c>
      <c r="G13" s="9">
        <f>IF(A13=1,"_",IF(C13="_","???",C13))</f>
        <v/>
      </c>
      <c r="H13" s="10" t="s">
        <v>12</v>
      </c>
      <c r="I13" s="11" t="s">
        <v>12</v>
      </c>
      <c r="J13" s="12"/>
    </row>
    <row r="14" spans="1:10" ht="60" customHeight="1">
      <c r="A14" s="6" t="s">
        <v>63</v>
      </c>
      <c r="B14" s="6" t="s">
        <v>16</v>
      </c>
      <c r="C14" s="6" t="s">
        <v>64</v>
      </c>
      <c r="D14" s="7" t="s">
        <v>65</v>
      </c>
      <c r="E14" s="8" t="s">
        <v>66</v>
      </c>
      <c r="F14" s="6" t="s">
        <v>67</v>
      </c>
      <c r="G14" s="9">
        <f>IF(A14=1,"_",IF(C14="_","???",C14))</f>
        <v/>
      </c>
      <c r="H14" s="10" t="s">
        <v>12</v>
      </c>
      <c r="I14" s="11" t="s">
        <v>12</v>
      </c>
      <c r="J14" s="12"/>
    </row>
    <row r="15" spans="1:10" ht="60" customHeight="1">
      <c r="A15" s="6" t="s">
        <v>29</v>
      </c>
      <c r="B15" s="6" t="s">
        <v>16</v>
      </c>
      <c r="C15" s="6" t="s">
        <v>12</v>
      </c>
      <c r="D15" s="7" t="s">
        <v>30</v>
      </c>
      <c r="E15" s="8" t="s">
        <v>68</v>
      </c>
      <c r="F15" s="6" t="s">
        <v>69</v>
      </c>
      <c r="G15" s="9">
        <f>IF(A15=1,"_",IF(C15="_","???",C15))</f>
        <v/>
      </c>
      <c r="H15" s="10" t="s">
        <v>12</v>
      </c>
      <c r="I15" s="11" t="s">
        <v>12</v>
      </c>
      <c r="J15" s="12"/>
    </row>
    <row r="16" spans="1:10" ht="60" customHeight="1">
      <c r="A16" s="6" t="s">
        <v>70</v>
      </c>
      <c r="B16" s="6" t="s">
        <v>38</v>
      </c>
      <c r="C16" s="6" t="s">
        <v>71</v>
      </c>
      <c r="D16" s="7" t="s">
        <v>72</v>
      </c>
      <c r="E16" s="8" t="s">
        <v>73</v>
      </c>
      <c r="F16" s="6" t="s">
        <v>74</v>
      </c>
      <c r="G16" s="9">
        <f>IF(A16=1,"_",IF(C16="_","???",C16))</f>
        <v/>
      </c>
      <c r="H16" s="10" t="s">
        <v>12</v>
      </c>
      <c r="I16" s="11" t="s">
        <v>12</v>
      </c>
      <c r="J16" s="12"/>
    </row>
    <row r="17" spans="1:10" ht="60" customHeight="1">
      <c r="A17" s="6" t="s">
        <v>75</v>
      </c>
      <c r="B17" s="6" t="s">
        <v>16</v>
      </c>
      <c r="C17" s="6" t="s">
        <v>12</v>
      </c>
      <c r="D17" s="7" t="s">
        <v>76</v>
      </c>
      <c r="E17" s="8" t="s">
        <v>77</v>
      </c>
      <c r="F17" s="6" t="s">
        <v>78</v>
      </c>
      <c r="G17" s="9">
        <f>IF(A17=1,"_",IF(C17="_","???",C17))</f>
        <v/>
      </c>
      <c r="H17" s="10" t="s">
        <v>12</v>
      </c>
      <c r="I17" s="11" t="s">
        <v>12</v>
      </c>
      <c r="J17" s="12"/>
    </row>
    <row r="18" spans="1:10" ht="60" customHeight="1">
      <c r="A18" s="6" t="s">
        <v>79</v>
      </c>
      <c r="B18" s="6" t="s">
        <v>11</v>
      </c>
      <c r="C18" s="6" t="s">
        <v>64</v>
      </c>
      <c r="D18" s="7" t="s">
        <v>80</v>
      </c>
      <c r="E18" s="8" t="s">
        <v>81</v>
      </c>
      <c r="F18" s="6" t="s">
        <v>82</v>
      </c>
      <c r="G18" s="9">
        <f>IF(A18=1,"_",IF(C18="_","???",C18))</f>
        <v/>
      </c>
      <c r="H18" s="10" t="s">
        <v>12</v>
      </c>
      <c r="I18" s="11" t="s">
        <v>12</v>
      </c>
      <c r="J18" s="12"/>
    </row>
    <row r="19" spans="1:10" ht="60" customHeight="1">
      <c r="A19" s="6" t="s">
        <v>83</v>
      </c>
      <c r="B19" s="6" t="s">
        <v>11</v>
      </c>
      <c r="C19" s="6" t="s">
        <v>12</v>
      </c>
      <c r="D19" s="7" t="s">
        <v>84</v>
      </c>
      <c r="E19" s="8" t="s">
        <v>85</v>
      </c>
      <c r="F19" s="6" t="s">
        <v>86</v>
      </c>
      <c r="G19" s="9">
        <f>IF(A19=1,"_",IF(C19="_","???",C19))</f>
        <v/>
      </c>
      <c r="H19" s="10" t="s">
        <v>12</v>
      </c>
      <c r="I19" s="11" t="s">
        <v>12</v>
      </c>
      <c r="J19" s="12"/>
    </row>
    <row r="20" spans="1:10" ht="60" customHeight="1">
      <c r="A20" s="6" t="s">
        <v>87</v>
      </c>
      <c r="B20" s="6" t="s">
        <v>10</v>
      </c>
      <c r="C20" s="6" t="s">
        <v>88</v>
      </c>
      <c r="D20" s="7" t="s">
        <v>89</v>
      </c>
      <c r="E20" s="8" t="s">
        <v>90</v>
      </c>
      <c r="F20" s="6" t="s">
        <v>91</v>
      </c>
      <c r="G20" s="9">
        <f>IF(A20=1,"_",IF(C20="_","???",C20))</f>
        <v/>
      </c>
      <c r="H20" s="10" t="s">
        <v>12</v>
      </c>
      <c r="I20" s="11" t="s">
        <v>12</v>
      </c>
      <c r="J20"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6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92</v>
      </c>
      <c r="B1" s="13" t="s">
        <v>93</v>
      </c>
      <c r="C1" s="13" t="s">
        <v>94</v>
      </c>
      <c r="D1" s="13" t="s">
        <v>95</v>
      </c>
      <c r="E1" s="14" t="s">
        <v>96</v>
      </c>
      <c r="F1" s="15" t="s">
        <v>97</v>
      </c>
      <c r="G1" s="16" t="s">
        <v>98</v>
      </c>
      <c r="H1" s="17" t="s">
        <v>99</v>
      </c>
      <c r="I1" s="18" t="s">
        <v>100</v>
      </c>
      <c r="J1" s="18" t="s">
        <v>101</v>
      </c>
      <c r="K1" s="18" t="s">
        <v>102</v>
      </c>
      <c r="L1" s="19" t="s">
        <v>9</v>
      </c>
    </row>
    <row r="2" spans="1:12">
      <c r="A2" s="20" t="s">
        <v>103</v>
      </c>
    </row>
    <row r="3" spans="1:12">
      <c r="A3" s="20" t="s">
        <v>104</v>
      </c>
      <c r="B3" s="21" t="s">
        <v>105</v>
      </c>
      <c r="C3" s="21" t="s">
        <v>106</v>
      </c>
      <c r="D3" s="21" t="s">
        <v>107</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108</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109</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110</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111</v>
      </c>
      <c r="B7" s="21" t="s">
        <v>112</v>
      </c>
      <c r="C7" s="21" t="s">
        <v>113</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114</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115</v>
      </c>
      <c r="B9" s="21" t="s">
        <v>116</v>
      </c>
      <c r="C9" s="21" t="s">
        <v>117</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118</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119</v>
      </c>
      <c r="B11" s="21" t="s">
        <v>120</v>
      </c>
      <c r="C11" s="21" t="s">
        <v>106</v>
      </c>
      <c r="D11" s="21" t="s">
        <v>107</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121</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122</v>
      </c>
      <c r="B13" s="21" t="s">
        <v>123</v>
      </c>
      <c r="C13" s="21" t="s">
        <v>106</v>
      </c>
      <c r="D13" s="21" t="s">
        <v>107</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108</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124</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125</v>
      </c>
      <c r="B16" s="21" t="s">
        <v>126</v>
      </c>
      <c r="C16" s="21" t="s">
        <v>117</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127</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128</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129</v>
      </c>
      <c r="B19" s="21" t="s">
        <v>130</v>
      </c>
      <c r="C19" s="21" t="s">
        <v>131</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118</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119</v>
      </c>
      <c r="B21" s="21" t="s">
        <v>130</v>
      </c>
      <c r="C21" s="21" t="s">
        <v>106</v>
      </c>
      <c r="D21" s="21" t="s">
        <v>107</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132</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133</v>
      </c>
      <c r="B23" s="21" t="s">
        <v>134</v>
      </c>
      <c r="C23" s="21" t="s">
        <v>135</v>
      </c>
      <c r="D23" s="21" t="s">
        <v>107</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136</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110</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137</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138</v>
      </c>
      <c r="B27" s="21" t="s">
        <v>116</v>
      </c>
      <c r="C27" s="21" t="s">
        <v>106</v>
      </c>
      <c r="D27" s="21" t="s">
        <v>107</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104</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108</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139</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140</v>
      </c>
      <c r="B31" s="21" t="s">
        <v>116</v>
      </c>
      <c r="C31" s="21" t="s">
        <v>141</v>
      </c>
      <c r="D31" s="21" t="s">
        <v>107</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142</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143</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144</v>
      </c>
      <c r="B34" s="21" t="s">
        <v>126</v>
      </c>
      <c r="C34" s="21" t="s">
        <v>145</v>
      </c>
      <c r="D34" s="21" t="s">
        <v>107</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118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119</v>
      </c>
      <c r="B36" s="21" t="s">
        <v>130</v>
      </c>
      <c r="C36" s="21" t="s">
        <v>106</v>
      </c>
      <c r="D36" s="21" t="s">
        <v>107</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121</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146</v>
      </c>
      <c r="B38" s="21" t="s">
        <v>130</v>
      </c>
      <c r="C38" s="21" t="s">
        <v>106</v>
      </c>
      <c r="D38" s="21" t="s">
        <v>107</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147</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row>
    <row r="41" spans="1:12">
      <c r="A41" s="20" t="s">
        <v>148</v>
      </c>
    </row>
    <row r="42" spans="1:12">
      <c r="A42" s="20" t="s">
        <v>149</v>
      </c>
      <c r="B42" s="21" t="s">
        <v>105</v>
      </c>
      <c r="C42" s="21" t="s">
        <v>135</v>
      </c>
      <c r="D42" s="21" t="s">
        <v>107</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150</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151</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152</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153</v>
      </c>
      <c r="B46" s="21" t="s">
        <v>154</v>
      </c>
      <c r="C46" s="21" t="s">
        <v>155</v>
      </c>
      <c r="D46" s="21" t="s">
        <v>107</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114</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140</v>
      </c>
      <c r="B48" s="21" t="s">
        <v>130</v>
      </c>
      <c r="C48" s="21" t="s">
        <v>141</v>
      </c>
      <c r="D48" s="21" t="s">
        <v>107</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156</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144</v>
      </c>
      <c r="B50" s="21" t="s">
        <v>157</v>
      </c>
      <c r="C50" s="21" t="s">
        <v>145</v>
      </c>
      <c r="D50" s="21" t="s">
        <v>107</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158</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152</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159</v>
      </c>
      <c r="B53" s="21" t="s">
        <v>130</v>
      </c>
      <c r="C53" s="21" t="s">
        <v>155</v>
      </c>
      <c r="D53" s="21" t="s">
        <v>107</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118</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140</v>
      </c>
      <c r="B55" s="21" t="s">
        <v>130</v>
      </c>
      <c r="C55" s="21" t="s">
        <v>141</v>
      </c>
      <c r="D55" s="21" t="s">
        <v>107</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160</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161</v>
      </c>
      <c r="B57" s="21" t="s">
        <v>157</v>
      </c>
      <c r="C57" s="21" t="s">
        <v>145</v>
      </c>
      <c r="D57" s="21" t="s">
        <v>107</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12</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121</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122</v>
      </c>
      <c r="B60" s="21" t="s">
        <v>157</v>
      </c>
      <c r="C60" s="21" t="s">
        <v>117</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162</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163</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164</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165</v>
      </c>
      <c r="B64" s="21" t="s">
        <v>116</v>
      </c>
      <c r="C64" s="21" t="s">
        <v>106</v>
      </c>
      <c r="D64" s="21" t="s">
        <v>107</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166</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147</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row>
    <row r="68" spans="1:12">
      <c r="A68" s="20" t="s">
        <v>167</v>
      </c>
    </row>
    <row r="69" spans="1:12">
      <c r="A69" s="20" t="s">
        <v>168</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169</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12</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170</v>
      </c>
      <c r="B72" s="21" t="s">
        <v>116</v>
      </c>
      <c r="C72" s="21" t="s">
        <v>113</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12</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171</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172</v>
      </c>
      <c r="B75" s="21" t="s">
        <v>105</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173</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152</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174</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175</v>
      </c>
      <c r="B79" s="21" t="s">
        <v>157</v>
      </c>
      <c r="C79" s="21" t="s">
        <v>155</v>
      </c>
      <c r="D79" s="21" t="s">
        <v>107</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136</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13</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152</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153</v>
      </c>
      <c r="B83" s="21" t="s">
        <v>126</v>
      </c>
      <c r="C83" s="21" t="s">
        <v>155</v>
      </c>
      <c r="D83" s="21" t="s">
        <v>107</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176</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177</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178</v>
      </c>
      <c r="B86" s="21" t="s">
        <v>130</v>
      </c>
      <c r="C86" s="21" t="s">
        <v>117</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147</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row>
    <row r="89" spans="1:12">
      <c r="A89" s="20" t="s">
        <v>179</v>
      </c>
    </row>
    <row r="90" spans="1:12">
      <c r="A90" s="20" t="s">
        <v>149</v>
      </c>
      <c r="B90" s="21" t="s">
        <v>105</v>
      </c>
      <c r="C90" s="21" t="s">
        <v>135</v>
      </c>
      <c r="D90" s="21" t="s">
        <v>107</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180</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181</v>
      </c>
      <c r="B92" s="21" t="s">
        <v>154</v>
      </c>
      <c r="C92" s="21" t="s">
        <v>106</v>
      </c>
      <c r="D92" s="21" t="s">
        <v>107</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182</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183</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162</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184</v>
      </c>
      <c r="B96" s="21" t="s">
        <v>130</v>
      </c>
      <c r="C96" s="21" t="s">
        <v>106</v>
      </c>
      <c r="D96" s="21" t="s">
        <v>107</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185</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162</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186</v>
      </c>
      <c r="B99" s="21" t="s">
        <v>130</v>
      </c>
      <c r="C99" s="21" t="s">
        <v>106</v>
      </c>
      <c r="D99" s="21" t="s">
        <v>107</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187</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162</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188</v>
      </c>
      <c r="B102" s="21" t="s">
        <v>130</v>
      </c>
      <c r="C102" s="21" t="s">
        <v>106</v>
      </c>
      <c r="D102" s="21" t="s">
        <v>107</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189</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190</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191</v>
      </c>
      <c r="B105" s="21" t="s">
        <v>130</v>
      </c>
      <c r="C105" s="21" t="s">
        <v>106</v>
      </c>
      <c r="D105" s="21" t="s">
        <v>107</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192</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147</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row>
    <row r="109" spans="1:12">
      <c r="A109" s="20" t="s">
        <v>193</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194</v>
      </c>
    </row>
    <row r="111" spans="1:12">
      <c r="A111" s="20" t="s">
        <v>195</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t="s">
        <v>12</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196</v>
      </c>
      <c r="B113" s="21" t="s">
        <v>105</v>
      </c>
      <c r="C113" s="21" t="s">
        <v>113</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197</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175</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108</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162</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198</v>
      </c>
      <c r="B118" s="21" t="s">
        <v>199</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200</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201</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121</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202</v>
      </c>
      <c r="B122" s="21" t="s">
        <v>116</v>
      </c>
      <c r="C122" s="21" t="s">
        <v>106</v>
      </c>
      <c r="D122" s="21" t="s">
        <v>107</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162</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203</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204</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205</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206</v>
      </c>
      <c r="B127" s="21" t="s">
        <v>112</v>
      </c>
      <c r="C127" s="21" t="s">
        <v>135</v>
      </c>
      <c r="D127" s="21" t="s">
        <v>107</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207</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208</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147</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205</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row>
    <row r="133" spans="1:12">
      <c r="A133" s="20" t="s">
        <v>209</v>
      </c>
    </row>
    <row r="134" spans="1:12">
      <c r="A134" s="20" t="s">
        <v>210</v>
      </c>
      <c r="B134" s="21" t="s">
        <v>105</v>
      </c>
      <c r="C134" s="21" t="s">
        <v>135</v>
      </c>
      <c r="D134" s="21" t="s">
        <v>107</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211</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212</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213</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214</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215</v>
      </c>
      <c r="B139" s="21" t="s">
        <v>116</v>
      </c>
      <c r="C139" s="21" t="s">
        <v>141</v>
      </c>
      <c r="D139" s="21" t="s">
        <v>107</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216</v>
      </c>
      <c r="B140" s="21" t="s">
        <v>112</v>
      </c>
      <c r="C140" s="21" t="s">
        <v>145</v>
      </c>
      <c r="D140" s="21" t="s">
        <v>107</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217</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218</v>
      </c>
      <c r="B142" s="21" t="s">
        <v>157</v>
      </c>
      <c r="C142" s="21" t="s">
        <v>219</v>
      </c>
      <c r="D142" s="21" t="s">
        <v>107</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220</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221</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210</v>
      </c>
      <c r="B145" s="21" t="s">
        <v>112</v>
      </c>
      <c r="C145" s="21" t="s">
        <v>135</v>
      </c>
      <c r="D145" s="21" t="s">
        <v>107</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211</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212</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222</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223</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224</v>
      </c>
      <c r="B150" s="21" t="s">
        <v>199</v>
      </c>
      <c r="C150" s="21" t="s">
        <v>135</v>
      </c>
      <c r="D150" s="21" t="s">
        <v>107</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136</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225</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226</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118</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119</v>
      </c>
      <c r="B155" s="21" t="s">
        <v>116</v>
      </c>
      <c r="C155" s="21" t="s">
        <v>117</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214</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227</v>
      </c>
      <c r="B157" s="21" t="s">
        <v>112</v>
      </c>
      <c r="C157" s="21" t="s">
        <v>228</v>
      </c>
      <c r="D157" s="21" t="s">
        <v>107</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173</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229</v>
      </c>
      <c r="B159" s="21" t="s">
        <v>157</v>
      </c>
      <c r="C159" s="21" t="s">
        <v>230</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210</v>
      </c>
      <c r="B160" s="21" t="s">
        <v>199</v>
      </c>
      <c r="C160" s="21" t="s">
        <v>135</v>
      </c>
      <c r="D160" s="21" t="s">
        <v>107</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231</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232</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233</v>
      </c>
      <c r="B163" s="21" t="s">
        <v>120</v>
      </c>
      <c r="C163" s="21" t="s">
        <v>113</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234</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147</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row>
    <row r="167" spans="1:12">
      <c r="A167" s="20" t="s">
        <v>235</v>
      </c>
    </row>
    <row r="168" spans="1:12">
      <c r="A168" s="20" t="s">
        <v>206</v>
      </c>
      <c r="B168" s="21" t="s">
        <v>105</v>
      </c>
      <c r="C168" s="21" t="s">
        <v>135</v>
      </c>
      <c r="D168" s="21" t="s">
        <v>107</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207</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236</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128</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237</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238</v>
      </c>
      <c r="B173" s="21" t="s">
        <v>157</v>
      </c>
      <c r="C173" s="21" t="s">
        <v>131</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162</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224</v>
      </c>
      <c r="B175" s="21" t="s">
        <v>112</v>
      </c>
      <c r="C175" s="21" t="s">
        <v>135</v>
      </c>
      <c r="D175" s="21" t="s">
        <v>107</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207</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236</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128</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239</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t="s">
        <v>240</v>
      </c>
      <c r="B180" s="21" t="s">
        <v>157</v>
      </c>
      <c r="C180" s="21" t="s">
        <v>106</v>
      </c>
      <c r="D180" s="21" t="s">
        <v>107</v>
      </c>
      <c r="E180" s="22">
        <f>IF(D180="?OLD","!!!","")</f>
        <v/>
      </c>
      <c r="F180" s="23" t="str">
        <f>IF(OR(E180="",E180="!!!"),"",IF(NOT(ISNA(VLOOKUP(E180,E$1:E179,1,FALSE()))),"OLD",IF(AND(E180&lt;&gt;"",E180&lt;&gt;"!!!"),"NEW","")))</f>
        <v> </v>
      </c>
      <c r="G180" s="24" t="str">
        <f>IF(OR(E180="",E180="!!!"),"",IF(OR(J180=0,AND(J180=1,K180=1),AND(J180=1,I180="SBJ"),AND(J180=1,I180=0)),"?IN_FOCUS",IF(J180&lt;=2,"?ACTIVATED",IF(J180&lt;&gt;"","?FAMILIAR",IF(F180="NEW",IF(ISNA(VLOOKUP(E180,#REF!,1,FALSE())),"?TYPE_IDENTIFIABLE","?REFERENTIAL"),"_")))))</f>
        <v> </v>
      </c>
      <c r="H180" s="25" t="str">
        <f>IF(J180&lt;&gt;1,"",IF(I180="SBJ","CB","?"))</f>
        <v> </v>
      </c>
      <c r="I180" s="26" t="str">
        <f>IF(OR(E180="",E180="!!!",F180="NEW"),"",INDEX(B179:B$2,-1+SUMPRODUCT(MAX(ROW(E179:E$2)*(E180=E179:E$2)))))</f>
        <v> </v>
      </c>
      <c r="J180" s="26" t="str">
        <f>IF(OR(E180="",E180="!!!",F180="NEW"),"",COUNTBLANK(OFFSET(A$1,,,SUMPRODUCT(MAX(ROW(E$2:E180)*(E180=E$2:E180)))))-COUNTBLANK(OFFSET(A$1,,,SUMPRODUCT(MAX(ROW(E$1:E179)*(E2=E$1:E179))))))</f>
        <v> </v>
      </c>
      <c r="K180" s="26" t="str">
        <f>IF(OR(E180="",E180="!!!",F180="NEW"),"",INDEX(J$1:J179,SUMPRODUCT(MAX(ROW(E$1:E179)*(E180=E$1:E179)))))</f>
        <v> </v>
      </c>
      <c r="L180" s="27"/>
    </row>
    <row r="181" spans="1:12">
      <c r="A181" s="20" t="s">
        <v>12</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224</v>
      </c>
      <c r="B182" s="21" t="s">
        <v>112</v>
      </c>
      <c r="C182" s="21" t="s">
        <v>135</v>
      </c>
      <c r="D182" s="21" t="s">
        <v>107</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207</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128</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241</v>
      </c>
      <c r="B185" s="21" t="s">
        <v>157</v>
      </c>
      <c r="C185" s="21" t="s">
        <v>131</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146</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159</v>
      </c>
      <c r="B187" s="21" t="s">
        <v>130</v>
      </c>
      <c r="C187" s="21" t="s">
        <v>117</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114</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242</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243</v>
      </c>
      <c r="B190" s="21" t="s">
        <v>130</v>
      </c>
      <c r="C190" s="21" t="s">
        <v>113</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147</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row>
    <row r="193" spans="1:12">
      <c r="A193" s="20" t="s">
        <v>244</v>
      </c>
    </row>
    <row r="194" spans="1:12">
      <c r="A194" s="20" t="s">
        <v>210</v>
      </c>
      <c r="B194" s="21" t="s">
        <v>105</v>
      </c>
      <c r="C194" s="21" t="s">
        <v>135</v>
      </c>
      <c r="D194" s="21" t="s">
        <v>107</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211</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245</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190</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212</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246</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147</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row>
    <row r="202" spans="1:12">
      <c r="A202" s="20" t="s">
        <v>247</v>
      </c>
    </row>
    <row r="203" spans="1:12">
      <c r="A203" s="20" t="s">
        <v>108</v>
      </c>
      <c r="B203" s="21" t="s">
        <v>105</v>
      </c>
      <c r="C203" s="21" t="s">
        <v>135</v>
      </c>
      <c r="D203" s="21" t="s">
        <v>107</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248</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151</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152</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249</v>
      </c>
      <c r="B207" s="21" t="s">
        <v>154</v>
      </c>
      <c r="C207" s="21" t="s">
        <v>155</v>
      </c>
      <c r="D207" s="21" t="s">
        <v>107</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220</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250</v>
      </c>
      <c r="B209" s="21" t="s">
        <v>112</v>
      </c>
      <c r="C209" s="21" t="s">
        <v>135</v>
      </c>
      <c r="D209" s="21" t="s">
        <v>107</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251</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176</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122</v>
      </c>
      <c r="B212" s="21" t="s">
        <v>130</v>
      </c>
      <c r="C212" s="21" t="s">
        <v>117</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127</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115</v>
      </c>
      <c r="B214" s="21" t="s">
        <v>130</v>
      </c>
      <c r="C214" s="21" t="s">
        <v>117</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row>
    <row r="216" spans="1:12">
      <c r="A216" s="20" t="s">
        <v>252</v>
      </c>
    </row>
    <row r="217" spans="1:12">
      <c r="A217" s="20" t="s">
        <v>253</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254</v>
      </c>
      <c r="B218" s="21" t="s">
        <v>105</v>
      </c>
      <c r="C218" s="21" t="s">
        <v>113</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225</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255</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152</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256</v>
      </c>
      <c r="B222" s="21" t="s">
        <v>154</v>
      </c>
      <c r="C222" s="21" t="s">
        <v>155</v>
      </c>
      <c r="D222" s="21" t="s">
        <v>107</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176</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257</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178</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12</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197</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175</v>
      </c>
      <c r="B228" s="21" t="s">
        <v>157</v>
      </c>
      <c r="C228" s="21" t="s">
        <v>117</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258</v>
      </c>
      <c r="B229" s="21" t="s">
        <v>130</v>
      </c>
      <c r="C229" s="21" t="s">
        <v>106</v>
      </c>
      <c r="D229" s="21" t="s">
        <v>107</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259</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190</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260</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261</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12</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196</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197</v>
      </c>
      <c r="B236" s="21" t="s">
        <v>116</v>
      </c>
      <c r="C236" s="21" t="s">
        <v>117</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181</v>
      </c>
      <c r="B237" s="21" t="s">
        <v>120</v>
      </c>
      <c r="C237" s="21" t="s">
        <v>106</v>
      </c>
      <c r="D237" s="21" t="s">
        <v>107</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262</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263</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162</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198</v>
      </c>
      <c r="B241" s="21" t="s">
        <v>112</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264</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265</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266</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267</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268</v>
      </c>
      <c r="B246" s="21" t="s">
        <v>126</v>
      </c>
      <c r="C246" s="21" t="s">
        <v>113</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176</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128</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t="s">
        <v>269</v>
      </c>
      <c r="E249" s="22">
        <f>IF(D249="?OLD","!!!","")</f>
        <v/>
      </c>
      <c r="F249" s="23" t="str">
        <f>IF(OR(E249="",E249="!!!"),"",IF(NOT(ISNA(VLOOKUP(E249,E$1:E248,1,FALSE()))),"OLD",IF(AND(E249&lt;&gt;"",E249&lt;&gt;"!!!"),"NEW","")))</f>
        <v> </v>
      </c>
      <c r="G249" s="24" t="str">
        <f>IF(OR(E249="",E249="!!!"),"",IF(OR(J249=0,AND(J249=1,K249=1),AND(J249=1,I249="SBJ"),AND(J249=1,I249=0)),"?IN_FOCUS",IF(J249&lt;=2,"?ACTIVATED",IF(J249&lt;&gt;"","?FAMILIAR",IF(F249="NEW",IF(ISNA(VLOOKUP(E249,#REF!,1,FALSE())),"?TYPE_IDENTIFIABLE","?REFERENTIAL"),"_")))))</f>
        <v> </v>
      </c>
      <c r="H249" s="25" t="str">
        <f>IF(J249&lt;&gt;1,"",IF(I249="SBJ","CB","?"))</f>
        <v> </v>
      </c>
      <c r="I249" s="26" t="str">
        <f>IF(OR(E249="",E249="!!!",F249="NEW"),"",INDEX(B248:B$2,-1+SUMPRODUCT(MAX(ROW(E248:E$2)*(E249=E248:E$2)))))</f>
        <v> </v>
      </c>
      <c r="J249" s="26" t="str">
        <f>IF(OR(E249="",E249="!!!",F249="NEW"),"",COUNTBLANK(OFFSET(A$1,,,SUMPRODUCT(MAX(ROW(E$2:E249)*(E249=E$2:E249)))))-COUNTBLANK(OFFSET(A$1,,,SUMPRODUCT(MAX(ROW(E$1:E248)*(E2=E$1:E248))))))</f>
        <v> </v>
      </c>
      <c r="K249" s="26" t="str">
        <f>IF(OR(E249="",E249="!!!",F249="NEW"),"",INDEX(J$1:J248,SUMPRODUCT(MAX(ROW(E$1:E248)*(E249=E$1:E248)))))</f>
        <v> </v>
      </c>
      <c r="L249" s="27"/>
    </row>
    <row r="250" spans="1:12">
      <c r="A250" s="20" t="s">
        <v>12</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270</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271</v>
      </c>
      <c r="B252" s="21" t="s">
        <v>130</v>
      </c>
      <c r="C252" s="21" t="s">
        <v>131</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147</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row>
    <row r="255" spans="1:12">
      <c r="A255" s="20" t="s">
        <v>272</v>
      </c>
    </row>
    <row r="256" spans="1:12">
      <c r="A256" s="20" t="s">
        <v>186</v>
      </c>
      <c r="B256" s="21" t="s">
        <v>105</v>
      </c>
      <c r="C256" s="21" t="s">
        <v>106</v>
      </c>
      <c r="D256" s="21" t="s">
        <v>107</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187</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162</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273</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12</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196</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274</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144</v>
      </c>
      <c r="B263" s="21" t="s">
        <v>130</v>
      </c>
      <c r="C263" s="21" t="s">
        <v>117</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162</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275</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271</v>
      </c>
      <c r="B266" s="21" t="s">
        <v>130</v>
      </c>
      <c r="C266" s="21" t="s">
        <v>113</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137</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104</v>
      </c>
      <c r="B268" s="21" t="s">
        <v>112</v>
      </c>
      <c r="C268" s="21" t="s">
        <v>106</v>
      </c>
      <c r="D268" s="21" t="s">
        <v>107</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173</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276</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158</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152</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277</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254</v>
      </c>
      <c r="B274" s="21" t="s">
        <v>130</v>
      </c>
      <c r="C274" s="21" t="s">
        <v>155</v>
      </c>
      <c r="D274" s="21" t="s">
        <v>107</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158</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152</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278</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279</v>
      </c>
      <c r="B278" s="21" t="s">
        <v>116</v>
      </c>
      <c r="C278" s="21" t="s">
        <v>155</v>
      </c>
      <c r="D278" s="21" t="s">
        <v>107</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190</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224</v>
      </c>
      <c r="B280" s="21" t="s">
        <v>112</v>
      </c>
      <c r="C280" s="21" t="s">
        <v>135</v>
      </c>
      <c r="D280" s="21" t="s">
        <v>107</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173</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280</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281</v>
      </c>
      <c r="B283" s="21" t="s">
        <v>157</v>
      </c>
      <c r="C283" s="21" t="s">
        <v>113</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250</v>
      </c>
      <c r="B284" s="21" t="s">
        <v>199</v>
      </c>
      <c r="C284" s="21" t="s">
        <v>135</v>
      </c>
      <c r="D284" s="21" t="s">
        <v>107</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282</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255</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227</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153</v>
      </c>
      <c r="B288" s="21" t="s">
        <v>134</v>
      </c>
      <c r="C288" s="21" t="s">
        <v>283</v>
      </c>
      <c r="D288" s="21" t="s">
        <v>107</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284</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285</v>
      </c>
      <c r="B290" s="21" t="s">
        <v>286</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225</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287</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288</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133</v>
      </c>
      <c r="B294" s="21" t="s">
        <v>120</v>
      </c>
      <c r="C294" s="21" t="s">
        <v>135</v>
      </c>
      <c r="D294" s="21" t="s">
        <v>107</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147</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row>
    <row r="297" spans="1:12">
      <c r="A297" s="20" t="s">
        <v>289</v>
      </c>
    </row>
    <row r="298" spans="1:12">
      <c r="A298" s="20" t="s">
        <v>149</v>
      </c>
      <c r="B298" s="21" t="s">
        <v>105</v>
      </c>
      <c r="C298" s="21" t="s">
        <v>135</v>
      </c>
      <c r="D298" s="21" t="s">
        <v>107</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173</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290</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190</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291</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162</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292</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224</v>
      </c>
      <c r="B305" s="21" t="s">
        <v>112</v>
      </c>
      <c r="C305" s="21" t="s">
        <v>135</v>
      </c>
      <c r="D305" s="21" t="s">
        <v>107</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173</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140</v>
      </c>
      <c r="B307" s="21" t="s">
        <v>130</v>
      </c>
      <c r="C307" s="21" t="s">
        <v>141</v>
      </c>
      <c r="D307" s="21" t="s">
        <v>107</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293</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294</v>
      </c>
      <c r="B309" s="21" t="s">
        <v>157</v>
      </c>
      <c r="C309" s="21" t="s">
        <v>145</v>
      </c>
      <c r="D309" s="21" t="s">
        <v>107</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295</v>
      </c>
      <c r="B310" s="21" t="s">
        <v>199</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296</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133</v>
      </c>
      <c r="B312" s="21" t="s">
        <v>134</v>
      </c>
      <c r="C312" s="21" t="s">
        <v>135</v>
      </c>
      <c r="D312" s="21" t="s">
        <v>107</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297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298</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299</v>
      </c>
      <c r="B315" s="21" t="s">
        <v>123</v>
      </c>
      <c r="C315" s="21" t="s">
        <v>117</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176</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152</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300</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301</v>
      </c>
      <c r="B319" s="21" t="s">
        <v>123</v>
      </c>
      <c r="C319" s="21" t="s">
        <v>155</v>
      </c>
      <c r="D319" s="21" t="s">
        <v>107</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147</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row>
    <row r="322" spans="1:12">
      <c r="A322" s="20" t="s">
        <v>302</v>
      </c>
    </row>
    <row r="323" spans="1:12">
      <c r="A323" s="20" t="s">
        <v>149</v>
      </c>
      <c r="B323" s="21" t="s">
        <v>105</v>
      </c>
      <c r="C323" s="21" t="s">
        <v>135</v>
      </c>
      <c r="D323" s="21" t="s">
        <v>107</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173</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128</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303</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304</v>
      </c>
      <c r="B327" s="21" t="s">
        <v>157</v>
      </c>
      <c r="C327" s="21" t="s">
        <v>131</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223</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178</v>
      </c>
      <c r="B329" s="21" t="s">
        <v>157</v>
      </c>
      <c r="C329" s="21" t="s">
        <v>117</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162</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140</v>
      </c>
      <c r="B331" s="21" t="s">
        <v>116</v>
      </c>
      <c r="C331" s="21" t="s">
        <v>141</v>
      </c>
      <c r="D331" s="21" t="s">
        <v>107</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305</v>
      </c>
      <c r="B332" s="21" t="s">
        <v>112</v>
      </c>
      <c r="C332" s="21" t="s">
        <v>145</v>
      </c>
      <c r="D332" s="21" t="s">
        <v>107</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190</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306</v>
      </c>
      <c r="B334" s="21" t="s">
        <v>116</v>
      </c>
      <c r="C334" s="21" t="s">
        <v>117</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225</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307</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308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309</v>
      </c>
      <c r="B338" s="21" t="s">
        <v>126</v>
      </c>
      <c r="C338" s="21" t="s">
        <v>117</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136</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152</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310</v>
      </c>
      <c r="B341" s="21" t="s">
        <v>130</v>
      </c>
      <c r="C341" s="21" t="s">
        <v>155</v>
      </c>
      <c r="D341" s="21" t="s">
        <v>107</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223</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233</v>
      </c>
      <c r="B343" s="21" t="s">
        <v>130</v>
      </c>
      <c r="C343" s="21" t="s">
        <v>117</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147</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row>
    <row r="346" spans="1:12">
      <c r="A346" s="20" t="s">
        <v>311</v>
      </c>
    </row>
    <row r="347" spans="1:12">
      <c r="A347" s="20" t="s">
        <v>210</v>
      </c>
      <c r="B347" s="21" t="s">
        <v>105</v>
      </c>
      <c r="C347" s="21" t="s">
        <v>135</v>
      </c>
      <c r="D347" s="21" t="s">
        <v>107</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203</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136</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104</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128</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285</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312</v>
      </c>
      <c r="B353" s="21" t="s">
        <v>116</v>
      </c>
      <c r="C353" s="21" t="s">
        <v>131</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234</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118</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313</v>
      </c>
      <c r="B356" s="21" t="s">
        <v>130</v>
      </c>
      <c r="C356" s="21" t="s">
        <v>106</v>
      </c>
      <c r="D356" s="21" t="s">
        <v>107</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250</v>
      </c>
      <c r="B357" s="21" t="s">
        <v>112</v>
      </c>
      <c r="C357" s="21" t="s">
        <v>135</v>
      </c>
      <c r="D357" s="21" t="s">
        <v>107</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314</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225</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315</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316</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111</v>
      </c>
      <c r="B362" s="21" t="s">
        <v>126</v>
      </c>
      <c r="C362" s="21" t="s">
        <v>113</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317</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250</v>
      </c>
      <c r="B364" s="21" t="s">
        <v>199</v>
      </c>
      <c r="C364" s="21" t="s">
        <v>135</v>
      </c>
      <c r="D364" s="21" t="s">
        <v>107</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318</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319</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320</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128</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321</v>
      </c>
      <c r="B369" s="21" t="s">
        <v>130</v>
      </c>
      <c r="C369" s="21" t="s">
        <v>131</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190</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237</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12</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322</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175</v>
      </c>
      <c r="B374" s="21" t="s">
        <v>116</v>
      </c>
      <c r="C374" s="21" t="s">
        <v>117</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323</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row>
    <row r="377" spans="1:12">
      <c r="A377" s="20" t="s">
        <v>324</v>
      </c>
    </row>
    <row r="378" spans="1:12">
      <c r="A378" s="20" t="s">
        <v>325</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326</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162</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104</v>
      </c>
      <c r="B381" s="21" t="s">
        <v>105</v>
      </c>
      <c r="C381" s="21" t="s">
        <v>106</v>
      </c>
      <c r="D381" s="21" t="s">
        <v>107</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207</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307</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327</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111</v>
      </c>
      <c r="B385" s="21" t="s">
        <v>154</v>
      </c>
      <c r="C385" s="21" t="s">
        <v>117</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176</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152</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328</v>
      </c>
      <c r="B388" s="21" t="s">
        <v>130</v>
      </c>
      <c r="C388" s="21" t="s">
        <v>106</v>
      </c>
      <c r="D388" s="21" t="s">
        <v>107</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223</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152</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277</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329</v>
      </c>
      <c r="B392" s="21" t="s">
        <v>157</v>
      </c>
      <c r="C392" s="21" t="s">
        <v>155</v>
      </c>
      <c r="D392" s="21" t="s">
        <v>107</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158</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232</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233</v>
      </c>
      <c r="B395" s="21" t="s">
        <v>130</v>
      </c>
      <c r="C395" s="21" t="s">
        <v>113</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330</v>
      </c>
      <c r="B396" s="21" t="s">
        <v>286</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173</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331</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136</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332</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147</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row>
    <row r="403" spans="1:12">
      <c r="A403" s="20" t="s">
        <v>333</v>
      </c>
    </row>
    <row r="404" spans="1:12">
      <c r="A404" s="20" t="s">
        <v>149</v>
      </c>
      <c r="B404" s="21" t="s">
        <v>105</v>
      </c>
      <c r="C404" s="21" t="s">
        <v>135</v>
      </c>
      <c r="D404" s="21" t="s">
        <v>107</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207</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128</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334</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335</v>
      </c>
      <c r="B408" s="21" t="s">
        <v>157</v>
      </c>
      <c r="C408" s="21" t="s">
        <v>131</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330</v>
      </c>
      <c r="B409" s="21" t="s">
        <v>112</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173</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336</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223</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143</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178</v>
      </c>
      <c r="B414" s="21" t="s">
        <v>130</v>
      </c>
      <c r="C414" s="21" t="s">
        <v>117</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292</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265</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266</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295</v>
      </c>
      <c r="B418" s="21" t="s">
        <v>116</v>
      </c>
      <c r="C418" s="21" t="s">
        <v>228</v>
      </c>
      <c r="D418" s="21" t="s">
        <v>107</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162</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250</v>
      </c>
      <c r="B420" s="21" t="s">
        <v>112</v>
      </c>
      <c r="C420" s="21" t="s">
        <v>135</v>
      </c>
      <c r="D420" s="21" t="s">
        <v>107</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207</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337</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338</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175</v>
      </c>
      <c r="B424" s="21" t="s">
        <v>157</v>
      </c>
      <c r="C424" s="21" t="s">
        <v>131</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147</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row>
    <row r="427" spans="1:12">
      <c r="A427" s="20" t="s">
        <v>339</v>
      </c>
    </row>
    <row r="428" spans="1:12">
      <c r="A428" s="20" t="s">
        <v>104</v>
      </c>
      <c r="B428" s="21" t="s">
        <v>105</v>
      </c>
      <c r="C428" s="21" t="s">
        <v>106</v>
      </c>
      <c r="D428" s="21" t="s">
        <v>107</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108</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340</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152</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256</v>
      </c>
      <c r="B432" s="21" t="s">
        <v>154</v>
      </c>
      <c r="C432" s="21" t="s">
        <v>155</v>
      </c>
      <c r="D432" s="21" t="s">
        <v>107</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114</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128</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341</v>
      </c>
      <c r="B435" s="21" t="s">
        <v>157</v>
      </c>
      <c r="C435" s="21" t="s">
        <v>131</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342</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343</v>
      </c>
      <c r="B437" s="21" t="s">
        <v>134</v>
      </c>
      <c r="C437" s="21" t="s">
        <v>117</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344</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342</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345</v>
      </c>
      <c r="B440" s="21" t="s">
        <v>116</v>
      </c>
      <c r="C440" s="21" t="s">
        <v>117</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136</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342</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346</v>
      </c>
      <c r="B443" s="21" t="s">
        <v>157</v>
      </c>
      <c r="C443" s="21" t="s">
        <v>117</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162</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104</v>
      </c>
      <c r="B445" s="21" t="s">
        <v>130</v>
      </c>
      <c r="C445" s="21" t="s">
        <v>106</v>
      </c>
      <c r="D445" s="21" t="s">
        <v>107</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108</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282</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307</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152</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347</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348</v>
      </c>
      <c r="B451" s="21" t="s">
        <v>154</v>
      </c>
      <c r="C451" s="21" t="s">
        <v>155</v>
      </c>
      <c r="D451" s="21" t="s">
        <v>107</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158</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143</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177</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178</v>
      </c>
      <c r="B455" s="21" t="s">
        <v>130</v>
      </c>
      <c r="C455" s="21" t="s">
        <v>117</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223</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349</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350</v>
      </c>
      <c r="B458" s="21" t="s">
        <v>157</v>
      </c>
      <c r="C458" s="21" t="s">
        <v>113</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147</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row>
    <row r="461" spans="1:12">
      <c r="A461" s="20" t="s">
        <v>351</v>
      </c>
    </row>
    <row r="462" spans="1:12">
      <c r="A462" s="20" t="s">
        <v>206</v>
      </c>
      <c r="B462" s="21" t="s">
        <v>105</v>
      </c>
      <c r="C462" s="21" t="s">
        <v>135</v>
      </c>
      <c r="D462" s="21" t="s">
        <v>107</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282</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307</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128</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352</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72</v>
      </c>
      <c r="B467" s="21" t="s">
        <v>157</v>
      </c>
      <c r="C467" s="21" t="s">
        <v>131</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147</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row>
    <row r="470" spans="1:12">
      <c r="A470" s="20" t="s">
        <v>353</v>
      </c>
    </row>
    <row r="471" spans="1:12">
      <c r="A471" s="20" t="s">
        <v>354</v>
      </c>
      <c r="B471" s="21" t="s">
        <v>157</v>
      </c>
      <c r="C471" s="21" t="s">
        <v>117</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158</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237</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12</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322</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111</v>
      </c>
      <c r="B476" s="21" t="s">
        <v>157</v>
      </c>
      <c r="C476" s="21" t="s">
        <v>117</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162</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355</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140</v>
      </c>
      <c r="B479" s="21" t="s">
        <v>130</v>
      </c>
      <c r="C479" s="21" t="s">
        <v>141</v>
      </c>
      <c r="D479" s="21" t="s">
        <v>107</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356</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357</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358</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359</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360</v>
      </c>
      <c r="B484" s="21" t="s">
        <v>157</v>
      </c>
      <c r="C484" s="21" t="s">
        <v>106</v>
      </c>
      <c r="D484" s="21" t="s">
        <v>107</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358</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118</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240</v>
      </c>
      <c r="B487" s="21" t="s">
        <v>130</v>
      </c>
      <c r="C487" s="21" t="s">
        <v>106</v>
      </c>
      <c r="D487" s="21" t="s">
        <v>107</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162</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292</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250</v>
      </c>
      <c r="B490" s="21" t="s">
        <v>112</v>
      </c>
      <c r="C490" s="21" t="s">
        <v>135</v>
      </c>
      <c r="D490" s="21" t="s">
        <v>107</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361</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362</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128</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363</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364</v>
      </c>
      <c r="B495" s="21" t="s">
        <v>126</v>
      </c>
      <c r="C495" s="21" t="s">
        <v>131</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190</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365</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128</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366</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367</v>
      </c>
      <c r="B500" s="21" t="s">
        <v>134</v>
      </c>
      <c r="C500" s="21" t="s">
        <v>131</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147</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row>
    <row r="503" spans="1:12">
      <c r="A503" s="20" t="s">
        <v>368</v>
      </c>
    </row>
    <row r="504" spans="1:12">
      <c r="A504" s="20" t="s">
        <v>195</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233</v>
      </c>
      <c r="B505" s="21" t="s">
        <v>130</v>
      </c>
      <c r="C505" s="21" t="s">
        <v>113</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234</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250</v>
      </c>
      <c r="B507" s="21" t="s">
        <v>105</v>
      </c>
      <c r="C507" s="21" t="s">
        <v>135</v>
      </c>
      <c r="D507" s="21" t="s">
        <v>107</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369</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370</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371</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372</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298</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295</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373</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12</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374</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375</v>
      </c>
      <c r="B517" s="21" t="s">
        <v>130</v>
      </c>
      <c r="C517" s="21" t="s">
        <v>283</v>
      </c>
      <c r="D517" s="21" t="s">
        <v>107</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162</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292</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250</v>
      </c>
      <c r="B520" s="21" t="s">
        <v>112</v>
      </c>
      <c r="C520" s="21" t="s">
        <v>135</v>
      </c>
      <c r="D520" s="21" t="s">
        <v>107</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376</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377</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378</v>
      </c>
      <c r="B523" s="21" t="s">
        <v>126</v>
      </c>
      <c r="C523" s="21" t="s">
        <v>117</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158</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335</v>
      </c>
      <c r="B525" s="21" t="s">
        <v>116</v>
      </c>
      <c r="C525" s="21" t="s">
        <v>117</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136</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379</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152</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380</v>
      </c>
      <c r="B529" s="21" t="s">
        <v>381</v>
      </c>
      <c r="C529" s="21" t="s">
        <v>155</v>
      </c>
      <c r="D529" s="21" t="s">
        <v>107</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190</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382</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136</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140</v>
      </c>
      <c r="B533" s="21" t="s">
        <v>383</v>
      </c>
      <c r="C533" s="21" t="s">
        <v>141</v>
      </c>
      <c r="D533" s="21" t="s">
        <v>107</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277</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147</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row>
    <row r="537" spans="1:12">
      <c r="A537" s="20" t="s">
        <v>384</v>
      </c>
    </row>
    <row r="538" spans="1:12">
      <c r="A538" s="20" t="s">
        <v>385</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250</v>
      </c>
      <c r="B539" s="21" t="s">
        <v>105</v>
      </c>
      <c r="C539" s="21" t="s">
        <v>135</v>
      </c>
      <c r="D539" s="21" t="s">
        <v>107</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386</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236</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387</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388</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223</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389</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196</v>
      </c>
      <c r="B546" s="21" t="s">
        <v>157</v>
      </c>
      <c r="C546" s="21" t="s">
        <v>113</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12</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108</v>
      </c>
      <c r="B548" s="21" t="s">
        <v>112</v>
      </c>
      <c r="C548" s="21" t="s">
        <v>106</v>
      </c>
      <c r="D548" s="21" t="s">
        <v>107</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282</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390</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203</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250</v>
      </c>
      <c r="B552" s="21" t="s">
        <v>199</v>
      </c>
      <c r="C552" s="21" t="s">
        <v>135</v>
      </c>
      <c r="D552" s="21" t="s">
        <v>107</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391</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t="s">
        <v>392</v>
      </c>
      <c r="E554" s="22">
        <f>IF(D554="?OLD","!!!","")</f>
        <v/>
      </c>
      <c r="F554" s="23" t="str">
        <f>IF(OR(E554="",E554="!!!"),"",IF(NOT(ISNA(VLOOKUP(E554,E$1:E553,1,FALSE()))),"OLD",IF(AND(E554&lt;&gt;"",E554&lt;&gt;"!!!"),"NEW","")))</f>
        <v> </v>
      </c>
      <c r="G554" s="24" t="str">
        <f>IF(OR(E554="",E554="!!!"),"",IF(OR(J554=0,AND(J554=1,K554=1),AND(J554=1,I554="SBJ"),AND(J554=1,I554=0)),"?IN_FOCUS",IF(J554&lt;=2,"?ACTIVATED",IF(J554&lt;&gt;"","?FAMILIAR",IF(F554="NEW",IF(ISNA(VLOOKUP(E554,#REF!,1,FALSE())),"?TYPE_IDENTIFIABLE","?REFERENTIAL"),"_")))))</f>
        <v> </v>
      </c>
      <c r="H554" s="25" t="str">
        <f>IF(J554&lt;&gt;1,"",IF(I554="SBJ","CB","?"))</f>
        <v> </v>
      </c>
      <c r="I554" s="26" t="str">
        <f>IF(OR(E554="",E554="!!!",F554="NEW"),"",INDEX(B553:B$2,-1+SUMPRODUCT(MAX(ROW(E553:E$2)*(E554=E553:E$2)))))</f>
        <v> </v>
      </c>
      <c r="J554" s="26" t="str">
        <f>IF(OR(E554="",E554="!!!",F554="NEW"),"",COUNTBLANK(OFFSET(A$1,,,SUMPRODUCT(MAX(ROW(E$2:E554)*(E554=E$2:E554)))))-COUNTBLANK(OFFSET(A$1,,,SUMPRODUCT(MAX(ROW(E$1:E553)*(E2=E$1:E553))))))</f>
        <v> </v>
      </c>
      <c r="K554" s="26" t="str">
        <f>IF(OR(E554="",E554="!!!",F554="NEW"),"",INDEX(J$1:J553,SUMPRODUCT(MAX(ROW(E$1:E553)*(E554=E$1:E553)))))</f>
        <v> </v>
      </c>
      <c r="L554" s="27"/>
    </row>
    <row r="555" spans="1:12">
      <c r="A555" s="20" t="s">
        <v>136</v>
      </c>
      <c r="E555" s="22">
        <f>IF(D555="?OLD","!!!","")</f>
        <v/>
      </c>
      <c r="F555" s="23" t="str">
        <f>IF(OR(E555="",E555="!!!"),"",IF(NOT(ISNA(VLOOKUP(E555,E$1:E554,1,FALSE()))),"OLD",IF(AND(E555&lt;&gt;"",E555&lt;&gt;"!!!"),"NEW","")))</f>
        <v> </v>
      </c>
      <c r="G555" s="24" t="str">
        <f>IF(OR(E555="",E555="!!!"),"",IF(OR(J555=0,AND(J555=1,K555=1),AND(J555=1,I555="SBJ"),AND(J555=1,I555=0)),"?IN_FOCUS",IF(J555&lt;=2,"?ACTIVATED",IF(J555&lt;&gt;"","?FAMILIAR",IF(F555="NEW",IF(ISNA(VLOOKUP(E555,#REF!,1,FALSE())),"?TYPE_IDENTIFIABLE","?REFERENTIAL"),"_")))))</f>
        <v> </v>
      </c>
      <c r="H555" s="25" t="str">
        <f>IF(J555&lt;&gt;1,"",IF(I555="SBJ","CB","?"))</f>
        <v> </v>
      </c>
      <c r="I555" s="26" t="str">
        <f>IF(OR(E555="",E555="!!!",F555="NEW"),"",INDEX(B554:B$2,-1+SUMPRODUCT(MAX(ROW(E554:E$2)*(E555=E554:E$2)))))</f>
        <v> </v>
      </c>
      <c r="J555" s="26" t="str">
        <f>IF(OR(E555="",E555="!!!",F555="NEW"),"",COUNTBLANK(OFFSET(A$1,,,SUMPRODUCT(MAX(ROW(E$2:E555)*(E555=E$2:E555)))))-COUNTBLANK(OFFSET(A$1,,,SUMPRODUCT(MAX(ROW(E$1:E554)*(E2=E$1:E554))))))</f>
        <v> </v>
      </c>
      <c r="K555" s="26" t="str">
        <f>IF(OR(E555="",E555="!!!",F555="NEW"),"",INDEX(J$1:J554,SUMPRODUCT(MAX(ROW(E$1:E554)*(E555=E$1:E554)))))</f>
        <v> </v>
      </c>
      <c r="L555" s="27"/>
    </row>
    <row r="556" spans="1:12">
      <c r="A556" s="20" t="s">
        <v>393</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121</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394</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395</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152</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396</v>
      </c>
      <c r="B561" s="21" t="s">
        <v>123</v>
      </c>
      <c r="C561" s="21" t="s">
        <v>397</v>
      </c>
      <c r="D561" s="21" t="s">
        <v>107</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158</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398</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162</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118</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399</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147</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2024-12-05T17:56:19Z</dcterms:created>
  <dcterms:modified xsi:type="dcterms:W3CDTF">2024-12-05T17:56:19Z</dcterms:modified>
</cp:coreProperties>
</file>