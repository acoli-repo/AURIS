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<sst xmlns="http://schemas.openxmlformats.org/spreadsheetml/2006/main" count="13399" uniqueCount="2615">
  <si>
    <t>ID</t>
  </si>
  <si>
    <t>PRED_ID</t>
  </si>
  <si>
    <t>MARKER_AUTO</t>
  </si>
  <si>
    <t>PREDICATE</t>
  </si>
  <si>
    <t>TEXT</t>
  </si>
  <si>
    <t>SENTENCE</t>
  </si>
  <si>
    <t>MARKER</t>
  </si>
  <si>
    <t>TARGET</t>
  </si>
  <si>
    <t>RELATION</t>
  </si>
  <si>
    <t>COMMENT</t>
  </si>
  <si>
    <t>1</t>
  </si>
  <si>
    <t>3</t>
  </si>
  <si>
    <t>_</t>
  </si>
  <si>
    <t>sentir</t>
  </si>
  <si>
    <t>J' ai senti un enterrement dans ma tête</t>
  </si>
  <si>
    <t>file://conllu/fr/teddy-1323.conllu#s1_0</t>
  </si>
  <si>
    <t>2</t>
  </si>
  <si>
    <t>7</t>
  </si>
  <si>
    <t>et?</t>
  </si>
  <si>
    <t>aller</t>
  </si>
  <si>
    <t>Et les amis du de le défunt allaient et venaient , Continuaient à marcher , jusqu' à ce qu' il me semble Que ma raison s' en allait .</t>
  </si>
  <si>
    <t>file://conllu/fr/teddy-1323.conllu#s2_0</t>
  </si>
  <si>
    <t>quand?</t>
  </si>
  <si>
    <t>assir</t>
  </si>
  <si>
    <t>Et quand ils s' étaient tous assis</t>
  </si>
  <si>
    <t>file://conllu/fr/teddy-1323.conllu#s3_0</t>
  </si>
  <si>
    <t>4</t>
  </si>
  <si>
    <t>6</t>
  </si>
  <si>
    <t>battre</t>
  </si>
  <si>
    <t>Un office comme un tambour battait , battait , jusqu' à ce qu' il me semblait que mon esprit devenait paralysé .</t>
  </si>
  <si>
    <t>file://conllu/fr/teddy-1323.conllu#s4_0</t>
  </si>
  <si>
    <t>5</t>
  </si>
  <si>
    <t>et puis?</t>
  </si>
  <si>
    <t>entendre</t>
  </si>
  <si>
    <t>Et puis , je les ai entendus soulever une boîte et traverser mon âme en grinçant , avec encore ces mêmes bottes de plomb , puis tout s' est mis à sonner , comme si les cieux n' étaient qu' une cloche et l' existence n' était qu' une oreille et moi , et le silence , une espèce d' étrange race anéantie , solitaire , ici .</t>
  </si>
  <si>
    <t>file://conllu/fr/teddy-1323.conllu#s5_0</t>
  </si>
  <si>
    <t>11</t>
  </si>
  <si>
    <t>briser</t>
  </si>
  <si>
    <t>D' un coup , une planche de la raison se brisa , et je tombai , sans arrêt et heurtai un monde , à chaque chute et puis finis alors d' être consciente .</t>
  </si>
  <si>
    <t>file://conllu/fr/teddy-1323.conllu#s6_0</t>
  </si>
  <si>
    <t>à?</t>
  </si>
  <si>
    <t>comprenir</t>
  </si>
  <si>
    <t>» Nous comprenons la dépression à travers les métaphores .</t>
  </si>
  <si>
    <t>file://conllu/fr/teddy-1323.conllu#s7_0</t>
  </si>
  <si>
    <t>8</t>
  </si>
  <si>
    <t>arriver</t>
  </si>
  <si>
    <t>Emily Dickinson arrivait à la communiquer par des de les mots , Goya par une image .</t>
  </si>
  <si>
    <t>file://conllu/fr/teddy-1323.conllu#s8_0</t>
  </si>
  <si>
    <t>9</t>
  </si>
  <si>
    <t>en?</t>
  </si>
  <si>
    <t>être (être partie)</t>
  </si>
  <si>
    <t>Le but de l' art est , en partie , de décrire de tels états iconiques .</t>
  </si>
  <si>
    <t>file://conllu/fr/teddy-1323.conllu#s9_0</t>
  </si>
  <si>
    <t>10</t>
  </si>
  <si>
    <t>trouver</t>
  </si>
  <si>
    <t>Quant à moi , je m' étais toujours trouvé fort , parmi ceux qui pourraient survivre si on m' avait envoyé dans un camp de concentration .</t>
  </si>
  <si>
    <t>file://conllu/fr/teddy-1323.conllu#s10_0</t>
  </si>
  <si>
    <t>subir</t>
  </si>
  <si>
    <t>En 1991 , j' ai subi une série de pertes .</t>
  </si>
  <si>
    <t>file://conllu/fr/teddy-1323.conllu#s11_0</t>
  </si>
  <si>
    <t>12</t>
  </si>
  <si>
    <t>s'?</t>
  </si>
  <si>
    <t>mourir</t>
  </si>
  <si>
    <t>Ma mère est morte , une relation s' est terminée , je suis rentré aux à les États-Unis après quelques années à l' étranger , et je m' en suis sorti intact .</t>
  </si>
  <si>
    <t>file://conllu/fr/teddy-1323.conllu#s12_0</t>
  </si>
  <si>
    <t>13</t>
  </si>
  <si>
    <t>après?</t>
  </si>
  <si>
    <t>constater</t>
  </si>
  <si>
    <t>Mais en 1994 , trois ans après , j' ai constaté que je me désintéressais de tout .</t>
  </si>
  <si>
    <t>file://conllu/fr/teddy-1323.conllu#s13_0</t>
  </si>
  <si>
    <t>14</t>
  </si>
  <si>
    <t>voulais</t>
  </si>
  <si>
    <t>Je ne voulais plus faire les choses que j' avais voulu faire auparavant , et je ne savais pas pourquoi .</t>
  </si>
  <si>
    <t>file://conllu/fr/teddy-1323.conllu#s14_0</t>
  </si>
  <si>
    <t>15</t>
  </si>
  <si>
    <t>mais?</t>
  </si>
  <si>
    <t>être (être bonheur)</t>
  </si>
  <si>
    <t>Le contraire de la dépression n' est pas le bonheur , mais la vitalité , et c' était la vitalité qui paraissait me fuir à ce moment -là .</t>
  </si>
  <si>
    <t>file://conllu/fr/teddy-1323.conllu#s15_0</t>
  </si>
  <si>
    <t>16</t>
  </si>
  <si>
    <t>sembler</t>
  </si>
  <si>
    <t>Tout ce que j' avais à faire me semblait trop .</t>
  </si>
  <si>
    <t>file://conllu/fr/teddy-1323.conllu#s16_0</t>
  </si>
  <si>
    <t>17</t>
  </si>
  <si>
    <t>rentr</t>
  </si>
  <si>
    <t>Je rentrais à la maison et je voyais la lumière rouge du de le répondeur clignoter , et au à le lieu d' être ravi d' avoir des de les nouvelles des de les amis , je pensais : « Ça fait beaucoup de monde à rappeler .</t>
  </si>
  <si>
    <t>file://conllu/fr/teddy-1323.conllu#s17_0</t>
  </si>
  <si>
    <t>18</t>
  </si>
  <si>
    <t>ou?</t>
  </si>
  <si>
    <t>décider</t>
  </si>
  <si>
    <t>» Ou je décidais de prendre mon déjeuner , sauf qu' après , je pensais qu' il me faudrait sortir la nourriture , la mettre sur une assiette , la découper , la mastiquer , l' avaler , et c' était pour moi un supplice .</t>
  </si>
  <si>
    <t>file://conllu/fr/teddy-1323.conllu#s18_0</t>
  </si>
  <si>
    <t>19</t>
  </si>
  <si>
    <t>être</t>
  </si>
  <si>
    <t>Une chose qu' on néglige souvent lorsqu' on discute de la dépression , c' est qu' on est conscient que c' est ridicule .</t>
  </si>
  <si>
    <t>file://conllu/fr/teddy-1323.conllu#s19_0</t>
  </si>
  <si>
    <t>20</t>
  </si>
  <si>
    <t>alors?</t>
  </si>
  <si>
    <t>être (être conscient)</t>
  </si>
  <si>
    <t>On est conscient que c' est ridicule , alors qu' on l' éprouve .</t>
  </si>
  <si>
    <t>file://conllu/fr/teddy-1323.conllu#s20_0</t>
  </si>
  <si>
    <t>21</t>
  </si>
  <si>
    <t>On est conscient que la plupart des de les gens arrivent à écouter leurs messages et à déjeuner et à s' arranger pour prendre une douche et à quitter la maison et ce n' est pas si terrible , mais pourtant , on est sous son emprise et on est incapable de trouver une façon de la contourner .</t>
  </si>
  <si>
    <t>file://conllu/fr/teddy-1323.conllu#s21_0</t>
  </si>
  <si>
    <t>22</t>
  </si>
  <si>
    <t>rendre</t>
  </si>
  <si>
    <t>Et alors je me suis rendu compte que je faisais moins de choses , que je pensais moins , que je ressentais moins de choses .</t>
  </si>
  <si>
    <t>file://conllu/fr/teddy-1323.conllu#s22_0</t>
  </si>
  <si>
    <t>23</t>
  </si>
  <si>
    <t>être (être sorte)</t>
  </si>
  <si>
    <t>C' était une sorte de vide .</t>
  </si>
  <si>
    <t>file://conllu/fr/teddy-1323.conllu#s23_0</t>
  </si>
  <si>
    <t>24</t>
  </si>
  <si>
    <t>installer</t>
  </si>
  <si>
    <t>Et puis l' angoisse s' est installée .</t>
  </si>
  <si>
    <t>file://conllu/fr/teddy-1323.conllu#s24_0</t>
  </si>
  <si>
    <t>25</t>
  </si>
  <si>
    <t>si?</t>
  </si>
  <si>
    <t>répondr</t>
  </si>
  <si>
    <t>Si on me disait que je devais être en dépression durant tout le mois suivant , je répondrais : « Tant que je sais que ça sera fini en novembre , je peux y arriver .</t>
  </si>
  <si>
    <t>file://conllu/fr/teddy-1323.conllu#s25_0</t>
  </si>
  <si>
    <t>26</t>
  </si>
  <si>
    <t>plutôt?</t>
  </si>
  <si>
    <t>tailler</t>
  </si>
  <si>
    <t>» Mais si on me disait : « Durant le mois suivant , tu dois traverser une période d' angoisse aiguë , » je me taillerais les veines plutôt que de la subir .</t>
  </si>
  <si>
    <t>file://conllu/fr/teddy-1323.conllu#s26_0</t>
  </si>
  <si>
    <t>27</t>
  </si>
  <si>
    <t>comme?</t>
  </si>
  <si>
    <t>être (être sentiment)</t>
  </si>
  <si>
    <t>C' était toujours le même sentiment comme ce qu' on ressent quand on marche et qu' on trébuche ou qu' on glisse , et la terre fonce vers soi , mais plutôt que de durer normalement à peine une seconde , ça a duré six mois .</t>
  </si>
  <si>
    <t>file://conllu/fr/teddy-1323.conllu#s27_0</t>
  </si>
  <si>
    <t>28</t>
  </si>
  <si>
    <t>être (être sensation)</t>
  </si>
  <si>
    <t>C' est la sensation d' avoir peur tout le temps sans même savoir de quoi on a peur .</t>
  </si>
  <si>
    <t>file://conllu/fr/teddy-1323.conllu#s28_0</t>
  </si>
  <si>
    <t>29</t>
  </si>
  <si>
    <t>être (être moment)</t>
  </si>
  <si>
    <t>Et c' était à ce moment -là que j' ai commencé à croire que vivre faisait trop mal , et que la seule raison de ne pas se suicider , c' était afin d' éviter aux à les autres de souffrir .</t>
  </si>
  <si>
    <t>file://conllu/fr/teddy-1323.conllu#s29_0</t>
  </si>
  <si>
    <t>30</t>
  </si>
  <si>
    <t>finalement?</t>
  </si>
  <si>
    <t>réveiller</t>
  </si>
  <si>
    <t>Finalement un jour , je me suis réveillé et j' ai cru avoir eu une attaque cérébrale , car j' étais étendu sur le lit , immobile , je regardais le téléphone , et j' ai pensé : « Il y a quelque chose qui cloche , je devrais appeler quelqu'un .</t>
  </si>
  <si>
    <t>file://conllu/fr/teddy-1323.conllu#s30_0</t>
  </si>
  <si>
    <t>31</t>
  </si>
  <si>
    <t>arrivoir</t>
  </si>
  <si>
    <t>» mais je n' arrivais pas à tendre le bras pour attraper le téléphone et composer un numéro .</t>
  </si>
  <si>
    <t>file://conllu/fr/teddy-1323.conllu#s31_0</t>
  </si>
  <si>
    <t>32</t>
  </si>
  <si>
    <t>réussir</t>
  </si>
  <si>
    <t>Puis finalement , au à le bout de quatre heures passées allongé à le fixer , le téléphone a sonné , j' ai réussi à le décrocher d' une manière ou d' une autre , et c' était mon père , et j' ai dit : « J' ai de graves problèmes .</t>
  </si>
  <si>
    <t>file://conllu/fr/teddy-1323.conllu#s32_0</t>
  </si>
  <si>
    <t>33</t>
  </si>
  <si>
    <t>falloir</t>
  </si>
  <si>
    <t>Il faut qu' on fasse quelque chose .</t>
  </si>
  <si>
    <t>file://conllu/fr/teddy-1323.conllu#s33_0</t>
  </si>
  <si>
    <t>34</t>
  </si>
  <si>
    <t>commencer</t>
  </si>
  <si>
    <t>» Le lendemain , j' ai commencé à prendre des de les médicaments et une thérapie .</t>
  </si>
  <si>
    <t>file://conllu/fr/teddy-1323.conllu#s34_0</t>
  </si>
  <si>
    <t>35</t>
  </si>
  <si>
    <t>également?</t>
  </si>
  <si>
    <t>Et j' ai également commencé à considérer cette terrible question : Si je ne suis pas la solide personne qui aurait été capable de survivre dans un camp de concentration , alors qui suis -je ?</t>
  </si>
  <si>
    <t>file://conllu/fr/teddy-1323.conllu#s35_0</t>
  </si>
  <si>
    <t>36</t>
  </si>
  <si>
    <t>Et si je dois prendre des de les médicaments , est -ce qu' ils vont me permettre de redevenir moi-même , ou feront -ils de moi quelqu'un d' autre ?</t>
  </si>
  <si>
    <t>file://conllu/fr/teddy-1323.conllu#s36_0</t>
  </si>
  <si>
    <t>37</t>
  </si>
  <si>
    <t>avoir</t>
  </si>
  <si>
    <t>Et que vais -je ressentir s' ils font de moi Quand me suis engagé dans la lutte , j' avais deux avantanges .</t>
  </si>
  <si>
    <t>file://conllu/fr/teddy-1323.conllu#s37_0</t>
  </si>
  <si>
    <t>38</t>
  </si>
  <si>
    <t>ce</t>
  </si>
  <si>
    <t>Le premier , c' était que je savais , objectivement parlant , que je menais une vie agréable , et que si je pouvais m' en tirer , il me resterait toujours quelque chose qui valait la peine de vivre .</t>
  </si>
  <si>
    <t>file://conllu/fr/teddy-1323.conllu#s38_0</t>
  </si>
  <si>
    <t>39</t>
  </si>
  <si>
    <t>Et l' autre , c' est que j' avais accès au à le bon traitement .</t>
  </si>
  <si>
    <t>file://conllu/fr/teddy-1323.conllu#s39_0</t>
  </si>
  <si>
    <t>40</t>
  </si>
  <si>
    <t>cependant?</t>
  </si>
  <si>
    <t>Cependant , j' allais mieux et je rechutais , j' allais mieux et je rechutais , jusqu' à ce que je comprenne que je passerais le reste de ma vie et à suivre une thérapie .</t>
  </si>
  <si>
    <t>file://conllu/fr/teddy-1323.conllu#s40_0</t>
  </si>
  <si>
    <t>41</t>
  </si>
  <si>
    <t>dire</t>
  </si>
  <si>
    <t>Et je me suis dit : « Mais , est -ce un problème chimique ou psychologique ?</t>
  </si>
  <si>
    <t>file://conllu/fr/teddy-1323.conllu#s41_0</t>
  </si>
  <si>
    <t>42</t>
  </si>
  <si>
    <t>Et faut -il un traitement chimique , ou psychologique ?</t>
  </si>
  <si>
    <t>file://conllu/fr/teddy-1323.conllu#s42_0</t>
  </si>
  <si>
    <t>43</t>
  </si>
  <si>
    <t>»</t>
  </si>
  <si>
    <t>file://conllu/fr/teddy-1323.conllu#s43_0</t>
  </si>
  <si>
    <t>44</t>
  </si>
  <si>
    <t>Et je n' arrivais pas à comprendre .</t>
  </si>
  <si>
    <t>file://conllu/fr/teddy-1323.conllu#s44_0</t>
  </si>
  <si>
    <t>45</t>
  </si>
  <si>
    <t>comprendre</t>
  </si>
  <si>
    <t>Et puis j' ai compris qu' en fait , on n' avait pas assez avancé dans ces deux domaines pour expliquer totalement les choses .</t>
  </si>
  <si>
    <t>file://conllu/fr/teddy-1323.conllu#s45_0</t>
  </si>
  <si>
    <t>46</t>
  </si>
  <si>
    <t>aussi?</t>
  </si>
  <si>
    <t>avoir (avoir rôle)</t>
  </si>
  <si>
    <t>Le remède chimique et psychologique avaient tous les deux un rôle à jouer , et j' ai aussi compris que la dépression est une chose qui est si ancrée au à le fond de soi qu' elle ne peut être séparée de notre caractère ou personnalité .</t>
  </si>
  <si>
    <t>file://conllu/fr/teddy-1323.conllu#s46_0</t>
  </si>
  <si>
    <t>47</t>
  </si>
  <si>
    <t>devoir</t>
  </si>
  <si>
    <t>Je dois avouer que les traitements actuels de la dépression sont consternants .</t>
  </si>
  <si>
    <t>file://conllu/fr/teddy-1323.conllu#s47_0</t>
  </si>
  <si>
    <t>48</t>
  </si>
  <si>
    <t>être (être efficace)</t>
  </si>
  <si>
    <t>Ils ne sont pas très efficaces .</t>
  </si>
  <si>
    <t>file://conllu/fr/teddy-1323.conllu#s48_0</t>
  </si>
  <si>
    <t>49</t>
  </si>
  <si>
    <t>être (être coûteux)</t>
  </si>
  <si>
    <t>Ils sont très coûteux .</t>
  </si>
  <si>
    <t>file://conllu/fr/teddy-1323.conllu#s49_0</t>
  </si>
  <si>
    <t>50</t>
  </si>
  <si>
    <t>accompagner</t>
  </si>
  <si>
    <t>Ils s' accompagnent d' innombrables effets secondaires .</t>
  </si>
  <si>
    <t>file://conllu/fr/teddy-1323.conllu#s50_0</t>
  </si>
  <si>
    <t>51</t>
  </si>
  <si>
    <t>être (être catastrophe)</t>
  </si>
  <si>
    <t>C' est vraiment une catastrophe .</t>
  </si>
  <si>
    <t>file://conllu/fr/teddy-1323.conllu#s51_0</t>
  </si>
  <si>
    <t>52</t>
  </si>
  <si>
    <t>reconnaître</t>
  </si>
  <si>
    <t>Mais je suis tellement reconnaissant de vivre de nos jours plutôt qu' il y a 50 ans , quand on ne pouvait presque rien y faire .</t>
  </si>
  <si>
    <t>file://conllu/fr/teddy-1323.conllu#s52_0</t>
  </si>
  <si>
    <t>53</t>
  </si>
  <si>
    <t>espérer</t>
  </si>
  <si>
    <t>J' espère que dans 50 ans , les gens entendront parler des de les traitements que j' ai reçus et qu' ils seront choqués d' apprendre que l' on subissait une science si primitive .</t>
  </si>
  <si>
    <t>file://conllu/fr/teddy-1323.conllu#s53_0</t>
  </si>
  <si>
    <t>54</t>
  </si>
  <si>
    <t>être (être défaut)</t>
  </si>
  <si>
    <t>La dépression est un défaut de l' amour .</t>
  </si>
  <si>
    <t>file://conllu/fr/teddy-1323.conllu#s54_0</t>
  </si>
  <si>
    <t>55</t>
  </si>
  <si>
    <t>marier</t>
  </si>
  <si>
    <t>Si on est marié et si on pense : « Eh bien , si ma femme meurt , j' en trouverai une autre .</t>
  </si>
  <si>
    <t>file://conllu/fr/teddy-1323.conllu#s55_0</t>
  </si>
  <si>
    <t>56</t>
  </si>
  <si>
    <t>être (être amour)</t>
  </si>
  <si>
    <t>» ce ne serait pas de l' amour tel qu' on le connaît .</t>
  </si>
  <si>
    <t>file://conllu/fr/teddy-1323.conllu#s56_0</t>
  </si>
  <si>
    <t>57</t>
  </si>
  <si>
    <t>sans?</t>
  </si>
  <si>
    <t>Il n' y a pas d' amour sans l' anticipation de la perte , et ce spectre du de le désespoir peut être le moteur de l' intimité .</t>
  </si>
  <si>
    <t>file://conllu/fr/teddy-1323.conllu#s57_0</t>
  </si>
  <si>
    <t>58</t>
  </si>
  <si>
    <t>Il y a trois choses qu' on a tendance à confondre : la dépression , le chagrin , et la tristesse .</t>
  </si>
  <si>
    <t>file://conllu/fr/teddy-1323.conllu#s58_0</t>
  </si>
  <si>
    <t>59</t>
  </si>
  <si>
    <t>être (être réactionnel)</t>
  </si>
  <si>
    <t>Le chagrin est explicitement réactionnel .</t>
  </si>
  <si>
    <t>file://conllu/fr/teddy-1323.conllu#s59_0</t>
  </si>
  <si>
    <t>60</t>
  </si>
  <si>
    <t>mieux?</t>
  </si>
  <si>
    <t>Si on a subi une perte , et on se sent très malheureux , et six mois après , on se sent toujours profondément triste , mais on arrive mieux à fonctionner alors il s' agit probablement de chagrin , et il finira probablement par se résorber dans une certaine mesure .</t>
  </si>
  <si>
    <t>file://conllu/fr/teddy-1323.conllu#s60_0</t>
  </si>
  <si>
    <t>61</t>
  </si>
  <si>
    <t>Si on subit une énorme perte , et on se sent très mal , et au à le bout de six mois , on n' arrive toujours pas à fonctionner , d' une dépression déclenchée par des de les circonstances catastrophiques .</t>
  </si>
  <si>
    <t>file://conllu/fr/teddy-1323.conllu#s61_0</t>
  </si>
  <si>
    <t>62</t>
  </si>
  <si>
    <t>parler</t>
  </si>
  <si>
    <t>La trajectoire nous en parle longuement .</t>
  </si>
  <si>
    <t>file://conllu/fr/teddy-1323.conllu#s62_0</t>
  </si>
  <si>
    <t>63</t>
  </si>
  <si>
    <t>On a tendance à croire que la dépression n' est que de la tristesse .</t>
  </si>
  <si>
    <t>file://conllu/fr/teddy-1323.conllu#s63_0</t>
  </si>
  <si>
    <t>64</t>
  </si>
  <si>
    <t>agir</t>
  </si>
  <si>
    <t>Il s' agit de bien , bien trop de tristesse , bien trop de chagrin , et tout ça pour des de les raisons trop légères .</t>
  </si>
  <si>
    <t>file://conllu/fr/teddy-1323.conllu#s64_0</t>
  </si>
  <si>
    <t>65</t>
  </si>
  <si>
    <t>Quand j' ai pris sur moi pour comprendre la dépression , et pour interroger des de les gens qui l' avaient vécue , j' ai constaté que certains semblaient présenter , au à le moins superficiellement , ce qui paraissait être une dépression relativement légère , mais ils en étaient malgré tout complètement paralysés .</t>
  </si>
  <si>
    <t>file://conllu/fr/teddy-1323.conllu#s65_0</t>
  </si>
  <si>
    <t>66</t>
  </si>
  <si>
    <t>néanmoins?</t>
  </si>
  <si>
    <t>présenter</t>
  </si>
  <si>
    <t>Et d' autres présentaient ce qui semblait être , selon leurs descriptions , une dépression très grave mais ils menaient néanmoins de bonnes vies dans les intervalles entre les périodes de dépression .</t>
  </si>
  <si>
    <t>file://conllu/fr/teddy-1323.conllu#s66_0</t>
  </si>
  <si>
    <t>67</t>
  </si>
  <si>
    <t>entreprendre</t>
  </si>
  <si>
    <t>Alors j' ai entrepris de chercher ce qui rend certaines personnes plus résistantes que d' autres .</t>
  </si>
  <si>
    <t>file://conllu/fr/teddy-1323.conllu#s67_0</t>
  </si>
  <si>
    <t>68</t>
  </si>
  <si>
    <t>être (être mécanisme)</t>
  </si>
  <si>
    <t>Quels sont les mécanismes qui nous permettent de survivre ?</t>
  </si>
  <si>
    <t>file://conllu/fr/teddy-1323.conllu#s68_0</t>
  </si>
  <si>
    <t>69</t>
  </si>
  <si>
    <t>interroger</t>
  </si>
  <si>
    <t>Alors j' ai interrogé des de les personnes , les unes après les autres , toutes souffrant d' une dépression .</t>
  </si>
  <si>
    <t>file://conllu/fr/teddy-1323.conllu#s69_0</t>
  </si>
  <si>
    <t>70</t>
  </si>
  <si>
    <t>comparer</t>
  </si>
  <si>
    <t>L' une des de les premières personnes que j' ai interrogées a comparé la dépression à une manière plus lente d' être mort , et ça m' était rassurant d' entendre ça dès le début car ça m' a rappelé que cette façon plus lente d' être mort peut mener à la mort pour de vrai , et que c' est très grave .</t>
  </si>
  <si>
    <t>file://conllu/fr/teddy-1323.conllu#s70_0</t>
  </si>
  <si>
    <t>71</t>
  </si>
  <si>
    <t>représenter</t>
  </si>
  <si>
    <t>Elle représente le handicap le plus répandu au à le monde , et des de les gens en meurent tous les jours .</t>
  </si>
  <si>
    <t>file://conllu/fr/teddy-1323.conllu#s71_0</t>
  </si>
  <si>
    <t>72</t>
  </si>
  <si>
    <t>avant?</t>
  </si>
  <si>
    <t>être (être amie)</t>
  </si>
  <si>
    <t>Une personne à qui j' ai parlé lorsque j' essayais de comprendre tout ceci est une amie chère que je connaissais depuis très longtemps , et qui avait connu un épisode psychotique en première année d' université , avant de s' effondrer dans une sévère dépression .</t>
  </si>
  <si>
    <t>file://conllu/fr/teddy-1323.conllu#s72_0</t>
  </si>
  <si>
    <t>73</t>
  </si>
  <si>
    <t>souffrer</t>
  </si>
  <si>
    <t>Elle souffrait de trouble bipolaire , ou de psychose maniaco-dépressive comme on l' appelait à l' époque .</t>
  </si>
  <si>
    <t>file://conllu/fr/teddy-1323.conllu#s73_0</t>
  </si>
  <si>
    <t>74</t>
  </si>
  <si>
    <t>Elle allait très bien pendant plusieurs années , grâce au à le lithium , et puis finalement on a arrêté de lui prescrire du de le lithium pour voir comment elle réagirait sans , et elle a connu un autre épisode psychotique , puis elle a plongé dans la pire dépression que j' aie jamais vue pendant laquelle elle est restée chez ses parents , dans un état plus ou moins catatonique , pratiquement sans bouger , jour après jour après jour .</t>
  </si>
  <si>
    <t>file://conllu/fr/teddy-1323.conllu#s74_0</t>
  </si>
  <si>
    <t>75</t>
  </si>
  <si>
    <t>chanter (chanter dire)</t>
  </si>
  <si>
    <t>Et quand je l' ai interrogée des de les années après sur cette expérience elle est poète et psychothérapeute et s' appelle Maggie Robbins dans cet entretien , elle a dit : « Je chantais ' Where Have All the Flowers Gone ' en boucle , pour m' occuper l' esprit .</t>
  </si>
  <si>
    <t>file://conllu/fr/teddy-1323.conllu#s75_0</t>
  </si>
  <si>
    <t>76</t>
  </si>
  <si>
    <t>pour?</t>
  </si>
  <si>
    <t>chanter</t>
  </si>
  <si>
    <t>Je chantais pour balayer ce que mon esprit disait : ' Tu n' es rien .</t>
  </si>
  <si>
    <t>file://conllu/fr/teddy-1323.conllu#s76_0</t>
  </si>
  <si>
    <t>77</t>
  </si>
  <si>
    <t>personne</t>
  </si>
  <si>
    <t>Tu n' es personne .</t>
  </si>
  <si>
    <t>file://conllu/fr/teddy-1323.conllu#s77_0</t>
  </si>
  <si>
    <t>78</t>
  </si>
  <si>
    <t>même?</t>
  </si>
  <si>
    <t>mérire</t>
  </si>
  <si>
    <t>Tu ne mérites même pas de vivre .'</t>
  </si>
  <si>
    <t>file://conllu/fr/teddy-1323.conllu#s78_0</t>
  </si>
  <si>
    <t>79</t>
  </si>
  <si>
    <t>Et c' était à ce moment là que j' ai vraiment commencé à songer à me tuer .</t>
  </si>
  <si>
    <t>file://conllu/fr/teddy-1323.conllu#s79_0</t>
  </si>
  <si>
    <t>80</t>
  </si>
  <si>
    <t>savoir</t>
  </si>
  <si>
    <t>» Quand on est déprimé , on ne sait pas qu' on porte un voile gris et qu' on voit le monde à travers le brouillard provoqué par la mauvaise humeur .</t>
  </si>
  <si>
    <t>file://conllu/fr/teddy-1323.conllu#s80_0</t>
  </si>
  <si>
    <t>81</t>
  </si>
  <si>
    <t>croire</t>
  </si>
  <si>
    <t>On croit que le voile a été enlevé , le voile du de le bonheur , et que maintenant on voit clairement .</t>
  </si>
  <si>
    <t>file://conllu/fr/teddy-1323.conllu#s81_0</t>
  </si>
  <si>
    <t>82</t>
  </si>
  <si>
    <t>être (être facile)</t>
  </si>
  <si>
    <t>Il est plus facile d' aider des de les schizophrènes qui s' imaginent une chose inconnue au à le fond d' eux-même qui doit se faire exorciser , mais la difficulté chez les dépressifs , c' est qu' on croit percevoir la vérité .</t>
  </si>
  <si>
    <t>file://conllu/fr/teddy-1323.conllu#s82_0</t>
  </si>
  <si>
    <t>83</t>
  </si>
  <si>
    <t>mentir</t>
  </si>
  <si>
    <t>Mais la vérité ment .</t>
  </si>
  <si>
    <t>file://conllu/fr/teddy-1323.conllu#s83_0</t>
  </si>
  <si>
    <t>84</t>
  </si>
  <si>
    <t>devenir</t>
  </si>
  <si>
    <t>Je suis devenu obsédé par cette phrase : « Mais la vérité ment .</t>
  </si>
  <si>
    <t>file://conllu/fr/teddy-1323.conllu#s84_0</t>
  </si>
  <si>
    <t>85</t>
  </si>
  <si>
    <t>parler (parler découvrir)</t>
  </si>
  <si>
    <t>» Et j' ai découvert , en parlant à des de les dépressifs , qu' ils entretiennent de nombreux délires .</t>
  </si>
  <si>
    <t>file://conllu/fr/teddy-1323.conllu#s85_0</t>
  </si>
  <si>
    <t>86</t>
  </si>
  <si>
    <t>Les gens disent : « Personne ne m' aime .</t>
  </si>
  <si>
    <t>file://conllu/fr/teddy-1323.conllu#s86_0</t>
  </si>
  <si>
    <t>87</t>
  </si>
  <si>
    <t>» Et on leur dit : « Moi , je t' aime , ta femme t' aime , ta mère t' aime .</t>
  </si>
  <si>
    <t>file://conllu/fr/teddy-1323.conllu#s87_0</t>
  </si>
  <si>
    <t>88</t>
  </si>
  <si>
    <t>être (être dur)</t>
  </si>
  <si>
    <t>» Cette réponse n' est pas dure à trouver , pour la plupart des de les gens , au à le moins .</t>
  </si>
  <si>
    <t>file://conllu/fr/teddy-1323.conllu#s88_0</t>
  </si>
  <si>
    <t>89</t>
  </si>
  <si>
    <t>Mais les dépressifs disent aussi : « Quoi qu' on fasse , on va tout finir par mourir .</t>
  </si>
  <si>
    <t>file://conllu/fr/teddy-1323.conllu#s89_0</t>
  </si>
  <si>
    <t>90</t>
  </si>
  <si>
    <t>» Ou ils disent : « Il ne peut pas y avoir de vraie communion entre deux êtres humains .</t>
  </si>
  <si>
    <t>file://conllu/fr/teddy-1323.conllu#s90_0</t>
  </si>
  <si>
    <t>91</t>
  </si>
  <si>
    <t>enfermer</t>
  </si>
  <si>
    <t>Chacun est enfermé dans son propre corps .</t>
  </si>
  <si>
    <t>file://conllu/fr/teddy-1323.conllu#s91_0</t>
  </si>
  <si>
    <t>92</t>
  </si>
  <si>
    <t>» Ce à quoi il faut répondre : « Oui , en effet , mais là maintenant il vaut mieux se concentrer sur ce qu' on va prendre au à le petit déjeuner .</t>
  </si>
  <si>
    <t>file://conllu/fr/teddy-1323.conllu#s92_0</t>
  </si>
  <si>
    <t>93</t>
  </si>
  <si>
    <t>être (être maladie)</t>
  </si>
  <si>
    <t>» ( Rires ) Souvent , ce qu' ils expriment , ce n' est pas la maladie , mais la perspicacité , et on arrive à penser que l' extraordinaire , c' est que la plupart d' entre nous sont au à le courant de ces questions existentielles mais elles ne nous troublent pas trop .</t>
  </si>
  <si>
    <t>file://conllu/fr/teddy-1323.conllu#s93_0</t>
  </si>
  <si>
    <t>94</t>
  </si>
  <si>
    <t>Il y a une étude que j' ai beaucoup appréciée dans laquelle on a demandé à un groupe de dépressifs et un groupe de non-dépressifs de passer une heure à jouer un jeu vidéo , et à la fin de l' heure , on leur a demandé combien de petits monstres ils croyaient avoir tués .</t>
  </si>
  <si>
    <t>file://conllu/fr/teddy-1323.conllu#s94_0</t>
  </si>
  <si>
    <t>95</t>
  </si>
  <si>
    <t>être (être précis)</t>
  </si>
  <si>
    <t>Le groupe dépressif était typiquement très précis avec une marge de 10 % , alors que les non-dépressifs devinaient entre 15 et 20 fois plus de petits monstres ( Rires ) qu' ils avaient vraiment tués .</t>
  </si>
  <si>
    <t>file://conllu/fr/teddy-1323.conllu#s95_0</t>
  </si>
  <si>
    <t>97</t>
  </si>
  <si>
    <t>parler (parler demander)</t>
  </si>
  <si>
    <t>Ils demandent : « On te parle différemment ?</t>
  </si>
  <si>
    <t>file://conllu/fr/teddy-1323.conllu#s97_0</t>
  </si>
  <si>
    <t>98</t>
  </si>
  <si>
    <t>parler (parler répondre)</t>
  </si>
  <si>
    <t>» Et je réponds : « Oui , on me parle différemment .</t>
  </si>
  <si>
    <t>file://conllu/fr/teddy-1323.conllu#s98_0</t>
  </si>
  <si>
    <t>99</t>
  </si>
  <si>
    <t>puisqu'?</t>
  </si>
  <si>
    <t>différemment</t>
  </si>
  <si>
    <t>» Différemment , puisqu' ils commencent à me raconter leur expérience , ou celle de leur sœur , ou de leur meilleur ami .</t>
  </si>
  <si>
    <t>file://conllu/fr/teddy-1323.conllu#s99_0</t>
  </si>
  <si>
    <t>100</t>
  </si>
  <si>
    <t>maintenant?</t>
  </si>
  <si>
    <t>être (être différent)</t>
  </si>
  <si>
    <t>Maintenant , tout est différent car je sais que la dépression , c' est le secret familial que chacun garde .</t>
  </si>
  <si>
    <t>file://conllu/fr/teddy-1323.conllu#s100_0</t>
  </si>
  <si>
    <t>101</t>
  </si>
  <si>
    <t>Il y a quelques années , je suis allé à une conférence , et le vendredi de cette conférence de trois jours , une participante m' a pris à part , et elle m' a dit : « Je souffre d' une dépression et j' en suis un peu gênée , mais je prends ces médicaments depuis quelque temps , et je voulais savoir ce que vous en pensez ?</t>
  </si>
  <si>
    <t>file://conllu/fr/teddy-1323.conllu#s101_0</t>
  </si>
  <si>
    <t>102</t>
  </si>
  <si>
    <t>faire</t>
  </si>
  <si>
    <t>» Alors j' ai fait de mon mieux de lui conseiller autant que je pouvais .</t>
  </si>
  <si>
    <t>file://conllu/fr/teddy-1323.conllu#s102_0</t>
  </si>
  <si>
    <t>103</t>
  </si>
  <si>
    <t>savoir (savoir dire)</t>
  </si>
  <si>
    <t>Et puis elle a dit : « Vous savez , mon mari ne pourrait jamais comprendre ceci .</t>
  </si>
  <si>
    <t>file://conllu/fr/teddy-1323.conllu#s103_0</t>
  </si>
  <si>
    <t>104</t>
  </si>
  <si>
    <t>en fait?</t>
  </si>
  <si>
    <t>être (être personne)</t>
  </si>
  <si>
    <t>En fait , c' est une personne , pour qui ceci n' aurait pas de sens , alors je , vous savez , cela reste entre nous .</t>
  </si>
  <si>
    <t>file://conllu/fr/teddy-1323.conllu#s104_0</t>
  </si>
  <si>
    <t>105</t>
  </si>
  <si>
    <t>répondre</t>
  </si>
  <si>
    <t>» Et j' ai répondu : « D' accord , pas de problème .</t>
  </si>
  <si>
    <t>file://conllu/fr/teddy-1323.conllu#s105_0</t>
  </si>
  <si>
    <t>106</t>
  </si>
  <si>
    <t>prendre</t>
  </si>
  <si>
    <t>» Et le dimanche de cette même conférence , son mari m' a pris à part , et il m' a dit : « Ma femme ne me tiendrait pas en estime en tant que homme , si elle le savait , mais je souffre d' une dépression depuis quelque temps et je prends des de les médicaments , et je me demandais</t>
  </si>
  <si>
    <t>file://conllu/fr/teddy-1323.conllu#s106_0</t>
  </si>
  <si>
    <t>107</t>
  </si>
  <si>
    <t>cacher</t>
  </si>
  <si>
    <t>Ils se cachaient les mêmes medicaments , dans deux différents endroits dans la même chambre .</t>
  </si>
  <si>
    <t>file://conllu/fr/teddy-1323.conllu#s107_0</t>
  </si>
  <si>
    <t>108</t>
  </si>
  <si>
    <t>Et j' ai dit que je trouvais que la communication au à le sein de leur mariage pourrait être à l' origine de leurs problèmes .</t>
  </si>
  <si>
    <t>file://conllu/fr/teddy-1323.conllu#s108_0</t>
  </si>
  <si>
    <t>109</t>
  </si>
  <si>
    <t>frapper</t>
  </si>
  <si>
    <t>Mais j' ai aussi été frappé par l' énorme charge que représente ce secret mutuel .</t>
  </si>
  <si>
    <t>file://conllu/fr/teddy-1323.conllu#s109_0</t>
  </si>
  <si>
    <t>110</t>
  </si>
  <si>
    <t>être (être épuisant)</t>
  </si>
  <si>
    <t>La dépression est épuisante .</t>
  </si>
  <si>
    <t>file://conllu/fr/teddy-1323.conllu#s110_0</t>
  </si>
  <si>
    <t>111</t>
  </si>
  <si>
    <t>occuper</t>
  </si>
  <si>
    <t>Elle occupe tant de temps et d' énergie , et la passer sous silence , cela rend la dépression encore pire .</t>
  </si>
  <si>
    <t>file://conllu/fr/teddy-1323.conllu#s111_0</t>
  </si>
  <si>
    <t>112</t>
  </si>
  <si>
    <t>Et puis j' ai commencé à réfléchir sur toutes les façons qu' ont les gens de se soulager .</t>
  </si>
  <si>
    <t>file://conllu/fr/teddy-1323.conllu#s112_0</t>
  </si>
  <si>
    <t>114</t>
  </si>
  <si>
    <t>croître</t>
  </si>
  <si>
    <t>J' ai cru qu' il y avait quelques sortes de thérapie qui marchaient , c' était clair qu' il s' agissait du de le médicament , certains types de psychothérapie , peut-être la thérapie électroconvulsive , et que tout le reste était n' importe quoi .</t>
  </si>
  <si>
    <t>file://conllu/fr/teddy-1323.conllu#s114_0</t>
  </si>
  <si>
    <t>115</t>
  </si>
  <si>
    <t>découvrir</t>
  </si>
  <si>
    <t>Et puis , j' ai découvert une chose .</t>
  </si>
  <si>
    <t>file://conllu/fr/teddy-1323.conllu#s115_0</t>
  </si>
  <si>
    <t>116</t>
  </si>
  <si>
    <t>faire (faire sentir)</t>
  </si>
  <si>
    <t>Si vous avez un cancer du de le cerveau , et vous vous dites que vous tenir sur la tête pendant 20 minutes , chaque matin vous fait sentir mieux , cela pourrait très bien vous faire sentir mieux , mais vous avez toujours et vous allez probablement en mourir .</t>
  </si>
  <si>
    <t>file://conllu/fr/teddy-1323.conllu#s116_0</t>
  </si>
  <si>
    <t>117</t>
  </si>
  <si>
    <t>puisque?</t>
  </si>
  <si>
    <t>tenir (tenir dire sentir)</t>
  </si>
  <si>
    <t>Mais si vous dites que vous avez une dépression , et vous tenir sur la tête pendant 20 minutes chaque jour vous fait sentir mieux , alors ça a marché , puisque la dépression est une maladie qui porte sur comment on se sent , et si vous vous sentez mieux , alors effectivement , vous n' êtes plus déprimé .</t>
  </si>
  <si>
    <t>file://conllu/fr/teddy-1323.conllu#s117_0</t>
  </si>
  <si>
    <t>118</t>
  </si>
  <si>
    <t>Alors je suis devenu beaucoup plus tolérant envers la panoplie d' autres traitements .</t>
  </si>
  <si>
    <t>file://conllu/fr/teddy-1323.conllu#s118_0</t>
  </si>
  <si>
    <t>119</t>
  </si>
  <si>
    <t>recevoir</t>
  </si>
  <si>
    <t>Et je reçois des de les lettres , des de les centaines de lettres de gens qui m' écrivent pour me signaler ce qui marche pour eux .</t>
  </si>
  <si>
    <t>file://conllu/fr/teddy-1323.conllu#s119_0</t>
  </si>
  <si>
    <t>120</t>
  </si>
  <si>
    <t>poser</t>
  </si>
  <si>
    <t>Tout à l' heure , en coulisses , on me posait des de les questions sur la méditation .</t>
  </si>
  <si>
    <t>file://conllu/fr/teddy-1323.conllu#s120_0</t>
  </si>
  <si>
    <t>121</t>
  </si>
  <si>
    <t>être (être celui)</t>
  </si>
  <si>
    <t>Parmi toutes les lettres que j' ai reçues , ma préférée est celle envoyée par une femme qui a écrit pour dire qu' elle avait essayé la thérapie , elle avait essayé le médicament , elle avait essayé à peu près tout , et elle avait trouvé une solution et elle espérait que je la présenterais à tous , et la solution , c' était la fabrication des de les bidules en laine .</t>
  </si>
  <si>
    <t>file://conllu/fr/teddy-1323.conllu#s121_0</t>
  </si>
  <si>
    <t>122</t>
  </si>
  <si>
    <t>envoyer</t>
  </si>
  <si>
    <t>Elle m' en a envoyé quelques-uns .</t>
  </si>
  <si>
    <t>file://conllu/fr/teddy-1323.conllu#s122_0</t>
  </si>
  <si>
    <t>123</t>
  </si>
  <si>
    <t>porter</t>
  </si>
  <si>
    <t>Et je ne les porte pas en ce moment .</t>
  </si>
  <si>
    <t>file://conllu/fr/teddy-1323.conllu#s123_0</t>
  </si>
  <si>
    <t>124</t>
  </si>
  <si>
    <t>suggérer</t>
  </si>
  <si>
    <t>Je lui ai suggéré de se renseigner sur le trouble obsessionnel-compulsif dans le manuel des de les troubles mentaux .</t>
  </si>
  <si>
    <t>file://conllu/fr/teddy-1323.conllu#s124_0</t>
  </si>
  <si>
    <t>125</t>
  </si>
  <si>
    <t>pourtant?</t>
  </si>
  <si>
    <t>Mais pourtant , quand je suis parti à la recherche des de les traitements alternatifs , j' ai aussi découvert</t>
  </si>
  <si>
    <t>file://conllu/fr/teddy-1323.conllu#s125_0</t>
  </si>
  <si>
    <t>126</t>
  </si>
  <si>
    <t>participer</t>
  </si>
  <si>
    <t>J' ai participé à un exorcisme tribal au à le Sénégal qui comprenait pas mal de sang de bélier et je ne m' y attarderai pas en ce moment , mais quelques années plus tard je travaillais sur un autre projet , au à le Rwanda , et il m' est arrivé de décrire l' expérience à quelqu'un , et il m' a dit : « Eh bien , vous savez , ça c' est Afrique de l' Ouest , et ici c' est Afrique de l' Est , et nos rituels sont , en quelque sort , très différents , mais on en a certains qui partagent certains traits avec ce que vous décrivez .</t>
  </si>
  <si>
    <t>file://conllu/fr/teddy-1323.conllu#s126_0</t>
  </si>
  <si>
    <t>127</t>
  </si>
  <si>
    <t>» Et j' ai répondu :« Ah bon .</t>
  </si>
  <si>
    <t>file://conllu/fr/teddy-1323.conllu#s127_0</t>
  </si>
  <si>
    <t>128</t>
  </si>
  <si>
    <t>» Et il a dit : « Oui , mais on a eu pas mal de soucis avec des de les intervenants en santé mentale occidentaux , surtout ceux qui sont arrivés juste après le génocide .</t>
  </si>
  <si>
    <t>file://conllu/fr/teddy-1323.conllu#s128_0</t>
  </si>
  <si>
    <t>129</t>
  </si>
  <si>
    <t>demander</t>
  </si>
  <si>
    <t>» Et j' ai demandé : « Quelle sorte de soucis ?</t>
  </si>
  <si>
    <t>file://conllu/fr/teddy-1323.conllu#s129_0</t>
  </si>
  <si>
    <t>130</t>
  </si>
  <si>
    <t>file://conllu/fr/teddy-1323.conllu#s130_0</t>
  </si>
  <si>
    <t>131</t>
  </si>
  <si>
    <t>Et il a répondu : « Eh bien , ils faisaient cette chose bizarre .</t>
  </si>
  <si>
    <t>file://conllu/fr/teddy-1323.conllu#s131_0</t>
  </si>
  <si>
    <t>132</t>
  </si>
  <si>
    <t>Ils ne faisaient pas sortir les gens sous le soleil , là où on se sent mieux .</t>
  </si>
  <si>
    <t>file://conllu/fr/teddy-1323.conllu#s132_0</t>
  </si>
  <si>
    <t>133</t>
  </si>
  <si>
    <t>utiliser</t>
  </si>
  <si>
    <t>Ils n' ont pas utilisé les tambours ou la musique , pour animer les gens .</t>
  </si>
  <si>
    <t>file://conllu/fr/teddy-1323.conllu#s133_0</t>
  </si>
  <si>
    <t>134</t>
  </si>
  <si>
    <t>inclure</t>
  </si>
  <si>
    <t>Ils n' ont pas inclus la communauté entière .</t>
  </si>
  <si>
    <t>file://conllu/fr/teddy-1323.conllu#s134_0</t>
  </si>
  <si>
    <t>135</t>
  </si>
  <si>
    <t>Ils n' ont pas présenté la dépression comme un esprit envahissant .</t>
  </si>
  <si>
    <t>file://conllu/fr/teddy-1323.conllu#s135_0</t>
  </si>
  <si>
    <t>136</t>
  </si>
  <si>
    <t>à la place?</t>
  </si>
  <si>
    <t>amen</t>
  </si>
  <si>
    <t>À la place , ils amenaient les gens un par un dans de petites pièces minables et les faisaient discuter pendant une heure des de les mauvaises choses qui leur étaient arrivées .</t>
  </si>
  <si>
    <t>file://conllu/fr/teddy-1323.conllu#s136_0</t>
  </si>
  <si>
    <t>137</t>
  </si>
  <si>
    <t>Rires</t>
  </si>
  <si>
    <t>» ( Rires ) ( Applaudissements )</t>
  </si>
  <si>
    <t>file://conllu/fr/teddy-1323.conllu#s137_0</t>
  </si>
  <si>
    <t>138</t>
  </si>
  <si>
    <t>Il a dit : « Il fallait leur demander de partir .</t>
  </si>
  <si>
    <t>file://conllu/fr/teddy-1323.conllu#s138_0</t>
  </si>
  <si>
    <t>139</t>
  </si>
  <si>
    <t>parler (parler permettre)</t>
  </si>
  <si>
    <t>» Et puis à l' autre bout des de les traitements alternatifs , permettez -moi de vous parler de Frank Russakoff .</t>
  </si>
  <si>
    <t>file://conllu/fr/teddy-1323.conllu#s139_0</t>
  </si>
  <si>
    <t>140</t>
  </si>
  <si>
    <t>Frank Russakoff a subi la pire dépression que j' aie jamais vue .</t>
  </si>
  <si>
    <t>file://conllu/fr/teddy-1323.conllu#s140_0</t>
  </si>
  <si>
    <t>141</t>
  </si>
  <si>
    <t>déprimer</t>
  </si>
  <si>
    <t>Il était déprimé constamment .</t>
  </si>
  <si>
    <t>file://conllu/fr/teddy-1323.conllu#s141_0</t>
  </si>
  <si>
    <t>142</t>
  </si>
  <si>
    <t>À l' époque où je l' ai rencontré , il devait subir un traitment électrochoc chaque mois .</t>
  </si>
  <si>
    <t>file://conllu/fr/teddy-1323.conllu#s142_0</t>
  </si>
  <si>
    <t>143</t>
  </si>
  <si>
    <t>puis?</t>
  </si>
  <si>
    <t>Puis , pendant une semaine , il se sentait désorienté .</t>
  </si>
  <si>
    <t>file://conllu/fr/teddy-1323.conllu#s143_0</t>
  </si>
  <si>
    <t>144</t>
  </si>
  <si>
    <t>Puis , pendant une semaine tout allait bien .</t>
  </si>
  <si>
    <t>file://conllu/fr/teddy-1323.conllu#s144_0</t>
  </si>
  <si>
    <t>145</t>
  </si>
  <si>
    <t>régresser</t>
  </si>
  <si>
    <t>Puis pendant une semaine , il régressait de nouveau .</t>
  </si>
  <si>
    <t>file://conllu/fr/teddy-1323.conllu#s145_0</t>
  </si>
  <si>
    <t>146</t>
  </si>
  <si>
    <t>Et après , il aura un autre traitment électrochoc .</t>
  </si>
  <si>
    <t>file://conllu/fr/teddy-1323.conllu#s146_0</t>
  </si>
  <si>
    <t>147</t>
  </si>
  <si>
    <t>raconter</t>
  </si>
  <si>
    <t>Et il m' a raconté ceci quand je l' ai rencontré : « Passer les semaines ainsi , c' est vraiment insupportable</t>
  </si>
  <si>
    <t>file://conllu/fr/teddy-1323.conllu#s147_0</t>
  </si>
  <si>
    <t>148</t>
  </si>
  <si>
    <t>ainsi?</t>
  </si>
  <si>
    <t>pouvoir</t>
  </si>
  <si>
    <t>Je ne peux pas continuer ainsi , et je sais comment je vais y mettre fin si je n' arrive pas à aller mieux .</t>
  </si>
  <si>
    <t>file://conllu/fr/teddy-1323.conllu#s148_0</t>
  </si>
  <si>
    <t>149</t>
  </si>
  <si>
    <t>dire (dire entendre)</t>
  </si>
  <si>
    <t>» Mais , il m' a dit : « J' ai entendu parler d' un protocol à l’ hôpital Mass General , une procédure appelée une cinglutomie c' est une chirurgie du de le cerveau , et je pense que je vais tenter le coup .</t>
  </si>
  <si>
    <t>file://conllu/fr/teddy-1323.conllu#s149_0</t>
  </si>
  <si>
    <t>150</t>
  </si>
  <si>
    <t>souvenir</t>
  </si>
  <si>
    <t>» Et je me souviens que j' étais étonné qu' une personne qui avait connu tant de mauvaises expériences avec tant de traitments différents avait retenu quelque part au à le fond de lui assez d' optimisme de poursuivre encore un autre .</t>
  </si>
  <si>
    <t>file://conllu/fr/teddy-1323.conllu#s150_0</t>
  </si>
  <si>
    <t>151</t>
  </si>
  <si>
    <t>Et il a subit la cinglutomie , et l' intervention fut un grand succès .</t>
  </si>
  <si>
    <t>file://conllu/fr/teddy-1323.conllu#s151_0</t>
  </si>
  <si>
    <t>152</t>
  </si>
  <si>
    <t>être (être ami)</t>
  </si>
  <si>
    <t>Maintenant , c' est un ami .</t>
  </si>
  <si>
    <t>file://conllu/fr/teddy-1323.conllu#s152_0</t>
  </si>
  <si>
    <t>153</t>
  </si>
  <si>
    <t>Il a une charmante épouse et deux enfants adorables</t>
  </si>
  <si>
    <t>file://conllu/fr/teddy-1323.conllu#s153_0</t>
  </si>
  <si>
    <t>154</t>
  </si>
  <si>
    <t>dire (dire écrire)</t>
  </si>
  <si>
    <t>Il m' a écrit une lettre le Noël suivant la chirurgie , et il a dit : « Mon père m' a envoyé deux cadeaux cette année .</t>
  </si>
  <si>
    <t>file://conllu/fr/teddy-1323.conllu#s154_0</t>
  </si>
  <si>
    <t>155</t>
  </si>
  <si>
    <t>un</t>
  </si>
  <si>
    <t>L' un , un range-CD motorisé de la FNAC dont je n' avais pas vraiment besoin , mais je sais qu' il me l' a offert pour célébrer le fait que je vis seul et que j' ai un travail qui semble me combler .</t>
  </si>
  <si>
    <t>file://conllu/fr/teddy-1323.conllu#s155_0</t>
  </si>
  <si>
    <t>156</t>
  </si>
  <si>
    <t>être (être photo)</t>
  </si>
  <si>
    <t>Et l' autre cadeau c' était une photo de ma grand-mère qui s' est suicidée .</t>
  </si>
  <si>
    <t>file://conllu/fr/teddy-1323.conllu#s156_0</t>
  </si>
  <si>
    <t>157</t>
  </si>
  <si>
    <t>And alors que je l' ai déballée , j' ai commencé à pleurer et ma mère s' est approchée et elle a dit : « Tu pleures pour les membres de la famille que tu n' as jamais connus ?</t>
  </si>
  <si>
    <t>file://conllu/fr/teddy-1323.conllu#s157_0</t>
  </si>
  <si>
    <t>158</t>
  </si>
  <si>
    <t>file://conllu/fr/teddy-1323.conllu#s158_0</t>
  </si>
  <si>
    <t>159</t>
  </si>
  <si>
    <t>Et j' ai dit : « Elle était atteinte de la même maladie que moi .</t>
  </si>
  <si>
    <t>file://conllu/fr/teddy-1323.conllu#s159_0</t>
  </si>
  <si>
    <t>160</t>
  </si>
  <si>
    <t>écrire (écrire pleurer)</t>
  </si>
  <si>
    <t>» Et je pleure aussi en t' écrivant maintenant .</t>
  </si>
  <si>
    <t>file://conllu/fr/teddy-1323.conllu#s160_0</t>
  </si>
  <si>
    <t>161</t>
  </si>
  <si>
    <t>être (être triste)</t>
  </si>
  <si>
    <t>Ce n' est pas que je suis triste , mais je suis bouleversé , peut-être , parce que j' aurais pu me suicider , mais mes parents m' ont donné la force de continuer ainsi que les médecins , et j' ai subi l' intervention .</t>
  </si>
  <si>
    <t>file://conllu/fr/teddy-1323.conllu#s161_0</t>
  </si>
  <si>
    <t>162</t>
  </si>
  <si>
    <t>être (être vivant)</t>
  </si>
  <si>
    <t>Je suis vivant , et reconaissant .</t>
  </si>
  <si>
    <t>file://conllu/fr/teddy-1323.conllu#s162_0</t>
  </si>
  <si>
    <t>163</t>
  </si>
  <si>
    <t>quoique?</t>
  </si>
  <si>
    <t>C' est le bon moment de vivre , quoique on n' en a pas toujours l' impression .</t>
  </si>
  <si>
    <t>file://conllu/fr/teddy-1323.conllu#s163_0</t>
  </si>
  <si>
    <t>164</t>
  </si>
  <si>
    <t>» J' ai été frappé par le fait que la dépression est largement perçue comme quelque chose de moderne , d' occidental , de bourgeois alors je me suis appliqué à l' observation de comment ça fonctionnne dans d' autres contextes et l' une des de les choses qui m' intéressait particulièrement c' était la dépression parmi les miséreux .</t>
  </si>
  <si>
    <t>file://conllu/fr/teddy-1323.conllu#s164_0</t>
  </si>
  <si>
    <t>165</t>
  </si>
  <si>
    <t>mettre</t>
  </si>
  <si>
    <t>Alors , je me suis mis à étudier ce qui se fait pour les pauvres qui font une dépression .</t>
  </si>
  <si>
    <t>file://conllu/fr/teddy-1323.conllu#s165_0</t>
  </si>
  <si>
    <t>166</t>
  </si>
  <si>
    <t>Et j' ai découvert que la plupart du de le temps les pauvres ne reçoivent pas de traitment pour la dépression .</t>
  </si>
  <si>
    <t>file://conllu/fr/teddy-1323.conllu#s166_0</t>
  </si>
  <si>
    <t>167</t>
  </si>
  <si>
    <t>résultat?</t>
  </si>
  <si>
    <t>être (être résultat)</t>
  </si>
  <si>
    <t>La depression est le résultat d' une vulnerabilité génétique , qui est , probablement , répartie uniformément dans la population , et des de les facteurs déclenchants , qui sont susceptibles d' être plus sévères chez les pauvres .</t>
  </si>
  <si>
    <t>file://conllu/fr/teddy-1323.conllu#s167_0</t>
  </si>
  <si>
    <t>168</t>
  </si>
  <si>
    <t>avérer</t>
  </si>
  <si>
    <t>Pourtant , il s' avère que si vous menez une belle vie mais vous êtes toujours au à le plus bas , vous pensez : « Pourquoi est -ce que je me sens ainsi ?</t>
  </si>
  <si>
    <t>file://conllu/fr/teddy-1323.conllu#s168_0</t>
  </si>
  <si>
    <t>169</t>
  </si>
  <si>
    <t>Je dois faire une dépression .</t>
  </si>
  <si>
    <t>file://conllu/fr/teddy-1323.conllu#s169_0</t>
  </si>
  <si>
    <t>170</t>
  </si>
  <si>
    <t>enterprenir</t>
  </si>
  <si>
    <t>» Et vous enterprenez de trouver un traitement .</t>
  </si>
  <si>
    <t>file://conllu/fr/teddy-1323.conllu#s170_0</t>
  </si>
  <si>
    <t>171</t>
  </si>
  <si>
    <t>correspondre</t>
  </si>
  <si>
    <t>Mais si vous menez une vie vraiment terrible , et vous vous sentez toujours malheureux , la façon dont vous vous sentez correspond à votre vie , et l' idée ne vous effleure même pas : « Et si ceci peut être traité ?</t>
  </si>
  <si>
    <t>file://conllu/fr/teddy-1323.conllu#s171_0</t>
  </si>
  <si>
    <t>172</t>
  </si>
  <si>
    <t>file://conllu/fr/teddy-1323.conllu#s172_0</t>
  </si>
  <si>
    <t>173</t>
  </si>
  <si>
    <t>donc?</t>
  </si>
  <si>
    <t>exister</t>
  </si>
  <si>
    <t>Et donc , dans ce pays il existe une épidemie de dépression parmi les appauvris dont personne se rend compte , qui ne se fait pas traitée qui ne se fait pas abordée , et c' est vraiment la grande tragédie .</t>
  </si>
  <si>
    <t>file://conllu/fr/teddy-1323.conllu#s173_0</t>
  </si>
  <si>
    <t>174</t>
  </si>
  <si>
    <t>J' ai aussi trouvé une universitaire qui réalisait un projet de recherche dans les bas quartiers en dehors de D.C. , où elle interpellait des de les femmes venues la consulter pour d' autres problèmes de santé et les diagnostiquait avec la dépression , et puis les fournissait avec six mois de protocol expérimental .</t>
  </si>
  <si>
    <t>file://conllu/fr/teddy-1323.conllu#s174_0</t>
  </si>
  <si>
    <t>175</t>
  </si>
  <si>
    <t>venir</t>
  </si>
  <si>
    <t>L' une d' elle , Lolly , est venue , et voilà ce qu' elle a dit le jour où elle est venue .</t>
  </si>
  <si>
    <t>file://conllu/fr/teddy-1323.conllu#s175_0</t>
  </si>
  <si>
    <t>176</t>
  </si>
  <si>
    <t>Elle a dit , et c' était une femme , d' ailleurs , qui avait sept enfants .</t>
  </si>
  <si>
    <t>file://conllu/fr/teddy-1323.conllu#s176_0</t>
  </si>
  <si>
    <t>177</t>
  </si>
  <si>
    <t>Elle a dit : « Autrefois , j' avais un boulot , mais j' ai dû y renoncer parce que je n' arrivais pas à sortir de la maison .</t>
  </si>
  <si>
    <t>file://conllu/fr/teddy-1323.conllu#s177_0</t>
  </si>
  <si>
    <t>178</t>
  </si>
  <si>
    <t>Je n' ai rien à dire à mes enfants .</t>
  </si>
  <si>
    <t>file://conllu/fr/teddy-1323.conllu#s178_0</t>
  </si>
  <si>
    <t>179</t>
  </si>
  <si>
    <t>Le matin , je ne peux pas attendre qu' ils partent , et puis je me glisse dans mon lit , passe les couvertures au-dessus de ma tête , et quinze heures , quand ils reviennent , ça arrive trop vite .</t>
  </si>
  <si>
    <t>file://conllu/fr/teddy-1323.conllu#s179_0</t>
  </si>
  <si>
    <t>180</t>
  </si>
  <si>
    <t>» « Je prends beaucoup de Tylenol , je prends n' importe quoi qui puisse m' aider à dormir plus .</t>
  </si>
  <si>
    <t>file://conllu/fr/teddy-1323.conllu#s180_0</t>
  </si>
  <si>
    <t>181</t>
  </si>
  <si>
    <t>Récemment , mon mari me dit que je suis nulle , moche .</t>
  </si>
  <si>
    <t>file://conllu/fr/teddy-1323.conllu#s181_0</t>
  </si>
  <si>
    <t>182</t>
  </si>
  <si>
    <t>J' ai tellement envie d' arrêter le douleur .</t>
  </si>
  <si>
    <t>file://conllu/fr/teddy-1323.conllu#s182_0</t>
  </si>
  <si>
    <t>183</t>
  </si>
  <si>
    <t>inclure (inclure accepter)</t>
  </si>
  <si>
    <t>» Eh bien , elle a été incluse dans ce protocol expérimental , et lors de notre entretien six mois plus tard , elle avait accepté un travail dans la garde d' enfants pour le U.S. Navy , elle avait quitté son mari violent , « Mes enfants sont beaucoup plus heureux .</t>
  </si>
  <si>
    <t>file://conllu/fr/teddy-1323.conllu#s183_0</t>
  </si>
  <si>
    <t>184</t>
  </si>
  <si>
    <t>» Elle a dit : « Dans mon nouveau chez moi il y a une chambre pour les garçons et une pour les filles , mais le soir , ils traînent tous sur mon lit , et on fait les devoirs ensemble et tout .</t>
  </si>
  <si>
    <t>file://conllu/fr/teddy-1323.conllu#s184_0</t>
  </si>
  <si>
    <t>185</t>
  </si>
  <si>
    <t>dire (dire vouloir vouloir)</t>
  </si>
  <si>
    <t>L' un veut devenir pasteur , un autre veut devenir pompier , et une des de les filles dit qu' elle va devenir avocate .</t>
  </si>
  <si>
    <t>file://conllu/fr/teddy-1323.conllu#s185_0</t>
  </si>
  <si>
    <t>186</t>
  </si>
  <si>
    <t>pleurer</t>
  </si>
  <si>
    <t>Ils ne pleurent pas comme avant , et ils ne se battent plus comme avant .</t>
  </si>
  <si>
    <t>file://conllu/fr/teddy-1323.conllu#s186_0</t>
  </si>
  <si>
    <t>187</t>
  </si>
  <si>
    <t>être (être ce)</t>
  </si>
  <si>
    <t>C' est tout ce dont j' ai besoin pour mes gamins .</t>
  </si>
  <si>
    <t>file://conllu/fr/teddy-1323.conllu#s187_0</t>
  </si>
  <si>
    <t>188</t>
  </si>
  <si>
    <t>cesser</t>
  </si>
  <si>
    <t>Les changements ne cessent pas , comment je m' habille , je me sens , je me comporte .</t>
  </si>
  <si>
    <t>file://conllu/fr/teddy-1323.conllu#s188_0</t>
  </si>
  <si>
    <t>189</t>
  </si>
  <si>
    <t>Je peux sortir et ne plus avoir peur , et je ne crois pas que ces mauvais sentiments reviennent , et s' il n' y avait pas eu le Dr. Miranda et tout ça , je serais toujours à la maison , les couvertures au-dessus de ma tête , si j' étais même vivante .</t>
  </si>
  <si>
    <t>file://conllu/fr/teddy-1323.conllu#s189_0</t>
  </si>
  <si>
    <t>190</t>
  </si>
  <si>
    <t>écouter (écouter demander)</t>
  </si>
  <si>
    <t>J' ai demandé au à le Seigneur de m' envoyer un ange , et il a écouté mes prières .</t>
  </si>
  <si>
    <t>file://conllu/fr/teddy-1323.conllu#s190_0</t>
  </si>
  <si>
    <t>191</t>
  </si>
  <si>
    <t>toucher</t>
  </si>
  <si>
    <t>» Ces expériences m' ont beaucoup touché , et j' ai décidé que je voulais écrire au à le sujet d' elles non seulement dans un livre sur lequel je travaillais , mais aussi dans un article , et donc , j' ai reçu une commande du de le New York Times Magazine d' écrire au à le sujet de la dépression chez les personnes indigentes .</t>
  </si>
  <si>
    <t>file://conllu/fr/teddy-1323.conllu#s191_0</t>
  </si>
  <si>
    <t>192</t>
  </si>
  <si>
    <t>Et j' ai rendu mon histoire , et la rédactrice en chef m' a appelé , et a dit : « On ne peut vraiment pas publier ceci .</t>
  </si>
  <si>
    <t>file://conllu/fr/teddy-1323.conllu#s192_0</t>
  </si>
  <si>
    <t>193</t>
  </si>
  <si>
    <t>Bah</t>
  </si>
  <si>
    <t>» « Bah , pourquoi pas ?</t>
  </si>
  <si>
    <t>file://conllu/fr/teddy-1323.conllu#s193_0</t>
  </si>
  <si>
    <t>194</t>
  </si>
  <si>
    <t>» Et elle a dit: « C' est trop exagéré , tout simplement .</t>
  </si>
  <si>
    <t>file://conllu/fr/teddy-1323.conllu#s194_0</t>
  </si>
  <si>
    <t>195</t>
  </si>
  <si>
    <t>gens</t>
  </si>
  <si>
    <t>Ces gens qui sont plus ou moins au à le bas de l' échelle de la société et puis ils reçoivent quelques mois de traitment et ils sont à peu près prêts à diriger Morgan Stanley ?</t>
  </si>
  <si>
    <t>file://conllu/fr/teddy-1323.conllu#s195_0</t>
  </si>
  <si>
    <t>196</t>
  </si>
  <si>
    <t>être (être improbable)</t>
  </si>
  <si>
    <t>C' est trop improbable , tout simplement .</t>
  </si>
  <si>
    <t>file://conllu/fr/teddy-1323.conllu#s196_0</t>
  </si>
  <si>
    <t>197</t>
  </si>
  <si>
    <t>» Elle a dit : « C' est même la première fois que j' entends une telle histoire .</t>
  </si>
  <si>
    <t>file://conllu/fr/teddy-1323.conllu#s197_0</t>
  </si>
  <si>
    <t>198</t>
  </si>
  <si>
    <t>indiquer (indiquer dire)</t>
  </si>
  <si>
    <t>» Et j' ai dit : « Le fait que tu n' en as jamais entendu parler indique bien qu' il s' agit des de les nouvelles .</t>
  </si>
  <si>
    <t>file://conllu/fr/teddy-1323.conllu#s198_0</t>
  </si>
  <si>
    <t>199</t>
  </si>
  <si>
    <t>être (être magazine)</t>
  </si>
  <si>
    <t>» « Et vous êtes bien un magazine .</t>
  </si>
  <si>
    <t>file://conllu/fr/teddy-1323.conllu#s199_0</t>
  </si>
  <si>
    <t>200</t>
  </si>
  <si>
    <t>faire (faire accepter)</t>
  </si>
  <si>
    <t>» Alors après un peu de négociation , ils ont accepté de le faire .</t>
  </si>
  <si>
    <t>file://conllu/fr/teddy-1323.conllu#s200_0</t>
  </si>
  <si>
    <t>201</t>
  </si>
  <si>
    <t>Mais j' ai l' impression que beaucoup de leurs arguments étaient liés d' une manière quelconque à l' aversion que les gens ont toujours pour l' idée du de le traitment , que si jamais on se met à traiter beaucoup de gens des de les communautés indigentes , cela relèverait de l' exploitation , parce qu' on les changerait .</t>
  </si>
  <si>
    <t>file://conllu/fr/teddy-1323.conllu#s201_0</t>
  </si>
  <si>
    <t>202</t>
  </si>
  <si>
    <t>Il existe cet impératif moral faux qui semble être omniprésent que le traitement de la dépression , les médicaments et ainsi de suite , consistent en artifices , et que ce n' est pas naturel .</t>
  </si>
  <si>
    <t>file://conllu/fr/teddy-1323.conllu#s202_0</t>
  </si>
  <si>
    <t>203</t>
  </si>
  <si>
    <t>Et je trouve cela très abusé .</t>
  </si>
  <si>
    <t>file://conllu/fr/teddy-1323.conllu#s203_0</t>
  </si>
  <si>
    <t>204</t>
  </si>
  <si>
    <t>être (être naturel)</t>
  </si>
  <si>
    <t>Il serait naturel que nos dents tombent , mais personne ne milite contre le dentifrice , au à le moins pas dans mon entourage .</t>
  </si>
  <si>
    <t>file://conllu/fr/teddy-1323.conllu#s204_0</t>
  </si>
  <si>
    <t>205</t>
  </si>
  <si>
    <t>Et puis les gens disent : « Bon , mais finalement , la dépression fait partie de ce qu' on est sensé éprouver ?</t>
  </si>
  <si>
    <t>file://conllu/fr/teddy-1323.conllu#s205_0</t>
  </si>
  <si>
    <t>206</t>
  </si>
  <si>
    <t>La dépression , ça fait partie de notre évolution , non ?</t>
  </si>
  <si>
    <t>file://conllu/fr/teddy-1323.conllu#s206_0</t>
  </si>
  <si>
    <t>207</t>
  </si>
  <si>
    <t>Ça fait partie de sa personalité , non ?</t>
  </si>
  <si>
    <t>file://conllu/fr/teddy-1323.conllu#s207_0</t>
  </si>
  <si>
    <t>208</t>
  </si>
  <si>
    <t>file://conllu/fr/teddy-1323.conllu#s208_0</t>
  </si>
  <si>
    <t>209</t>
  </si>
  <si>
    <t>Et je réponds alors , que l' état d' esprit s' adapte .</t>
  </si>
  <si>
    <t>file://conllu/fr/teddy-1323.conllu#s209_0</t>
  </si>
  <si>
    <t>210</t>
  </si>
  <si>
    <t>être (être valeur)</t>
  </si>
  <si>
    <t>Etre capable de ressentir la tristesse et la peur et la joie et le plaisir et toutes nos autres humeurs , est d' une valeur énorme .</t>
  </si>
  <si>
    <t>file://conllu/fr/teddy-1323.conllu#s210_0</t>
  </si>
  <si>
    <t>211</t>
  </si>
  <si>
    <t>Et la grande dépression est ce qui survient quand ce système ne fonctionne plus .</t>
  </si>
  <si>
    <t>file://conllu/fr/teddy-1323.conllu#s211_0</t>
  </si>
  <si>
    <t>212</t>
  </si>
  <si>
    <t>adapter</t>
  </si>
  <si>
    <t>Quand il ne s' adapte plus .</t>
  </si>
  <si>
    <t>file://conllu/fr/teddy-1323.conllu#s212_0</t>
  </si>
  <si>
    <t>213</t>
  </si>
  <si>
    <t>dire (dire aborder)</t>
  </si>
  <si>
    <t>Les gens m' abordent et disent : « Pourtant , je crois que si je tiens le coup encore un an , je crois que je pourrais m' en sortir .</t>
  </si>
  <si>
    <t>file://conllu/fr/teddy-1323.conllu#s213_0</t>
  </si>
  <si>
    <t>214</t>
  </si>
  <si>
    <t>» Et je leur dis toujours : « Oui vous pourriez éventuellement vous en sortir mais vous n' aurez plus jamais 37 ans .</t>
  </si>
  <si>
    <t>file://conllu/fr/teddy-1323.conllu#s214_0</t>
  </si>
  <si>
    <t>215</t>
  </si>
  <si>
    <t>être (être court)</t>
  </si>
  <si>
    <t>La vie est courte , et cela représente une année entière que vous êtes prêt à abandonner .</t>
  </si>
  <si>
    <t>file://conllu/fr/teddy-1323.conllu#s215_0</t>
  </si>
  <si>
    <t>216</t>
  </si>
  <si>
    <t>Réfléchissez</t>
  </si>
  <si>
    <t>Réfléchissez .</t>
  </si>
  <si>
    <t>file://conllu/fr/teddy-1323.conllu#s216_0</t>
  </si>
  <si>
    <t>217</t>
  </si>
  <si>
    <t>être (être pauvreté)</t>
  </si>
  <si>
    <t>» C' est une étrange pauvreté dans la langue anglaise , et dans beaucoup d' autres langues , qu' on se serve du de le même mot , dépression , afin de décrire comment se sent un enfant , s' il pleut le jour de son anniversaire et afin de décrire comment se sent une personne juste avant de se suicider .</t>
  </si>
  <si>
    <t>file://conllu/fr/teddy-1323.conllu#s217_0</t>
  </si>
  <si>
    <t>218</t>
  </si>
  <si>
    <t>Les gens me disent : « Alors , est -ce continu avec la tristesse normale ?</t>
  </si>
  <si>
    <t>file://conllu/fr/teddy-1323.conllu#s218_0</t>
  </si>
  <si>
    <t>219</t>
  </si>
  <si>
    <t>file://conllu/fr/teddy-1323.conllu#s219_0</t>
  </si>
  <si>
    <t>220</t>
  </si>
  <si>
    <t>continuer (continuer répondre)</t>
  </si>
  <si>
    <t>Et je réponds : « D' une certaine façon , elle continue avec la tristesse normale .</t>
  </si>
  <si>
    <t>file://conllu/fr/teddy-1323.conllu#s220_0</t>
  </si>
  <si>
    <t>221</t>
  </si>
  <si>
    <t>Il existe une certaine continuité , mais c' est pareil à la continuitié qui existe entre avoir une clôture de fer devant sa maison sur laquelle apparaît une tache de rouille et il te faut poncer et repeindre , et ce qui arrive si vous laissez la maison pendant 100 ans et elle finit par rouiller au à le point de n' être plus qu' un tas de poussière orange .</t>
  </si>
  <si>
    <t>file://conllu/fr/teddy-1323.conllu#s221_0</t>
  </si>
  <si>
    <t>222</t>
  </si>
  <si>
    <t>Et c' est la tache de poussière orange , ce problème de poussière orange c' est à ceci que nous comptons répondre .</t>
  </si>
  <si>
    <t>file://conllu/fr/teddy-1323.conllu#s222_0</t>
  </si>
  <si>
    <t>223</t>
  </si>
  <si>
    <t>là</t>
  </si>
  <si>
    <t>» Alors là , quand les gens disent : « Vous prenez des de les pilules de bonheur , cela vous rend heureux ? » Mais , la réponse est non .</t>
  </si>
  <si>
    <t>file://conllu/fr/teddy-1323.conllu#s223_0</t>
  </si>
  <si>
    <t>224</t>
  </si>
  <si>
    <t>manger</t>
  </si>
  <si>
    <t>Mais manger mon déjeuner ne me rend pas triste , et le répondeur de mon téléphone et prendre une douche ne me rend pas triste .</t>
  </si>
  <si>
    <t>file://conllu/fr/teddy-1323.conllu#s224_0</t>
  </si>
  <si>
    <t>225</t>
  </si>
  <si>
    <t>ressentir</t>
  </si>
  <si>
    <t>Je ressens plus , en fait , je crois , parce que j' arrive à ressentir la tristesse sans nullité .</t>
  </si>
  <si>
    <t>file://conllu/fr/teddy-1323.conllu#s225_0</t>
  </si>
  <si>
    <t>226</t>
  </si>
  <si>
    <t>déception</t>
  </si>
  <si>
    <t>Les déceptions professionnelles , les relations dégradées , et le réchauffement climatique me rendent triste .</t>
  </si>
  <si>
    <t>file://conllu/fr/teddy-1323.conllu#s226_0</t>
  </si>
  <si>
    <t>227</t>
  </si>
  <si>
    <t>voilà</t>
  </si>
  <si>
    <t>Voilà les choses qui me rendent triste maintenant .</t>
  </si>
  <si>
    <t>file://conllu/fr/teddy-1323.conllu#s227_0</t>
  </si>
  <si>
    <t>228</t>
  </si>
  <si>
    <t>Alors , je me suis demandé , quelle en est la conclusion ?</t>
  </si>
  <si>
    <t>file://conllu/fr/teddy-1323.conllu#s228_0</t>
  </si>
  <si>
    <t>229</t>
  </si>
  <si>
    <t>sortir</t>
  </si>
  <si>
    <t>Comment s' en sortent ses gens qui ont de meilleures vies en dépit d' une dépression plus sévère .</t>
  </si>
  <si>
    <t>file://conllu/fr/teddy-1323.conllu#s229_0</t>
  </si>
  <si>
    <t>230</t>
  </si>
  <si>
    <t>Quel est le mécanisme de résilience ?</t>
  </si>
  <si>
    <t>file://conllu/fr/teddy-1323.conllu#s230_0</t>
  </si>
  <si>
    <t>231</t>
  </si>
  <si>
    <t>Et peu à peu , j' ai trouvé que ceux qui nient leurs expériences , ceux qui disent : « Il y a longtemps j' ai fait une dépression et je ne veux plus jamais y penser et je ne vais pas y faire attention et je vais tout simplement reprendre ma vie en main .</t>
  </si>
  <si>
    <t>file://conllu/fr/teddy-1323.conllu#s231_0</t>
  </si>
  <si>
    <t>232</t>
  </si>
  <si>
    <t>être (être gens)</t>
  </si>
  <si>
    <t>» paradoxalement , ceux sont ces gens -là qui en sont les plus asservis .</t>
  </si>
  <si>
    <t>file://conllu/fr/teddy-1323.conllu#s232_0</t>
  </si>
  <si>
    <t>233</t>
  </si>
  <si>
    <t>Nier la dépression ne fait que la renforcer .</t>
  </si>
  <si>
    <t>file://conllu/fr/teddy-1323.conllu#s233_0</t>
  </si>
  <si>
    <t>234</t>
  </si>
  <si>
    <t>grandir</t>
  </si>
  <si>
    <t>Tandis que vous la refusez , elle grandit .</t>
  </si>
  <si>
    <t>file://conllu/fr/teddy-1323.conllu#s234_0</t>
  </si>
  <si>
    <t>235</t>
  </si>
  <si>
    <t>celui</t>
  </si>
  <si>
    <t>Et ceux qui réussissent le mieux c' est ceux qui arrivent à tolérer le fait qu' ils vivent dans cet état .</t>
  </si>
  <si>
    <t>file://conllu/fr/teddy-1323.conllu#s235_0</t>
  </si>
  <si>
    <t>236</t>
  </si>
  <si>
    <t>Ceux qui arrivent à tolérer leur dépression sont ceux qui atteignent la résilience .</t>
  </si>
  <si>
    <t>file://conllu/fr/teddy-1323.conllu#s236_0</t>
  </si>
  <si>
    <t>237</t>
  </si>
  <si>
    <t>dire (dire supposer)</t>
  </si>
  <si>
    <t>Alors Frank Russakoff m' a dit : « Si je pouvais repartir à zéro , je suppose que je ne le ferais pas ainsi , mais curieusement , je suis reconnaissant de ce que j' ai vécu .</t>
  </si>
  <si>
    <t>file://conllu/fr/teddy-1323.conllu#s237_0</t>
  </si>
  <si>
    <t>238</t>
  </si>
  <si>
    <t>être (être contre)</t>
  </si>
  <si>
    <t>Je suis content d' avoir été 40 fois à l' hôpital .</t>
  </si>
  <si>
    <t>file://conllu/fr/teddy-1323.conllu#s238_0</t>
  </si>
  <si>
    <t>239</t>
  </si>
  <si>
    <t>être (être cher)</t>
  </si>
  <si>
    <t>Cela m' a appris des de les tas de choses sur l' amour , et la relation entretenue avec mes parents et mes médecins m' a été très chère , et elle le sera toujours .</t>
  </si>
  <si>
    <t>file://conllu/fr/teddy-1323.conllu#s239_0</t>
  </si>
  <si>
    <t>240</t>
  </si>
  <si>
    <t>» Et Maggie Robbins a dit : « Autrefois j' ai été bénévole dans une clinique du de le SIDA , et je ne cessais pas de parler , et les gens avec qui j' avais affaire n' étaient guère réceptifs , et je me suis dit : « Ce n' est pas très sympa ou aimable de leur part .</t>
  </si>
  <si>
    <t>file://conllu/fr/teddy-1323.conllu#s240_0</t>
  </si>
  <si>
    <t>241</t>
  </si>
  <si>
    <t>» Et puis je me suis rendu compte , qu' ils n' allaient jamais faire plus que quelques petites minutes de bavardage .</t>
  </si>
  <si>
    <t>file://conllu/fr/teddy-1323.conllu#s241_0</t>
  </si>
  <si>
    <t>242</t>
  </si>
  <si>
    <t>marquer</t>
  </si>
  <si>
    <t>Cela marquait tout simplement une occasion où je n' avais pas de SIDA et je ne mourais pas , mais j' arrivais à tolérer qu' eux , ils l' avaient et ils allaient mourir .</t>
  </si>
  <si>
    <t>file://conllu/fr/teddy-1323.conllu#s242_0</t>
  </si>
  <si>
    <t>243</t>
  </si>
  <si>
    <t>être (être avantage)</t>
  </si>
  <si>
    <t>Nos besoins sont nos plus grands avantages .</t>
  </si>
  <si>
    <t>file://conllu/fr/teddy-1323.conllu#s243_0</t>
  </si>
  <si>
    <t>244</t>
  </si>
  <si>
    <t>Il s' avère que j' ai appris à donner tout ce dont j' ai besoin .</t>
  </si>
  <si>
    <t>file://conllu/fr/teddy-1323.conllu#s244_0</t>
  </si>
  <si>
    <t>245</t>
  </si>
  <si>
    <t>empêcher</t>
  </si>
  <si>
    <t>» Valoriser sa dépression n' empêche pas la rechute , mais il pourrait faire en sort qu' une rechute éventuelle et la rechute même soit plus facile à tolérer .</t>
  </si>
  <si>
    <t>file://conllu/fr/teddy-1323.conllu#s245_0</t>
  </si>
  <si>
    <t>246</t>
  </si>
  <si>
    <t>Il ne s' agit pas vraiment de trouver une importance quelconque et de décider que votre dépression a été très significative .</t>
  </si>
  <si>
    <t>file://conllu/fr/teddy-1323.conllu#s246_0</t>
  </si>
  <si>
    <t>247</t>
  </si>
  <si>
    <t>Il s' agit de chercher cette importance et s' imaginer , quand il se produit de nouveau : « Ça va être l' enfer , mais je vais en tirer quelque chose .</t>
  </si>
  <si>
    <t>file://conllu/fr/teddy-1323.conllu#s247_0</t>
  </si>
  <si>
    <t>248</t>
  </si>
  <si>
    <t>apprendre</t>
  </si>
  <si>
    <t>» Au À le cours de ma propre dépression j' ai appris à quel point une émotion peut être intense , comment elle peut être plus vraie que des de les faits , et j' ai découvert que cette expérience -là m' a permis d' éprouver des de les émotions positives d' une manière plus intense et plus nette .</t>
  </si>
  <si>
    <t>file://conllu/fr/teddy-1323.conllu#s248_0</t>
  </si>
  <si>
    <t>249</t>
  </si>
  <si>
    <t>À l' opposé de la dépression , ce n' est pas le bonheur mais la vitalité .</t>
  </si>
  <si>
    <t>file://conllu/fr/teddy-1323.conllu#s249_0</t>
  </si>
  <si>
    <t>250</t>
  </si>
  <si>
    <t>et en ce moment , j' ai une vie vitale , même les jours où je suis triste .</t>
  </si>
  <si>
    <t>file://conllu/fr/teddy-1323.conllu#s250_0</t>
  </si>
  <si>
    <t>251</t>
  </si>
  <si>
    <t>J' ai senti cet enterrement dans ma tête , et je me suis assis à côté du de le colosse au à le bout du de le monde , et j' ai découvert quelque chose au à le fond de moi que je ne peux qu' appeler une âme que je n' avais jamais formulée avant ce jour il y a 20 ans quand l' enfer est venu me rendre visite subitement .</t>
  </si>
  <si>
    <t>file://conllu/fr/teddy-1323.conllu#s251_0</t>
  </si>
  <si>
    <t>252</t>
  </si>
  <si>
    <t>trouver (trouver croire)</t>
  </si>
  <si>
    <t>Et je crois que , bien que je déteste être déprimé et j' ai horreur d' être encore déprimé , j' ai trouvé un moyen d' aimer la dépression</t>
  </si>
  <si>
    <t>file://conllu/fr/teddy-1323.conllu#s252_0</t>
  </si>
  <si>
    <t>253</t>
  </si>
  <si>
    <t>aimer</t>
  </si>
  <si>
    <t>Je l' aime puisqu' elle m' a obligé de trouver de la joie et de m' y accrocher .</t>
  </si>
  <si>
    <t>file://conllu/fr/teddy-1323.conllu#s253_0</t>
  </si>
  <si>
    <t>254</t>
  </si>
  <si>
    <t>décider (décider croire)</t>
  </si>
  <si>
    <t>parce que chaque jour je décide parfois vaillamment , parfois contre à l' encontre de la raison du de le moment , d' adhérer aux à les raisons de vivre , Et cela , je crois , représente une extase très rare .</t>
  </si>
  <si>
    <t>file://conllu/fr/teddy-1323.conllu#s254_0</t>
  </si>
  <si>
    <t>255</t>
  </si>
  <si>
    <t>merci</t>
  </si>
  <si>
    <t>Merci .</t>
  </si>
  <si>
    <t>file://conllu/fr/teddy-1323.conllu#s255_0</t>
  </si>
  <si>
    <t>WORD</t>
  </si>
  <si>
    <t>GR</t>
  </si>
  <si>
    <t>NP_TYPE</t>
  </si>
  <si>
    <t>REF_AUTO</t>
  </si>
  <si>
    <t>COREF</t>
  </si>
  <si>
    <t>REF</t>
  </si>
  <si>
    <t>IS</t>
  </si>
  <si>
    <t>CB</t>
  </si>
  <si>
    <t>GR_ANTE</t>
  </si>
  <si>
    <t>REF_DIST</t>
  </si>
  <si>
    <t>REF_DIST_ANTE</t>
  </si>
  <si>
    <t># text = J'ai senti un enterrement dans ma tête</t>
  </si>
  <si>
    <t>J'</t>
  </si>
  <si>
    <t>SBJ</t>
  </si>
  <si>
    <t>pron.pper</t>
  </si>
  <si>
    <t>?OLD</t>
  </si>
  <si>
    <t>ai</t>
  </si>
  <si>
    <t>senti</t>
  </si>
  <si>
    <t>enterrement</t>
  </si>
  <si>
    <t>OBJ</t>
  </si>
  <si>
    <t>indef-np.a</t>
  </si>
  <si>
    <t>dans</t>
  </si>
  <si>
    <t>ma</t>
  </si>
  <si>
    <t>other_2</t>
  </si>
  <si>
    <t>pron.ppos</t>
  </si>
  <si>
    <t>tête</t>
  </si>
  <si>
    <t>other</t>
  </si>
  <si>
    <t>def-np.poss</t>
  </si>
  <si>
    <t># text = Et les amis du défunt allaient et venaient, Continuaient à marcher, jusqu'à ce qu'il me semble Que ma raison s'en allait.</t>
  </si>
  <si>
    <t>Et</t>
  </si>
  <si>
    <t>les</t>
  </si>
  <si>
    <t>amis</t>
  </si>
  <si>
    <t>def-np.the</t>
  </si>
  <si>
    <t>de</t>
  </si>
  <si>
    <t>le</t>
  </si>
  <si>
    <t>défunt</t>
  </si>
  <si>
    <t>allaient</t>
  </si>
  <si>
    <t>et</t>
  </si>
  <si>
    <t>venaient</t>
  </si>
  <si>
    <t>,</t>
  </si>
  <si>
    <t>Continuaient</t>
  </si>
  <si>
    <t>à</t>
  </si>
  <si>
    <t>marcher</t>
  </si>
  <si>
    <t>jusqu'</t>
  </si>
  <si>
    <t>other_4</t>
  </si>
  <si>
    <t>pron.pds</t>
  </si>
  <si>
    <t>qu'</t>
  </si>
  <si>
    <t>il</t>
  </si>
  <si>
    <t>me</t>
  </si>
  <si>
    <t>semble</t>
  </si>
  <si>
    <t>Que</t>
  </si>
  <si>
    <t>other_8</t>
  </si>
  <si>
    <t>raison</t>
  </si>
  <si>
    <t>SBJ_7</t>
  </si>
  <si>
    <t>s'</t>
  </si>
  <si>
    <t>en</t>
  </si>
  <si>
    <t>OBJ_7</t>
  </si>
  <si>
    <t>pron</t>
  </si>
  <si>
    <t>allait</t>
  </si>
  <si>
    <t>.</t>
  </si>
  <si>
    <t># text = Et quand ils s'étaient tous assis</t>
  </si>
  <si>
    <t>quand</t>
  </si>
  <si>
    <t>ils</t>
  </si>
  <si>
    <t>étaient</t>
  </si>
  <si>
    <t>tous</t>
  </si>
  <si>
    <t>assis</t>
  </si>
  <si>
    <t># text = Un office comme un tambour battait, battait, jusqu'à ce qu'il me semblait que mon esprit devenait paralysé.</t>
  </si>
  <si>
    <t>Un</t>
  </si>
  <si>
    <t>office</t>
  </si>
  <si>
    <t>comme</t>
  </si>
  <si>
    <t>tambour</t>
  </si>
  <si>
    <t>battait</t>
  </si>
  <si>
    <t>SBJ_4</t>
  </si>
  <si>
    <t>OBJ_4</t>
  </si>
  <si>
    <t>semblait</t>
  </si>
  <si>
    <t>que</t>
  </si>
  <si>
    <t>mon</t>
  </si>
  <si>
    <t>other_6</t>
  </si>
  <si>
    <t>esprit</t>
  </si>
  <si>
    <t>SBJ_5</t>
  </si>
  <si>
    <t>devenait</t>
  </si>
  <si>
    <t>paralysé</t>
  </si>
  <si>
    <t># text = Et puis, je les ai entendus soulever une boîte et traverser mon âme en grinçant, avec encore ces mêmes bottes de plomb, puis tout s'est mis à sonner, comme si les cieux n'étaient qu'une cloche et l'existence n'était qu'une oreille et moi, et le silence, une espèce d'étrange race anéantie, solitaire, ici.</t>
  </si>
  <si>
    <t>puis</t>
  </si>
  <si>
    <t>je</t>
  </si>
  <si>
    <t>entendus</t>
  </si>
  <si>
    <t>soulever</t>
  </si>
  <si>
    <t>une</t>
  </si>
  <si>
    <t>boîte</t>
  </si>
  <si>
    <t>OBJ_2</t>
  </si>
  <si>
    <t>traverser</t>
  </si>
  <si>
    <t>other_3</t>
  </si>
  <si>
    <t>âme</t>
  </si>
  <si>
    <t>grinçant</t>
  </si>
  <si>
    <t>indef-np.bare</t>
  </si>
  <si>
    <t>avec</t>
  </si>
  <si>
    <t>encore</t>
  </si>
  <si>
    <t>ces</t>
  </si>
  <si>
    <t>mêmes</t>
  </si>
  <si>
    <t>bottes</t>
  </si>
  <si>
    <t>def-np.dem</t>
  </si>
  <si>
    <t>plomb</t>
  </si>
  <si>
    <t>tout</t>
  </si>
  <si>
    <t>SBJ_3</t>
  </si>
  <si>
    <t>est</t>
  </si>
  <si>
    <t>mis</t>
  </si>
  <si>
    <t>sonner</t>
  </si>
  <si>
    <t>si</t>
  </si>
  <si>
    <t>cieux</t>
  </si>
  <si>
    <t>n'</t>
  </si>
  <si>
    <t>cloche</t>
  </si>
  <si>
    <t>l'</t>
  </si>
  <si>
    <t>existence</t>
  </si>
  <si>
    <t>était</t>
  </si>
  <si>
    <t>oreille</t>
  </si>
  <si>
    <t>moi</t>
  </si>
  <si>
    <t>silence</t>
  </si>
  <si>
    <t>espèce</t>
  </si>
  <si>
    <t>d'</t>
  </si>
  <si>
    <t>étrange</t>
  </si>
  <si>
    <t>race</t>
  </si>
  <si>
    <t>other_5</t>
  </si>
  <si>
    <t>anéantie</t>
  </si>
  <si>
    <t>solitaire</t>
  </si>
  <si>
    <t>ici</t>
  </si>
  <si>
    <t># text = D'un coup, une planche de la raison se brisa, et je tombai, sans arrêt et heurtai un monde, à chaque chute et puis finis alors d'être consciente.</t>
  </si>
  <si>
    <t>D'</t>
  </si>
  <si>
    <t>coup</t>
  </si>
  <si>
    <t>planche</t>
  </si>
  <si>
    <t>la</t>
  </si>
  <si>
    <t>se</t>
  </si>
  <si>
    <t>brisa</t>
  </si>
  <si>
    <t>SBJ_2</t>
  </si>
  <si>
    <t>tombai</t>
  </si>
  <si>
    <t>sans</t>
  </si>
  <si>
    <t>arrêt</t>
  </si>
  <si>
    <t>heurtai</t>
  </si>
  <si>
    <t>monde</t>
  </si>
  <si>
    <t>OBJ_3</t>
  </si>
  <si>
    <t>chaque</t>
  </si>
  <si>
    <t>chute</t>
  </si>
  <si>
    <t>indef-np</t>
  </si>
  <si>
    <t>finis</t>
  </si>
  <si>
    <t>alors</t>
  </si>
  <si>
    <t>consciente</t>
  </si>
  <si>
    <t># text = » Nous comprenons la dépression à travers les métaphores.</t>
  </si>
  <si>
    <t>Nous</t>
  </si>
  <si>
    <t>comprenons</t>
  </si>
  <si>
    <t>dépression</t>
  </si>
  <si>
    <t>travers</t>
  </si>
  <si>
    <t>métaphores</t>
  </si>
  <si>
    <t># text = Emily Dickinson arrivait à la communiquer par des mots, Goya par une image.</t>
  </si>
  <si>
    <t>Emily</t>
  </si>
  <si>
    <t>ne</t>
  </si>
  <si>
    <t>Dickinson</t>
  </si>
  <si>
    <t>arrivait</t>
  </si>
  <si>
    <t>communiquer</t>
  </si>
  <si>
    <t>par</t>
  </si>
  <si>
    <t>mots</t>
  </si>
  <si>
    <t>Goya</t>
  </si>
  <si>
    <t>image</t>
  </si>
  <si>
    <t># text = Le but de l'art est, en partie, de décrire de tels états iconiques.</t>
  </si>
  <si>
    <t>Le</t>
  </si>
  <si>
    <t>but</t>
  </si>
  <si>
    <t>art</t>
  </si>
  <si>
    <t>partie</t>
  </si>
  <si>
    <t>décrire</t>
  </si>
  <si>
    <t>tels</t>
  </si>
  <si>
    <t>états</t>
  </si>
  <si>
    <t>iconiques</t>
  </si>
  <si>
    <t># text = Quant à moi, je m'étais toujours trouvé fort, parmi ceux qui pourraient survivre si on m'avait envoyé dans un camp de concentration.</t>
  </si>
  <si>
    <t>Quant</t>
  </si>
  <si>
    <t>m'</t>
  </si>
  <si>
    <t>étais</t>
  </si>
  <si>
    <t>toujours</t>
  </si>
  <si>
    <t>trouvé</t>
  </si>
  <si>
    <t>fort</t>
  </si>
  <si>
    <t>parmi</t>
  </si>
  <si>
    <t>ceux</t>
  </si>
  <si>
    <t>qui</t>
  </si>
  <si>
    <t>pourraient</t>
  </si>
  <si>
    <t>survivre</t>
  </si>
  <si>
    <t>on</t>
  </si>
  <si>
    <t>OBJ_5</t>
  </si>
  <si>
    <t>avait</t>
  </si>
  <si>
    <t>envoyé</t>
  </si>
  <si>
    <t>camp</t>
  </si>
  <si>
    <t>concentration</t>
  </si>
  <si>
    <t># text = En 1991, j'ai subi une série de pertes.</t>
  </si>
  <si>
    <t>En</t>
  </si>
  <si>
    <t>1991</t>
  </si>
  <si>
    <t>j'</t>
  </si>
  <si>
    <t>subi</t>
  </si>
  <si>
    <t>série</t>
  </si>
  <si>
    <t>pertes</t>
  </si>
  <si>
    <t># text = Ma mère est morte, une relation s'est terminée, je suis rentré aux États-Unis après quelques années à l'étranger, et je m'en suis sorti intact.</t>
  </si>
  <si>
    <t>Ma</t>
  </si>
  <si>
    <t>mère</t>
  </si>
  <si>
    <t>morte</t>
  </si>
  <si>
    <t>relation</t>
  </si>
  <si>
    <t>terminée</t>
  </si>
  <si>
    <t>suis</t>
  </si>
  <si>
    <t>rentré</t>
  </si>
  <si>
    <t>États-Unis</t>
  </si>
  <si>
    <t>après</t>
  </si>
  <si>
    <t>quelques</t>
  </si>
  <si>
    <t>années</t>
  </si>
  <si>
    <t>étranger</t>
  </si>
  <si>
    <t>sorti</t>
  </si>
  <si>
    <t>intact</t>
  </si>
  <si>
    <t># text = Mais en 1994, trois ans après, j'ai constaté que je me désintéressais de tout.</t>
  </si>
  <si>
    <t>Mais</t>
  </si>
  <si>
    <t>1994</t>
  </si>
  <si>
    <t>trois</t>
  </si>
  <si>
    <t>ans</t>
  </si>
  <si>
    <t>indef-np.quant</t>
  </si>
  <si>
    <t>constaté</t>
  </si>
  <si>
    <t>désintéressais</t>
  </si>
  <si>
    <t># text = Je ne voulais plus faire les choses que j'avais voulu faire auparavant, et je ne savais pas pourquoi.</t>
  </si>
  <si>
    <t>Je</t>
  </si>
  <si>
    <t>plus</t>
  </si>
  <si>
    <t>choses</t>
  </si>
  <si>
    <t>avais</t>
  </si>
  <si>
    <t>voulu</t>
  </si>
  <si>
    <t>auparavant</t>
  </si>
  <si>
    <t>savais</t>
  </si>
  <si>
    <t>pas</t>
  </si>
  <si>
    <t>pourquoi</t>
  </si>
  <si>
    <t># text = Le contraire de la dépression n'est pas le bonheur, mais la vitalité, et c'était la vitalité qui paraissait me fuir à ce moment-là.</t>
  </si>
  <si>
    <t>contraire</t>
  </si>
  <si>
    <t>bonheur</t>
  </si>
  <si>
    <t>mais</t>
  </si>
  <si>
    <t>vitalité</t>
  </si>
  <si>
    <t>c'</t>
  </si>
  <si>
    <t>paraissait</t>
  </si>
  <si>
    <t>fuir</t>
  </si>
  <si>
    <t>moment</t>
  </si>
  <si>
    <t>-là</t>
  </si>
  <si>
    <t># text = Tout ce que j'avais à faire me semblait trop.</t>
  </si>
  <si>
    <t>Tout</t>
  </si>
  <si>
    <t>trop</t>
  </si>
  <si>
    <t># text = Je rentrais à la maison et je voyais la lumière rouge du répondeur clignoter, et au lieu d'être ravi d'avoir des nouvelles des amis, je pensais : « Ça fait beaucoup de monde à rappeler.</t>
  </si>
  <si>
    <t>rentrais</t>
  </si>
  <si>
    <t>maison</t>
  </si>
  <si>
    <t>voyais</t>
  </si>
  <si>
    <t>lumière</t>
  </si>
  <si>
    <t>rouge</t>
  </si>
  <si>
    <t>répondeur</t>
  </si>
  <si>
    <t>clignoter</t>
  </si>
  <si>
    <t>lieu</t>
  </si>
  <si>
    <t>ravi</t>
  </si>
  <si>
    <t>nouvelles</t>
  </si>
  <si>
    <t>pensais</t>
  </si>
  <si>
    <t>:</t>
  </si>
  <si>
    <t>«</t>
  </si>
  <si>
    <t>Ça</t>
  </si>
  <si>
    <t>fait</t>
  </si>
  <si>
    <t>beaucoup</t>
  </si>
  <si>
    <t>rappeler</t>
  </si>
  <si>
    <t># text = » Ou je décidais de prendre mon déjeuner, sauf qu'après, je pensais qu'il me faudrait sortir la nourriture, la mettre sur une assiette, la découper, la mastiquer, l'avaler, et c'était pour moi un supplice.</t>
  </si>
  <si>
    <t>Ou</t>
  </si>
  <si>
    <t>décidais</t>
  </si>
  <si>
    <t>déjeuner</t>
  </si>
  <si>
    <t>sauf</t>
  </si>
  <si>
    <t>faudrait</t>
  </si>
  <si>
    <t>nourriture</t>
  </si>
  <si>
    <t>OBJ_6</t>
  </si>
  <si>
    <t>sur</t>
  </si>
  <si>
    <t>assiette</t>
  </si>
  <si>
    <t>découper</t>
  </si>
  <si>
    <t>mastiquer</t>
  </si>
  <si>
    <t>avaler</t>
  </si>
  <si>
    <t>pour</t>
  </si>
  <si>
    <t>supplice</t>
  </si>
  <si>
    <t># text = Une chose qu'on néglige souvent lorsqu'on discute de la dépression, c'est qu'on est conscient que c'est ridicule.</t>
  </si>
  <si>
    <t>Une</t>
  </si>
  <si>
    <t>chose</t>
  </si>
  <si>
    <t>néglige</t>
  </si>
  <si>
    <t>souvent</t>
  </si>
  <si>
    <t>lorsqu'</t>
  </si>
  <si>
    <t>discute</t>
  </si>
  <si>
    <t>conscient</t>
  </si>
  <si>
    <t>ridicule</t>
  </si>
  <si>
    <t># text = On est conscient que c'est ridicule, alors qu'on l'éprouve.</t>
  </si>
  <si>
    <t>On</t>
  </si>
  <si>
    <t>éprouve</t>
  </si>
  <si>
    <t># text = On est conscient que la plupart des gens arrivent à écouter leurs messages et à déjeuner et à s'arranger pour prendre une douche et à quitter la maison et ce n'est pas si terrible, mais pourtant, on est sous son emprise et on est incapable de trouver une façon de la contourner.</t>
  </si>
  <si>
    <t>plupart</t>
  </si>
  <si>
    <t>arrivent</t>
  </si>
  <si>
    <t>écouter</t>
  </si>
  <si>
    <t>leurs</t>
  </si>
  <si>
    <t>messages</t>
  </si>
  <si>
    <t>arranger</t>
  </si>
  <si>
    <t>douche</t>
  </si>
  <si>
    <t>quitter</t>
  </si>
  <si>
    <t>terrible</t>
  </si>
  <si>
    <t>pourtant</t>
  </si>
  <si>
    <t>sous</t>
  </si>
  <si>
    <t>son</t>
  </si>
  <si>
    <t>emprise</t>
  </si>
  <si>
    <t>incapable</t>
  </si>
  <si>
    <t>façon</t>
  </si>
  <si>
    <t>contourner</t>
  </si>
  <si>
    <t># text = Et alors je me suis rendu compte que je faisais moins de choses, que je pensais moins, que je ressentais moins de choses.</t>
  </si>
  <si>
    <t>rendu</t>
  </si>
  <si>
    <t>compte</t>
  </si>
  <si>
    <t>faisais</t>
  </si>
  <si>
    <t>moins</t>
  </si>
  <si>
    <t>ressentais</t>
  </si>
  <si>
    <t># text = C'était une sorte de vide.</t>
  </si>
  <si>
    <t>C'</t>
  </si>
  <si>
    <t>sorte</t>
  </si>
  <si>
    <t>vide</t>
  </si>
  <si>
    <t># text = Et puis l'angoisse s'est installée.</t>
  </si>
  <si>
    <t>angoisse</t>
  </si>
  <si>
    <t>installée</t>
  </si>
  <si>
    <t># text = Si on me disait que je devais être en dépression durant tout le mois suivant, je répondrais : « Tant que je sais que ça sera fini en novembre, je peux y arriver.</t>
  </si>
  <si>
    <t>Si</t>
  </si>
  <si>
    <t>disait</t>
  </si>
  <si>
    <t>devais</t>
  </si>
  <si>
    <t>durant</t>
  </si>
  <si>
    <t>mois</t>
  </si>
  <si>
    <t>suivant</t>
  </si>
  <si>
    <t>répondrais</t>
  </si>
  <si>
    <t>Tant</t>
  </si>
  <si>
    <t>sais</t>
  </si>
  <si>
    <t>ça</t>
  </si>
  <si>
    <t>sera</t>
  </si>
  <si>
    <t>fini</t>
  </si>
  <si>
    <t>novembre</t>
  </si>
  <si>
    <t>peux</t>
  </si>
  <si>
    <t>y</t>
  </si>
  <si>
    <t># text = » Mais si on me disait : « Durant le mois suivant, tu dois traverser une période d'angoisse aiguë, » je me taillerais les veines plutôt que de la subir.</t>
  </si>
  <si>
    <t>Durant</t>
  </si>
  <si>
    <t>tu</t>
  </si>
  <si>
    <t>dois</t>
  </si>
  <si>
    <t>période</t>
  </si>
  <si>
    <t>aiguë</t>
  </si>
  <si>
    <t>taillerais</t>
  </si>
  <si>
    <t>veines</t>
  </si>
  <si>
    <t>plutôt</t>
  </si>
  <si>
    <t># text = C'était toujours le même sentiment comme ce qu'on ressent quand on marche et qu'on trébuche ou qu'on glisse, et la terre fonce vers soi, mais plutôt que de durer normalement à peine une seconde, ça a duré six mois.</t>
  </si>
  <si>
    <t>même</t>
  </si>
  <si>
    <t>sentiment</t>
  </si>
  <si>
    <t>ressent</t>
  </si>
  <si>
    <t>marche</t>
  </si>
  <si>
    <t>trébuche</t>
  </si>
  <si>
    <t>ou</t>
  </si>
  <si>
    <t>SBJ_6</t>
  </si>
  <si>
    <t>glisse</t>
  </si>
  <si>
    <t>terre</t>
  </si>
  <si>
    <t>fonce</t>
  </si>
  <si>
    <t>vers</t>
  </si>
  <si>
    <t>soi</t>
  </si>
  <si>
    <t>other_7</t>
  </si>
  <si>
    <t>durer</t>
  </si>
  <si>
    <t>normalement</t>
  </si>
  <si>
    <t>peine</t>
  </si>
  <si>
    <t>other_9</t>
  </si>
  <si>
    <t>seconde</t>
  </si>
  <si>
    <t>a</t>
  </si>
  <si>
    <t>duré</t>
  </si>
  <si>
    <t>six</t>
  </si>
  <si>
    <t># text = C'est la sensation d'avoir peur tout le temps sans même savoir de quoi on a peur.</t>
  </si>
  <si>
    <t>sensation</t>
  </si>
  <si>
    <t>peur</t>
  </si>
  <si>
    <t>temps</t>
  </si>
  <si>
    <t>quoi</t>
  </si>
  <si>
    <t># text = Et c'était à ce moment-là que j'ai commencé à croire que vivre faisait trop mal, et que la seule raison de ne pas se suicider, c'était afin d'éviter aux autres de souffrir.</t>
  </si>
  <si>
    <t>commencé</t>
  </si>
  <si>
    <t>vivre</t>
  </si>
  <si>
    <t>faisait</t>
  </si>
  <si>
    <t>mal</t>
  </si>
  <si>
    <t>seule</t>
  </si>
  <si>
    <t>suicider</t>
  </si>
  <si>
    <t>afin</t>
  </si>
  <si>
    <t>éviter</t>
  </si>
  <si>
    <t>autres</t>
  </si>
  <si>
    <t>souffrir</t>
  </si>
  <si>
    <t># text = Finalement un jour, je me suis réveillé et j'ai cru avoir eu une attaque cérébrale, car j'étais étendu sur le lit, immobile, je regardais le téléphone, et j'ai pensé : « Il y a quelque chose qui cloche, je devrais appeler quelqu'un.</t>
  </si>
  <si>
    <t>Finalement</t>
  </si>
  <si>
    <t>jour</t>
  </si>
  <si>
    <t>réveillé</t>
  </si>
  <si>
    <t>cru</t>
  </si>
  <si>
    <t>eu</t>
  </si>
  <si>
    <t>attaque</t>
  </si>
  <si>
    <t>cérébrale</t>
  </si>
  <si>
    <t>car</t>
  </si>
  <si>
    <t>étendu</t>
  </si>
  <si>
    <t>lit</t>
  </si>
  <si>
    <t>immobile</t>
  </si>
  <si>
    <t>regardais</t>
  </si>
  <si>
    <t>téléphone</t>
  </si>
  <si>
    <t>pensé</t>
  </si>
  <si>
    <t>Il</t>
  </si>
  <si>
    <t>quelque</t>
  </si>
  <si>
    <t>devrais</t>
  </si>
  <si>
    <t>appeler</t>
  </si>
  <si>
    <t>quelqu'un</t>
  </si>
  <si>
    <t># text = » mais je n'arrivais pas à tendre le bras pour attraper le téléphone et composer un numéro.</t>
  </si>
  <si>
    <t>arrivais</t>
  </si>
  <si>
    <t>tendre</t>
  </si>
  <si>
    <t>bras</t>
  </si>
  <si>
    <t>attraper</t>
  </si>
  <si>
    <t>composer</t>
  </si>
  <si>
    <t>numéro</t>
  </si>
  <si>
    <t># text = Puis finalement, au bout de quatre heures passées allongé à le fixer, le téléphone a sonné, j'ai réussi à le décrocher d'une manière ou d'une autre, et c'était mon père, et j'ai dit : « J'ai de graves problèmes.</t>
  </si>
  <si>
    <t>Puis</t>
  </si>
  <si>
    <t>finalement</t>
  </si>
  <si>
    <t>bout</t>
  </si>
  <si>
    <t>quatre</t>
  </si>
  <si>
    <t>heures</t>
  </si>
  <si>
    <t>passées</t>
  </si>
  <si>
    <t>allongé</t>
  </si>
  <si>
    <t>fixer</t>
  </si>
  <si>
    <t>sonné</t>
  </si>
  <si>
    <t>réussi</t>
  </si>
  <si>
    <t>décrocher</t>
  </si>
  <si>
    <t>manière</t>
  </si>
  <si>
    <t>autre</t>
  </si>
  <si>
    <t>père</t>
  </si>
  <si>
    <t>dit</t>
  </si>
  <si>
    <t>graves</t>
  </si>
  <si>
    <t>problèmes</t>
  </si>
  <si>
    <t># text = Il faut qu'on fasse quelque chose.</t>
  </si>
  <si>
    <t>faut</t>
  </si>
  <si>
    <t>fasse</t>
  </si>
  <si>
    <t># text = » Le lendemain, j'ai commencé à prendre des médicaments et une thérapie.</t>
  </si>
  <si>
    <t>lendemain</t>
  </si>
  <si>
    <t>médicaments</t>
  </si>
  <si>
    <t>thérapie</t>
  </si>
  <si>
    <t># text = Et j'ai également commencé à considérer cette terrible question : Si je ne suis pas la solide personne qui aurait été capable de survivre dans un camp de concentration, alors qui suis-je ?</t>
  </si>
  <si>
    <t>également</t>
  </si>
  <si>
    <t>considérer</t>
  </si>
  <si>
    <t>cette</t>
  </si>
  <si>
    <t>question</t>
  </si>
  <si>
    <t>solide</t>
  </si>
  <si>
    <t>aurait</t>
  </si>
  <si>
    <t>été</t>
  </si>
  <si>
    <t>capable</t>
  </si>
  <si>
    <t>-je</t>
  </si>
  <si>
    <t>?</t>
  </si>
  <si>
    <t># text = Et si je dois prendre des médicaments, est-ce qu'ils vont me permettre de redevenir moi-même, ou feront-ils de moi quelqu'un d'autre ?</t>
  </si>
  <si>
    <t>-ce</t>
  </si>
  <si>
    <t>vont</t>
  </si>
  <si>
    <t>permettre</t>
  </si>
  <si>
    <t>redevenir</t>
  </si>
  <si>
    <t>moi-même</t>
  </si>
  <si>
    <t>feront</t>
  </si>
  <si>
    <t>-ils</t>
  </si>
  <si>
    <t># text = Et que vais-je ressentir s'ils font de moi Quand me suis engagé dans la lutte, j'avais deux avantanges.</t>
  </si>
  <si>
    <t>vais</t>
  </si>
  <si>
    <t>font</t>
  </si>
  <si>
    <t>Quand</t>
  </si>
  <si>
    <t>engagé</t>
  </si>
  <si>
    <t>lutte</t>
  </si>
  <si>
    <t>deux</t>
  </si>
  <si>
    <t>avantanges</t>
  </si>
  <si>
    <t># text = Le premier, c'était que je savais, objectivement parlant, que je menais une vie agréable, et que si je pouvais m'en tirer, il me resterait toujours quelque chose qui valait la peine de vivre.</t>
  </si>
  <si>
    <t>premier</t>
  </si>
  <si>
    <t>objectivement</t>
  </si>
  <si>
    <t>parlant</t>
  </si>
  <si>
    <t>menais</t>
  </si>
  <si>
    <t>vie</t>
  </si>
  <si>
    <t>agréable</t>
  </si>
  <si>
    <t>pouvais</t>
  </si>
  <si>
    <t>tirer</t>
  </si>
  <si>
    <t>resterait</t>
  </si>
  <si>
    <t>valait</t>
  </si>
  <si>
    <t># text = Et l'autre, c'est que j'avais accès au bon traitement.</t>
  </si>
  <si>
    <t>accès</t>
  </si>
  <si>
    <t>bon</t>
  </si>
  <si>
    <t>traitement</t>
  </si>
  <si>
    <t># text = Cependant, j'allais mieux et je rechutais, j'allais mieux et je rechutais, jusqu'à ce que je comprenne que je passerais le reste de ma vie et à suivre une thérapie.</t>
  </si>
  <si>
    <t>Cependant</t>
  </si>
  <si>
    <t>allais</t>
  </si>
  <si>
    <t>mieux</t>
  </si>
  <si>
    <t>rechutais</t>
  </si>
  <si>
    <t>comprenne</t>
  </si>
  <si>
    <t>passerais</t>
  </si>
  <si>
    <t>reste</t>
  </si>
  <si>
    <t>suivre</t>
  </si>
  <si>
    <t># text = Et je me suis dit : « Mais, est-ce un problème chimique ou psychologique ?</t>
  </si>
  <si>
    <t>problème</t>
  </si>
  <si>
    <t>chimique</t>
  </si>
  <si>
    <t>psychologique</t>
  </si>
  <si>
    <t># text = Et faut-il un traitement chimique, ou psychologique ?</t>
  </si>
  <si>
    <t>-il</t>
  </si>
  <si>
    <t># text = »</t>
  </si>
  <si>
    <t># text = Et je n'arrivais pas à comprendre.</t>
  </si>
  <si>
    <t># text = Et puis j'ai compris qu'en fait, on n'avait pas assez avancé dans ces deux domaines pour expliquer totalement les choses.</t>
  </si>
  <si>
    <t>compris</t>
  </si>
  <si>
    <t>assez</t>
  </si>
  <si>
    <t>avancé</t>
  </si>
  <si>
    <t>domaines</t>
  </si>
  <si>
    <t>expliquer</t>
  </si>
  <si>
    <t>totalement</t>
  </si>
  <si>
    <t># text = Le remède chimique et psychologique avaient tous les deux un rôle à jouer, et j'ai aussi compris que la dépression est une chose qui est si ancrée au fond de soi qu'elle ne peut être séparée de notre caractère ou personnalité.</t>
  </si>
  <si>
    <t>remède</t>
  </si>
  <si>
    <t>avaient</t>
  </si>
  <si>
    <t>rôle</t>
  </si>
  <si>
    <t>jouer</t>
  </si>
  <si>
    <t>aussi</t>
  </si>
  <si>
    <t>ancrée</t>
  </si>
  <si>
    <t>fond</t>
  </si>
  <si>
    <t>elle</t>
  </si>
  <si>
    <t>peut</t>
  </si>
  <si>
    <t>séparée</t>
  </si>
  <si>
    <t>notre</t>
  </si>
  <si>
    <t>caractère</t>
  </si>
  <si>
    <t>personnalité</t>
  </si>
  <si>
    <t># text = Je dois avouer que les traitements actuels de la dépression sont consternants.</t>
  </si>
  <si>
    <t>avouer</t>
  </si>
  <si>
    <t>traitements</t>
  </si>
  <si>
    <t>actuels</t>
  </si>
  <si>
    <t>sont</t>
  </si>
  <si>
    <t>consternants</t>
  </si>
  <si>
    <t># text = Ils ne sont pas très efficaces.</t>
  </si>
  <si>
    <t>Ils</t>
  </si>
  <si>
    <t>très</t>
  </si>
  <si>
    <t>efficaces</t>
  </si>
  <si>
    <t># text = Ils sont très coûteux.</t>
  </si>
  <si>
    <t>coûteux</t>
  </si>
  <si>
    <t># text = Ils s'accompagnent d'innombrables effets secondaires.</t>
  </si>
  <si>
    <t>accompagnent</t>
  </si>
  <si>
    <t>innombrables</t>
  </si>
  <si>
    <t>effets</t>
  </si>
  <si>
    <t>secondaires</t>
  </si>
  <si>
    <t># text = C'est vraiment une catastrophe.</t>
  </si>
  <si>
    <t>vraiment</t>
  </si>
  <si>
    <t>catastrophe</t>
  </si>
  <si>
    <t># text = Mais je suis tellement reconnaissant de vivre de nos jours plutôt qu'il y a 50 ans, quand on ne pouvait presque rien y faire.</t>
  </si>
  <si>
    <t>tellement</t>
  </si>
  <si>
    <t>reconnaissant</t>
  </si>
  <si>
    <t>nos</t>
  </si>
  <si>
    <t>jours</t>
  </si>
  <si>
    <t>pouvait</t>
  </si>
  <si>
    <t>presque</t>
  </si>
  <si>
    <t>rien</t>
  </si>
  <si>
    <t># text = J'espère que dans 50 ans, les gens entendront parler des traitements que j'ai reçus et qu'ils seront choqués d'apprendre que l'on subissait une science si primitive.</t>
  </si>
  <si>
    <t>espère</t>
  </si>
  <si>
    <t>entendront</t>
  </si>
  <si>
    <t>reçus</t>
  </si>
  <si>
    <t>seront</t>
  </si>
  <si>
    <t>choqués</t>
  </si>
  <si>
    <t>subissait</t>
  </si>
  <si>
    <t>science</t>
  </si>
  <si>
    <t>primitive</t>
  </si>
  <si>
    <t># text = La dépression est un défaut de l'amour.</t>
  </si>
  <si>
    <t>La</t>
  </si>
  <si>
    <t>défaut</t>
  </si>
  <si>
    <t>amour</t>
  </si>
  <si>
    <t># text = Si on est marié et si on pense : « Eh bien, si ma femme meurt, j'en trouverai une autre.</t>
  </si>
  <si>
    <t>marié</t>
  </si>
  <si>
    <t>pense</t>
  </si>
  <si>
    <t>Eh</t>
  </si>
  <si>
    <t>bien</t>
  </si>
  <si>
    <t>femme</t>
  </si>
  <si>
    <t>meurt</t>
  </si>
  <si>
    <t>trouverai</t>
  </si>
  <si>
    <t># text = » ce ne serait pas de l'amour tel qu'on le connaît.</t>
  </si>
  <si>
    <t>serait</t>
  </si>
  <si>
    <t>tel</t>
  </si>
  <si>
    <t>connaît</t>
  </si>
  <si>
    <t># text = Il n'y a pas d'amour sans l'anticipation de la perte, et ce spectre du désespoir peut être le moteur de l'intimité.</t>
  </si>
  <si>
    <t>anticipation</t>
  </si>
  <si>
    <t>perte</t>
  </si>
  <si>
    <t>spectre</t>
  </si>
  <si>
    <t>désespoir</t>
  </si>
  <si>
    <t>moteur</t>
  </si>
  <si>
    <t>intimité</t>
  </si>
  <si>
    <t># text = Il y a trois choses qu'on a tendance à confondre : la dépression, le chagrin, et la tristesse.</t>
  </si>
  <si>
    <t>tendance</t>
  </si>
  <si>
    <t>confondre</t>
  </si>
  <si>
    <t>chagrin</t>
  </si>
  <si>
    <t>tristesse</t>
  </si>
  <si>
    <t># text = Le chagrin est explicitement réactionnel.</t>
  </si>
  <si>
    <t>explicitement</t>
  </si>
  <si>
    <t>réactionnel</t>
  </si>
  <si>
    <t># text = Si on a subi une perte, et on se sent très malheureux, et six mois après, on se sent toujours profondément triste, mais on arrive mieux à fonctionner alors il s'agit probablement de chagrin, et il finira probablement par se résorber dans une certaine mesure.</t>
  </si>
  <si>
    <t>sent</t>
  </si>
  <si>
    <t>malheureux</t>
  </si>
  <si>
    <t>profondément</t>
  </si>
  <si>
    <t>triste</t>
  </si>
  <si>
    <t>arrive</t>
  </si>
  <si>
    <t>fonctionner</t>
  </si>
  <si>
    <t>agit</t>
  </si>
  <si>
    <t>probablement</t>
  </si>
  <si>
    <t>finira</t>
  </si>
  <si>
    <t>résorber</t>
  </si>
  <si>
    <t>certaine</t>
  </si>
  <si>
    <t>mesure</t>
  </si>
  <si>
    <t># text = Si on subit une énorme perte, et on se sent très mal, et au bout de six mois, on n'arrive toujours pas à fonctionner, d'une dépression déclenchée par des circonstances catastrophiques.</t>
  </si>
  <si>
    <t>subit</t>
  </si>
  <si>
    <t>énorme</t>
  </si>
  <si>
    <t>déclenchée</t>
  </si>
  <si>
    <t>circonstances</t>
  </si>
  <si>
    <t>catastrophiques</t>
  </si>
  <si>
    <t># text = La trajectoire nous en parle longuement.</t>
  </si>
  <si>
    <t>trajectoire</t>
  </si>
  <si>
    <t>nous</t>
  </si>
  <si>
    <t>parle</t>
  </si>
  <si>
    <t>longuement</t>
  </si>
  <si>
    <t># text = On a tendance à croire que la dépression n'est que de la tristesse.</t>
  </si>
  <si>
    <t># text = Il s'agit de bien, bien trop de tristesse, bien trop de chagrin, et tout ça pour des raisons trop légères.</t>
  </si>
  <si>
    <t>raisons</t>
  </si>
  <si>
    <t>légères</t>
  </si>
  <si>
    <t># text = Quand j'ai pris sur moi pour comprendre la dépression, et pour interroger des gens qui l'avaient vécue, j'ai constaté que certains semblaient présenter, au moins superficiellement, ce qui paraissait être une dépression relativement légère, mais ils en étaient malgré tout complètement paralysés.</t>
  </si>
  <si>
    <t>pris</t>
  </si>
  <si>
    <t>vécue</t>
  </si>
  <si>
    <t>certains</t>
  </si>
  <si>
    <t>semblaient</t>
  </si>
  <si>
    <t>superficiellement</t>
  </si>
  <si>
    <t>relativement</t>
  </si>
  <si>
    <t>légère</t>
  </si>
  <si>
    <t>malgré</t>
  </si>
  <si>
    <t>complètement</t>
  </si>
  <si>
    <t>paralysés</t>
  </si>
  <si>
    <t># text = Et d'autres présentaient ce qui semblait être, selon leurs descriptions, une dépression très grave mais ils menaient néanmoins de bonnes vies dans les intervalles entre les périodes de dépression.</t>
  </si>
  <si>
    <t>présentaient</t>
  </si>
  <si>
    <t>selon</t>
  </si>
  <si>
    <t>descriptions</t>
  </si>
  <si>
    <t>grave</t>
  </si>
  <si>
    <t>menaient</t>
  </si>
  <si>
    <t>néanmoins</t>
  </si>
  <si>
    <t>bonnes</t>
  </si>
  <si>
    <t>vies</t>
  </si>
  <si>
    <t>intervalles</t>
  </si>
  <si>
    <t>entre</t>
  </si>
  <si>
    <t>périodes</t>
  </si>
  <si>
    <t># text = Alors j'ai entrepris de chercher ce qui rend certaines personnes plus résistantes que d'autres.</t>
  </si>
  <si>
    <t>Alors</t>
  </si>
  <si>
    <t>entrepris</t>
  </si>
  <si>
    <t>chercher</t>
  </si>
  <si>
    <t>rend</t>
  </si>
  <si>
    <t>certaines</t>
  </si>
  <si>
    <t>personnes</t>
  </si>
  <si>
    <t>résistantes</t>
  </si>
  <si>
    <t># text = Quels sont les mécanismes qui nous permettent de survivre ?</t>
  </si>
  <si>
    <t>Quels</t>
  </si>
  <si>
    <t>mécanismes</t>
  </si>
  <si>
    <t>permettent</t>
  </si>
  <si>
    <t># text = Alors j'ai interrogé des personnes, les unes après les autres, toutes souffrant d'une dépression.</t>
  </si>
  <si>
    <t>interrogé</t>
  </si>
  <si>
    <t>unes</t>
  </si>
  <si>
    <t>toutes</t>
  </si>
  <si>
    <t>souffrant</t>
  </si>
  <si>
    <t># text = L'une des premières personnes que j'ai interrogées a comparé la dépression à une manière plus lente d'être mort, et ça m'était rassurant d'entendre ça dès le début car ça m'a rappelé que cette façon plus lente d'être mort peut mener à la mort pour de vrai, et que c'est très grave.</t>
  </si>
  <si>
    <t>L'</t>
  </si>
  <si>
    <t>premières</t>
  </si>
  <si>
    <t>interrogées</t>
  </si>
  <si>
    <t>comparé</t>
  </si>
  <si>
    <t>lente</t>
  </si>
  <si>
    <t>mort</t>
  </si>
  <si>
    <t>rassurant</t>
  </si>
  <si>
    <t>dès</t>
  </si>
  <si>
    <t>début</t>
  </si>
  <si>
    <t>rappelé</t>
  </si>
  <si>
    <t>mener</t>
  </si>
  <si>
    <t>vrai</t>
  </si>
  <si>
    <t># text = Elle représente le handicap le plus répandu au monde, et des gens en meurent tous les jours.</t>
  </si>
  <si>
    <t>Elle</t>
  </si>
  <si>
    <t>représente</t>
  </si>
  <si>
    <t>handicap</t>
  </si>
  <si>
    <t>répandu</t>
  </si>
  <si>
    <t>meurent</t>
  </si>
  <si>
    <t># text = Une personne à qui j'ai parlé lorsque j'essayais de comprendre tout ceci est une amie chère que je connaissais depuis très longtemps, et qui avait connu un épisode psychotique en première année d'université, avant de s'effondrer dans une sévère dépression.</t>
  </si>
  <si>
    <t>parlé</t>
  </si>
  <si>
    <t>lorsque</t>
  </si>
  <si>
    <t>essayais</t>
  </si>
  <si>
    <t>ceci</t>
  </si>
  <si>
    <t>amie</t>
  </si>
  <si>
    <t>chère</t>
  </si>
  <si>
    <t>connaissais</t>
  </si>
  <si>
    <t>depuis</t>
  </si>
  <si>
    <t>longtemps</t>
  </si>
  <si>
    <t>connu</t>
  </si>
  <si>
    <t>épisode</t>
  </si>
  <si>
    <t>psychotique</t>
  </si>
  <si>
    <t>première</t>
  </si>
  <si>
    <t>année</t>
  </si>
  <si>
    <t>université</t>
  </si>
  <si>
    <t>avant</t>
  </si>
  <si>
    <t>effondrer</t>
  </si>
  <si>
    <t>sévère</t>
  </si>
  <si>
    <t># text = Elle souffrait de trouble bipolaire, ou de psychose maniaco-dépressive comme on l'appelait à l'époque.</t>
  </si>
  <si>
    <t>souffrait</t>
  </si>
  <si>
    <t>trouble</t>
  </si>
  <si>
    <t>bipolaire</t>
  </si>
  <si>
    <t>psychose</t>
  </si>
  <si>
    <t>maniaco-dépressive</t>
  </si>
  <si>
    <t>appelait</t>
  </si>
  <si>
    <t>époque</t>
  </si>
  <si>
    <t># text = Elle allait très bien pendant plusieurs années, grâce au lithium, et puis finalement on a arrêté de lui prescrire du lithium pour voir comment elle réagirait sans, et elle a connu un autre épisode psychotique, puis elle a plongé dans la pire dépression que j'aie jamais vue pendant laquelle elle est restée chez ses parents, dans un état plus ou moins catatonique, pratiquement sans bouger, jour après jour après jour.</t>
  </si>
  <si>
    <t>pendant</t>
  </si>
  <si>
    <t>plusieurs</t>
  </si>
  <si>
    <t>grâce</t>
  </si>
  <si>
    <t>lithium</t>
  </si>
  <si>
    <t>arrêté</t>
  </si>
  <si>
    <t>lui</t>
  </si>
  <si>
    <t>prescrire</t>
  </si>
  <si>
    <t>voir</t>
  </si>
  <si>
    <t>comment</t>
  </si>
  <si>
    <t>réagirait</t>
  </si>
  <si>
    <t>plongé</t>
  </si>
  <si>
    <t>pire</t>
  </si>
  <si>
    <t>aie</t>
  </si>
  <si>
    <t>jamais</t>
  </si>
  <si>
    <t>vue</t>
  </si>
  <si>
    <t>laquelle</t>
  </si>
  <si>
    <t>restée</t>
  </si>
  <si>
    <t>chez</t>
  </si>
  <si>
    <t>ses</t>
  </si>
  <si>
    <t>parents</t>
  </si>
  <si>
    <t>état</t>
  </si>
  <si>
    <t>catatonique</t>
  </si>
  <si>
    <t>pratiquement</t>
  </si>
  <si>
    <t>bouger</t>
  </si>
  <si>
    <t># text = Et quand je l'ai interrogée des années après sur cette expérience -- elle est poète et psychothérapeute et s'appelle Maggie Robbins -- dans cet entretien, elle a dit : « Je chantais 'Where Have All the Flowers Gone' en boucle, pour m'occuper l'esprit.</t>
  </si>
  <si>
    <t>interrogée</t>
  </si>
  <si>
    <t>expérience</t>
  </si>
  <si>
    <t>poète</t>
  </si>
  <si>
    <t>psychothérapeute</t>
  </si>
  <si>
    <t>appelle</t>
  </si>
  <si>
    <t>Maggie</t>
  </si>
  <si>
    <t>Robbins</t>
  </si>
  <si>
    <t>cet</t>
  </si>
  <si>
    <t>entretien</t>
  </si>
  <si>
    <t>chantais</t>
  </si>
  <si>
    <t>'</t>
  </si>
  <si>
    <t>Where</t>
  </si>
  <si>
    <t>Have</t>
  </si>
  <si>
    <t>All</t>
  </si>
  <si>
    <t>the</t>
  </si>
  <si>
    <t>Flowers</t>
  </si>
  <si>
    <t>Gone</t>
  </si>
  <si>
    <t>boucle</t>
  </si>
  <si>
    <t># text = Je chantais pour balayer ce que mon esprit disait : ' Tu n'es rien.</t>
  </si>
  <si>
    <t>balayer</t>
  </si>
  <si>
    <t>Tu</t>
  </si>
  <si>
    <t>es</t>
  </si>
  <si>
    <t># text = Tu n'es personne.</t>
  </si>
  <si>
    <t># text = Tu ne mérites même pas de vivre.'</t>
  </si>
  <si>
    <t>mérites</t>
  </si>
  <si>
    <t>.'</t>
  </si>
  <si>
    <t># text = Et c'était à ce moment là que j'ai vraiment commencé à songer à me tuer.</t>
  </si>
  <si>
    <t>songer</t>
  </si>
  <si>
    <t>tuer</t>
  </si>
  <si>
    <t># text = » Quand on est déprimé, on ne sait pas qu'on porte un voile gris et qu'on voit le monde à travers le brouillard provoqué par la mauvaise humeur.</t>
  </si>
  <si>
    <t>déprimé</t>
  </si>
  <si>
    <t>sait</t>
  </si>
  <si>
    <t>porte</t>
  </si>
  <si>
    <t>voile</t>
  </si>
  <si>
    <t>gris</t>
  </si>
  <si>
    <t>voit</t>
  </si>
  <si>
    <t>brouillard</t>
  </si>
  <si>
    <t>provoqué</t>
  </si>
  <si>
    <t>mauvaise</t>
  </si>
  <si>
    <t>humeur</t>
  </si>
  <si>
    <t># text = On croit que le voile a été enlevé, le voile du bonheur, et que maintenant on voit clairement.</t>
  </si>
  <si>
    <t>croit</t>
  </si>
  <si>
    <t>enlevé</t>
  </si>
  <si>
    <t>maintenant</t>
  </si>
  <si>
    <t>clairement</t>
  </si>
  <si>
    <t># text = Il est plus facile d'aider des schizophrènes qui s'imaginent une chose inconnue au fond d'eux-même qui doit se faire exorciser, mais la difficulté chez les dépressifs, c'est qu'on croit percevoir la vérité.</t>
  </si>
  <si>
    <t>facile</t>
  </si>
  <si>
    <t>aider</t>
  </si>
  <si>
    <t>schizophrènes</t>
  </si>
  <si>
    <t>imaginent</t>
  </si>
  <si>
    <t>inconnue</t>
  </si>
  <si>
    <t>eux-même</t>
  </si>
  <si>
    <t>doit</t>
  </si>
  <si>
    <t>exorciser</t>
  </si>
  <si>
    <t>difficulté</t>
  </si>
  <si>
    <t>dépressifs</t>
  </si>
  <si>
    <t>percevoir</t>
  </si>
  <si>
    <t>vérité</t>
  </si>
  <si>
    <t># text = Mais la vérité ment.</t>
  </si>
  <si>
    <t>ment</t>
  </si>
  <si>
    <t># text = Je suis devenu obsédé par cette phrase : « Mais la vérité ment.</t>
  </si>
  <si>
    <t>devenu</t>
  </si>
  <si>
    <t>obsédé</t>
  </si>
  <si>
    <t>phrase</t>
  </si>
  <si>
    <t># text = » Et j'ai découvert, en parlant à des dépressifs, qu'ils entretiennent de nombreux délires.</t>
  </si>
  <si>
    <t>découvert</t>
  </si>
  <si>
    <t>entretiennent</t>
  </si>
  <si>
    <t>nombreux</t>
  </si>
  <si>
    <t>délires</t>
  </si>
  <si>
    <t># text = Les gens disent : « Personne ne m'aime.</t>
  </si>
  <si>
    <t>Les</t>
  </si>
  <si>
    <t>disent</t>
  </si>
  <si>
    <t>Personne</t>
  </si>
  <si>
    <t>aime</t>
  </si>
  <si>
    <t># text = » Et on leur dit : « Moi, je t'aime, ta femme t'aime, ta mère t'aime.</t>
  </si>
  <si>
    <t>leur</t>
  </si>
  <si>
    <t>Moi</t>
  </si>
  <si>
    <t>t'</t>
  </si>
  <si>
    <t>ta</t>
  </si>
  <si>
    <t># text = » Cette réponse n'est pas dure à trouver, pour la plupart des gens, au moins.</t>
  </si>
  <si>
    <t>Cette</t>
  </si>
  <si>
    <t>réponse</t>
  </si>
  <si>
    <t>dure</t>
  </si>
  <si>
    <t># text = Mais les dépressifs disent aussi : « Quoi qu'on fasse, on va tout finir par mourir.</t>
  </si>
  <si>
    <t>Quoi</t>
  </si>
  <si>
    <t>pron.pint</t>
  </si>
  <si>
    <t>va</t>
  </si>
  <si>
    <t>finir</t>
  </si>
  <si>
    <t># text = » Ou ils disent : « Il ne peut pas y avoir de vraie communion entre deux êtres humains.</t>
  </si>
  <si>
    <t>vraie</t>
  </si>
  <si>
    <t>communion</t>
  </si>
  <si>
    <t>êtres</t>
  </si>
  <si>
    <t>humains</t>
  </si>
  <si>
    <t># text = Chacun est enfermé dans son propre corps.</t>
  </si>
  <si>
    <t>Chacun</t>
  </si>
  <si>
    <t>enfermé</t>
  </si>
  <si>
    <t>propre</t>
  </si>
  <si>
    <t>corps</t>
  </si>
  <si>
    <t># text = » Ce à quoi il faut répondre : « Oui, en effet, mais là maintenant il vaut mieux se concentrer sur ce qu'on va prendre au petit déjeuner.</t>
  </si>
  <si>
    <t>Ce</t>
  </si>
  <si>
    <t>Oui</t>
  </si>
  <si>
    <t>effet</t>
  </si>
  <si>
    <t>vaut</t>
  </si>
  <si>
    <t>concentrer</t>
  </si>
  <si>
    <t>petit</t>
  </si>
  <si>
    <t># text = » (Rires) Souvent, ce qu'ils expriment, ce n'est pas la maladie, mais la perspicacité, et on arrive à penser que l'extraordinaire, c'est que la plupart d'entre nous sont au courant de ces questions existentielles mais elles ne nous troublent pas trop.</t>
  </si>
  <si>
    <t>(</t>
  </si>
  <si>
    <t>)</t>
  </si>
  <si>
    <t>Souvent</t>
  </si>
  <si>
    <t>expriment</t>
  </si>
  <si>
    <t>maladie</t>
  </si>
  <si>
    <t>perspicacité</t>
  </si>
  <si>
    <t>penser</t>
  </si>
  <si>
    <t>extraordinaire</t>
  </si>
  <si>
    <t>courant</t>
  </si>
  <si>
    <t>questions</t>
  </si>
  <si>
    <t>existentielles</t>
  </si>
  <si>
    <t>elles</t>
  </si>
  <si>
    <t>troublent</t>
  </si>
  <si>
    <t># text = Il y a une étude que j'ai beaucoup appréciée dans laquelle on a demandé à un groupe de dépressifs et un groupe de non-dépressifs de passer une heure à jouer un jeu vidéo, et à la fin de l'heure, on leur a demandé combien de petits monstres ils croyaient avoir tués.</t>
  </si>
  <si>
    <t>étude</t>
  </si>
  <si>
    <t>appréciée</t>
  </si>
  <si>
    <t>demandé</t>
  </si>
  <si>
    <t>groupe</t>
  </si>
  <si>
    <t>non-dépressifs</t>
  </si>
  <si>
    <t>passer</t>
  </si>
  <si>
    <t>heure</t>
  </si>
  <si>
    <t>jeu</t>
  </si>
  <si>
    <t>OBJ_8</t>
  </si>
  <si>
    <t>vidéo</t>
  </si>
  <si>
    <t>fin</t>
  </si>
  <si>
    <t>combien</t>
  </si>
  <si>
    <t>petits</t>
  </si>
  <si>
    <t>monstres</t>
  </si>
  <si>
    <t>croyaient</t>
  </si>
  <si>
    <t>tués</t>
  </si>
  <si>
    <t># text = Le groupe dépressif était typiquement très précis avec une marge de 10 %, alors que les non-dépressifs devinaient entre 15 et 20 fois plus de petits monstres -- (Rires) -- qu'ils avaient vraiment tués.</t>
  </si>
  <si>
    <t>dépressif</t>
  </si>
  <si>
    <t>typiquement</t>
  </si>
  <si>
    <t>précis</t>
  </si>
  <si>
    <t>marge</t>
  </si>
  <si>
    <t>%</t>
  </si>
  <si>
    <t>devinaient</t>
  </si>
  <si>
    <t>fois</t>
  </si>
  <si>
    <t># text = Des gens m'ont dit, quand j'ai choisi d'écrire sur la dépression qu'il doit être très dur de révéler ceci, que les gens le sachent.</t>
  </si>
  <si>
    <t>De</t>
  </si>
  <si>
    <t>ont</t>
  </si>
  <si>
    <t>choisi</t>
  </si>
  <si>
    <t>écrire</t>
  </si>
  <si>
    <t>dur</t>
  </si>
  <si>
    <t>révéler</t>
  </si>
  <si>
    <t>SBJ_8</t>
  </si>
  <si>
    <t>sachent</t>
  </si>
  <si>
    <t># text = Ils demandent : « On te parle différemment ?</t>
  </si>
  <si>
    <t>demandent</t>
  </si>
  <si>
    <t>te</t>
  </si>
  <si>
    <t># text = » Et je réponds : « Oui, on me parle différemment.</t>
  </si>
  <si>
    <t>réponds</t>
  </si>
  <si>
    <t># text = » Différemment, puisqu'ils commencent à me raconter leur expérience, ou celle de leur sœur, ou de leur meilleur ami.</t>
  </si>
  <si>
    <t>Différemment</t>
  </si>
  <si>
    <t>puisqu'</t>
  </si>
  <si>
    <t>commencent</t>
  </si>
  <si>
    <t>celle</t>
  </si>
  <si>
    <t>sœur</t>
  </si>
  <si>
    <t>meilleur</t>
  </si>
  <si>
    <t>ami</t>
  </si>
  <si>
    <t># text = Maintenant, tout est différent car je sais que la dépression, c'est le secret familial que chacun garde.</t>
  </si>
  <si>
    <t>Maintenant</t>
  </si>
  <si>
    <t>différent</t>
  </si>
  <si>
    <t>secret</t>
  </si>
  <si>
    <t>familial</t>
  </si>
  <si>
    <t>chacun</t>
  </si>
  <si>
    <t>garde</t>
  </si>
  <si>
    <t># text = Il y a quelques années, je suis allé à une conférence, et le vendredi de cette conférence de trois jours, une participante m'a pris à part, et elle m'a dit : « Je souffre d'une dépression et j'en suis un peu gênée, mais je prends ces médicaments depuis quelque temps, et je voulais savoir ce que vous en pensez ?</t>
  </si>
  <si>
    <t>allé</t>
  </si>
  <si>
    <t>conférence</t>
  </si>
  <si>
    <t>vendredi</t>
  </si>
  <si>
    <t>participante</t>
  </si>
  <si>
    <t>part</t>
  </si>
  <si>
    <t>souffre</t>
  </si>
  <si>
    <t>peu</t>
  </si>
  <si>
    <t>gênée</t>
  </si>
  <si>
    <t>prends</t>
  </si>
  <si>
    <t>vous</t>
  </si>
  <si>
    <t>pensez</t>
  </si>
  <si>
    <t># text = » Alors j'ai fait de mon mieux de lui conseiller autant que je pouvais.</t>
  </si>
  <si>
    <t>conseiller</t>
  </si>
  <si>
    <t>autant</t>
  </si>
  <si>
    <t># text = Et puis elle a dit : « Vous savez, mon mari ne pourrait jamais comprendre ceci.</t>
  </si>
  <si>
    <t>Vous</t>
  </si>
  <si>
    <t>savez</t>
  </si>
  <si>
    <t>mari</t>
  </si>
  <si>
    <t>pourrait</t>
  </si>
  <si>
    <t># text = En fait, c'est une personne, pour qui ceci n'aurait pas de sens, alors je, vous savez, cela reste entre nous.</t>
  </si>
  <si>
    <t>sens</t>
  </si>
  <si>
    <t>cela</t>
  </si>
  <si>
    <t># text = » Et j'ai répondu : « D'accord, pas de problème.</t>
  </si>
  <si>
    <t>répondu</t>
  </si>
  <si>
    <t>accord</t>
  </si>
  <si>
    <t># text = » Et le dimanche de cette même conférence, son mari m'a pris à part, et il m'a dit : « Ma femme ne me tiendrait pas en estime en tant que homme, si elle le savait, mais je souffre d'une dépression depuis quelque temps et je prends des médicaments, et je me demandais</t>
  </si>
  <si>
    <t>dimanche</t>
  </si>
  <si>
    <t>tiendrait</t>
  </si>
  <si>
    <t>estime</t>
  </si>
  <si>
    <t>tant</t>
  </si>
  <si>
    <t>homme</t>
  </si>
  <si>
    <t>savait</t>
  </si>
  <si>
    <t>demandais</t>
  </si>
  <si>
    <t># text = Ils se cachaient les mêmes medicaments, dans deux différents endroits dans la même chambre.</t>
  </si>
  <si>
    <t>cachaient</t>
  </si>
  <si>
    <t>medicaments</t>
  </si>
  <si>
    <t>différents</t>
  </si>
  <si>
    <t>endroits</t>
  </si>
  <si>
    <t>chambre</t>
  </si>
  <si>
    <t># text = Et j'ai dit que je trouvais que la communication au sein de leur mariage pourrait être à l'origine de leurs problèmes.</t>
  </si>
  <si>
    <t>trouvais</t>
  </si>
  <si>
    <t>communication</t>
  </si>
  <si>
    <t>sein</t>
  </si>
  <si>
    <t>mariage</t>
  </si>
  <si>
    <t>origine</t>
  </si>
  <si>
    <t># text = Mais j'ai aussi été frappé par l'énorme charge que représente ce secret mutuel.</t>
  </si>
  <si>
    <t>frappé</t>
  </si>
  <si>
    <t>charge</t>
  </si>
  <si>
    <t>mutuel</t>
  </si>
  <si>
    <t># text = La dépression est épuisante.</t>
  </si>
  <si>
    <t>épuisante</t>
  </si>
  <si>
    <t># text = Elle occupe tant de temps et d'énergie, et la passer sous silence, cela rend la dépression encore pire.</t>
  </si>
  <si>
    <t>occupe</t>
  </si>
  <si>
    <t>énergie</t>
  </si>
  <si>
    <t># text = Et puis j'ai commencé à réfléchir sur toutes les façons qu'ont les gens de se soulager.</t>
  </si>
  <si>
    <t>réfléchir</t>
  </si>
  <si>
    <t>façons</t>
  </si>
  <si>
    <t>soulager</t>
  </si>
  <si>
    <t># text = Au départ, j'avais été conservateur médical.</t>
  </si>
  <si>
    <t>À</t>
  </si>
  <si>
    <t>départ</t>
  </si>
  <si>
    <t>conservateur</t>
  </si>
  <si>
    <t>médical</t>
  </si>
  <si>
    <t># text = J'ai cru qu'il y avait quelques sortes de thérapie qui marchaient, c'était clair -- qu'il s'agissait du médicament, certains types de psychothérapie, peut-être la thérapie électroconvulsive, et que tout le reste était n'importe quoi.</t>
  </si>
  <si>
    <t>sortes</t>
  </si>
  <si>
    <t>marchaient</t>
  </si>
  <si>
    <t>clair</t>
  </si>
  <si>
    <t>agissait</t>
  </si>
  <si>
    <t>médicament</t>
  </si>
  <si>
    <t>types</t>
  </si>
  <si>
    <t>psychothérapie</t>
  </si>
  <si>
    <t>peut-être</t>
  </si>
  <si>
    <t>électroconvulsive</t>
  </si>
  <si>
    <t>importe</t>
  </si>
  <si>
    <t># text = Et puis, j'ai découvert une chose.</t>
  </si>
  <si>
    <t># text = Si vous avez un cancer du cerveau, et vous vous dites que vous tenir sur la tête pendant 20 minutes, chaque matin vous fait sentir mieux, cela pourrait très bien vous faire sentir mieux, mais vous avez toujours et vous allez probablement en mourir.</t>
  </si>
  <si>
    <t>avez</t>
  </si>
  <si>
    <t>cancer</t>
  </si>
  <si>
    <t>cerveau</t>
  </si>
  <si>
    <t>dites</t>
  </si>
  <si>
    <t>tenir</t>
  </si>
  <si>
    <t>minutes</t>
  </si>
  <si>
    <t>matin</t>
  </si>
  <si>
    <t>allez</t>
  </si>
  <si>
    <t># text = Mais si vous dites que vous avez une dépression, et vous tenir sur la tête pendant 20 minutes chaque jour vous fait sentir mieux, alors ça a marché, puisque la dépression est une maladie qui porte sur comment on se sent, et si vous vous sentez mieux, alors effectivement, vous n'êtes plus déprimé.</t>
  </si>
  <si>
    <t>marché</t>
  </si>
  <si>
    <t>puisque</t>
  </si>
  <si>
    <t>sentez</t>
  </si>
  <si>
    <t>effectivement</t>
  </si>
  <si>
    <t>êtes</t>
  </si>
  <si>
    <t># text = Alors je suis devenu beaucoup plus tolérant envers la panoplie d'autres traitements.</t>
  </si>
  <si>
    <t>tolérant</t>
  </si>
  <si>
    <t>envers</t>
  </si>
  <si>
    <t>panoplie</t>
  </si>
  <si>
    <t># text = Et je reçois des lettres, des centaines de lettres de gens qui m'écrivent pour me signaler ce qui marche pour eux.</t>
  </si>
  <si>
    <t>reçois</t>
  </si>
  <si>
    <t>lettres</t>
  </si>
  <si>
    <t>centaines</t>
  </si>
  <si>
    <t>écrivent</t>
  </si>
  <si>
    <t>signaler</t>
  </si>
  <si>
    <t>eux</t>
  </si>
  <si>
    <t># text = Tout à l'heure, en coulisses, on me posait des questions sur la méditation.</t>
  </si>
  <si>
    <t>coulisses</t>
  </si>
  <si>
    <t>posait</t>
  </si>
  <si>
    <t>méditation</t>
  </si>
  <si>
    <t># text = Parmi toutes les lettres que j'ai reçues, ma préférée est celle envoyée par une femme qui a écrit pour dire qu'elle avait essayé la thérapie, elle avait essayé le médicament, elle avait essayé à peu près tout, et elle avait trouvé une solution et elle espérait que je la présenterais à tous, et la solution, c'était la fabrication des bidules en laine.</t>
  </si>
  <si>
    <t>Parmi</t>
  </si>
  <si>
    <t>reçues</t>
  </si>
  <si>
    <t>préférée</t>
  </si>
  <si>
    <t>envoyée</t>
  </si>
  <si>
    <t>écrit</t>
  </si>
  <si>
    <t>essayé</t>
  </si>
  <si>
    <t>près</t>
  </si>
  <si>
    <t>solution</t>
  </si>
  <si>
    <t>espérait</t>
  </si>
  <si>
    <t>présenterais</t>
  </si>
  <si>
    <t>fabrication</t>
  </si>
  <si>
    <t>bidules</t>
  </si>
  <si>
    <t>laine</t>
  </si>
  <si>
    <t># text = Elle m'en a envoyé quelques-uns.</t>
  </si>
  <si>
    <t>quelques-uns</t>
  </si>
  <si>
    <t># text = Et je ne les porte pas en ce moment.</t>
  </si>
  <si>
    <t># text = Je lui ai suggéré de se renseigner sur le trouble obsessionnel-compulsif dans le manuel des troubles mentaux .</t>
  </si>
  <si>
    <t>suggéré</t>
  </si>
  <si>
    <t>renseigner</t>
  </si>
  <si>
    <t>obsessionnel-compulsif</t>
  </si>
  <si>
    <t>manuel</t>
  </si>
  <si>
    <t>troubles</t>
  </si>
  <si>
    <t>mentaux</t>
  </si>
  <si>
    <t># text = Mais pourtant, quand je suis parti à la recherche des traitements alternatifs, j'ai aussi découvert</t>
  </si>
  <si>
    <t>parti</t>
  </si>
  <si>
    <t>recherche</t>
  </si>
  <si>
    <t>alternatifs</t>
  </si>
  <si>
    <t># text = J'ai participé à un exorcisme tribal au Sénégal qui comprenait pas mal de sang de bélier et je ne m'y attarderai pas en ce moment, mais quelques années plus tard je travaillais sur un autre projet, au Rwanda, et il m'est arrivé de décrire l'expérience à quelqu'un, et il m'a dit : « Eh bien, vous savez, ça c'est Afrique de l'Ouest, et ici c'est Afrique de l'Est, et nos rituels sont, en quelque sort, très différents, mais on en a certains qui partagent certains traits avec ce que vous décrivez.</t>
  </si>
  <si>
    <t>participé</t>
  </si>
  <si>
    <t>exorcisme</t>
  </si>
  <si>
    <t>tribal</t>
  </si>
  <si>
    <t>Sénégal</t>
  </si>
  <si>
    <t>comprenait</t>
  </si>
  <si>
    <t>sang</t>
  </si>
  <si>
    <t>bélier</t>
  </si>
  <si>
    <t>attarderai</t>
  </si>
  <si>
    <t>tard</t>
  </si>
  <si>
    <t>travaillais</t>
  </si>
  <si>
    <t>projet</t>
  </si>
  <si>
    <t>Rwanda</t>
  </si>
  <si>
    <t>arrivé</t>
  </si>
  <si>
    <t>Afrique</t>
  </si>
  <si>
    <t>Ouest</t>
  </si>
  <si>
    <t>Est</t>
  </si>
  <si>
    <t>rituels</t>
  </si>
  <si>
    <t>sort</t>
  </si>
  <si>
    <t>partagent</t>
  </si>
  <si>
    <t>traits</t>
  </si>
  <si>
    <t>décrivez</t>
  </si>
  <si>
    <t># text = » Et j'ai répondu :« Ah bon.</t>
  </si>
  <si>
    <t>:«</t>
  </si>
  <si>
    <t>Ah</t>
  </si>
  <si>
    <t># text = » Et il a dit : « Oui, mais on a eu pas mal de soucis avec des intervenants en santé mentale occidentaux, surtout ceux qui sont arrivés juste après le génocide.</t>
  </si>
  <si>
    <t>soucis</t>
  </si>
  <si>
    <t>intervenants</t>
  </si>
  <si>
    <t>santé</t>
  </si>
  <si>
    <t>mentale</t>
  </si>
  <si>
    <t>occidentaux</t>
  </si>
  <si>
    <t>surtout</t>
  </si>
  <si>
    <t>arrivés</t>
  </si>
  <si>
    <t>juste</t>
  </si>
  <si>
    <t>génocide</t>
  </si>
  <si>
    <t># text = » Et j'ai demandé : « Quelle sorte de soucis ?</t>
  </si>
  <si>
    <t>Quelle</t>
  </si>
  <si>
    <t># text = Et il a répondu : « Eh bien, ils faisaient cette chose bizarre.</t>
  </si>
  <si>
    <t>faisaient</t>
  </si>
  <si>
    <t>bizarre</t>
  </si>
  <si>
    <t># text = Ils ne faisaient pas sortir les gens sous le soleil, là où on se sent mieux.</t>
  </si>
  <si>
    <t>soleil</t>
  </si>
  <si>
    <t>où</t>
  </si>
  <si>
    <t># text = Ils n'ont pas utilisé les tambours ou la musique, pour animer les gens.</t>
  </si>
  <si>
    <t>utilisé</t>
  </si>
  <si>
    <t>tambours</t>
  </si>
  <si>
    <t>musique</t>
  </si>
  <si>
    <t>animer</t>
  </si>
  <si>
    <t># text = Ils n'ont pas inclus la communauté entière.</t>
  </si>
  <si>
    <t>inclus</t>
  </si>
  <si>
    <t>communauté</t>
  </si>
  <si>
    <t>entière</t>
  </si>
  <si>
    <t># text = Ils n'ont pas présenté la dépression comme un esprit envahissant.</t>
  </si>
  <si>
    <t>présenté</t>
  </si>
  <si>
    <t>envahissant</t>
  </si>
  <si>
    <t># text = À la place, ils amenaient les gens un par un dans de petites pièces minables et les faisaient discuter pendant une heure des mauvaises choses qui leur étaient arrivées.</t>
  </si>
  <si>
    <t>place</t>
  </si>
  <si>
    <t>amenaient</t>
  </si>
  <si>
    <t>petites</t>
  </si>
  <si>
    <t>pièces</t>
  </si>
  <si>
    <t>minables</t>
  </si>
  <si>
    <t>discuter</t>
  </si>
  <si>
    <t>mauvaises</t>
  </si>
  <si>
    <t>arrivées</t>
  </si>
  <si>
    <t># text = » (Rires) (Applaudissements)</t>
  </si>
  <si>
    <t>Applaudissements</t>
  </si>
  <si>
    <t># text = Il a dit : « Il fallait leur demander de partir.</t>
  </si>
  <si>
    <t>fallait</t>
  </si>
  <si>
    <t>partir</t>
  </si>
  <si>
    <t># text = » Et puis à l'autre bout des traitements alternatifs, permettez-moi de vous parler de Frank Russakoff.</t>
  </si>
  <si>
    <t>permettez</t>
  </si>
  <si>
    <t>-moi</t>
  </si>
  <si>
    <t>Frank</t>
  </si>
  <si>
    <t>Russakoff</t>
  </si>
  <si>
    <t># text = Frank Russakoff a subi la pire dépression que j'aie jamais vue.</t>
  </si>
  <si>
    <t># text = Il était déprimé constamment.</t>
  </si>
  <si>
    <t>constamment</t>
  </si>
  <si>
    <t># text = À l'époque où je l'ai rencontré, il devait subir un traitment électrochoc chaque mois.</t>
  </si>
  <si>
    <t>rencontré</t>
  </si>
  <si>
    <t>devait</t>
  </si>
  <si>
    <t>traitment</t>
  </si>
  <si>
    <t>électrochoc</t>
  </si>
  <si>
    <t># text = Puis, pendant une semaine, il se sentait désorienté.</t>
  </si>
  <si>
    <t>semaine</t>
  </si>
  <si>
    <t>sentait</t>
  </si>
  <si>
    <t>désorienté</t>
  </si>
  <si>
    <t># text = Puis, pendant une semaine tout allait bien.</t>
  </si>
  <si>
    <t># text = Puis pendant une semaine, il régressait de nouveau.</t>
  </si>
  <si>
    <t>régressait</t>
  </si>
  <si>
    <t>nouveau</t>
  </si>
  <si>
    <t># text = Et après, il aura un autre traitment électrochoc.</t>
  </si>
  <si>
    <t>aura</t>
  </si>
  <si>
    <t># text = Et il m'a raconté ceci quand je l'ai rencontré : « Passer les semaines ainsi, c'est vraiment insupportable</t>
  </si>
  <si>
    <t>raconté</t>
  </si>
  <si>
    <t>Passer</t>
  </si>
  <si>
    <t>semaines</t>
  </si>
  <si>
    <t>ainsi</t>
  </si>
  <si>
    <t>insupportable</t>
  </si>
  <si>
    <t># text = Je ne peux pas continuer ainsi, et je sais comment je vais y mettre fin si je n'arrive pas à aller mieux.</t>
  </si>
  <si>
    <t>continuer</t>
  </si>
  <si>
    <t># text = » Mais, il m'a dit : « J'ai entendu parler d'un protocol à l’hôpital Mass General, une procédure appelée une cinglutomie c'est une chirurgie du cerveau, et je pense que je vais tenter le coup.</t>
  </si>
  <si>
    <t>entendu</t>
  </si>
  <si>
    <t>protocol</t>
  </si>
  <si>
    <t>l’</t>
  </si>
  <si>
    <t>hôpital</t>
  </si>
  <si>
    <t>Mass</t>
  </si>
  <si>
    <t>General</t>
  </si>
  <si>
    <t>procédure</t>
  </si>
  <si>
    <t>appelée</t>
  </si>
  <si>
    <t>cinglutomie</t>
  </si>
  <si>
    <t>chirurgie</t>
  </si>
  <si>
    <t>tenter</t>
  </si>
  <si>
    <t># text = » Et je me souviens que j'étais étonné qu'une personne qui avait connu tant de mauvaises expériences avec tant de traitments différents avait retenu quelque part au fond de lui assez d'optimisme de poursuivre encore un autre.</t>
  </si>
  <si>
    <t>souviens</t>
  </si>
  <si>
    <t>étonné</t>
  </si>
  <si>
    <t>expériences</t>
  </si>
  <si>
    <t>traitments</t>
  </si>
  <si>
    <t>retenu</t>
  </si>
  <si>
    <t>optimisme</t>
  </si>
  <si>
    <t>poursuivre</t>
  </si>
  <si>
    <t># text = Et il a subit la cinglutomie, et l'intervention fut un grand succès.</t>
  </si>
  <si>
    <t>intervention</t>
  </si>
  <si>
    <t>fut</t>
  </si>
  <si>
    <t>grand</t>
  </si>
  <si>
    <t>succès</t>
  </si>
  <si>
    <t># text = Maintenant, c'est un ami.</t>
  </si>
  <si>
    <t># text = Il a une charmante épouse et deux enfants adorables</t>
  </si>
  <si>
    <t>charmante</t>
  </si>
  <si>
    <t>épouse</t>
  </si>
  <si>
    <t>enfants</t>
  </si>
  <si>
    <t>adorables</t>
  </si>
  <si>
    <t># text = Il m'a écrit une lettre le Noël suivant la chirurgie, et il a dit : « Mon père m'a envoyé deux cadeaux cette année.</t>
  </si>
  <si>
    <t>lettre</t>
  </si>
  <si>
    <t>Noël</t>
  </si>
  <si>
    <t>Mon</t>
  </si>
  <si>
    <t>cadeaux</t>
  </si>
  <si>
    <t># text = L'un, un range-CD motorisé de la FNAC dont je n'avais pas vraiment besoin, mais je sais qu'il me l'a offert pour célébrer le fait que je vis seul et que j'ai un travail qui semble me combler.</t>
  </si>
  <si>
    <t>range-CD</t>
  </si>
  <si>
    <t>motorisé</t>
  </si>
  <si>
    <t>FNAC</t>
  </si>
  <si>
    <t>dont</t>
  </si>
  <si>
    <t>besoin</t>
  </si>
  <si>
    <t>offert</t>
  </si>
  <si>
    <t>célébrer</t>
  </si>
  <si>
    <t>vis</t>
  </si>
  <si>
    <t>seul</t>
  </si>
  <si>
    <t>travail</t>
  </si>
  <si>
    <t>SBJ_9</t>
  </si>
  <si>
    <t>OBJ_10</t>
  </si>
  <si>
    <t>combler</t>
  </si>
  <si>
    <t># text = Et l'autre cadeau c'était une photo de ma grand-mère qui s'est suicidée.</t>
  </si>
  <si>
    <t>cadeau</t>
  </si>
  <si>
    <t>photo</t>
  </si>
  <si>
    <t>grand-mère</t>
  </si>
  <si>
    <t>suicidée</t>
  </si>
  <si>
    <t># text = And alors que je l'ai déballée, j'ai commencé à pleurer et ma mère s'est approchée et elle a dit : « Tu pleures pour les membres de la famille que tu n'as jamais connus ?</t>
  </si>
  <si>
    <t>And</t>
  </si>
  <si>
    <t>déballée</t>
  </si>
  <si>
    <t>approchée</t>
  </si>
  <si>
    <t>pleures</t>
  </si>
  <si>
    <t>membres</t>
  </si>
  <si>
    <t>famille</t>
  </si>
  <si>
    <t>as</t>
  </si>
  <si>
    <t>connus</t>
  </si>
  <si>
    <t># text = Et j'ai dit : « Elle était atteinte de la même maladie que moi.</t>
  </si>
  <si>
    <t>atteinte</t>
  </si>
  <si>
    <t># text = » Et je pleure aussi en t'écrivant maintenant.</t>
  </si>
  <si>
    <t>pleure</t>
  </si>
  <si>
    <t>écrivant</t>
  </si>
  <si>
    <t># text = Ce n'est pas que je suis triste, mais je suis bouleversé, peut-être, parce que j'aurais pu me suicider, mais mes parents m'ont donné la force de continuer ainsi que les médecins, et j'ai subi l'intervention.</t>
  </si>
  <si>
    <t>bouleversé</t>
  </si>
  <si>
    <t>parce</t>
  </si>
  <si>
    <t>aurais</t>
  </si>
  <si>
    <t>pu</t>
  </si>
  <si>
    <t>mes</t>
  </si>
  <si>
    <t>donné</t>
  </si>
  <si>
    <t>force</t>
  </si>
  <si>
    <t>médecins</t>
  </si>
  <si>
    <t># text = Je suis vivant, et reconaissant.</t>
  </si>
  <si>
    <t>vivant</t>
  </si>
  <si>
    <t>reconaissant</t>
  </si>
  <si>
    <t># text = C'est le bon moment de vivre, quoique on n'en a pas toujours l'impression.</t>
  </si>
  <si>
    <t>quoique</t>
  </si>
  <si>
    <t>impression</t>
  </si>
  <si>
    <t># text = » J'ai été frappé par le fait que la dépression est largement perçue comme quelque chose de moderne, d'occidental, de bourgeois alors je me suis appliqué à l'observation de comment ça fonctionnne dans d'autres contextes et l'une des choses qui m'intéressait particulièrement c'était la dépression parmi les miséreux.</t>
  </si>
  <si>
    <t>largement</t>
  </si>
  <si>
    <t>perçue</t>
  </si>
  <si>
    <t>moderne</t>
  </si>
  <si>
    <t>occidental</t>
  </si>
  <si>
    <t>bourgeois</t>
  </si>
  <si>
    <t>appliqué</t>
  </si>
  <si>
    <t>observation</t>
  </si>
  <si>
    <t>fonctionnne</t>
  </si>
  <si>
    <t>contextes</t>
  </si>
  <si>
    <t>SBJ_10</t>
  </si>
  <si>
    <t>intéressait</t>
  </si>
  <si>
    <t>particulièrement</t>
  </si>
  <si>
    <t>SBJ_11</t>
  </si>
  <si>
    <t>other_10</t>
  </si>
  <si>
    <t>miséreux</t>
  </si>
  <si>
    <t>other_11</t>
  </si>
  <si>
    <t># text = Alors, je me suis mis à étudier ce qui se fait pour les pauvres qui font une dépression.</t>
  </si>
  <si>
    <t>étudier</t>
  </si>
  <si>
    <t>pauvres</t>
  </si>
  <si>
    <t># text = Et j'ai découvert que la plupart du temps les pauvres ne reçoivent pas de traitment pour la dépression.</t>
  </si>
  <si>
    <t>reçoivent</t>
  </si>
  <si>
    <t># text = La depression est le résultat d'une vulnerabilité génétique, qui est, probablement, répartie uniformément dans la population, et des facteurs déclenchants, qui sont susceptibles d'être plus sévères chez les pauvres.</t>
  </si>
  <si>
    <t>depression</t>
  </si>
  <si>
    <t>résultat</t>
  </si>
  <si>
    <t>vulnerabilité</t>
  </si>
  <si>
    <t>génétique</t>
  </si>
  <si>
    <t>répartie</t>
  </si>
  <si>
    <t>uniformément</t>
  </si>
  <si>
    <t>population</t>
  </si>
  <si>
    <t>facteurs</t>
  </si>
  <si>
    <t>déclenchants</t>
  </si>
  <si>
    <t>susceptibles</t>
  </si>
  <si>
    <t>sévères</t>
  </si>
  <si>
    <t># text = Pourtant, il s'avère que si vous menez une belle vie mais vous êtes toujours au plus bas, vous pensez : « Pourquoi est-ce que je me sens ainsi ?</t>
  </si>
  <si>
    <t>Pourtant</t>
  </si>
  <si>
    <t>avère</t>
  </si>
  <si>
    <t>menez</t>
  </si>
  <si>
    <t>belle</t>
  </si>
  <si>
    <t>bas</t>
  </si>
  <si>
    <t>Pourquoi</t>
  </si>
  <si>
    <t># text = Je dois faire une dépression.</t>
  </si>
  <si>
    <t># text = » Et vous enterprenez de trouver un traitement.</t>
  </si>
  <si>
    <t>enterprenez</t>
  </si>
  <si>
    <t># text = Mais si vous menez une vie vraiment terrible, et vous vous sentez toujours malheureux, la façon dont vous vous sentez correspond à votre vie, et l'idée ne vous effleure même pas : « Et si ceci peut être traité ?</t>
  </si>
  <si>
    <t>correspond</t>
  </si>
  <si>
    <t>votre</t>
  </si>
  <si>
    <t>idée</t>
  </si>
  <si>
    <t>effleure</t>
  </si>
  <si>
    <t>traité</t>
  </si>
  <si>
    <t># text = Et donc, dans ce pays il existe une épidemie de dépression parmi les appauvris dont personne se rend compte, qui ne se fait pas traitée qui ne se fait pas abordée, et c'est vraiment la grande tragédie.</t>
  </si>
  <si>
    <t>donc</t>
  </si>
  <si>
    <t>pays</t>
  </si>
  <si>
    <t>existe</t>
  </si>
  <si>
    <t>épidemie</t>
  </si>
  <si>
    <t>appauvris</t>
  </si>
  <si>
    <t>traitée</t>
  </si>
  <si>
    <t>abordée</t>
  </si>
  <si>
    <t>grande</t>
  </si>
  <si>
    <t>tragédie</t>
  </si>
  <si>
    <t># text = J'ai aussi trouvé une universitaire qui réalisait un projet de recherche dans les bas quartiers en dehors de D.C., où elle interpellait des femmes venues la consulter pour d'autres problèmes de santé et les diagnostiquait avec la dépression, et puis les fournissait avec six mois de protocol expérimental.</t>
  </si>
  <si>
    <t>universitaire</t>
  </si>
  <si>
    <t>réalisait</t>
  </si>
  <si>
    <t>quartiers</t>
  </si>
  <si>
    <t>dehors</t>
  </si>
  <si>
    <t>D.C.</t>
  </si>
  <si>
    <t>interpellait</t>
  </si>
  <si>
    <t>femmes</t>
  </si>
  <si>
    <t>venues</t>
  </si>
  <si>
    <t>consulter</t>
  </si>
  <si>
    <t>diagnostiquait</t>
  </si>
  <si>
    <t>fournissait</t>
  </si>
  <si>
    <t>expérimental</t>
  </si>
  <si>
    <t># text = L'une d'elle, Lolly, est venue, et voilà ce qu'elle a dit le jour où elle est venue.</t>
  </si>
  <si>
    <t>Lolly</t>
  </si>
  <si>
    <t>venue</t>
  </si>
  <si>
    <t># text = Elle a dit, et c'était une femme, d'ailleurs, qui avait sept enfants.</t>
  </si>
  <si>
    <t>ailleurs</t>
  </si>
  <si>
    <t>sept</t>
  </si>
  <si>
    <t># text = Elle a dit : « Autrefois, j'avais un boulot, mais j'ai dû y renoncer parce que je n'arrivais pas à sortir de la maison.</t>
  </si>
  <si>
    <t>Autrefois</t>
  </si>
  <si>
    <t>boulot</t>
  </si>
  <si>
    <t>dû</t>
  </si>
  <si>
    <t>renoncer</t>
  </si>
  <si>
    <t># text = Je n'ai rien à dire à mes enfants.</t>
  </si>
  <si>
    <t># text = Le matin, je ne peux pas attendre qu'ils partent, et puis je me glisse dans mon lit, passe les couvertures au-dessus de ma tête, et quinze heures, quand ils reviennent, ça arrive trop vite.</t>
  </si>
  <si>
    <t>attendre</t>
  </si>
  <si>
    <t>partent</t>
  </si>
  <si>
    <t>passe</t>
  </si>
  <si>
    <t>couvertures</t>
  </si>
  <si>
    <t>au-dessus</t>
  </si>
  <si>
    <t>quinze</t>
  </si>
  <si>
    <t>reviennent</t>
  </si>
  <si>
    <t>vite</t>
  </si>
  <si>
    <t># text = » « Je prends beaucoup de Tylenol, je prends n'importe quoi qui puisse m'aider à dormir plus.</t>
  </si>
  <si>
    <t>Tylenol</t>
  </si>
  <si>
    <t>puisse</t>
  </si>
  <si>
    <t>dormir</t>
  </si>
  <si>
    <t># text = Récemment, mon mari me dit que je suis nulle, moche.</t>
  </si>
  <si>
    <t>Récemment</t>
  </si>
  <si>
    <t>nulle</t>
  </si>
  <si>
    <t>moche</t>
  </si>
  <si>
    <t># text = J'ai tellement envie d'arrêter le douleur.</t>
  </si>
  <si>
    <t>envie</t>
  </si>
  <si>
    <t>arrêter</t>
  </si>
  <si>
    <t>douleur</t>
  </si>
  <si>
    <t># text = » Eh bien, elle a été incluse dans ce protocol expérimental, et lors de notre entretien six mois plus tard, elle avait accepté un travail dans la garde d'enfants pour le U.S. Navy, elle avait quitté son mari violent, « Mes enfants sont beaucoup plus heureux.</t>
  </si>
  <si>
    <t>incluse</t>
  </si>
  <si>
    <t>lors</t>
  </si>
  <si>
    <t>accepté</t>
  </si>
  <si>
    <t>U.S.</t>
  </si>
  <si>
    <t>Navy</t>
  </si>
  <si>
    <t>quitté</t>
  </si>
  <si>
    <t>violent</t>
  </si>
  <si>
    <t>Mes</t>
  </si>
  <si>
    <t>heureux</t>
  </si>
  <si>
    <t># text = » Elle a dit : « Dans mon nouveau chez moi il y a une chambre pour les garçons et une pour les filles, mais le soir, ils traînent tous sur mon lit, et on fait les devoirs ensemble et tout.</t>
  </si>
  <si>
    <t>Dans</t>
  </si>
  <si>
    <t>garçons</t>
  </si>
  <si>
    <t>filles</t>
  </si>
  <si>
    <t>soir</t>
  </si>
  <si>
    <t>traînent</t>
  </si>
  <si>
    <t>devoirs</t>
  </si>
  <si>
    <t>ensemble</t>
  </si>
  <si>
    <t># text = L'un veut devenir pasteur, un autre veut devenir pompier, et une des filles dit qu'elle va devenir avocate.</t>
  </si>
  <si>
    <t>veut</t>
  </si>
  <si>
    <t>pasteur</t>
  </si>
  <si>
    <t>pompier</t>
  </si>
  <si>
    <t>avocate</t>
  </si>
  <si>
    <t># text = Ils ne pleurent pas comme avant, et ils ne se battent plus comme avant.</t>
  </si>
  <si>
    <t>pleurent</t>
  </si>
  <si>
    <t>battent</t>
  </si>
  <si>
    <t># text = C'est tout ce dont j'ai besoin pour mes gamins.</t>
  </si>
  <si>
    <t>gamins</t>
  </si>
  <si>
    <t># text = Les changements ne cessent pas, comment je m'habille, je me sens, je me comporte.</t>
  </si>
  <si>
    <t>changements</t>
  </si>
  <si>
    <t>cessent</t>
  </si>
  <si>
    <t>habille</t>
  </si>
  <si>
    <t>comporte</t>
  </si>
  <si>
    <t># text = Je peux sortir et ne plus avoir peur, et je ne crois pas que ces mauvais sentiments reviennent, et s'il n'y avait pas eu le Dr. Miranda et tout ça, je serais toujours à la maison, les couvertures au-dessus de ma tête, si j'étais même vivante.</t>
  </si>
  <si>
    <t>crois</t>
  </si>
  <si>
    <t>mauvais</t>
  </si>
  <si>
    <t>sentiments</t>
  </si>
  <si>
    <t>Dr.</t>
  </si>
  <si>
    <t>Miranda</t>
  </si>
  <si>
    <t>serais</t>
  </si>
  <si>
    <t>vivante</t>
  </si>
  <si>
    <t># text = J'ai demandé au Seigneur de m'envoyer un ange, et il a écouté mes prières.</t>
  </si>
  <si>
    <t>Seigneur</t>
  </si>
  <si>
    <t>ange</t>
  </si>
  <si>
    <t>écouté</t>
  </si>
  <si>
    <t>prières</t>
  </si>
  <si>
    <t># text = » Ces expériences m'ont beaucoup touché, et j'ai décidé que je voulais écrire au sujet d'elles non seulement dans un livre sur lequel je travaillais, mais aussi dans un article, et donc, j'ai reçu une commande du New York Times Magazine d'écrire au sujet de la dépression chez les personnes indigentes.</t>
  </si>
  <si>
    <t>Ces</t>
  </si>
  <si>
    <t>touché</t>
  </si>
  <si>
    <t>décidé</t>
  </si>
  <si>
    <t>sujet</t>
  </si>
  <si>
    <t>non</t>
  </si>
  <si>
    <t>seulement</t>
  </si>
  <si>
    <t>livre</t>
  </si>
  <si>
    <t>lequel</t>
  </si>
  <si>
    <t>article</t>
  </si>
  <si>
    <t>reçu</t>
  </si>
  <si>
    <t>commande</t>
  </si>
  <si>
    <t>New</t>
  </si>
  <si>
    <t>York</t>
  </si>
  <si>
    <t>other_12</t>
  </si>
  <si>
    <t>Times</t>
  </si>
  <si>
    <t>Magazine</t>
  </si>
  <si>
    <t>indigentes</t>
  </si>
  <si>
    <t># text = Et j'ai rendu mon histoire, et la rédactrice en chef m'a appelé, et a dit : « On ne peut vraiment pas publier ceci.</t>
  </si>
  <si>
    <t>histoire</t>
  </si>
  <si>
    <t>rédactrice</t>
  </si>
  <si>
    <t>chef</t>
  </si>
  <si>
    <t>appelé</t>
  </si>
  <si>
    <t>publier</t>
  </si>
  <si>
    <t># text = » « Bah, pourquoi pas ?</t>
  </si>
  <si>
    <t># text = » Et elle a dit: « C'est trop exagéré, tout simplement.</t>
  </si>
  <si>
    <t>dit:</t>
  </si>
  <si>
    <t>exagéré</t>
  </si>
  <si>
    <t>simplement</t>
  </si>
  <si>
    <t># text = Ces gens qui sont plus ou moins au bas de l'échelle de la société et puis ils reçoivent quelques mois de traitment et ils sont à peu près prêts à diriger Morgan Stanley ?</t>
  </si>
  <si>
    <t>échelle</t>
  </si>
  <si>
    <t>société</t>
  </si>
  <si>
    <t>prêts</t>
  </si>
  <si>
    <t>diriger</t>
  </si>
  <si>
    <t>Morgan</t>
  </si>
  <si>
    <t>Stanley</t>
  </si>
  <si>
    <t># text = C'est trop improbable, tout simplement.</t>
  </si>
  <si>
    <t>improbable</t>
  </si>
  <si>
    <t># text = » Elle a dit : « C'est même la première fois que j'entends une telle histoire.</t>
  </si>
  <si>
    <t>entends</t>
  </si>
  <si>
    <t>telle</t>
  </si>
  <si>
    <t># text = » Et j'ai dit : « Le fait que tu n'en as jamais entendu parler indique bien qu'il s'agit des nouvelles.</t>
  </si>
  <si>
    <t>indique</t>
  </si>
  <si>
    <t># text = » « Et vous êtes bien un magazine.</t>
  </si>
  <si>
    <t>magazine</t>
  </si>
  <si>
    <t># text = » Alors après un peu de négociation, ils ont accepté de le faire.</t>
  </si>
  <si>
    <t>négociation</t>
  </si>
  <si>
    <t># text = Mais j'ai l'impression que beaucoup de leurs arguments étaient liés d'une manière quelconque à l'aversion que les gens ont toujours pour l'idée du traitment, que si jamais on se met à traiter beaucoup de gens des communautés indigentes, cela relèverait de l'exploitation, parce qu'on les changerait.</t>
  </si>
  <si>
    <t>arguments</t>
  </si>
  <si>
    <t>liés</t>
  </si>
  <si>
    <t>quelconque</t>
  </si>
  <si>
    <t>aversion</t>
  </si>
  <si>
    <t>met</t>
  </si>
  <si>
    <t>traiter</t>
  </si>
  <si>
    <t>communautés</t>
  </si>
  <si>
    <t>relèverait</t>
  </si>
  <si>
    <t>exploitation</t>
  </si>
  <si>
    <t>changerait</t>
  </si>
  <si>
    <t># text = Il existe cet impératif moral faux qui semble être omniprésent que le traitement de la dépression, les médicaments et ainsi de suite, consistent en artifices, et que ce n'est pas naturel.</t>
  </si>
  <si>
    <t>impératif</t>
  </si>
  <si>
    <t>moral</t>
  </si>
  <si>
    <t>faux</t>
  </si>
  <si>
    <t>omniprésent</t>
  </si>
  <si>
    <t>suite</t>
  </si>
  <si>
    <t>consistent</t>
  </si>
  <si>
    <t>artifices</t>
  </si>
  <si>
    <t>naturel</t>
  </si>
  <si>
    <t># text = Et je trouve cela très abusé.</t>
  </si>
  <si>
    <t>trouve</t>
  </si>
  <si>
    <t>abusé</t>
  </si>
  <si>
    <t># text = Il serait naturel que nos dents tombent, mais personne ne milite contre le dentifrice, au moins pas dans mon entourage.</t>
  </si>
  <si>
    <t>dents</t>
  </si>
  <si>
    <t>tombent</t>
  </si>
  <si>
    <t>milite</t>
  </si>
  <si>
    <t>contre</t>
  </si>
  <si>
    <t>dentifrice</t>
  </si>
  <si>
    <t>entourage</t>
  </si>
  <si>
    <t># text = Et puis les gens disent : « Bon, mais finalement, la dépression fait partie de ce qu'on est sensé éprouver ?</t>
  </si>
  <si>
    <t>Bon</t>
  </si>
  <si>
    <t>sensé</t>
  </si>
  <si>
    <t>éprouver</t>
  </si>
  <si>
    <t># text = La dépression, ça fait partie de notre évolution, non ?</t>
  </si>
  <si>
    <t>évolution</t>
  </si>
  <si>
    <t># text = Ça fait partie de sa personalité, non ?</t>
  </si>
  <si>
    <t>sa</t>
  </si>
  <si>
    <t>personalité</t>
  </si>
  <si>
    <t># text = Et je réponds alors, que l'état d'esprit s'adapte.</t>
  </si>
  <si>
    <t>adapte</t>
  </si>
  <si>
    <t># text = Etre capable de ressentir la tristesse et la peur et la joie et le plaisir et toutes nos autres humeurs, est d'une valeur énorme.</t>
  </si>
  <si>
    <t>Etre</t>
  </si>
  <si>
    <t>joie</t>
  </si>
  <si>
    <t>plaisir</t>
  </si>
  <si>
    <t>humeurs</t>
  </si>
  <si>
    <t>valeur</t>
  </si>
  <si>
    <t># text = Et la grande dépression est ce qui survient quand ce système ne fonctionne plus.</t>
  </si>
  <si>
    <t>survient</t>
  </si>
  <si>
    <t>système</t>
  </si>
  <si>
    <t>fonctionne</t>
  </si>
  <si>
    <t># text = Quand il ne s'adapte plus.</t>
  </si>
  <si>
    <t># text = Les gens m'abordent et disent : « Pourtant, je crois que si je tiens le coup encore un an, je crois que je pourrais m'en sortir.</t>
  </si>
  <si>
    <t>abordent</t>
  </si>
  <si>
    <t>tiens</t>
  </si>
  <si>
    <t>an</t>
  </si>
  <si>
    <t>pourrais</t>
  </si>
  <si>
    <t># text = » Et je leur dis toujours : « Oui vous pourriez éventuellement vous en sortir mais vous n'aurez plus jamais 37 ans.</t>
  </si>
  <si>
    <t>dis</t>
  </si>
  <si>
    <t>pourriez</t>
  </si>
  <si>
    <t>éventuellement</t>
  </si>
  <si>
    <t>aurez</t>
  </si>
  <si>
    <t># text = La vie est courte, et cela représente une année entière que vous êtes prêt à abandonner.</t>
  </si>
  <si>
    <t>courte</t>
  </si>
  <si>
    <t>prêt</t>
  </si>
  <si>
    <t>abandonner</t>
  </si>
  <si>
    <t># text = Réfléchissez.</t>
  </si>
  <si>
    <t># text = » C'est une étrange pauvreté dans la langue anglaise, et dans beaucoup d'autres langues, qu'on se serve du même mot, dépression, afin de décrire comment se sent un enfant, s'il pleut le jour de son anniversaire et afin de décrire comment se sent une personne juste avant de se suicider.</t>
  </si>
  <si>
    <t>pauvreté</t>
  </si>
  <si>
    <t>langue</t>
  </si>
  <si>
    <t>anglaise</t>
  </si>
  <si>
    <t>langues</t>
  </si>
  <si>
    <t>serve</t>
  </si>
  <si>
    <t>mot</t>
  </si>
  <si>
    <t>enfant</t>
  </si>
  <si>
    <t>pleut</t>
  </si>
  <si>
    <t>anniversaire</t>
  </si>
  <si>
    <t>OBJ_9</t>
  </si>
  <si>
    <t># text = Les gens me disent : « Alors, est-ce continu avec la tristesse normale ?</t>
  </si>
  <si>
    <t>continu</t>
  </si>
  <si>
    <t>normale</t>
  </si>
  <si>
    <t># text = Et je réponds : « D'une certaine façon, elle continue avec la tristesse normale.</t>
  </si>
  <si>
    <t>continue</t>
  </si>
  <si>
    <t># text = Il existe une certaine continuité, mais c'est pareil à la continuitié qui existe entre avoir une clôture de fer devant sa maison sur laquelle apparaît une tache de rouille et il te faut poncer et repeindre, et ce qui arrive si vous laissez la maison pendant 100 ans et elle finit par rouiller au point de n'être plus qu'un tas de poussière orange.</t>
  </si>
  <si>
    <t>continuité</t>
  </si>
  <si>
    <t>pareil</t>
  </si>
  <si>
    <t>continuitié</t>
  </si>
  <si>
    <t>clôture</t>
  </si>
  <si>
    <t>fer</t>
  </si>
  <si>
    <t>devant</t>
  </si>
  <si>
    <t>apparaît</t>
  </si>
  <si>
    <t>tache</t>
  </si>
  <si>
    <t>rouille</t>
  </si>
  <si>
    <t>poncer</t>
  </si>
  <si>
    <t>repeindre</t>
  </si>
  <si>
    <t>laissez</t>
  </si>
  <si>
    <t>finit</t>
  </si>
  <si>
    <t>rouiller</t>
  </si>
  <si>
    <t>point</t>
  </si>
  <si>
    <t>tas</t>
  </si>
  <si>
    <t>poussière</t>
  </si>
  <si>
    <t>orange</t>
  </si>
  <si>
    <t># text = Et c'est la tache de poussière orange, ce problème de poussière orange c'est à ceci que nous comptons répondre.</t>
  </si>
  <si>
    <t>comptons</t>
  </si>
  <si>
    <t># text = » Alors là, quand les gens disent : « Vous prenez des pilules de bonheur, cela vous rend heureux ? » Mais, la réponse est non.</t>
  </si>
  <si>
    <t>prenez</t>
  </si>
  <si>
    <t>pilules</t>
  </si>
  <si>
    <t># text = Mais manger mon déjeuner ne me rend pas triste, et le répondeur de mon téléphone et prendre une douche ne me rend pas triste.</t>
  </si>
  <si>
    <t># text = Je ressens plus, en fait, je crois, parce que j'arrive à ressentir la tristesse sans nullité.</t>
  </si>
  <si>
    <t>ressens</t>
  </si>
  <si>
    <t>nullité</t>
  </si>
  <si>
    <t># text = Les déceptions professionnelles, les relations dégradées, et le réchauffement climatique me rendent triste.</t>
  </si>
  <si>
    <t>déceptions</t>
  </si>
  <si>
    <t>professionnelles</t>
  </si>
  <si>
    <t>relations</t>
  </si>
  <si>
    <t>dégradées</t>
  </si>
  <si>
    <t>réchauffement</t>
  </si>
  <si>
    <t>climatique</t>
  </si>
  <si>
    <t>rendent</t>
  </si>
  <si>
    <t># text = Voilà les choses qui me rendent triste maintenant.</t>
  </si>
  <si>
    <t>Voilà</t>
  </si>
  <si>
    <t># text = Alors, je me suis demandé, quelle en est la conclusion ?</t>
  </si>
  <si>
    <t>quelle</t>
  </si>
  <si>
    <t>conclusion</t>
  </si>
  <si>
    <t># text = Comment s'en sortent ses gens qui ont de meilleures vies en dépit d'une dépression plus sévère.</t>
  </si>
  <si>
    <t>Comment</t>
  </si>
  <si>
    <t>sortent</t>
  </si>
  <si>
    <t>meilleures</t>
  </si>
  <si>
    <t>dépit</t>
  </si>
  <si>
    <t># text = Quel est le mécanisme de résilience?</t>
  </si>
  <si>
    <t>Quel</t>
  </si>
  <si>
    <t>mécanisme</t>
  </si>
  <si>
    <t>résilience</t>
  </si>
  <si>
    <t># text = Et peu à peu, j'ai trouvé que ceux qui nient leurs expériences, ceux qui disent : « Il y a longtemps j'ai fait une dépression et je ne veux plus jamais y penser et je ne vais pas y faire attention et je vais tout simplement reprendre ma vie en main.</t>
  </si>
  <si>
    <t>nient</t>
  </si>
  <si>
    <t>veux</t>
  </si>
  <si>
    <t>attention</t>
  </si>
  <si>
    <t>reprendre</t>
  </si>
  <si>
    <t>main</t>
  </si>
  <si>
    <t># text = » paradoxalement, ceux sont ces gens-là qui en sont les plus asservis.</t>
  </si>
  <si>
    <t>paradoxalement</t>
  </si>
  <si>
    <t>asservis</t>
  </si>
  <si>
    <t># text = Nier la dépression ne fait que la renforcer.</t>
  </si>
  <si>
    <t>Nier</t>
  </si>
  <si>
    <t>renforcer</t>
  </si>
  <si>
    <t># text = Tandis que vous la refusez, elle grandit.</t>
  </si>
  <si>
    <t>Tandis</t>
  </si>
  <si>
    <t>refusez</t>
  </si>
  <si>
    <t>grandit</t>
  </si>
  <si>
    <t># text = Et ceux qui réussissent le mieux c'est ceux qui arrivent à tolérer le fait qu'ils vivent dans cet état.</t>
  </si>
  <si>
    <t>réussissent</t>
  </si>
  <si>
    <t>tolérer</t>
  </si>
  <si>
    <t>vivent</t>
  </si>
  <si>
    <t># text = Ceux qui arrivent à tolérer leur dépression sont ceux qui atteignent la résilience.</t>
  </si>
  <si>
    <t>Ceux</t>
  </si>
  <si>
    <t>atteignent</t>
  </si>
  <si>
    <t># text = Alors Frank Russakoff m'a dit : « Si je pouvais repartir à zéro, je suppose que je ne le ferais pas ainsi, mais curieusement, je suis reconnaissant de ce que j'ai vécu.</t>
  </si>
  <si>
    <t>repartir</t>
  </si>
  <si>
    <t>zéro</t>
  </si>
  <si>
    <t>suppose</t>
  </si>
  <si>
    <t>ferais</t>
  </si>
  <si>
    <t>curieusement</t>
  </si>
  <si>
    <t>vécu</t>
  </si>
  <si>
    <t># text = Je suis content d'avoir été 40 fois à l'hôpital.</t>
  </si>
  <si>
    <t>content</t>
  </si>
  <si>
    <t># text = Cela m'a appris des tas de choses sur l'amour, et la relation entretenue avec mes parents et mes médecins m'a été très chère, et elle le sera toujours.</t>
  </si>
  <si>
    <t>Cela</t>
  </si>
  <si>
    <t>appris</t>
  </si>
  <si>
    <t>entretenue</t>
  </si>
  <si>
    <t># text = » Et Maggie Robbins a dit : « Autrefois j'ai été bénévole dans une clinique du SIDA, et je ne cessais pas de parler, et les gens avec qui j'avais affaire n'étaient guère réceptifs, et je me suis dit : « Ce n'est pas très sympa ou aimable de leur part.</t>
  </si>
  <si>
    <t>bénévole</t>
  </si>
  <si>
    <t>clinique</t>
  </si>
  <si>
    <t>SIDA</t>
  </si>
  <si>
    <t>cessais</t>
  </si>
  <si>
    <t>affaire</t>
  </si>
  <si>
    <t>guère</t>
  </si>
  <si>
    <t>réceptifs</t>
  </si>
  <si>
    <t>sympa</t>
  </si>
  <si>
    <t>aimable</t>
  </si>
  <si>
    <t># text = » Et puis je me suis rendu compte, qu'ils n'allaient jamais faire plus que quelques petites minutes de bavardage.</t>
  </si>
  <si>
    <t>bavardage</t>
  </si>
  <si>
    <t># text = Cela marquait tout simplement une occasion où je n'avais pas de SIDA et je ne mourais pas, mais j'arrivais à tolérer qu'eux, ils l'avaient et ils allaient mourir.</t>
  </si>
  <si>
    <t>marquait</t>
  </si>
  <si>
    <t>occasion</t>
  </si>
  <si>
    <t>mourais</t>
  </si>
  <si>
    <t># text = Nos besoins sont nos plus grands avantages.</t>
  </si>
  <si>
    <t>Nos</t>
  </si>
  <si>
    <t>besoins</t>
  </si>
  <si>
    <t>grands</t>
  </si>
  <si>
    <t>avantages</t>
  </si>
  <si>
    <t># text = Il s'avère que j'ai appris à donner tout ce dont j'ai besoin.</t>
  </si>
  <si>
    <t>donner</t>
  </si>
  <si>
    <t># text = » Valoriser sa dépression n'empêche pas la rechute, mais il pourrait faire en sort qu'une rechute éventuelle et la rechute même soit plus facile à tolérer.</t>
  </si>
  <si>
    <t>Valoriser</t>
  </si>
  <si>
    <t>empêche</t>
  </si>
  <si>
    <t>rechute</t>
  </si>
  <si>
    <t>éventuelle</t>
  </si>
  <si>
    <t>soit</t>
  </si>
  <si>
    <t># text = Il ne s'agit pas vraiment de trouver une importance quelconque et de décider que votre dépression a été très significative.</t>
  </si>
  <si>
    <t>importance</t>
  </si>
  <si>
    <t>significative</t>
  </si>
  <si>
    <t># text = Il s'agit de chercher cette importance et s'imaginer, quand il se produit de nouveau : « Ça va être l'enfer, mais je vais en tirer quelque chose.</t>
  </si>
  <si>
    <t>imaginer</t>
  </si>
  <si>
    <t>produit</t>
  </si>
  <si>
    <t>enfer</t>
  </si>
  <si>
    <t># text = » Au cours de ma propre dépression j'ai appris à quel point une émotion peut être intense, comment elle peut être plus vraie que des faits, et j'ai découvert que cette expérience-là m'a permis d'éprouver des émotions positives d'une manière plus intense et plus nette.</t>
  </si>
  <si>
    <t>cours</t>
  </si>
  <si>
    <t>quel</t>
  </si>
  <si>
    <t>émotion</t>
  </si>
  <si>
    <t>intense</t>
  </si>
  <si>
    <t>faits</t>
  </si>
  <si>
    <t>permis</t>
  </si>
  <si>
    <t>émotions</t>
  </si>
  <si>
    <t>positives</t>
  </si>
  <si>
    <t>nette</t>
  </si>
  <si>
    <t># text = À l'opposé de la dépression, ce n'est pas le bonheur mais la vitalité.</t>
  </si>
  <si>
    <t>opposé</t>
  </si>
  <si>
    <t># text = et en ce moment, j'ai une vie vitale, même les jours où je suis triste.</t>
  </si>
  <si>
    <t>vitale</t>
  </si>
  <si>
    <t># text = J'ai senti cet enterrement dans ma tête, et je me suis assis à côté du colosse au bout du monde, et j'ai découvert quelque chose au fond de moi que je ne peux qu'appeler une âme que je n'avais jamais formulée avant ce jour il y a 20 ans quand l'enfer est venu me rendre visite subitement.</t>
  </si>
  <si>
    <t>côté</t>
  </si>
  <si>
    <t>colosse</t>
  </si>
  <si>
    <t>formulée</t>
  </si>
  <si>
    <t>venu</t>
  </si>
  <si>
    <t>visite</t>
  </si>
  <si>
    <t>subitement</t>
  </si>
  <si>
    <t># text = Et je crois que, bien que je déteste être déprimé et j'ai horreur d'être encore déprimé, j'ai trouvé un moyen d'aimer la dépression</t>
  </si>
  <si>
    <t>déteste</t>
  </si>
  <si>
    <t>horreur</t>
  </si>
  <si>
    <t>moyen</t>
  </si>
  <si>
    <t># text = Je l'aime puisqu'elle m'a obligé de trouver de la joie et de m'y accrocher.</t>
  </si>
  <si>
    <t>obligé</t>
  </si>
  <si>
    <t>accrocher</t>
  </si>
  <si>
    <t># text = parce que chaque jour je décide parfois vaillamment, parfois contre à l'encontre de la raison du moment, d'adhérer aux raisons de vivre, Et cela, je crois, représente une extase très rare.</t>
  </si>
  <si>
    <t>décide</t>
  </si>
  <si>
    <t>parfois</t>
  </si>
  <si>
    <t>vaillamment</t>
  </si>
  <si>
    <t>encontre</t>
  </si>
  <si>
    <t>adhérer</t>
  </si>
  <si>
    <t>extase</t>
  </si>
  <si>
    <t>rare</t>
  </si>
  <si>
    <t># text = Merci.</t>
  </si>
  <si>
    <t>Merci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</si>
</sst>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5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11</v>
      </c>
      <c r="B4" s="6" t="s">
        <v>17</v>
      </c>
      <c r="C4" s="6" t="s">
        <v>22</v>
      </c>
      <c r="D4" s="7" t="s">
        <v>23</v>
      </c>
      <c r="E4" s="8" t="s">
        <v>24</v>
      </c>
      <c r="F4" s="6" t="s">
        <v>25</v>
      </c>
      <c r="G4" s="9">
        <f>IF(A4=1,"_",IF(C4="_","???",C4))</f>
        <v/>
      </c>
      <c r="H4" s="10" t="s">
        <v>12</v>
      </c>
      <c r="I4" s="11" t="s">
        <v>12</v>
      </c>
      <c r="J4" s="12"/>
    </row>
    <row r="5" spans="1:10" ht="60" customHeight="1">
      <c r="A5" s="6" t="s">
        <v>26</v>
      </c>
      <c r="B5" s="6" t="s">
        <v>27</v>
      </c>
      <c r="C5" s="6" t="s">
        <v>12</v>
      </c>
      <c r="D5" s="7" t="s">
        <v>28</v>
      </c>
      <c r="E5" s="8" t="s">
        <v>29</v>
      </c>
      <c r="F5" s="6" t="s">
        <v>30</v>
      </c>
      <c r="G5" s="9">
        <f>IF(A5=1,"_",IF(C5="_","???",C5))</f>
        <v/>
      </c>
      <c r="H5" s="10" t="s">
        <v>12</v>
      </c>
      <c r="I5" s="11" t="s">
        <v>12</v>
      </c>
      <c r="J5" s="12"/>
    </row>
    <row r="6" spans="1:10" ht="60" customHeight="1">
      <c r="A6" s="6" t="s">
        <v>31</v>
      </c>
      <c r="B6" s="6" t="s">
        <v>17</v>
      </c>
      <c r="C6" s="6" t="s">
        <v>32</v>
      </c>
      <c r="D6" s="7" t="s">
        <v>33</v>
      </c>
      <c r="E6" s="8" t="s">
        <v>34</v>
      </c>
      <c r="F6" s="6" t="s">
        <v>35</v>
      </c>
      <c r="G6" s="9">
        <f>IF(A6=1,"_",IF(C6="_","???",C6))</f>
        <v/>
      </c>
      <c r="H6" s="10" t="s">
        <v>12</v>
      </c>
      <c r="I6" s="11" t="s">
        <v>12</v>
      </c>
      <c r="J6" s="12"/>
    </row>
    <row r="7" spans="1:10" ht="60" customHeight="1">
      <c r="A7" s="6" t="s">
        <v>27</v>
      </c>
      <c r="B7" s="6" t="s">
        <v>36</v>
      </c>
      <c r="C7" s="6" t="s">
        <v>18</v>
      </c>
      <c r="D7" s="7" t="s">
        <v>37</v>
      </c>
      <c r="E7" s="8" t="s">
        <v>38</v>
      </c>
      <c r="F7" s="6" t="s">
        <v>39</v>
      </c>
      <c r="G7" s="9">
        <f>IF(A7=1,"_",IF(C7="_","???",C7))</f>
        <v/>
      </c>
      <c r="H7" s="10" t="s">
        <v>12</v>
      </c>
      <c r="I7" s="11" t="s">
        <v>12</v>
      </c>
      <c r="J7" s="12"/>
    </row>
    <row r="8" spans="1:10" ht="60" customHeight="1">
      <c r="A8" s="6" t="s">
        <v>17</v>
      </c>
      <c r="B8" s="6" t="s">
        <v>11</v>
      </c>
      <c r="C8" s="6" t="s">
        <v>40</v>
      </c>
      <c r="D8" s="7" t="s">
        <v>41</v>
      </c>
      <c r="E8" s="8" t="s">
        <v>42</v>
      </c>
      <c r="F8" s="6" t="s">
        <v>43</v>
      </c>
      <c r="G8" s="9">
        <f>IF(A8=1,"_",IF(C8="_","???",C8))</f>
        <v/>
      </c>
      <c r="H8" s="10" t="s">
        <v>12</v>
      </c>
      <c r="I8" s="11" t="s">
        <v>12</v>
      </c>
      <c r="J8" s="12"/>
    </row>
    <row r="9" spans="1:10" ht="60" customHeight="1">
      <c r="A9" s="6" t="s">
        <v>44</v>
      </c>
      <c r="B9" s="6" t="s">
        <v>11</v>
      </c>
      <c r="C9" s="6" t="s">
        <v>40</v>
      </c>
      <c r="D9" s="7" t="s">
        <v>45</v>
      </c>
      <c r="E9" s="8" t="s">
        <v>46</v>
      </c>
      <c r="F9" s="6" t="s">
        <v>47</v>
      </c>
      <c r="G9" s="9">
        <f>IF(A9=1,"_",IF(C9="_","???",C9))</f>
        <v/>
      </c>
      <c r="H9" s="10" t="s">
        <v>12</v>
      </c>
      <c r="I9" s="11" t="s">
        <v>12</v>
      </c>
      <c r="J9" s="12"/>
    </row>
    <row r="10" spans="1:10" ht="60" customHeight="1">
      <c r="A10" s="6" t="s">
        <v>48</v>
      </c>
      <c r="B10" s="6" t="s">
        <v>27</v>
      </c>
      <c r="C10" s="6" t="s">
        <v>49</v>
      </c>
      <c r="D10" s="7" t="s">
        <v>50</v>
      </c>
      <c r="E10" s="8" t="s">
        <v>51</v>
      </c>
      <c r="F10" s="6" t="s">
        <v>52</v>
      </c>
      <c r="G10" s="9">
        <f>IF(A10=1,"_",IF(C10="_","???",C10))</f>
        <v/>
      </c>
      <c r="H10" s="10" t="s">
        <v>12</v>
      </c>
      <c r="I10" s="11" t="s">
        <v>12</v>
      </c>
      <c r="J10" s="12"/>
    </row>
    <row r="11" spans="1:10" ht="60" customHeight="1">
      <c r="A11" s="6" t="s">
        <v>53</v>
      </c>
      <c r="B11" s="6" t="s">
        <v>48</v>
      </c>
      <c r="C11" s="6" t="s">
        <v>12</v>
      </c>
      <c r="D11" s="7" t="s">
        <v>54</v>
      </c>
      <c r="E11" s="8" t="s">
        <v>55</v>
      </c>
      <c r="F11" s="6" t="s">
        <v>56</v>
      </c>
      <c r="G11" s="9">
        <f>IF(A11=1,"_",IF(C11="_","???",C11))</f>
        <v/>
      </c>
      <c r="H11" s="10" t="s">
        <v>12</v>
      </c>
      <c r="I11" s="11" t="s">
        <v>12</v>
      </c>
      <c r="J11" s="12"/>
    </row>
    <row r="12" spans="1:10" ht="60" customHeight="1">
      <c r="A12" s="6" t="s">
        <v>36</v>
      </c>
      <c r="B12" s="6" t="s">
        <v>27</v>
      </c>
      <c r="C12" s="6" t="s">
        <v>49</v>
      </c>
      <c r="D12" s="7" t="s">
        <v>57</v>
      </c>
      <c r="E12" s="8" t="s">
        <v>58</v>
      </c>
      <c r="F12" s="6" t="s">
        <v>59</v>
      </c>
      <c r="G12" s="9">
        <f>IF(A12=1,"_",IF(C12="_","???",C12))</f>
        <v/>
      </c>
      <c r="H12" s="10" t="s">
        <v>12</v>
      </c>
      <c r="I12" s="11" t="s">
        <v>12</v>
      </c>
      <c r="J12" s="12"/>
    </row>
    <row r="13" spans="1:10" ht="60" customHeight="1">
      <c r="A13" s="6" t="s">
        <v>60</v>
      </c>
      <c r="B13" s="6" t="s">
        <v>26</v>
      </c>
      <c r="C13" s="6" t="s">
        <v>61</v>
      </c>
      <c r="D13" s="7" t="s">
        <v>62</v>
      </c>
      <c r="E13" s="8" t="s">
        <v>63</v>
      </c>
      <c r="F13" s="6" t="s">
        <v>64</v>
      </c>
      <c r="G13" s="9">
        <f>IF(A13=1,"_",IF(C13="_","???",C13))</f>
        <v/>
      </c>
      <c r="H13" s="10" t="s">
        <v>12</v>
      </c>
      <c r="I13" s="11" t="s">
        <v>12</v>
      </c>
      <c r="J13" s="12"/>
    </row>
    <row r="14" spans="1:10" ht="60" customHeight="1">
      <c r="A14" s="6" t="s">
        <v>65</v>
      </c>
      <c r="B14" s="6" t="s">
        <v>36</v>
      </c>
      <c r="C14" s="6" t="s">
        <v>66</v>
      </c>
      <c r="D14" s="7" t="s">
        <v>67</v>
      </c>
      <c r="E14" s="8" t="s">
        <v>68</v>
      </c>
      <c r="F14" s="6" t="s">
        <v>69</v>
      </c>
      <c r="G14" s="9">
        <f>IF(A14=1,"_",IF(C14="_","???",C14))</f>
        <v/>
      </c>
      <c r="H14" s="10" t="s">
        <v>12</v>
      </c>
      <c r="I14" s="11" t="s">
        <v>12</v>
      </c>
      <c r="J14" s="12"/>
    </row>
    <row r="15" spans="1:10" ht="60" customHeight="1">
      <c r="A15" s="6" t="s">
        <v>70</v>
      </c>
      <c r="B15" s="6" t="s">
        <v>11</v>
      </c>
      <c r="C15" s="6" t="s">
        <v>18</v>
      </c>
      <c r="D15" s="7" t="s">
        <v>71</v>
      </c>
      <c r="E15" s="8" t="s">
        <v>72</v>
      </c>
      <c r="F15" s="6" t="s">
        <v>73</v>
      </c>
      <c r="G15" s="9">
        <f>IF(A15=1,"_",IF(C15="_","???",C15))</f>
        <v/>
      </c>
      <c r="H15" s="10" t="s">
        <v>12</v>
      </c>
      <c r="I15" s="11" t="s">
        <v>12</v>
      </c>
      <c r="J15" s="12"/>
    </row>
    <row r="16" spans="1:10" ht="60" customHeight="1">
      <c r="A16" s="6" t="s">
        <v>74</v>
      </c>
      <c r="B16" s="6" t="s">
        <v>17</v>
      </c>
      <c r="C16" s="6" t="s">
        <v>75</v>
      </c>
      <c r="D16" s="7" t="s">
        <v>76</v>
      </c>
      <c r="E16" s="8" t="s">
        <v>77</v>
      </c>
      <c r="F16" s="6" t="s">
        <v>78</v>
      </c>
      <c r="G16" s="9">
        <f>IF(A16=1,"_",IF(C16="_","???",C16))</f>
        <v/>
      </c>
      <c r="H16" s="10" t="s">
        <v>12</v>
      </c>
      <c r="I16" s="11" t="s">
        <v>12</v>
      </c>
      <c r="J16" s="12"/>
    </row>
    <row r="17" spans="1:10" ht="60" customHeight="1">
      <c r="A17" s="6" t="s">
        <v>79</v>
      </c>
      <c r="B17" s="6" t="s">
        <v>48</v>
      </c>
      <c r="C17" s="6" t="s">
        <v>12</v>
      </c>
      <c r="D17" s="7" t="s">
        <v>80</v>
      </c>
      <c r="E17" s="8" t="s">
        <v>81</v>
      </c>
      <c r="F17" s="6" t="s">
        <v>82</v>
      </c>
      <c r="G17" s="9">
        <f>IF(A17=1,"_",IF(C17="_","???",C17))</f>
        <v/>
      </c>
      <c r="H17" s="10" t="s">
        <v>12</v>
      </c>
      <c r="I17" s="11" t="s">
        <v>12</v>
      </c>
      <c r="J17" s="12"/>
    </row>
    <row r="18" spans="1:10" ht="60" customHeight="1">
      <c r="A18" s="6" t="s">
        <v>83</v>
      </c>
      <c r="B18" s="6" t="s">
        <v>16</v>
      </c>
      <c r="C18" s="6" t="s">
        <v>18</v>
      </c>
      <c r="D18" s="7" t="s">
        <v>84</v>
      </c>
      <c r="E18" s="8" t="s">
        <v>85</v>
      </c>
      <c r="F18" s="6" t="s">
        <v>86</v>
      </c>
      <c r="G18" s="9">
        <f>IF(A18=1,"_",IF(C18="_","???",C18))</f>
        <v/>
      </c>
      <c r="H18" s="10" t="s">
        <v>12</v>
      </c>
      <c r="I18" s="11" t="s">
        <v>12</v>
      </c>
      <c r="J18" s="12"/>
    </row>
    <row r="19" spans="1:10" ht="60" customHeight="1">
      <c r="A19" s="6" t="s">
        <v>87</v>
      </c>
      <c r="B19" s="6" t="s">
        <v>26</v>
      </c>
      <c r="C19" s="6" t="s">
        <v>88</v>
      </c>
      <c r="D19" s="7" t="s">
        <v>89</v>
      </c>
      <c r="E19" s="8" t="s">
        <v>90</v>
      </c>
      <c r="F19" s="6" t="s">
        <v>91</v>
      </c>
      <c r="G19" s="9">
        <f>IF(A19=1,"_",IF(C19="_","???",C19))</f>
        <v/>
      </c>
      <c r="H19" s="10" t="s">
        <v>12</v>
      </c>
      <c r="I19" s="11" t="s">
        <v>12</v>
      </c>
      <c r="J19" s="12"/>
    </row>
    <row r="20" spans="1:10" ht="60" customHeight="1">
      <c r="A20" s="6" t="s">
        <v>92</v>
      </c>
      <c r="B20" s="6" t="s">
        <v>74</v>
      </c>
      <c r="C20" s="6" t="s">
        <v>12</v>
      </c>
      <c r="D20" s="7" t="s">
        <v>93</v>
      </c>
      <c r="E20" s="8" t="s">
        <v>94</v>
      </c>
      <c r="F20" s="6" t="s">
        <v>95</v>
      </c>
      <c r="G20" s="9">
        <f>IF(A20=1,"_",IF(C20="_","???",C20))</f>
        <v/>
      </c>
      <c r="H20" s="10" t="s">
        <v>12</v>
      </c>
      <c r="I20" s="11" t="s">
        <v>12</v>
      </c>
      <c r="J20" s="12"/>
    </row>
    <row r="21" spans="1:10" ht="60" customHeight="1">
      <c r="A21" s="6" t="s">
        <v>96</v>
      </c>
      <c r="B21" s="6" t="s">
        <v>16</v>
      </c>
      <c r="C21" s="6" t="s">
        <v>97</v>
      </c>
      <c r="D21" s="7" t="s">
        <v>98</v>
      </c>
      <c r="E21" s="8" t="s">
        <v>99</v>
      </c>
      <c r="F21" s="6" t="s">
        <v>100</v>
      </c>
      <c r="G21" s="9">
        <f>IF(A21=1,"_",IF(C21="_","???",C21))</f>
        <v/>
      </c>
      <c r="H21" s="10" t="s">
        <v>12</v>
      </c>
      <c r="I21" s="11" t="s">
        <v>12</v>
      </c>
      <c r="J21" s="12"/>
    </row>
    <row r="22" spans="1:10" ht="60" customHeight="1">
      <c r="A22" s="6" t="s">
        <v>101</v>
      </c>
      <c r="B22" s="6" t="s">
        <v>16</v>
      </c>
      <c r="C22" s="6" t="s">
        <v>12</v>
      </c>
      <c r="D22" s="7" t="s">
        <v>98</v>
      </c>
      <c r="E22" s="8" t="s">
        <v>102</v>
      </c>
      <c r="F22" s="6" t="s">
        <v>103</v>
      </c>
      <c r="G22" s="9">
        <f>IF(A22=1,"_",IF(C22="_","???",C22))</f>
        <v/>
      </c>
      <c r="H22" s="10" t="s">
        <v>12</v>
      </c>
      <c r="I22" s="11" t="s">
        <v>12</v>
      </c>
      <c r="J22" s="12"/>
    </row>
    <row r="23" spans="1:10" ht="60" customHeight="1">
      <c r="A23" s="6" t="s">
        <v>104</v>
      </c>
      <c r="B23" s="6" t="s">
        <v>27</v>
      </c>
      <c r="C23" s="6" t="s">
        <v>97</v>
      </c>
      <c r="D23" s="7" t="s">
        <v>105</v>
      </c>
      <c r="E23" s="8" t="s">
        <v>106</v>
      </c>
      <c r="F23" s="6" t="s">
        <v>107</v>
      </c>
      <c r="G23" s="9">
        <f>IF(A23=1,"_",IF(C23="_","???",C23))</f>
        <v/>
      </c>
      <c r="H23" s="10" t="s">
        <v>12</v>
      </c>
      <c r="I23" s="11" t="s">
        <v>12</v>
      </c>
      <c r="J23" s="12"/>
    </row>
    <row r="24" spans="1:10" ht="60" customHeight="1">
      <c r="A24" s="6" t="s">
        <v>108</v>
      </c>
      <c r="B24" s="6" t="s">
        <v>16</v>
      </c>
      <c r="C24" s="6" t="s">
        <v>12</v>
      </c>
      <c r="D24" s="7" t="s">
        <v>109</v>
      </c>
      <c r="E24" s="8" t="s">
        <v>110</v>
      </c>
      <c r="F24" s="6" t="s">
        <v>111</v>
      </c>
      <c r="G24" s="9">
        <f>IF(A24=1,"_",IF(C24="_","???",C24))</f>
        <v/>
      </c>
      <c r="H24" s="10" t="s">
        <v>12</v>
      </c>
      <c r="I24" s="11" t="s">
        <v>12</v>
      </c>
      <c r="J24" s="12"/>
    </row>
    <row r="25" spans="1:10" ht="60" customHeight="1">
      <c r="A25" s="6" t="s">
        <v>112</v>
      </c>
      <c r="B25" s="6" t="s">
        <v>17</v>
      </c>
      <c r="C25" s="6" t="s">
        <v>32</v>
      </c>
      <c r="D25" s="7" t="s">
        <v>113</v>
      </c>
      <c r="E25" s="8" t="s">
        <v>114</v>
      </c>
      <c r="F25" s="6" t="s">
        <v>115</v>
      </c>
      <c r="G25" s="9">
        <f>IF(A25=1,"_",IF(C25="_","???",C25))</f>
        <v/>
      </c>
      <c r="H25" s="10" t="s">
        <v>12</v>
      </c>
      <c r="I25" s="11" t="s">
        <v>12</v>
      </c>
      <c r="J25" s="12"/>
    </row>
    <row r="26" spans="1:10" ht="60" customHeight="1">
      <c r="A26" s="6" t="s">
        <v>116</v>
      </c>
      <c r="B26" s="6" t="s">
        <v>87</v>
      </c>
      <c r="C26" s="6" t="s">
        <v>117</v>
      </c>
      <c r="D26" s="7" t="s">
        <v>118</v>
      </c>
      <c r="E26" s="8" t="s">
        <v>119</v>
      </c>
      <c r="F26" s="6" t="s">
        <v>120</v>
      </c>
      <c r="G26" s="9">
        <f>IF(A26=1,"_",IF(C26="_","???",C26))</f>
        <v/>
      </c>
      <c r="H26" s="10" t="s">
        <v>12</v>
      </c>
      <c r="I26" s="11" t="s">
        <v>12</v>
      </c>
      <c r="J26" s="12"/>
    </row>
    <row r="27" spans="1:10" ht="60" customHeight="1">
      <c r="A27" s="6" t="s">
        <v>121</v>
      </c>
      <c r="B27" s="6" t="s">
        <v>121</v>
      </c>
      <c r="C27" s="6" t="s">
        <v>122</v>
      </c>
      <c r="D27" s="7" t="s">
        <v>123</v>
      </c>
      <c r="E27" s="8" t="s">
        <v>124</v>
      </c>
      <c r="F27" s="6" t="s">
        <v>125</v>
      </c>
      <c r="G27" s="9">
        <f>IF(A27=1,"_",IF(C27="_","???",C27))</f>
        <v/>
      </c>
      <c r="H27" s="10" t="s">
        <v>12</v>
      </c>
      <c r="I27" s="11" t="s">
        <v>12</v>
      </c>
      <c r="J27" s="12"/>
    </row>
    <row r="28" spans="1:10" ht="60" customHeight="1">
      <c r="A28" s="6" t="s">
        <v>126</v>
      </c>
      <c r="B28" s="6" t="s">
        <v>16</v>
      </c>
      <c r="C28" s="6" t="s">
        <v>127</v>
      </c>
      <c r="D28" s="7" t="s">
        <v>128</v>
      </c>
      <c r="E28" s="8" t="s">
        <v>129</v>
      </c>
      <c r="F28" s="6" t="s">
        <v>130</v>
      </c>
      <c r="G28" s="9">
        <f>IF(A28=1,"_",IF(C28="_","???",C28))</f>
        <v/>
      </c>
      <c r="H28" s="10" t="s">
        <v>12</v>
      </c>
      <c r="I28" s="11" t="s">
        <v>12</v>
      </c>
      <c r="J28" s="12"/>
    </row>
    <row r="29" spans="1:10" ht="60" customHeight="1">
      <c r="A29" s="6" t="s">
        <v>131</v>
      </c>
      <c r="B29" s="6" t="s">
        <v>16</v>
      </c>
      <c r="C29" s="6" t="s">
        <v>12</v>
      </c>
      <c r="D29" s="7" t="s">
        <v>132</v>
      </c>
      <c r="E29" s="8" t="s">
        <v>133</v>
      </c>
      <c r="F29" s="6" t="s">
        <v>134</v>
      </c>
      <c r="G29" s="9">
        <f>IF(A29=1,"_",IF(C29="_","???",C29))</f>
        <v/>
      </c>
      <c r="H29" s="10" t="s">
        <v>12</v>
      </c>
      <c r="I29" s="11" t="s">
        <v>12</v>
      </c>
      <c r="J29" s="12"/>
    </row>
    <row r="30" spans="1:10" ht="60" customHeight="1">
      <c r="A30" s="6" t="s">
        <v>135</v>
      </c>
      <c r="B30" s="6" t="s">
        <v>11</v>
      </c>
      <c r="C30" s="6" t="s">
        <v>18</v>
      </c>
      <c r="D30" s="7" t="s">
        <v>136</v>
      </c>
      <c r="E30" s="8" t="s">
        <v>137</v>
      </c>
      <c r="F30" s="6" t="s">
        <v>138</v>
      </c>
      <c r="G30" s="9">
        <f>IF(A30=1,"_",IF(C30="_","???",C30))</f>
        <v/>
      </c>
      <c r="H30" s="10" t="s">
        <v>12</v>
      </c>
      <c r="I30" s="11" t="s">
        <v>12</v>
      </c>
      <c r="J30" s="12"/>
    </row>
    <row r="31" spans="1:10" ht="60" customHeight="1">
      <c r="A31" s="6" t="s">
        <v>139</v>
      </c>
      <c r="B31" s="6" t="s">
        <v>44</v>
      </c>
      <c r="C31" s="6" t="s">
        <v>140</v>
      </c>
      <c r="D31" s="7" t="s">
        <v>141</v>
      </c>
      <c r="E31" s="8" t="s">
        <v>142</v>
      </c>
      <c r="F31" s="6" t="s">
        <v>143</v>
      </c>
      <c r="G31" s="9">
        <f>IF(A31=1,"_",IF(C31="_","???",C31))</f>
        <v/>
      </c>
      <c r="H31" s="10" t="s">
        <v>12</v>
      </c>
      <c r="I31" s="11" t="s">
        <v>12</v>
      </c>
      <c r="J31" s="12"/>
    </row>
    <row r="32" spans="1:10" ht="60" customHeight="1">
      <c r="A32" s="6" t="s">
        <v>144</v>
      </c>
      <c r="B32" s="6" t="s">
        <v>31</v>
      </c>
      <c r="C32" s="6" t="s">
        <v>75</v>
      </c>
      <c r="D32" s="7" t="s">
        <v>145</v>
      </c>
      <c r="E32" s="8" t="s">
        <v>146</v>
      </c>
      <c r="F32" s="6" t="s">
        <v>147</v>
      </c>
      <c r="G32" s="9">
        <f>IF(A32=1,"_",IF(C32="_","???",C32))</f>
        <v/>
      </c>
      <c r="H32" s="10" t="s">
        <v>12</v>
      </c>
      <c r="I32" s="11" t="s">
        <v>12</v>
      </c>
      <c r="J32" s="12"/>
    </row>
    <row r="33" spans="1:10" ht="60" customHeight="1">
      <c r="A33" s="6" t="s">
        <v>148</v>
      </c>
      <c r="B33" s="6" t="s">
        <v>108</v>
      </c>
      <c r="C33" s="6" t="s">
        <v>140</v>
      </c>
      <c r="D33" s="7" t="s">
        <v>149</v>
      </c>
      <c r="E33" s="8" t="s">
        <v>150</v>
      </c>
      <c r="F33" s="6" t="s">
        <v>151</v>
      </c>
      <c r="G33" s="9">
        <f>IF(A33=1,"_",IF(C33="_","???",C33))</f>
        <v/>
      </c>
      <c r="H33" s="10" t="s">
        <v>12</v>
      </c>
      <c r="I33" s="11" t="s">
        <v>12</v>
      </c>
      <c r="J33" s="12"/>
    </row>
    <row r="34" spans="1:10" ht="60" customHeight="1">
      <c r="A34" s="6" t="s">
        <v>152</v>
      </c>
      <c r="B34" s="6" t="s">
        <v>16</v>
      </c>
      <c r="C34" s="6" t="s">
        <v>12</v>
      </c>
      <c r="D34" s="7" t="s">
        <v>153</v>
      </c>
      <c r="E34" s="8" t="s">
        <v>154</v>
      </c>
      <c r="F34" s="6" t="s">
        <v>155</v>
      </c>
      <c r="G34" s="9">
        <f>IF(A34=1,"_",IF(C34="_","???",C34))</f>
        <v/>
      </c>
      <c r="H34" s="10" t="s">
        <v>12</v>
      </c>
      <c r="I34" s="11" t="s">
        <v>12</v>
      </c>
      <c r="J34" s="12"/>
    </row>
    <row r="35" spans="1:10" ht="60" customHeight="1">
      <c r="A35" s="6" t="s">
        <v>156</v>
      </c>
      <c r="B35" s="6" t="s">
        <v>17</v>
      </c>
      <c r="C35" s="6" t="s">
        <v>18</v>
      </c>
      <c r="D35" s="7" t="s">
        <v>157</v>
      </c>
      <c r="E35" s="8" t="s">
        <v>158</v>
      </c>
      <c r="F35" s="6" t="s">
        <v>159</v>
      </c>
      <c r="G35" s="9">
        <f>IF(A35=1,"_",IF(C35="_","???",C35))</f>
        <v/>
      </c>
      <c r="H35" s="10" t="s">
        <v>12</v>
      </c>
      <c r="I35" s="11" t="s">
        <v>12</v>
      </c>
      <c r="J35" s="12"/>
    </row>
    <row r="36" spans="1:10" ht="60" customHeight="1">
      <c r="A36" s="6" t="s">
        <v>160</v>
      </c>
      <c r="B36" s="6" t="s">
        <v>31</v>
      </c>
      <c r="C36" s="6" t="s">
        <v>161</v>
      </c>
      <c r="D36" s="7" t="s">
        <v>157</v>
      </c>
      <c r="E36" s="8" t="s">
        <v>162</v>
      </c>
      <c r="F36" s="6" t="s">
        <v>163</v>
      </c>
      <c r="G36" s="9">
        <f>IF(A36=1,"_",IF(C36="_","???",C36))</f>
        <v/>
      </c>
      <c r="H36" s="10" t="s">
        <v>12</v>
      </c>
      <c r="I36" s="11" t="s">
        <v>12</v>
      </c>
      <c r="J36" s="12"/>
    </row>
    <row r="37" spans="1:10" ht="60" customHeight="1">
      <c r="A37" s="6" t="s">
        <v>164</v>
      </c>
      <c r="B37" s="6" t="s">
        <v>53</v>
      </c>
      <c r="C37" s="6" t="s">
        <v>117</v>
      </c>
      <c r="D37" s="7" t="s">
        <v>93</v>
      </c>
      <c r="E37" s="8" t="s">
        <v>165</v>
      </c>
      <c r="F37" s="6" t="s">
        <v>166</v>
      </c>
      <c r="G37" s="9">
        <f>IF(A37=1,"_",IF(C37="_","???",C37))</f>
        <v/>
      </c>
      <c r="H37" s="10" t="s">
        <v>12</v>
      </c>
      <c r="I37" s="11" t="s">
        <v>12</v>
      </c>
      <c r="J37" s="12"/>
    </row>
    <row r="38" spans="1:10" ht="60" customHeight="1">
      <c r="A38" s="6" t="s">
        <v>167</v>
      </c>
      <c r="B38" s="6" t="s">
        <v>96</v>
      </c>
      <c r="C38" s="6" t="s">
        <v>18</v>
      </c>
      <c r="D38" s="7" t="s">
        <v>168</v>
      </c>
      <c r="E38" s="8" t="s">
        <v>169</v>
      </c>
      <c r="F38" s="6" t="s">
        <v>170</v>
      </c>
      <c r="G38" s="9">
        <f>IF(A38=1,"_",IF(C38="_","???",C38))</f>
        <v/>
      </c>
      <c r="H38" s="10" t="s">
        <v>12</v>
      </c>
      <c r="I38" s="11" t="s">
        <v>12</v>
      </c>
      <c r="J38" s="12"/>
    </row>
    <row r="39" spans="1:10" ht="60" customHeight="1">
      <c r="A39" s="6" t="s">
        <v>171</v>
      </c>
      <c r="B39" s="6" t="s">
        <v>26</v>
      </c>
      <c r="C39" s="6" t="s">
        <v>12</v>
      </c>
      <c r="D39" s="7" t="s">
        <v>172</v>
      </c>
      <c r="E39" s="8" t="s">
        <v>173</v>
      </c>
      <c r="F39" s="6" t="s">
        <v>174</v>
      </c>
      <c r="G39" s="9">
        <f>IF(A39=1,"_",IF(C39="_","???",C39))</f>
        <v/>
      </c>
      <c r="H39" s="10" t="s">
        <v>12</v>
      </c>
      <c r="I39" s="11" t="s">
        <v>12</v>
      </c>
      <c r="J39" s="12"/>
    </row>
    <row r="40" spans="1:10" ht="60" customHeight="1">
      <c r="A40" s="6" t="s">
        <v>175</v>
      </c>
      <c r="B40" s="6" t="s">
        <v>27</v>
      </c>
      <c r="C40" s="6" t="s">
        <v>18</v>
      </c>
      <c r="D40" s="7" t="s">
        <v>93</v>
      </c>
      <c r="E40" s="8" t="s">
        <v>176</v>
      </c>
      <c r="F40" s="6" t="s">
        <v>177</v>
      </c>
      <c r="G40" s="9">
        <f>IF(A40=1,"_",IF(C40="_","???",C40))</f>
        <v/>
      </c>
      <c r="H40" s="10" t="s">
        <v>12</v>
      </c>
      <c r="I40" s="11" t="s">
        <v>12</v>
      </c>
      <c r="J40" s="12"/>
    </row>
    <row r="41" spans="1:10" ht="60" customHeight="1">
      <c r="A41" s="6" t="s">
        <v>178</v>
      </c>
      <c r="B41" s="6" t="s">
        <v>26</v>
      </c>
      <c r="C41" s="6" t="s">
        <v>179</v>
      </c>
      <c r="D41" s="7" t="s">
        <v>19</v>
      </c>
      <c r="E41" s="8" t="s">
        <v>180</v>
      </c>
      <c r="F41" s="6" t="s">
        <v>181</v>
      </c>
      <c r="G41" s="9">
        <f>IF(A41=1,"_",IF(C41="_","???",C41))</f>
        <v/>
      </c>
      <c r="H41" s="10" t="s">
        <v>12</v>
      </c>
      <c r="I41" s="11" t="s">
        <v>12</v>
      </c>
      <c r="J41" s="12"/>
    </row>
    <row r="42" spans="1:10" ht="60" customHeight="1">
      <c r="A42" s="6" t="s">
        <v>182</v>
      </c>
      <c r="B42" s="6" t="s">
        <v>31</v>
      </c>
      <c r="C42" s="6" t="s">
        <v>75</v>
      </c>
      <c r="D42" s="7" t="s">
        <v>183</v>
      </c>
      <c r="E42" s="8" t="s">
        <v>184</v>
      </c>
      <c r="F42" s="6" t="s">
        <v>185</v>
      </c>
      <c r="G42" s="9">
        <f>IF(A42=1,"_",IF(C42="_","???",C42))</f>
        <v/>
      </c>
      <c r="H42" s="10" t="s">
        <v>12</v>
      </c>
      <c r="I42" s="11" t="s">
        <v>12</v>
      </c>
      <c r="J42" s="12"/>
    </row>
    <row r="43" spans="1:10" ht="60" customHeight="1">
      <c r="A43" s="6" t="s">
        <v>186</v>
      </c>
      <c r="B43" s="6" t="s">
        <v>16</v>
      </c>
      <c r="C43" s="6" t="s">
        <v>18</v>
      </c>
      <c r="D43" s="7" t="s">
        <v>153</v>
      </c>
      <c r="E43" s="8" t="s">
        <v>187</v>
      </c>
      <c r="F43" s="6" t="s">
        <v>188</v>
      </c>
      <c r="G43" s="9">
        <f>IF(A43=1,"_",IF(C43="_","???",C43))</f>
        <v/>
      </c>
      <c r="H43" s="10" t="s">
        <v>12</v>
      </c>
      <c r="I43" s="11" t="s">
        <v>12</v>
      </c>
      <c r="J43" s="12"/>
    </row>
    <row r="44" spans="1:10" ht="60" customHeight="1">
      <c r="A44" s="6" t="s">
        <v>189</v>
      </c>
      <c r="B44" s="6" t="s">
        <v>10</v>
      </c>
      <c r="C44" s="6" t="s">
        <v>12</v>
      </c>
      <c r="D44" s="7" t="s">
        <v>190</v>
      </c>
      <c r="E44" s="8" t="s">
        <v>190</v>
      </c>
      <c r="F44" s="6" t="s">
        <v>191</v>
      </c>
      <c r="G44" s="9">
        <f>IF(A44=1,"_",IF(C44="_","???",C44))</f>
        <v/>
      </c>
      <c r="H44" s="10" t="s">
        <v>12</v>
      </c>
      <c r="I44" s="11" t="s">
        <v>12</v>
      </c>
      <c r="J44" s="12"/>
    </row>
    <row r="45" spans="1:10" ht="60" customHeight="1">
      <c r="A45" s="6" t="s">
        <v>192</v>
      </c>
      <c r="B45" s="6" t="s">
        <v>26</v>
      </c>
      <c r="C45" s="6" t="s">
        <v>18</v>
      </c>
      <c r="D45" s="7" t="s">
        <v>145</v>
      </c>
      <c r="E45" s="8" t="s">
        <v>193</v>
      </c>
      <c r="F45" s="6" t="s">
        <v>194</v>
      </c>
      <c r="G45" s="9">
        <f>IF(A45=1,"_",IF(C45="_","???",C45))</f>
        <v/>
      </c>
      <c r="H45" s="10" t="s">
        <v>12</v>
      </c>
      <c r="I45" s="11" t="s">
        <v>12</v>
      </c>
      <c r="J45" s="12"/>
    </row>
    <row r="46" spans="1:10" ht="60" customHeight="1">
      <c r="A46" s="6" t="s">
        <v>195</v>
      </c>
      <c r="B46" s="6" t="s">
        <v>31</v>
      </c>
      <c r="C46" s="6" t="s">
        <v>32</v>
      </c>
      <c r="D46" s="7" t="s">
        <v>196</v>
      </c>
      <c r="E46" s="8" t="s">
        <v>197</v>
      </c>
      <c r="F46" s="6" t="s">
        <v>198</v>
      </c>
      <c r="G46" s="9">
        <f>IF(A46=1,"_",IF(C46="_","???",C46))</f>
        <v/>
      </c>
      <c r="H46" s="10" t="s">
        <v>12</v>
      </c>
      <c r="I46" s="11" t="s">
        <v>12</v>
      </c>
      <c r="J46" s="12"/>
    </row>
    <row r="47" spans="1:10" ht="60" customHeight="1">
      <c r="A47" s="6" t="s">
        <v>199</v>
      </c>
      <c r="B47" s="6" t="s">
        <v>27</v>
      </c>
      <c r="C47" s="6" t="s">
        <v>200</v>
      </c>
      <c r="D47" s="7" t="s">
        <v>201</v>
      </c>
      <c r="E47" s="8" t="s">
        <v>202</v>
      </c>
      <c r="F47" s="6" t="s">
        <v>203</v>
      </c>
      <c r="G47" s="9">
        <f>IF(A47=1,"_",IF(C47="_","???",C47))</f>
        <v/>
      </c>
      <c r="H47" s="10" t="s">
        <v>12</v>
      </c>
      <c r="I47" s="11" t="s">
        <v>12</v>
      </c>
      <c r="J47" s="12"/>
    </row>
    <row r="48" spans="1:10" ht="60" customHeight="1">
      <c r="A48" s="6" t="s">
        <v>204</v>
      </c>
      <c r="B48" s="6" t="s">
        <v>16</v>
      </c>
      <c r="C48" s="6" t="s">
        <v>12</v>
      </c>
      <c r="D48" s="7" t="s">
        <v>205</v>
      </c>
      <c r="E48" s="8" t="s">
        <v>206</v>
      </c>
      <c r="F48" s="6" t="s">
        <v>207</v>
      </c>
      <c r="G48" s="9">
        <f>IF(A48=1,"_",IF(C48="_","???",C48))</f>
        <v/>
      </c>
      <c r="H48" s="10" t="s">
        <v>12</v>
      </c>
      <c r="I48" s="11" t="s">
        <v>12</v>
      </c>
      <c r="J48" s="12"/>
    </row>
    <row r="49" spans="1:10" ht="60" customHeight="1">
      <c r="A49" s="6" t="s">
        <v>208</v>
      </c>
      <c r="B49" s="6" t="s">
        <v>11</v>
      </c>
      <c r="C49" s="6" t="s">
        <v>12</v>
      </c>
      <c r="D49" s="7" t="s">
        <v>209</v>
      </c>
      <c r="E49" s="8" t="s">
        <v>210</v>
      </c>
      <c r="F49" s="6" t="s">
        <v>211</v>
      </c>
      <c r="G49" s="9">
        <f>IF(A49=1,"_",IF(C49="_","???",C49))</f>
        <v/>
      </c>
      <c r="H49" s="10" t="s">
        <v>12</v>
      </c>
      <c r="I49" s="11" t="s">
        <v>12</v>
      </c>
      <c r="J49" s="12"/>
    </row>
    <row r="50" spans="1:10" ht="60" customHeight="1">
      <c r="A50" s="6" t="s">
        <v>212</v>
      </c>
      <c r="B50" s="6" t="s">
        <v>16</v>
      </c>
      <c r="C50" s="6" t="s">
        <v>12</v>
      </c>
      <c r="D50" s="7" t="s">
        <v>213</v>
      </c>
      <c r="E50" s="8" t="s">
        <v>214</v>
      </c>
      <c r="F50" s="6" t="s">
        <v>215</v>
      </c>
      <c r="G50" s="9">
        <f>IF(A50=1,"_",IF(C50="_","???",C50))</f>
        <v/>
      </c>
      <c r="H50" s="10" t="s">
        <v>12</v>
      </c>
      <c r="I50" s="11" t="s">
        <v>12</v>
      </c>
      <c r="J50" s="12"/>
    </row>
    <row r="51" spans="1:10" ht="60" customHeight="1">
      <c r="A51" s="6" t="s">
        <v>216</v>
      </c>
      <c r="B51" s="6" t="s">
        <v>11</v>
      </c>
      <c r="C51" s="6" t="s">
        <v>61</v>
      </c>
      <c r="D51" s="7" t="s">
        <v>217</v>
      </c>
      <c r="E51" s="8" t="s">
        <v>218</v>
      </c>
      <c r="F51" s="6" t="s">
        <v>219</v>
      </c>
      <c r="G51" s="9">
        <f>IF(A51=1,"_",IF(C51="_","???",C51))</f>
        <v/>
      </c>
      <c r="H51" s="10" t="s">
        <v>12</v>
      </c>
      <c r="I51" s="11" t="s">
        <v>12</v>
      </c>
      <c r="J51" s="12"/>
    </row>
    <row r="52" spans="1:10" ht="60" customHeight="1">
      <c r="A52" s="6" t="s">
        <v>220</v>
      </c>
      <c r="B52" s="6" t="s">
        <v>16</v>
      </c>
      <c r="C52" s="6" t="s">
        <v>12</v>
      </c>
      <c r="D52" s="7" t="s">
        <v>221</v>
      </c>
      <c r="E52" s="8" t="s">
        <v>222</v>
      </c>
      <c r="F52" s="6" t="s">
        <v>223</v>
      </c>
      <c r="G52" s="9">
        <f>IF(A52=1,"_",IF(C52="_","???",C52))</f>
        <v/>
      </c>
      <c r="H52" s="10" t="s">
        <v>12</v>
      </c>
      <c r="I52" s="11" t="s">
        <v>12</v>
      </c>
      <c r="J52" s="12"/>
    </row>
    <row r="53" spans="1:10" ht="60" customHeight="1">
      <c r="A53" s="6" t="s">
        <v>224</v>
      </c>
      <c r="B53" s="6" t="s">
        <v>31</v>
      </c>
      <c r="C53" s="6" t="s">
        <v>122</v>
      </c>
      <c r="D53" s="7" t="s">
        <v>225</v>
      </c>
      <c r="E53" s="8" t="s">
        <v>226</v>
      </c>
      <c r="F53" s="6" t="s">
        <v>227</v>
      </c>
      <c r="G53" s="9">
        <f>IF(A53=1,"_",IF(C53="_","???",C53))</f>
        <v/>
      </c>
      <c r="H53" s="10" t="s">
        <v>12</v>
      </c>
      <c r="I53" s="11" t="s">
        <v>12</v>
      </c>
      <c r="J53" s="12"/>
    </row>
    <row r="54" spans="1:10" ht="60" customHeight="1">
      <c r="A54" s="6" t="s">
        <v>228</v>
      </c>
      <c r="B54" s="6" t="s">
        <v>16</v>
      </c>
      <c r="C54" s="6" t="s">
        <v>18</v>
      </c>
      <c r="D54" s="7" t="s">
        <v>229</v>
      </c>
      <c r="E54" s="8" t="s">
        <v>230</v>
      </c>
      <c r="F54" s="6" t="s">
        <v>231</v>
      </c>
      <c r="G54" s="9">
        <f>IF(A54=1,"_",IF(C54="_","???",C54))</f>
        <v/>
      </c>
      <c r="H54" s="10" t="s">
        <v>12</v>
      </c>
      <c r="I54" s="11" t="s">
        <v>12</v>
      </c>
      <c r="J54" s="12"/>
    </row>
    <row r="55" spans="1:10" ht="60" customHeight="1">
      <c r="A55" s="6" t="s">
        <v>232</v>
      </c>
      <c r="B55" s="6" t="s">
        <v>11</v>
      </c>
      <c r="C55" s="6" t="s">
        <v>12</v>
      </c>
      <c r="D55" s="7" t="s">
        <v>233</v>
      </c>
      <c r="E55" s="8" t="s">
        <v>234</v>
      </c>
      <c r="F55" s="6" t="s">
        <v>235</v>
      </c>
      <c r="G55" s="9">
        <f>IF(A55=1,"_",IF(C55="_","???",C55))</f>
        <v/>
      </c>
      <c r="H55" s="10" t="s">
        <v>12</v>
      </c>
      <c r="I55" s="11" t="s">
        <v>12</v>
      </c>
      <c r="J55" s="12"/>
    </row>
    <row r="56" spans="1:10" ht="60" customHeight="1">
      <c r="A56" s="6" t="s">
        <v>236</v>
      </c>
      <c r="B56" s="6" t="s">
        <v>26</v>
      </c>
      <c r="C56" s="6" t="s">
        <v>117</v>
      </c>
      <c r="D56" s="7" t="s">
        <v>237</v>
      </c>
      <c r="E56" s="8" t="s">
        <v>238</v>
      </c>
      <c r="F56" s="6" t="s">
        <v>239</v>
      </c>
      <c r="G56" s="9">
        <f>IF(A56=1,"_",IF(C56="_","???",C56))</f>
        <v/>
      </c>
      <c r="H56" s="10" t="s">
        <v>12</v>
      </c>
      <c r="I56" s="11" t="s">
        <v>12</v>
      </c>
      <c r="J56" s="12"/>
    </row>
    <row r="57" spans="1:10" ht="60" customHeight="1">
      <c r="A57" s="6" t="s">
        <v>240</v>
      </c>
      <c r="B57" s="6" t="s">
        <v>26</v>
      </c>
      <c r="C57" s="6" t="s">
        <v>12</v>
      </c>
      <c r="D57" s="7" t="s">
        <v>241</v>
      </c>
      <c r="E57" s="8" t="s">
        <v>242</v>
      </c>
      <c r="F57" s="6" t="s">
        <v>243</v>
      </c>
      <c r="G57" s="9">
        <f>IF(A57=1,"_",IF(C57="_","???",C57))</f>
        <v/>
      </c>
      <c r="H57" s="10" t="s">
        <v>12</v>
      </c>
      <c r="I57" s="11" t="s">
        <v>12</v>
      </c>
      <c r="J57" s="12"/>
    </row>
    <row r="58" spans="1:10" ht="60" customHeight="1">
      <c r="A58" s="6" t="s">
        <v>244</v>
      </c>
      <c r="B58" s="6" t="s">
        <v>26</v>
      </c>
      <c r="C58" s="6" t="s">
        <v>245</v>
      </c>
      <c r="D58" s="7" t="s">
        <v>168</v>
      </c>
      <c r="E58" s="8" t="s">
        <v>246</v>
      </c>
      <c r="F58" s="6" t="s">
        <v>247</v>
      </c>
      <c r="G58" s="9">
        <f>IF(A58=1,"_",IF(C58="_","???",C58))</f>
        <v/>
      </c>
      <c r="H58" s="10" t="s">
        <v>12</v>
      </c>
      <c r="I58" s="11" t="s">
        <v>12</v>
      </c>
      <c r="J58" s="12"/>
    </row>
    <row r="59" spans="1:10" ht="60" customHeight="1">
      <c r="A59" s="6" t="s">
        <v>248</v>
      </c>
      <c r="B59" s="6" t="s">
        <v>11</v>
      </c>
      <c r="C59" s="6" t="s">
        <v>12</v>
      </c>
      <c r="D59" s="7" t="s">
        <v>168</v>
      </c>
      <c r="E59" s="8" t="s">
        <v>249</v>
      </c>
      <c r="F59" s="6" t="s">
        <v>250</v>
      </c>
      <c r="G59" s="9">
        <f>IF(A59=1,"_",IF(C59="_","???",C59))</f>
        <v/>
      </c>
      <c r="H59" s="10" t="s">
        <v>12</v>
      </c>
      <c r="I59" s="11" t="s">
        <v>12</v>
      </c>
      <c r="J59" s="12"/>
    </row>
    <row r="60" spans="1:10" ht="60" customHeight="1">
      <c r="A60" s="6" t="s">
        <v>251</v>
      </c>
      <c r="B60" s="6" t="s">
        <v>11</v>
      </c>
      <c r="C60" s="6" t="s">
        <v>12</v>
      </c>
      <c r="D60" s="7" t="s">
        <v>252</v>
      </c>
      <c r="E60" s="8" t="s">
        <v>253</v>
      </c>
      <c r="F60" s="6" t="s">
        <v>254</v>
      </c>
      <c r="G60" s="9">
        <f>IF(A60=1,"_",IF(C60="_","???",C60))</f>
        <v/>
      </c>
      <c r="H60" s="10" t="s">
        <v>12</v>
      </c>
      <c r="I60" s="11" t="s">
        <v>12</v>
      </c>
      <c r="J60" s="12"/>
    </row>
    <row r="61" spans="1:10" ht="60" customHeight="1">
      <c r="A61" s="6" t="s">
        <v>255</v>
      </c>
      <c r="B61" s="6" t="s">
        <v>104</v>
      </c>
      <c r="C61" s="6" t="s">
        <v>256</v>
      </c>
      <c r="D61" s="7" t="s">
        <v>13</v>
      </c>
      <c r="E61" s="8" t="s">
        <v>257</v>
      </c>
      <c r="F61" s="6" t="s">
        <v>258</v>
      </c>
      <c r="G61" s="9">
        <f>IF(A61=1,"_",IF(C61="_","???",C61))</f>
        <v/>
      </c>
      <c r="H61" s="10" t="s">
        <v>12</v>
      </c>
      <c r="I61" s="11" t="s">
        <v>12</v>
      </c>
      <c r="J61" s="12"/>
    </row>
    <row r="62" spans="1:10" ht="60" customHeight="1">
      <c r="A62" s="6" t="s">
        <v>259</v>
      </c>
      <c r="B62" s="6" t="s">
        <v>116</v>
      </c>
      <c r="C62" s="6" t="s">
        <v>117</v>
      </c>
      <c r="D62" s="7" t="s">
        <v>45</v>
      </c>
      <c r="E62" s="8" t="s">
        <v>260</v>
      </c>
      <c r="F62" s="6" t="s">
        <v>261</v>
      </c>
      <c r="G62" s="9">
        <f>IF(A62=1,"_",IF(C62="_","???",C62))</f>
        <v/>
      </c>
      <c r="H62" s="10" t="s">
        <v>12</v>
      </c>
      <c r="I62" s="11" t="s">
        <v>12</v>
      </c>
      <c r="J62" s="12"/>
    </row>
    <row r="63" spans="1:10" ht="60" customHeight="1">
      <c r="A63" s="6" t="s">
        <v>262</v>
      </c>
      <c r="B63" s="6" t="s">
        <v>31</v>
      </c>
      <c r="C63" s="6" t="s">
        <v>49</v>
      </c>
      <c r="D63" s="7" t="s">
        <v>263</v>
      </c>
      <c r="E63" s="8" t="s">
        <v>264</v>
      </c>
      <c r="F63" s="6" t="s">
        <v>265</v>
      </c>
      <c r="G63" s="9">
        <f>IF(A63=1,"_",IF(C63="_","???",C63))</f>
        <v/>
      </c>
      <c r="H63" s="10" t="s">
        <v>12</v>
      </c>
      <c r="I63" s="11" t="s">
        <v>12</v>
      </c>
      <c r="J63" s="12"/>
    </row>
    <row r="64" spans="1:10" ht="60" customHeight="1">
      <c r="A64" s="6" t="s">
        <v>266</v>
      </c>
      <c r="B64" s="6" t="s">
        <v>16</v>
      </c>
      <c r="C64" s="6" t="s">
        <v>40</v>
      </c>
      <c r="D64" s="7" t="s">
        <v>168</v>
      </c>
      <c r="E64" s="8" t="s">
        <v>267</v>
      </c>
      <c r="F64" s="6" t="s">
        <v>268</v>
      </c>
      <c r="G64" s="9">
        <f>IF(A64=1,"_",IF(C64="_","???",C64))</f>
        <v/>
      </c>
      <c r="H64" s="10" t="s">
        <v>12</v>
      </c>
      <c r="I64" s="11" t="s">
        <v>12</v>
      </c>
      <c r="J64" s="12"/>
    </row>
    <row r="65" spans="1:10" ht="60" customHeight="1">
      <c r="A65" s="6" t="s">
        <v>269</v>
      </c>
      <c r="B65" s="6" t="s">
        <v>11</v>
      </c>
      <c r="C65" s="6" t="s">
        <v>61</v>
      </c>
      <c r="D65" s="7" t="s">
        <v>270</v>
      </c>
      <c r="E65" s="8" t="s">
        <v>271</v>
      </c>
      <c r="F65" s="6" t="s">
        <v>272</v>
      </c>
      <c r="G65" s="9">
        <f>IF(A65=1,"_",IF(C65="_","???",C65))</f>
        <v/>
      </c>
      <c r="H65" s="10" t="s">
        <v>12</v>
      </c>
      <c r="I65" s="11" t="s">
        <v>12</v>
      </c>
      <c r="J65" s="12"/>
    </row>
    <row r="66" spans="1:10" ht="60" customHeight="1">
      <c r="A66" s="6" t="s">
        <v>273</v>
      </c>
      <c r="B66" s="6" t="s">
        <v>116</v>
      </c>
      <c r="C66" s="6" t="s">
        <v>22</v>
      </c>
      <c r="D66" s="7" t="s">
        <v>67</v>
      </c>
      <c r="E66" s="8" t="s">
        <v>274</v>
      </c>
      <c r="F66" s="6" t="s">
        <v>275</v>
      </c>
      <c r="G66" s="9">
        <f>IF(A66=1,"_",IF(C66="_","???",C66))</f>
        <v/>
      </c>
      <c r="H66" s="10" t="s">
        <v>12</v>
      </c>
      <c r="I66" s="11" t="s">
        <v>12</v>
      </c>
      <c r="J66" s="12"/>
    </row>
    <row r="67" spans="1:10" ht="60" customHeight="1">
      <c r="A67" s="6" t="s">
        <v>276</v>
      </c>
      <c r="B67" s="6" t="s">
        <v>26</v>
      </c>
      <c r="C67" s="6" t="s">
        <v>277</v>
      </c>
      <c r="D67" s="7" t="s">
        <v>278</v>
      </c>
      <c r="E67" s="8" t="s">
        <v>279</v>
      </c>
      <c r="F67" s="6" t="s">
        <v>280</v>
      </c>
      <c r="G67" s="9">
        <f>IF(A67=1,"_",IF(C67="_","???",C67))</f>
        <v/>
      </c>
      <c r="H67" s="10" t="s">
        <v>12</v>
      </c>
      <c r="I67" s="11" t="s">
        <v>12</v>
      </c>
      <c r="J67" s="12"/>
    </row>
    <row r="68" spans="1:10" ht="60" customHeight="1">
      <c r="A68" s="6" t="s">
        <v>281</v>
      </c>
      <c r="B68" s="6" t="s">
        <v>26</v>
      </c>
      <c r="C68" s="6" t="s">
        <v>97</v>
      </c>
      <c r="D68" s="7" t="s">
        <v>282</v>
      </c>
      <c r="E68" s="8" t="s">
        <v>283</v>
      </c>
      <c r="F68" s="6" t="s">
        <v>284</v>
      </c>
      <c r="G68" s="9">
        <f>IF(A68=1,"_",IF(C68="_","???",C68))</f>
        <v/>
      </c>
      <c r="H68" s="10" t="s">
        <v>12</v>
      </c>
      <c r="I68" s="11" t="s">
        <v>12</v>
      </c>
      <c r="J68" s="12"/>
    </row>
    <row r="69" spans="1:10" ht="60" customHeight="1">
      <c r="A69" s="6" t="s">
        <v>285</v>
      </c>
      <c r="B69" s="6" t="s">
        <v>16</v>
      </c>
      <c r="C69" s="6" t="s">
        <v>12</v>
      </c>
      <c r="D69" s="7" t="s">
        <v>286</v>
      </c>
      <c r="E69" s="8" t="s">
        <v>287</v>
      </c>
      <c r="F69" s="6" t="s">
        <v>288</v>
      </c>
      <c r="G69" s="9">
        <f>IF(A69=1,"_",IF(C69="_","???",C69))</f>
        <v/>
      </c>
      <c r="H69" s="10" t="s">
        <v>12</v>
      </c>
      <c r="I69" s="11" t="s">
        <v>12</v>
      </c>
      <c r="J69" s="12"/>
    </row>
    <row r="70" spans="1:10" ht="60" customHeight="1">
      <c r="A70" s="6" t="s">
        <v>289</v>
      </c>
      <c r="B70" s="6" t="s">
        <v>26</v>
      </c>
      <c r="C70" s="6" t="s">
        <v>97</v>
      </c>
      <c r="D70" s="7" t="s">
        <v>290</v>
      </c>
      <c r="E70" s="8" t="s">
        <v>291</v>
      </c>
      <c r="F70" s="6" t="s">
        <v>292</v>
      </c>
      <c r="G70" s="9">
        <f>IF(A70=1,"_",IF(C70="_","???",C70))</f>
        <v/>
      </c>
      <c r="H70" s="10" t="s">
        <v>12</v>
      </c>
      <c r="I70" s="11" t="s">
        <v>12</v>
      </c>
      <c r="J70" s="12"/>
    </row>
    <row r="71" spans="1:10" ht="60" customHeight="1">
      <c r="A71" s="6" t="s">
        <v>293</v>
      </c>
      <c r="B71" s="6" t="s">
        <v>60</v>
      </c>
      <c r="C71" s="6" t="s">
        <v>18</v>
      </c>
      <c r="D71" s="7" t="s">
        <v>294</v>
      </c>
      <c r="E71" s="8" t="s">
        <v>295</v>
      </c>
      <c r="F71" s="6" t="s">
        <v>296</v>
      </c>
      <c r="G71" s="9">
        <f>IF(A71=1,"_",IF(C71="_","???",C71))</f>
        <v/>
      </c>
      <c r="H71" s="10" t="s">
        <v>12</v>
      </c>
      <c r="I71" s="11" t="s">
        <v>12</v>
      </c>
      <c r="J71" s="12"/>
    </row>
    <row r="72" spans="1:10" ht="60" customHeight="1">
      <c r="A72" s="6" t="s">
        <v>297</v>
      </c>
      <c r="B72" s="6" t="s">
        <v>16</v>
      </c>
      <c r="C72" s="6" t="s">
        <v>12</v>
      </c>
      <c r="D72" s="7" t="s">
        <v>298</v>
      </c>
      <c r="E72" s="8" t="s">
        <v>299</v>
      </c>
      <c r="F72" s="6" t="s">
        <v>300</v>
      </c>
      <c r="G72" s="9">
        <f>IF(A72=1,"_",IF(C72="_","???",C72))</f>
        <v/>
      </c>
      <c r="H72" s="10" t="s">
        <v>12</v>
      </c>
      <c r="I72" s="11" t="s">
        <v>12</v>
      </c>
      <c r="J72" s="12"/>
    </row>
    <row r="73" spans="1:10" ht="60" customHeight="1">
      <c r="A73" s="6" t="s">
        <v>301</v>
      </c>
      <c r="B73" s="6" t="s">
        <v>74</v>
      </c>
      <c r="C73" s="6" t="s">
        <v>302</v>
      </c>
      <c r="D73" s="7" t="s">
        <v>303</v>
      </c>
      <c r="E73" s="8" t="s">
        <v>304</v>
      </c>
      <c r="F73" s="6" t="s">
        <v>305</v>
      </c>
      <c r="G73" s="9">
        <f>IF(A73=1,"_",IF(C73="_","???",C73))</f>
        <v/>
      </c>
      <c r="H73" s="10" t="s">
        <v>12</v>
      </c>
      <c r="I73" s="11" t="s">
        <v>12</v>
      </c>
      <c r="J73" s="12"/>
    </row>
    <row r="74" spans="1:10" ht="60" customHeight="1">
      <c r="A74" s="6" t="s">
        <v>306</v>
      </c>
      <c r="B74" s="6" t="s">
        <v>16</v>
      </c>
      <c r="C74" s="6" t="s">
        <v>88</v>
      </c>
      <c r="D74" s="7" t="s">
        <v>307</v>
      </c>
      <c r="E74" s="8" t="s">
        <v>308</v>
      </c>
      <c r="F74" s="6" t="s">
        <v>309</v>
      </c>
      <c r="G74" s="9">
        <f>IF(A74=1,"_",IF(C74="_","???",C74))</f>
        <v/>
      </c>
      <c r="H74" s="10" t="s">
        <v>12</v>
      </c>
      <c r="I74" s="11" t="s">
        <v>12</v>
      </c>
      <c r="J74" s="12"/>
    </row>
    <row r="75" spans="1:10" ht="60" customHeight="1">
      <c r="A75" s="6" t="s">
        <v>310</v>
      </c>
      <c r="B75" s="6" t="s">
        <v>16</v>
      </c>
      <c r="C75" s="6" t="s">
        <v>140</v>
      </c>
      <c r="D75" s="7" t="s">
        <v>19</v>
      </c>
      <c r="E75" s="8" t="s">
        <v>311</v>
      </c>
      <c r="F75" s="6" t="s">
        <v>312</v>
      </c>
      <c r="G75" s="9">
        <f>IF(A75=1,"_",IF(C75="_","???",C75))</f>
        <v/>
      </c>
      <c r="H75" s="10" t="s">
        <v>12</v>
      </c>
      <c r="I75" s="11" t="s">
        <v>12</v>
      </c>
      <c r="J75" s="12"/>
    </row>
    <row r="76" spans="1:10" ht="60" customHeight="1">
      <c r="A76" s="6" t="s">
        <v>313</v>
      </c>
      <c r="B76" s="6" t="s">
        <v>167</v>
      </c>
      <c r="C76" s="6" t="s">
        <v>22</v>
      </c>
      <c r="D76" s="7" t="s">
        <v>314</v>
      </c>
      <c r="E76" s="8" t="s">
        <v>315</v>
      </c>
      <c r="F76" s="6" t="s">
        <v>316</v>
      </c>
      <c r="G76" s="9">
        <f>IF(A76=1,"_",IF(C76="_","???",C76))</f>
        <v/>
      </c>
      <c r="H76" s="10" t="s">
        <v>12</v>
      </c>
      <c r="I76" s="11" t="s">
        <v>12</v>
      </c>
      <c r="J76" s="12"/>
    </row>
    <row r="77" spans="1:10" ht="60" customHeight="1">
      <c r="A77" s="6" t="s">
        <v>317</v>
      </c>
      <c r="B77" s="6" t="s">
        <v>16</v>
      </c>
      <c r="C77" s="6" t="s">
        <v>318</v>
      </c>
      <c r="D77" s="7" t="s">
        <v>319</v>
      </c>
      <c r="E77" s="8" t="s">
        <v>320</v>
      </c>
      <c r="F77" s="6" t="s">
        <v>321</v>
      </c>
      <c r="G77" s="9">
        <f>IF(A77=1,"_",IF(C77="_","???",C77))</f>
        <v/>
      </c>
      <c r="H77" s="10" t="s">
        <v>12</v>
      </c>
      <c r="I77" s="11" t="s">
        <v>12</v>
      </c>
      <c r="J77" s="12"/>
    </row>
    <row r="78" spans="1:10" ht="60" customHeight="1">
      <c r="A78" s="6" t="s">
        <v>322</v>
      </c>
      <c r="B78" s="6" t="s">
        <v>26</v>
      </c>
      <c r="C78" s="6" t="s">
        <v>12</v>
      </c>
      <c r="D78" s="7" t="s">
        <v>323</v>
      </c>
      <c r="E78" s="8" t="s">
        <v>324</v>
      </c>
      <c r="F78" s="6" t="s">
        <v>325</v>
      </c>
      <c r="G78" s="9">
        <f>IF(A78=1,"_",IF(C78="_","???",C78))</f>
        <v/>
      </c>
      <c r="H78" s="10" t="s">
        <v>12</v>
      </c>
      <c r="I78" s="11" t="s">
        <v>12</v>
      </c>
      <c r="J78" s="12"/>
    </row>
    <row r="79" spans="1:10" ht="60" customHeight="1">
      <c r="A79" s="6" t="s">
        <v>326</v>
      </c>
      <c r="B79" s="6" t="s">
        <v>11</v>
      </c>
      <c r="C79" s="6" t="s">
        <v>327</v>
      </c>
      <c r="D79" s="7" t="s">
        <v>328</v>
      </c>
      <c r="E79" s="8" t="s">
        <v>329</v>
      </c>
      <c r="F79" s="6" t="s">
        <v>330</v>
      </c>
      <c r="G79" s="9">
        <f>IF(A79=1,"_",IF(C79="_","???",C79))</f>
        <v/>
      </c>
      <c r="H79" s="10" t="s">
        <v>12</v>
      </c>
      <c r="I79" s="11" t="s">
        <v>12</v>
      </c>
      <c r="J79" s="12"/>
    </row>
    <row r="80" spans="1:10" ht="60" customHeight="1">
      <c r="A80" s="6" t="s">
        <v>331</v>
      </c>
      <c r="B80" s="6" t="s">
        <v>11</v>
      </c>
      <c r="C80" s="6" t="s">
        <v>18</v>
      </c>
      <c r="D80" s="7" t="s">
        <v>136</v>
      </c>
      <c r="E80" s="8" t="s">
        <v>332</v>
      </c>
      <c r="F80" s="6" t="s">
        <v>333</v>
      </c>
      <c r="G80" s="9">
        <f>IF(A80=1,"_",IF(C80="_","???",C80))</f>
        <v/>
      </c>
      <c r="H80" s="10" t="s">
        <v>12</v>
      </c>
      <c r="I80" s="11" t="s">
        <v>12</v>
      </c>
      <c r="J80" s="12"/>
    </row>
    <row r="81" spans="1:10" ht="60" customHeight="1">
      <c r="A81" s="6" t="s">
        <v>334</v>
      </c>
      <c r="B81" s="6" t="s">
        <v>48</v>
      </c>
      <c r="C81" s="6" t="s">
        <v>22</v>
      </c>
      <c r="D81" s="7" t="s">
        <v>335</v>
      </c>
      <c r="E81" s="8" t="s">
        <v>336</v>
      </c>
      <c r="F81" s="6" t="s">
        <v>337</v>
      </c>
      <c r="G81" s="9">
        <f>IF(A81=1,"_",IF(C81="_","???",C81))</f>
        <v/>
      </c>
      <c r="H81" s="10" t="s">
        <v>12</v>
      </c>
      <c r="I81" s="11" t="s">
        <v>12</v>
      </c>
      <c r="J81" s="12"/>
    </row>
    <row r="82" spans="1:10" ht="60" customHeight="1">
      <c r="A82" s="6" t="s">
        <v>338</v>
      </c>
      <c r="B82" s="6" t="s">
        <v>16</v>
      </c>
      <c r="C82" s="6" t="s">
        <v>12</v>
      </c>
      <c r="D82" s="7" t="s">
        <v>339</v>
      </c>
      <c r="E82" s="8" t="s">
        <v>340</v>
      </c>
      <c r="F82" s="6" t="s">
        <v>341</v>
      </c>
      <c r="G82" s="9">
        <f>IF(A82=1,"_",IF(C82="_","???",C82))</f>
        <v/>
      </c>
      <c r="H82" s="10" t="s">
        <v>12</v>
      </c>
      <c r="I82" s="11" t="s">
        <v>12</v>
      </c>
      <c r="J82" s="12"/>
    </row>
    <row r="83" spans="1:10" ht="60" customHeight="1">
      <c r="A83" s="6" t="s">
        <v>342</v>
      </c>
      <c r="B83" s="6" t="s">
        <v>16</v>
      </c>
      <c r="C83" s="6" t="s">
        <v>75</v>
      </c>
      <c r="D83" s="7" t="s">
        <v>343</v>
      </c>
      <c r="E83" s="8" t="s">
        <v>344</v>
      </c>
      <c r="F83" s="6" t="s">
        <v>345</v>
      </c>
      <c r="G83" s="9">
        <f>IF(A83=1,"_",IF(C83="_","???",C83))</f>
        <v/>
      </c>
      <c r="H83" s="10" t="s">
        <v>12</v>
      </c>
      <c r="I83" s="11" t="s">
        <v>12</v>
      </c>
      <c r="J83" s="12"/>
    </row>
    <row r="84" spans="1:10" ht="60" customHeight="1">
      <c r="A84" s="6" t="s">
        <v>346</v>
      </c>
      <c r="B84" s="6" t="s">
        <v>26</v>
      </c>
      <c r="C84" s="6" t="s">
        <v>75</v>
      </c>
      <c r="D84" s="7" t="s">
        <v>347</v>
      </c>
      <c r="E84" s="8" t="s">
        <v>348</v>
      </c>
      <c r="F84" s="6" t="s">
        <v>349</v>
      </c>
      <c r="G84" s="9">
        <f>IF(A84=1,"_",IF(C84="_","???",C84))</f>
        <v/>
      </c>
      <c r="H84" s="10" t="s">
        <v>12</v>
      </c>
      <c r="I84" s="11" t="s">
        <v>12</v>
      </c>
      <c r="J84" s="12"/>
    </row>
    <row r="85" spans="1:10" ht="60" customHeight="1">
      <c r="A85" s="6" t="s">
        <v>350</v>
      </c>
      <c r="B85" s="6" t="s">
        <v>11</v>
      </c>
      <c r="C85" s="6" t="s">
        <v>12</v>
      </c>
      <c r="D85" s="7" t="s">
        <v>351</v>
      </c>
      <c r="E85" s="8" t="s">
        <v>352</v>
      </c>
      <c r="F85" s="6" t="s">
        <v>353</v>
      </c>
      <c r="G85" s="9">
        <f>IF(A85=1,"_",IF(C85="_","???",C85))</f>
        <v/>
      </c>
      <c r="H85" s="10" t="s">
        <v>12</v>
      </c>
      <c r="I85" s="11" t="s">
        <v>12</v>
      </c>
      <c r="J85" s="12"/>
    </row>
    <row r="86" spans="1:10" ht="60" customHeight="1">
      <c r="A86" s="6" t="s">
        <v>354</v>
      </c>
      <c r="B86" s="6" t="s">
        <v>44</v>
      </c>
      <c r="C86" s="6" t="s">
        <v>18</v>
      </c>
      <c r="D86" s="7" t="s">
        <v>355</v>
      </c>
      <c r="E86" s="8" t="s">
        <v>356</v>
      </c>
      <c r="F86" s="6" t="s">
        <v>357</v>
      </c>
      <c r="G86" s="9">
        <f>IF(A86=1,"_",IF(C86="_","???",C86))</f>
        <v/>
      </c>
      <c r="H86" s="10" t="s">
        <v>12</v>
      </c>
      <c r="I86" s="11" t="s">
        <v>12</v>
      </c>
      <c r="J86" s="12"/>
    </row>
    <row r="87" spans="1:10" ht="60" customHeight="1">
      <c r="A87" s="6" t="s">
        <v>358</v>
      </c>
      <c r="B87" s="6" t="s">
        <v>11</v>
      </c>
      <c r="C87" s="6" t="s">
        <v>12</v>
      </c>
      <c r="D87" s="7" t="s">
        <v>183</v>
      </c>
      <c r="E87" s="8" t="s">
        <v>359</v>
      </c>
      <c r="F87" s="6" t="s">
        <v>360</v>
      </c>
      <c r="G87" s="9">
        <f>IF(A87=1,"_",IF(C87="_","???",C87))</f>
        <v/>
      </c>
      <c r="H87" s="10" t="s">
        <v>12</v>
      </c>
      <c r="I87" s="11" t="s">
        <v>12</v>
      </c>
      <c r="J87" s="12"/>
    </row>
    <row r="88" spans="1:10" ht="60" customHeight="1">
      <c r="A88" s="6" t="s">
        <v>361</v>
      </c>
      <c r="B88" s="6" t="s">
        <v>31</v>
      </c>
      <c r="C88" s="6" t="s">
        <v>18</v>
      </c>
      <c r="D88" s="7" t="s">
        <v>183</v>
      </c>
      <c r="E88" s="8" t="s">
        <v>362</v>
      </c>
      <c r="F88" s="6" t="s">
        <v>363</v>
      </c>
      <c r="G88" s="9">
        <f>IF(A88=1,"_",IF(C88="_","???",C88))</f>
        <v/>
      </c>
      <c r="H88" s="10" t="s">
        <v>12</v>
      </c>
      <c r="I88" s="11" t="s">
        <v>12</v>
      </c>
      <c r="J88" s="12"/>
    </row>
    <row r="89" spans="1:10" ht="60" customHeight="1">
      <c r="A89" s="6" t="s">
        <v>364</v>
      </c>
      <c r="B89" s="6" t="s">
        <v>31</v>
      </c>
      <c r="C89" s="6" t="s">
        <v>40</v>
      </c>
      <c r="D89" s="7" t="s">
        <v>365</v>
      </c>
      <c r="E89" s="8" t="s">
        <v>366</v>
      </c>
      <c r="F89" s="6" t="s">
        <v>367</v>
      </c>
      <c r="G89" s="9">
        <f>IF(A89=1,"_",IF(C89="_","???",C89))</f>
        <v/>
      </c>
      <c r="H89" s="10" t="s">
        <v>12</v>
      </c>
      <c r="I89" s="11" t="s">
        <v>12</v>
      </c>
      <c r="J89" s="12"/>
    </row>
    <row r="90" spans="1:10" ht="60" customHeight="1">
      <c r="A90" s="6" t="s">
        <v>368</v>
      </c>
      <c r="B90" s="6" t="s">
        <v>26</v>
      </c>
      <c r="C90" s="6" t="s">
        <v>200</v>
      </c>
      <c r="D90" s="7" t="s">
        <v>183</v>
      </c>
      <c r="E90" s="8" t="s">
        <v>369</v>
      </c>
      <c r="F90" s="6" t="s">
        <v>370</v>
      </c>
      <c r="G90" s="9">
        <f>IF(A90=1,"_",IF(C90="_","???",C90))</f>
        <v/>
      </c>
      <c r="H90" s="10" t="s">
        <v>12</v>
      </c>
      <c r="I90" s="11" t="s">
        <v>12</v>
      </c>
      <c r="J90" s="12"/>
    </row>
    <row r="91" spans="1:10" ht="60" customHeight="1">
      <c r="A91" s="6" t="s">
        <v>371</v>
      </c>
      <c r="B91" s="6" t="s">
        <v>26</v>
      </c>
      <c r="C91" s="6" t="s">
        <v>88</v>
      </c>
      <c r="D91" s="7" t="s">
        <v>183</v>
      </c>
      <c r="E91" s="8" t="s">
        <v>372</v>
      </c>
      <c r="F91" s="6" t="s">
        <v>373</v>
      </c>
      <c r="G91" s="9">
        <f>IF(A91=1,"_",IF(C91="_","???",C91))</f>
        <v/>
      </c>
      <c r="H91" s="10" t="s">
        <v>12</v>
      </c>
      <c r="I91" s="11" t="s">
        <v>12</v>
      </c>
      <c r="J91" s="12"/>
    </row>
    <row r="92" spans="1:10" ht="60" customHeight="1">
      <c r="A92" s="6" t="s">
        <v>374</v>
      </c>
      <c r="B92" s="6" t="s">
        <v>11</v>
      </c>
      <c r="C92" s="6" t="s">
        <v>12</v>
      </c>
      <c r="D92" s="7" t="s">
        <v>375</v>
      </c>
      <c r="E92" s="8" t="s">
        <v>376</v>
      </c>
      <c r="F92" s="6" t="s">
        <v>377</v>
      </c>
      <c r="G92" s="9">
        <f>IF(A92=1,"_",IF(C92="_","???",C92))</f>
        <v/>
      </c>
      <c r="H92" s="10" t="s">
        <v>12</v>
      </c>
      <c r="I92" s="11" t="s">
        <v>12</v>
      </c>
      <c r="J92" s="12"/>
    </row>
    <row r="93" spans="1:10" ht="60" customHeight="1">
      <c r="A93" s="6" t="s">
        <v>378</v>
      </c>
      <c r="B93" s="6" t="s">
        <v>16</v>
      </c>
      <c r="C93" s="6" t="s">
        <v>49</v>
      </c>
      <c r="D93" s="7" t="s">
        <v>172</v>
      </c>
      <c r="E93" s="8" t="s">
        <v>379</v>
      </c>
      <c r="F93" s="6" t="s">
        <v>380</v>
      </c>
      <c r="G93" s="9">
        <f>IF(A93=1,"_",IF(C93="_","???",C93))</f>
        <v/>
      </c>
      <c r="H93" s="10" t="s">
        <v>12</v>
      </c>
      <c r="I93" s="11" t="s">
        <v>12</v>
      </c>
      <c r="J93" s="12"/>
    </row>
    <row r="94" spans="1:10" ht="60" customHeight="1">
      <c r="A94" s="6" t="s">
        <v>381</v>
      </c>
      <c r="B94" s="6" t="s">
        <v>70</v>
      </c>
      <c r="C94" s="6" t="s">
        <v>75</v>
      </c>
      <c r="D94" s="7" t="s">
        <v>382</v>
      </c>
      <c r="E94" s="8" t="s">
        <v>383</v>
      </c>
      <c r="F94" s="6" t="s">
        <v>384</v>
      </c>
      <c r="G94" s="9">
        <f>IF(A94=1,"_",IF(C94="_","???",C94))</f>
        <v/>
      </c>
      <c r="H94" s="10" t="s">
        <v>12</v>
      </c>
      <c r="I94" s="11" t="s">
        <v>12</v>
      </c>
      <c r="J94" s="12"/>
    </row>
    <row r="95" spans="1:10" ht="60" customHeight="1">
      <c r="A95" s="6" t="s">
        <v>385</v>
      </c>
      <c r="B95" s="6" t="s">
        <v>11</v>
      </c>
      <c r="C95" s="6" t="s">
        <v>12</v>
      </c>
      <c r="D95" s="7" t="s">
        <v>168</v>
      </c>
      <c r="E95" s="8" t="s">
        <v>386</v>
      </c>
      <c r="F95" s="6" t="s">
        <v>387</v>
      </c>
      <c r="G95" s="9">
        <f>IF(A95=1,"_",IF(C95="_","???",C95))</f>
        <v/>
      </c>
      <c r="H95" s="10" t="s">
        <v>12</v>
      </c>
      <c r="I95" s="11" t="s">
        <v>12</v>
      </c>
      <c r="J95" s="12"/>
    </row>
    <row r="96" spans="1:10" ht="60" customHeight="1">
      <c r="A96" s="6" t="s">
        <v>388</v>
      </c>
      <c r="B96" s="6" t="s">
        <v>26</v>
      </c>
      <c r="C96" s="6" t="s">
        <v>97</v>
      </c>
      <c r="D96" s="7" t="s">
        <v>389</v>
      </c>
      <c r="E96" s="8" t="s">
        <v>390</v>
      </c>
      <c r="F96" s="6" t="s">
        <v>391</v>
      </c>
      <c r="G96" s="9">
        <f>IF(A96=1,"_",IF(C96="_","???",C96))</f>
        <v/>
      </c>
      <c r="H96" s="10" t="s">
        <v>12</v>
      </c>
      <c r="I96" s="11" t="s">
        <v>12</v>
      </c>
      <c r="J96" s="12"/>
    </row>
    <row r="97" spans="1:10" ht="60" customHeight="1">
      <c r="A97" s="6" t="s">
        <v>392</v>
      </c>
      <c r="B97" s="6" t="s">
        <v>17</v>
      </c>
      <c r="C97" s="6" t="s">
        <v>12</v>
      </c>
      <c r="D97" s="7" t="s">
        <v>393</v>
      </c>
      <c r="E97" s="8" t="s">
        <v>394</v>
      </c>
      <c r="F97" s="6" t="s">
        <v>395</v>
      </c>
      <c r="G97" s="9">
        <f>IF(A97=1,"_",IF(C97="_","???",C97))</f>
        <v/>
      </c>
      <c r="H97" s="10" t="s">
        <v>12</v>
      </c>
      <c r="I97" s="11" t="s">
        <v>12</v>
      </c>
      <c r="J97" s="12"/>
    </row>
    <row r="98" spans="1:10" ht="60" customHeight="1">
      <c r="A98" s="6" t="s">
        <v>396</v>
      </c>
      <c r="B98" s="6" t="s">
        <v>36</v>
      </c>
      <c r="C98" s="6" t="s">
        <v>18</v>
      </c>
      <c r="D98" s="7" t="s">
        <v>397</v>
      </c>
      <c r="E98" s="8" t="s">
        <v>398</v>
      </c>
      <c r="F98" s="6" t="s">
        <v>399</v>
      </c>
      <c r="G98" s="9">
        <f>IF(A98=1,"_",IF(C98="_","???",C98))</f>
        <v/>
      </c>
      <c r="H98" s="10" t="s">
        <v>12</v>
      </c>
      <c r="I98" s="11" t="s">
        <v>12</v>
      </c>
      <c r="J98" s="12"/>
    </row>
    <row r="99" spans="1:10" ht="60" customHeight="1">
      <c r="A99" s="6" t="s">
        <v>400</v>
      </c>
      <c r="B99" s="6" t="s">
        <v>16</v>
      </c>
      <c r="C99" s="6" t="s">
        <v>401</v>
      </c>
      <c r="D99" s="7" t="s">
        <v>402</v>
      </c>
      <c r="E99" s="8" t="s">
        <v>403</v>
      </c>
      <c r="F99" s="6" t="s">
        <v>404</v>
      </c>
      <c r="G99" s="9">
        <f>IF(A99=1,"_",IF(C99="_","???",C99))</f>
        <v/>
      </c>
      <c r="H99" s="10" t="s">
        <v>12</v>
      </c>
      <c r="I99" s="11" t="s">
        <v>12</v>
      </c>
      <c r="J99" s="12"/>
    </row>
    <row r="100" spans="1:10" ht="60" customHeight="1">
      <c r="A100" s="6" t="s">
        <v>405</v>
      </c>
      <c r="B100" s="6" t="s">
        <v>26</v>
      </c>
      <c r="C100" s="6" t="s">
        <v>406</v>
      </c>
      <c r="D100" s="7" t="s">
        <v>407</v>
      </c>
      <c r="E100" s="8" t="s">
        <v>408</v>
      </c>
      <c r="F100" s="6" t="s">
        <v>409</v>
      </c>
      <c r="G100" s="9">
        <f>IF(A100=1,"_",IF(C100="_","???",C100))</f>
        <v/>
      </c>
      <c r="H100" s="10" t="s">
        <v>12</v>
      </c>
      <c r="I100" s="11" t="s">
        <v>12</v>
      </c>
      <c r="J100" s="12"/>
    </row>
    <row r="101" spans="1:10" ht="60" customHeight="1">
      <c r="A101" s="6" t="s">
        <v>410</v>
      </c>
      <c r="B101" s="6" t="s">
        <v>48</v>
      </c>
      <c r="C101" s="6" t="s">
        <v>18</v>
      </c>
      <c r="D101" s="7" t="s">
        <v>19</v>
      </c>
      <c r="E101" s="8" t="s">
        <v>411</v>
      </c>
      <c r="F101" s="6" t="s">
        <v>412</v>
      </c>
      <c r="G101" s="9">
        <f>IF(A101=1,"_",IF(C101="_","???",C101))</f>
        <v/>
      </c>
      <c r="H101" s="10" t="s">
        <v>12</v>
      </c>
      <c r="I101" s="11" t="s">
        <v>12</v>
      </c>
      <c r="J101" s="12"/>
    </row>
    <row r="102" spans="1:10" ht="60" customHeight="1">
      <c r="A102" s="6" t="s">
        <v>413</v>
      </c>
      <c r="B102" s="6" t="s">
        <v>31</v>
      </c>
      <c r="C102" s="6" t="s">
        <v>256</v>
      </c>
      <c r="D102" s="7" t="s">
        <v>414</v>
      </c>
      <c r="E102" s="8" t="s">
        <v>415</v>
      </c>
      <c r="F102" s="6" t="s">
        <v>416</v>
      </c>
      <c r="G102" s="9">
        <f>IF(A102=1,"_",IF(C102="_","???",C102))</f>
        <v/>
      </c>
      <c r="H102" s="10" t="s">
        <v>12</v>
      </c>
      <c r="I102" s="11" t="s">
        <v>12</v>
      </c>
      <c r="J102" s="12"/>
    </row>
    <row r="103" spans="1:10" ht="60" customHeight="1">
      <c r="A103" s="6" t="s">
        <v>417</v>
      </c>
      <c r="B103" s="6" t="s">
        <v>48</v>
      </c>
      <c r="C103" s="6" t="s">
        <v>32</v>
      </c>
      <c r="D103" s="7" t="s">
        <v>418</v>
      </c>
      <c r="E103" s="8" t="s">
        <v>419</v>
      </c>
      <c r="F103" s="6" t="s">
        <v>420</v>
      </c>
      <c r="G103" s="9">
        <f>IF(A103=1,"_",IF(C103="_","???",C103))</f>
        <v/>
      </c>
      <c r="H103" s="10" t="s">
        <v>12</v>
      </c>
      <c r="I103" s="11" t="s">
        <v>12</v>
      </c>
      <c r="J103" s="12"/>
    </row>
    <row r="104" spans="1:10" ht="60" customHeight="1">
      <c r="A104" s="6" t="s">
        <v>421</v>
      </c>
      <c r="B104" s="6" t="s">
        <v>31</v>
      </c>
      <c r="C104" s="6" t="s">
        <v>422</v>
      </c>
      <c r="D104" s="7" t="s">
        <v>423</v>
      </c>
      <c r="E104" s="8" t="s">
        <v>424</v>
      </c>
      <c r="F104" s="6" t="s">
        <v>425</v>
      </c>
      <c r="G104" s="9">
        <f>IF(A104=1,"_",IF(C104="_","???",C104))</f>
        <v/>
      </c>
      <c r="H104" s="10" t="s">
        <v>12</v>
      </c>
      <c r="I104" s="11" t="s">
        <v>12</v>
      </c>
      <c r="J104" s="12"/>
    </row>
    <row r="105" spans="1:10" ht="60" customHeight="1">
      <c r="A105" s="6" t="s">
        <v>426</v>
      </c>
      <c r="B105" s="6" t="s">
        <v>31</v>
      </c>
      <c r="C105" s="6" t="s">
        <v>18</v>
      </c>
      <c r="D105" s="7" t="s">
        <v>427</v>
      </c>
      <c r="E105" s="8" t="s">
        <v>428</v>
      </c>
      <c r="F105" s="6" t="s">
        <v>429</v>
      </c>
      <c r="G105" s="9">
        <f>IF(A105=1,"_",IF(C105="_","???",C105))</f>
        <v/>
      </c>
      <c r="H105" s="10" t="s">
        <v>12</v>
      </c>
      <c r="I105" s="11" t="s">
        <v>12</v>
      </c>
      <c r="J105" s="12"/>
    </row>
    <row r="106" spans="1:10" ht="60" customHeight="1">
      <c r="A106" s="6" t="s">
        <v>430</v>
      </c>
      <c r="B106" s="6" t="s">
        <v>70</v>
      </c>
      <c r="C106" s="6" t="s">
        <v>18</v>
      </c>
      <c r="D106" s="7" t="s">
        <v>431</v>
      </c>
      <c r="E106" s="8" t="s">
        <v>432</v>
      </c>
      <c r="F106" s="6" t="s">
        <v>433</v>
      </c>
      <c r="G106" s="9">
        <f>IF(A106=1,"_",IF(C106="_","???",C106))</f>
        <v/>
      </c>
      <c r="H106" s="10" t="s">
        <v>12</v>
      </c>
      <c r="I106" s="11" t="s">
        <v>12</v>
      </c>
      <c r="J106" s="12"/>
    </row>
    <row r="107" spans="1:10" ht="60" customHeight="1">
      <c r="A107" s="6" t="s">
        <v>434</v>
      </c>
      <c r="B107" s="6" t="s">
        <v>11</v>
      </c>
      <c r="C107" s="6" t="s">
        <v>12</v>
      </c>
      <c r="D107" s="7" t="s">
        <v>435</v>
      </c>
      <c r="E107" s="8" t="s">
        <v>436</v>
      </c>
      <c r="F107" s="6" t="s">
        <v>437</v>
      </c>
      <c r="G107" s="9">
        <f>IF(A107=1,"_",IF(C107="_","???",C107))</f>
        <v/>
      </c>
      <c r="H107" s="10" t="s">
        <v>12</v>
      </c>
      <c r="I107" s="11" t="s">
        <v>12</v>
      </c>
      <c r="J107" s="12"/>
    </row>
    <row r="108" spans="1:10" ht="60" customHeight="1">
      <c r="A108" s="6" t="s">
        <v>438</v>
      </c>
      <c r="B108" s="6" t="s">
        <v>26</v>
      </c>
      <c r="C108" s="6" t="s">
        <v>18</v>
      </c>
      <c r="D108" s="7" t="s">
        <v>183</v>
      </c>
      <c r="E108" s="8" t="s">
        <v>439</v>
      </c>
      <c r="F108" s="6" t="s">
        <v>440</v>
      </c>
      <c r="G108" s="9">
        <f>IF(A108=1,"_",IF(C108="_","???",C108))</f>
        <v/>
      </c>
      <c r="H108" s="10" t="s">
        <v>12</v>
      </c>
      <c r="I108" s="11" t="s">
        <v>12</v>
      </c>
      <c r="J108" s="12"/>
    </row>
    <row r="109" spans="1:10" ht="60" customHeight="1">
      <c r="A109" s="6" t="s">
        <v>441</v>
      </c>
      <c r="B109" s="6" t="s">
        <v>27</v>
      </c>
      <c r="C109" s="6" t="s">
        <v>200</v>
      </c>
      <c r="D109" s="7" t="s">
        <v>442</v>
      </c>
      <c r="E109" s="8" t="s">
        <v>443</v>
      </c>
      <c r="F109" s="6" t="s">
        <v>444</v>
      </c>
      <c r="G109" s="9">
        <f>IF(A109=1,"_",IF(C109="_","???",C109))</f>
        <v/>
      </c>
      <c r="H109" s="10" t="s">
        <v>12</v>
      </c>
      <c r="I109" s="11" t="s">
        <v>12</v>
      </c>
      <c r="J109" s="12"/>
    </row>
    <row r="110" spans="1:10" ht="60" customHeight="1">
      <c r="A110" s="6" t="s">
        <v>445</v>
      </c>
      <c r="B110" s="6" t="s">
        <v>11</v>
      </c>
      <c r="C110" s="6" t="s">
        <v>12</v>
      </c>
      <c r="D110" s="7" t="s">
        <v>446</v>
      </c>
      <c r="E110" s="8" t="s">
        <v>447</v>
      </c>
      <c r="F110" s="6" t="s">
        <v>448</v>
      </c>
      <c r="G110" s="9">
        <f>IF(A110=1,"_",IF(C110="_","???",C110))</f>
        <v/>
      </c>
      <c r="H110" s="10" t="s">
        <v>12</v>
      </c>
      <c r="I110" s="11" t="s">
        <v>12</v>
      </c>
      <c r="J110" s="12"/>
    </row>
    <row r="111" spans="1:10" ht="60" customHeight="1">
      <c r="A111" s="6" t="s">
        <v>449</v>
      </c>
      <c r="B111" s="6" t="s">
        <v>16</v>
      </c>
      <c r="C111" s="6" t="s">
        <v>18</v>
      </c>
      <c r="D111" s="7" t="s">
        <v>450</v>
      </c>
      <c r="E111" s="8" t="s">
        <v>451</v>
      </c>
      <c r="F111" s="6" t="s">
        <v>452</v>
      </c>
      <c r="G111" s="9">
        <f>IF(A111=1,"_",IF(C111="_","???",C111))</f>
        <v/>
      </c>
      <c r="H111" s="10" t="s">
        <v>12</v>
      </c>
      <c r="I111" s="11" t="s">
        <v>12</v>
      </c>
      <c r="J111" s="12"/>
    </row>
    <row r="112" spans="1:10" ht="60" customHeight="1">
      <c r="A112" s="6" t="s">
        <v>453</v>
      </c>
      <c r="B112" s="6" t="s">
        <v>31</v>
      </c>
      <c r="C112" s="6" t="s">
        <v>32</v>
      </c>
      <c r="D112" s="7" t="s">
        <v>157</v>
      </c>
      <c r="E112" s="8" t="s">
        <v>454</v>
      </c>
      <c r="F112" s="6" t="s">
        <v>455</v>
      </c>
      <c r="G112" s="9">
        <f>IF(A112=1,"_",IF(C112="_","???",C112))</f>
        <v/>
      </c>
      <c r="H112" s="10" t="s">
        <v>12</v>
      </c>
      <c r="I112" s="11" t="s">
        <v>12</v>
      </c>
      <c r="J112" s="12"/>
    </row>
    <row r="113" spans="1:10" ht="60" customHeight="1">
      <c r="A113" s="6" t="s">
        <v>456</v>
      </c>
      <c r="B113" s="6" t="s">
        <v>11</v>
      </c>
      <c r="C113" s="6" t="s">
        <v>12</v>
      </c>
      <c r="D113" s="7" t="s">
        <v>457</v>
      </c>
      <c r="E113" s="8" t="s">
        <v>458</v>
      </c>
      <c r="F113" s="6" t="s">
        <v>459</v>
      </c>
      <c r="G113" s="9">
        <f>IF(A113=1,"_",IF(C113="_","???",C113))</f>
        <v/>
      </c>
      <c r="H113" s="10" t="s">
        <v>12</v>
      </c>
      <c r="I113" s="11" t="s">
        <v>12</v>
      </c>
      <c r="J113" s="12"/>
    </row>
    <row r="114" spans="1:10" ht="60" customHeight="1">
      <c r="A114" s="6" t="s">
        <v>460</v>
      </c>
      <c r="B114" s="6" t="s">
        <v>27</v>
      </c>
      <c r="C114" s="6" t="s">
        <v>32</v>
      </c>
      <c r="D114" s="7" t="s">
        <v>461</v>
      </c>
      <c r="E114" s="8" t="s">
        <v>462</v>
      </c>
      <c r="F114" s="6" t="s">
        <v>463</v>
      </c>
      <c r="G114" s="9">
        <f>IF(A114=1,"_",IF(C114="_","???",C114))</f>
        <v/>
      </c>
      <c r="H114" s="10" t="s">
        <v>12</v>
      </c>
      <c r="I114" s="11" t="s">
        <v>12</v>
      </c>
      <c r="J114" s="12"/>
    </row>
    <row r="115" spans="1:10" ht="60" customHeight="1">
      <c r="A115" s="6" t="s">
        <v>464</v>
      </c>
      <c r="B115" s="6" t="s">
        <v>126</v>
      </c>
      <c r="C115" s="6" t="s">
        <v>256</v>
      </c>
      <c r="D115" s="7" t="s">
        <v>465</v>
      </c>
      <c r="E115" s="8" t="s">
        <v>466</v>
      </c>
      <c r="F115" s="6" t="s">
        <v>467</v>
      </c>
      <c r="G115" s="9">
        <f>IF(A115=1,"_",IF(C115="_","???",C115))</f>
        <v/>
      </c>
      <c r="H115" s="10" t="s">
        <v>12</v>
      </c>
      <c r="I115" s="11" t="s">
        <v>12</v>
      </c>
      <c r="J115" s="12"/>
    </row>
    <row r="116" spans="1:10" ht="60" customHeight="1">
      <c r="A116" s="6" t="s">
        <v>468</v>
      </c>
      <c r="B116" s="6" t="s">
        <v>65</v>
      </c>
      <c r="C116" s="6" t="s">
        <v>469</v>
      </c>
      <c r="D116" s="7" t="s">
        <v>470</v>
      </c>
      <c r="E116" s="8" t="s">
        <v>471</v>
      </c>
      <c r="F116" s="6" t="s">
        <v>472</v>
      </c>
      <c r="G116" s="9">
        <f>IF(A116=1,"_",IF(C116="_","???",C116))</f>
        <v/>
      </c>
      <c r="H116" s="10" t="s">
        <v>12</v>
      </c>
      <c r="I116" s="11" t="s">
        <v>12</v>
      </c>
      <c r="J116" s="12"/>
    </row>
    <row r="117" spans="1:10" ht="60" customHeight="1">
      <c r="A117" s="6" t="s">
        <v>473</v>
      </c>
      <c r="B117" s="6" t="s">
        <v>26</v>
      </c>
      <c r="C117" s="6" t="s">
        <v>97</v>
      </c>
      <c r="D117" s="7" t="s">
        <v>351</v>
      </c>
      <c r="E117" s="8" t="s">
        <v>474</v>
      </c>
      <c r="F117" s="6" t="s">
        <v>475</v>
      </c>
      <c r="G117" s="9">
        <f>IF(A117=1,"_",IF(C117="_","???",C117))</f>
        <v/>
      </c>
      <c r="H117" s="10" t="s">
        <v>12</v>
      </c>
      <c r="I117" s="11" t="s">
        <v>12</v>
      </c>
      <c r="J117" s="12"/>
    </row>
    <row r="118" spans="1:10" ht="60" customHeight="1">
      <c r="A118" s="6" t="s">
        <v>476</v>
      </c>
      <c r="B118" s="6" t="s">
        <v>11</v>
      </c>
      <c r="C118" s="6" t="s">
        <v>18</v>
      </c>
      <c r="D118" s="7" t="s">
        <v>477</v>
      </c>
      <c r="E118" s="8" t="s">
        <v>478</v>
      </c>
      <c r="F118" s="6" t="s">
        <v>479</v>
      </c>
      <c r="G118" s="9">
        <f>IF(A118=1,"_",IF(C118="_","???",C118))</f>
        <v/>
      </c>
      <c r="H118" s="10" t="s">
        <v>12</v>
      </c>
      <c r="I118" s="11" t="s">
        <v>12</v>
      </c>
      <c r="J118" s="12"/>
    </row>
    <row r="119" spans="1:10" ht="60" customHeight="1">
      <c r="A119" s="6" t="s">
        <v>480</v>
      </c>
      <c r="B119" s="6" t="s">
        <v>36</v>
      </c>
      <c r="C119" s="6" t="s">
        <v>49</v>
      </c>
      <c r="D119" s="7" t="s">
        <v>481</v>
      </c>
      <c r="E119" s="8" t="s">
        <v>482</v>
      </c>
      <c r="F119" s="6" t="s">
        <v>483</v>
      </c>
      <c r="G119" s="9">
        <f>IF(A119=1,"_",IF(C119="_","???",C119))</f>
        <v/>
      </c>
      <c r="H119" s="10" t="s">
        <v>12</v>
      </c>
      <c r="I119" s="11" t="s">
        <v>12</v>
      </c>
      <c r="J119" s="12"/>
    </row>
    <row r="120" spans="1:10" ht="60" customHeight="1">
      <c r="A120" s="6" t="s">
        <v>484</v>
      </c>
      <c r="B120" s="6" t="s">
        <v>60</v>
      </c>
      <c r="C120" s="6" t="s">
        <v>12</v>
      </c>
      <c r="D120" s="7" t="s">
        <v>485</v>
      </c>
      <c r="E120" s="8" t="s">
        <v>486</v>
      </c>
      <c r="F120" s="6" t="s">
        <v>487</v>
      </c>
      <c r="G120" s="9">
        <f>IF(A120=1,"_",IF(C120="_","???",C120))</f>
        <v/>
      </c>
      <c r="H120" s="10" t="s">
        <v>12</v>
      </c>
      <c r="I120" s="11" t="s">
        <v>12</v>
      </c>
      <c r="J120" s="12"/>
    </row>
    <row r="121" spans="1:10" ht="60" customHeight="1">
      <c r="A121" s="6" t="s">
        <v>488</v>
      </c>
      <c r="B121" s="6" t="s">
        <v>31</v>
      </c>
      <c r="C121" s="6" t="s">
        <v>49</v>
      </c>
      <c r="D121" s="7" t="s">
        <v>489</v>
      </c>
      <c r="E121" s="8" t="s">
        <v>490</v>
      </c>
      <c r="F121" s="6" t="s">
        <v>491</v>
      </c>
      <c r="G121" s="9">
        <f>IF(A121=1,"_",IF(C121="_","???",C121))</f>
        <v/>
      </c>
      <c r="H121" s="10" t="s">
        <v>12</v>
      </c>
      <c r="I121" s="11" t="s">
        <v>12</v>
      </c>
      <c r="J121" s="12"/>
    </row>
    <row r="122" spans="1:10" ht="60" customHeight="1">
      <c r="A122" s="6" t="s">
        <v>492</v>
      </c>
      <c r="B122" s="6" t="s">
        <v>31</v>
      </c>
      <c r="C122" s="6" t="s">
        <v>18</v>
      </c>
      <c r="D122" s="7" t="s">
        <v>493</v>
      </c>
      <c r="E122" s="8" t="s">
        <v>494</v>
      </c>
      <c r="F122" s="6" t="s">
        <v>495</v>
      </c>
      <c r="G122" s="9">
        <f>IF(A122=1,"_",IF(C122="_","???",C122))</f>
        <v/>
      </c>
      <c r="H122" s="10" t="s">
        <v>12</v>
      </c>
      <c r="I122" s="11" t="s">
        <v>12</v>
      </c>
      <c r="J122" s="12"/>
    </row>
    <row r="123" spans="1:10" ht="60" customHeight="1">
      <c r="A123" s="6" t="s">
        <v>496</v>
      </c>
      <c r="B123" s="6" t="s">
        <v>26</v>
      </c>
      <c r="C123" s="6" t="s">
        <v>12</v>
      </c>
      <c r="D123" s="7" t="s">
        <v>497</v>
      </c>
      <c r="E123" s="8" t="s">
        <v>498</v>
      </c>
      <c r="F123" s="6" t="s">
        <v>499</v>
      </c>
      <c r="G123" s="9">
        <f>IF(A123=1,"_",IF(C123="_","???",C123))</f>
        <v/>
      </c>
      <c r="H123" s="10" t="s">
        <v>12</v>
      </c>
      <c r="I123" s="11" t="s">
        <v>12</v>
      </c>
      <c r="J123" s="12"/>
    </row>
    <row r="124" spans="1:10" ht="60" customHeight="1">
      <c r="A124" s="6" t="s">
        <v>500</v>
      </c>
      <c r="B124" s="6" t="s">
        <v>92</v>
      </c>
      <c r="C124" s="6" t="s">
        <v>501</v>
      </c>
      <c r="D124" s="7" t="s">
        <v>461</v>
      </c>
      <c r="E124" s="8" t="s">
        <v>502</v>
      </c>
      <c r="F124" s="6" t="s">
        <v>503</v>
      </c>
      <c r="G124" s="9">
        <f>IF(A124=1,"_",IF(C124="_","???",C124))</f>
        <v/>
      </c>
      <c r="H124" s="10" t="s">
        <v>12</v>
      </c>
      <c r="I124" s="11" t="s">
        <v>12</v>
      </c>
      <c r="J124" s="12"/>
    </row>
    <row r="125" spans="1:10" ht="60" customHeight="1">
      <c r="A125" s="6" t="s">
        <v>504</v>
      </c>
      <c r="B125" s="6" t="s">
        <v>11</v>
      </c>
      <c r="C125" s="6" t="s">
        <v>18</v>
      </c>
      <c r="D125" s="7" t="s">
        <v>505</v>
      </c>
      <c r="E125" s="8" t="s">
        <v>506</v>
      </c>
      <c r="F125" s="6" t="s">
        <v>507</v>
      </c>
      <c r="G125" s="9">
        <f>IF(A125=1,"_",IF(C125="_","???",C125))</f>
        <v/>
      </c>
      <c r="H125" s="10" t="s">
        <v>12</v>
      </c>
      <c r="I125" s="11" t="s">
        <v>12</v>
      </c>
      <c r="J125" s="12"/>
    </row>
    <row r="126" spans="1:10" ht="60" customHeight="1">
      <c r="A126" s="6" t="s">
        <v>508</v>
      </c>
      <c r="B126" s="6" t="s">
        <v>31</v>
      </c>
      <c r="C126" s="6" t="s">
        <v>18</v>
      </c>
      <c r="D126" s="7" t="s">
        <v>427</v>
      </c>
      <c r="E126" s="8" t="s">
        <v>509</v>
      </c>
      <c r="F126" s="6" t="s">
        <v>510</v>
      </c>
      <c r="G126" s="9">
        <f>IF(A126=1,"_",IF(C126="_","???",C126))</f>
        <v/>
      </c>
      <c r="H126" s="10" t="s">
        <v>12</v>
      </c>
      <c r="I126" s="11" t="s">
        <v>12</v>
      </c>
      <c r="J126" s="12"/>
    </row>
    <row r="127" spans="1:10" ht="60" customHeight="1">
      <c r="A127" s="6" t="s">
        <v>511</v>
      </c>
      <c r="B127" s="6" t="s">
        <v>31</v>
      </c>
      <c r="C127" s="6" t="s">
        <v>75</v>
      </c>
      <c r="D127" s="7" t="s">
        <v>183</v>
      </c>
      <c r="E127" s="8" t="s">
        <v>512</v>
      </c>
      <c r="F127" s="6" t="s">
        <v>513</v>
      </c>
      <c r="G127" s="9">
        <f>IF(A127=1,"_",IF(C127="_","???",C127))</f>
        <v/>
      </c>
      <c r="H127" s="10" t="s">
        <v>12</v>
      </c>
      <c r="I127" s="11" t="s">
        <v>12</v>
      </c>
      <c r="J127" s="12"/>
    </row>
    <row r="128" spans="1:10" ht="60" customHeight="1">
      <c r="A128" s="6" t="s">
        <v>514</v>
      </c>
      <c r="B128" s="6" t="s">
        <v>31</v>
      </c>
      <c r="C128" s="6" t="s">
        <v>18</v>
      </c>
      <c r="D128" s="7" t="s">
        <v>515</v>
      </c>
      <c r="E128" s="8" t="s">
        <v>516</v>
      </c>
      <c r="F128" s="6" t="s">
        <v>517</v>
      </c>
      <c r="G128" s="9">
        <f>IF(A128=1,"_",IF(C128="_","???",C128))</f>
        <v/>
      </c>
      <c r="H128" s="10" t="s">
        <v>12</v>
      </c>
      <c r="I128" s="11" t="s">
        <v>12</v>
      </c>
      <c r="J128" s="12"/>
    </row>
    <row r="129" spans="1:10" ht="60" customHeight="1">
      <c r="A129" s="6" t="s">
        <v>518</v>
      </c>
      <c r="B129" s="6" t="s">
        <v>10</v>
      </c>
      <c r="C129" s="6" t="s">
        <v>12</v>
      </c>
      <c r="D129" s="7" t="s">
        <v>190</v>
      </c>
      <c r="E129" s="8" t="s">
        <v>190</v>
      </c>
      <c r="F129" s="6" t="s">
        <v>519</v>
      </c>
      <c r="G129" s="9">
        <f>IF(A129=1,"_",IF(C129="_","???",C129))</f>
        <v/>
      </c>
      <c r="H129" s="10" t="s">
        <v>12</v>
      </c>
      <c r="I129" s="11" t="s">
        <v>12</v>
      </c>
      <c r="J129" s="12"/>
    </row>
    <row r="130" spans="1:10" ht="60" customHeight="1">
      <c r="A130" s="6" t="s">
        <v>520</v>
      </c>
      <c r="B130" s="6" t="s">
        <v>26</v>
      </c>
      <c r="C130" s="6" t="s">
        <v>18</v>
      </c>
      <c r="D130" s="7" t="s">
        <v>427</v>
      </c>
      <c r="E130" s="8" t="s">
        <v>521</v>
      </c>
      <c r="F130" s="6" t="s">
        <v>522</v>
      </c>
      <c r="G130" s="9">
        <f>IF(A130=1,"_",IF(C130="_","???",C130))</f>
        <v/>
      </c>
      <c r="H130" s="10" t="s">
        <v>12</v>
      </c>
      <c r="I130" s="11" t="s">
        <v>12</v>
      </c>
      <c r="J130" s="12"/>
    </row>
    <row r="131" spans="1:10" ht="60" customHeight="1">
      <c r="A131" s="6" t="s">
        <v>523</v>
      </c>
      <c r="B131" s="6" t="s">
        <v>11</v>
      </c>
      <c r="C131" s="6" t="s">
        <v>12</v>
      </c>
      <c r="D131" s="7" t="s">
        <v>414</v>
      </c>
      <c r="E131" s="8" t="s">
        <v>524</v>
      </c>
      <c r="F131" s="6" t="s">
        <v>525</v>
      </c>
      <c r="G131" s="9">
        <f>IF(A131=1,"_",IF(C131="_","???",C131))</f>
        <v/>
      </c>
      <c r="H131" s="10" t="s">
        <v>12</v>
      </c>
      <c r="I131" s="11" t="s">
        <v>12</v>
      </c>
      <c r="J131" s="12"/>
    </row>
    <row r="132" spans="1:10" ht="60" customHeight="1">
      <c r="A132" s="6" t="s">
        <v>526</v>
      </c>
      <c r="B132" s="6" t="s">
        <v>31</v>
      </c>
      <c r="C132" s="6" t="s">
        <v>318</v>
      </c>
      <c r="D132" s="7" t="s">
        <v>527</v>
      </c>
      <c r="E132" s="8" t="s">
        <v>528</v>
      </c>
      <c r="F132" s="6" t="s">
        <v>529</v>
      </c>
      <c r="G132" s="9">
        <f>IF(A132=1,"_",IF(C132="_","???",C132))</f>
        <v/>
      </c>
      <c r="H132" s="10" t="s">
        <v>12</v>
      </c>
      <c r="I132" s="11" t="s">
        <v>12</v>
      </c>
      <c r="J132" s="12"/>
    </row>
    <row r="133" spans="1:10" ht="60" customHeight="1">
      <c r="A133" s="6" t="s">
        <v>530</v>
      </c>
      <c r="B133" s="6" t="s">
        <v>31</v>
      </c>
      <c r="C133" s="6" t="s">
        <v>12</v>
      </c>
      <c r="D133" s="7" t="s">
        <v>531</v>
      </c>
      <c r="E133" s="8" t="s">
        <v>532</v>
      </c>
      <c r="F133" s="6" t="s">
        <v>533</v>
      </c>
      <c r="G133" s="9">
        <f>IF(A133=1,"_",IF(C133="_","???",C133))</f>
        <v/>
      </c>
      <c r="H133" s="10" t="s">
        <v>12</v>
      </c>
      <c r="I133" s="11" t="s">
        <v>12</v>
      </c>
      <c r="J133" s="12"/>
    </row>
    <row r="134" spans="1:10" ht="60" customHeight="1">
      <c r="A134" s="6" t="s">
        <v>534</v>
      </c>
      <c r="B134" s="6" t="s">
        <v>31</v>
      </c>
      <c r="C134" s="6" t="s">
        <v>127</v>
      </c>
      <c r="D134" s="7" t="s">
        <v>278</v>
      </c>
      <c r="E134" s="8" t="s">
        <v>535</v>
      </c>
      <c r="F134" s="6" t="s">
        <v>536</v>
      </c>
      <c r="G134" s="9">
        <f>IF(A134=1,"_",IF(C134="_","???",C134))</f>
        <v/>
      </c>
      <c r="H134" s="10" t="s">
        <v>12</v>
      </c>
      <c r="I134" s="11" t="s">
        <v>12</v>
      </c>
      <c r="J134" s="12"/>
    </row>
    <row r="135" spans="1:10" ht="60" customHeight="1">
      <c r="A135" s="6" t="s">
        <v>537</v>
      </c>
      <c r="B135" s="6" t="s">
        <v>27</v>
      </c>
      <c r="C135" s="6" t="s">
        <v>538</v>
      </c>
      <c r="D135" s="7" t="s">
        <v>539</v>
      </c>
      <c r="E135" s="8" t="s">
        <v>540</v>
      </c>
      <c r="F135" s="6" t="s">
        <v>541</v>
      </c>
      <c r="G135" s="9">
        <f>IF(A135=1,"_",IF(C135="_","???",C135))</f>
        <v/>
      </c>
      <c r="H135" s="10" t="s">
        <v>12</v>
      </c>
      <c r="I135" s="11" t="s">
        <v>12</v>
      </c>
      <c r="J135" s="12"/>
    </row>
    <row r="136" spans="1:10" ht="60" customHeight="1">
      <c r="A136" s="6" t="s">
        <v>542</v>
      </c>
      <c r="B136" s="6" t="s">
        <v>11</v>
      </c>
      <c r="C136" s="6" t="s">
        <v>12</v>
      </c>
      <c r="D136" s="7" t="s">
        <v>543</v>
      </c>
      <c r="E136" s="8" t="s">
        <v>544</v>
      </c>
      <c r="F136" s="6" t="s">
        <v>545</v>
      </c>
      <c r="G136" s="9">
        <f>IF(A136=1,"_",IF(C136="_","???",C136))</f>
        <v/>
      </c>
      <c r="H136" s="10" t="s">
        <v>12</v>
      </c>
      <c r="I136" s="11" t="s">
        <v>12</v>
      </c>
      <c r="J136" s="12"/>
    </row>
    <row r="137" spans="1:10" ht="60" customHeight="1">
      <c r="A137" s="6" t="s">
        <v>546</v>
      </c>
      <c r="B137" s="6" t="s">
        <v>11</v>
      </c>
      <c r="C137" s="6" t="s">
        <v>12</v>
      </c>
      <c r="D137" s="7" t="s">
        <v>183</v>
      </c>
      <c r="E137" s="8" t="s">
        <v>547</v>
      </c>
      <c r="F137" s="6" t="s">
        <v>548</v>
      </c>
      <c r="G137" s="9">
        <f>IF(A137=1,"_",IF(C137="_","???",C137))</f>
        <v/>
      </c>
      <c r="H137" s="10" t="s">
        <v>12</v>
      </c>
      <c r="I137" s="11" t="s">
        <v>12</v>
      </c>
      <c r="J137" s="12"/>
    </row>
    <row r="138" spans="1:10" ht="60" customHeight="1">
      <c r="A138" s="6" t="s">
        <v>549</v>
      </c>
      <c r="B138" s="6" t="s">
        <v>83</v>
      </c>
      <c r="C138" s="6" t="s">
        <v>32</v>
      </c>
      <c r="D138" s="7" t="s">
        <v>550</v>
      </c>
      <c r="E138" s="8" t="s">
        <v>551</v>
      </c>
      <c r="F138" s="6" t="s">
        <v>552</v>
      </c>
      <c r="G138" s="9">
        <f>IF(A138=1,"_",IF(C138="_","???",C138))</f>
        <v/>
      </c>
      <c r="H138" s="10" t="s">
        <v>12</v>
      </c>
      <c r="I138" s="11" t="s">
        <v>12</v>
      </c>
      <c r="J138" s="12"/>
    </row>
    <row r="139" spans="1:10" ht="60" customHeight="1">
      <c r="A139" s="6" t="s">
        <v>553</v>
      </c>
      <c r="B139" s="6" t="s">
        <v>26</v>
      </c>
      <c r="C139" s="6" t="s">
        <v>12</v>
      </c>
      <c r="D139" s="7" t="s">
        <v>57</v>
      </c>
      <c r="E139" s="8" t="s">
        <v>554</v>
      </c>
      <c r="F139" s="6" t="s">
        <v>555</v>
      </c>
      <c r="G139" s="9">
        <f>IF(A139=1,"_",IF(C139="_","???",C139))</f>
        <v/>
      </c>
      <c r="H139" s="10" t="s">
        <v>12</v>
      </c>
      <c r="I139" s="11" t="s">
        <v>12</v>
      </c>
      <c r="J139" s="12"/>
    </row>
    <row r="140" spans="1:10" ht="60" customHeight="1">
      <c r="A140" s="6" t="s">
        <v>556</v>
      </c>
      <c r="B140" s="6" t="s">
        <v>11</v>
      </c>
      <c r="C140" s="6" t="s">
        <v>12</v>
      </c>
      <c r="D140" s="7" t="s">
        <v>557</v>
      </c>
      <c r="E140" s="8" t="s">
        <v>558</v>
      </c>
      <c r="F140" s="6" t="s">
        <v>559</v>
      </c>
      <c r="G140" s="9">
        <f>IF(A140=1,"_",IF(C140="_","???",C140))</f>
        <v/>
      </c>
      <c r="H140" s="10" t="s">
        <v>12</v>
      </c>
      <c r="I140" s="11" t="s">
        <v>12</v>
      </c>
      <c r="J140" s="12"/>
    </row>
    <row r="141" spans="1:10" ht="60" customHeight="1">
      <c r="A141" s="6" t="s">
        <v>560</v>
      </c>
      <c r="B141" s="6" t="s">
        <v>36</v>
      </c>
      <c r="C141" s="6" t="s">
        <v>40</v>
      </c>
      <c r="D141" s="7" t="s">
        <v>205</v>
      </c>
      <c r="E141" s="8" t="s">
        <v>561</v>
      </c>
      <c r="F141" s="6" t="s">
        <v>562</v>
      </c>
      <c r="G141" s="9">
        <f>IF(A141=1,"_",IF(C141="_","???",C141))</f>
        <v/>
      </c>
      <c r="H141" s="10" t="s">
        <v>12</v>
      </c>
      <c r="I141" s="11" t="s">
        <v>12</v>
      </c>
      <c r="J141" s="12"/>
    </row>
    <row r="142" spans="1:10" ht="60" customHeight="1">
      <c r="A142" s="6" t="s">
        <v>563</v>
      </c>
      <c r="B142" s="6" t="s">
        <v>48</v>
      </c>
      <c r="C142" s="6" t="s">
        <v>564</v>
      </c>
      <c r="D142" s="7" t="s">
        <v>13</v>
      </c>
      <c r="E142" s="8" t="s">
        <v>565</v>
      </c>
      <c r="F142" s="6" t="s">
        <v>566</v>
      </c>
      <c r="G142" s="9">
        <f>IF(A142=1,"_",IF(C142="_","???",C142))</f>
        <v/>
      </c>
      <c r="H142" s="10" t="s">
        <v>12</v>
      </c>
      <c r="I142" s="11" t="s">
        <v>12</v>
      </c>
      <c r="J142" s="12"/>
    </row>
    <row r="143" spans="1:10" ht="60" customHeight="1">
      <c r="A143" s="6" t="s">
        <v>567</v>
      </c>
      <c r="B143" s="6" t="s">
        <v>17</v>
      </c>
      <c r="C143" s="6" t="s">
        <v>564</v>
      </c>
      <c r="D143" s="7" t="s">
        <v>19</v>
      </c>
      <c r="E143" s="8" t="s">
        <v>568</v>
      </c>
      <c r="F143" s="6" t="s">
        <v>569</v>
      </c>
      <c r="G143" s="9">
        <f>IF(A143=1,"_",IF(C143="_","???",C143))</f>
        <v/>
      </c>
      <c r="H143" s="10" t="s">
        <v>12</v>
      </c>
      <c r="I143" s="11" t="s">
        <v>12</v>
      </c>
      <c r="J143" s="12"/>
    </row>
    <row r="144" spans="1:10" ht="60" customHeight="1">
      <c r="A144" s="6" t="s">
        <v>570</v>
      </c>
      <c r="B144" s="6" t="s">
        <v>17</v>
      </c>
      <c r="C144" s="6" t="s">
        <v>564</v>
      </c>
      <c r="D144" s="7" t="s">
        <v>571</v>
      </c>
      <c r="E144" s="8" t="s">
        <v>572</v>
      </c>
      <c r="F144" s="6" t="s">
        <v>573</v>
      </c>
      <c r="G144" s="9">
        <f>IF(A144=1,"_",IF(C144="_","???",C144))</f>
        <v/>
      </c>
      <c r="H144" s="10" t="s">
        <v>12</v>
      </c>
      <c r="I144" s="11" t="s">
        <v>12</v>
      </c>
      <c r="J144" s="12"/>
    </row>
    <row r="145" spans="1:10" ht="60" customHeight="1">
      <c r="A145" s="6" t="s">
        <v>574</v>
      </c>
      <c r="B145" s="6" t="s">
        <v>31</v>
      </c>
      <c r="C145" s="6" t="s">
        <v>66</v>
      </c>
      <c r="D145" s="7" t="s">
        <v>168</v>
      </c>
      <c r="E145" s="8" t="s">
        <v>575</v>
      </c>
      <c r="F145" s="6" t="s">
        <v>576</v>
      </c>
      <c r="G145" s="9">
        <f>IF(A145=1,"_",IF(C145="_","???",C145))</f>
        <v/>
      </c>
      <c r="H145" s="10" t="s">
        <v>12</v>
      </c>
      <c r="I145" s="11" t="s">
        <v>12</v>
      </c>
      <c r="J145" s="12"/>
    </row>
    <row r="146" spans="1:10" ht="60" customHeight="1">
      <c r="A146" s="6" t="s">
        <v>577</v>
      </c>
      <c r="B146" s="6" t="s">
        <v>31</v>
      </c>
      <c r="C146" s="6" t="s">
        <v>22</v>
      </c>
      <c r="D146" s="7" t="s">
        <v>578</v>
      </c>
      <c r="E146" s="8" t="s">
        <v>579</v>
      </c>
      <c r="F146" s="6" t="s">
        <v>580</v>
      </c>
      <c r="G146" s="9">
        <f>IF(A146=1,"_",IF(C146="_","???",C146))</f>
        <v/>
      </c>
      <c r="H146" s="10" t="s">
        <v>12</v>
      </c>
      <c r="I146" s="11" t="s">
        <v>12</v>
      </c>
      <c r="J146" s="12"/>
    </row>
    <row r="147" spans="1:10" ht="60" customHeight="1">
      <c r="A147" s="6" t="s">
        <v>581</v>
      </c>
      <c r="B147" s="6" t="s">
        <v>11</v>
      </c>
      <c r="C147" s="6" t="s">
        <v>582</v>
      </c>
      <c r="D147" s="7" t="s">
        <v>583</v>
      </c>
      <c r="E147" s="8" t="s">
        <v>584</v>
      </c>
      <c r="F147" s="6" t="s">
        <v>585</v>
      </c>
      <c r="G147" s="9">
        <f>IF(A147=1,"_",IF(C147="_","???",C147))</f>
        <v/>
      </c>
      <c r="H147" s="10" t="s">
        <v>12</v>
      </c>
      <c r="I147" s="11" t="s">
        <v>12</v>
      </c>
      <c r="J147" s="12"/>
    </row>
    <row r="148" spans="1:10" ht="60" customHeight="1">
      <c r="A148" s="6" t="s">
        <v>586</v>
      </c>
      <c r="B148" s="6" t="s">
        <v>17</v>
      </c>
      <c r="C148" s="6" t="s">
        <v>75</v>
      </c>
      <c r="D148" s="7" t="s">
        <v>587</v>
      </c>
      <c r="E148" s="8" t="s">
        <v>588</v>
      </c>
      <c r="F148" s="6" t="s">
        <v>589</v>
      </c>
      <c r="G148" s="9">
        <f>IF(A148=1,"_",IF(C148="_","???",C148))</f>
        <v/>
      </c>
      <c r="H148" s="10" t="s">
        <v>12</v>
      </c>
      <c r="I148" s="11" t="s">
        <v>12</v>
      </c>
      <c r="J148" s="12"/>
    </row>
    <row r="149" spans="1:10" ht="60" customHeight="1">
      <c r="A149" s="6" t="s">
        <v>590</v>
      </c>
      <c r="B149" s="6" t="s">
        <v>31</v>
      </c>
      <c r="C149" s="6" t="s">
        <v>18</v>
      </c>
      <c r="D149" s="7" t="s">
        <v>591</v>
      </c>
      <c r="E149" s="8" t="s">
        <v>592</v>
      </c>
      <c r="F149" s="6" t="s">
        <v>593</v>
      </c>
      <c r="G149" s="9">
        <f>IF(A149=1,"_",IF(C149="_","???",C149))</f>
        <v/>
      </c>
      <c r="H149" s="10" t="s">
        <v>12</v>
      </c>
      <c r="I149" s="11" t="s">
        <v>12</v>
      </c>
      <c r="J149" s="12"/>
    </row>
    <row r="150" spans="1:10" ht="60" customHeight="1">
      <c r="A150" s="6" t="s">
        <v>594</v>
      </c>
      <c r="B150" s="6" t="s">
        <v>26</v>
      </c>
      <c r="C150" s="6" t="s">
        <v>18</v>
      </c>
      <c r="D150" s="7" t="s">
        <v>57</v>
      </c>
      <c r="E150" s="8" t="s">
        <v>595</v>
      </c>
      <c r="F150" s="6" t="s">
        <v>596</v>
      </c>
      <c r="G150" s="9">
        <f>IF(A150=1,"_",IF(C150="_","???",C150))</f>
        <v/>
      </c>
      <c r="H150" s="10" t="s">
        <v>12</v>
      </c>
      <c r="I150" s="11" t="s">
        <v>12</v>
      </c>
      <c r="J150" s="12"/>
    </row>
    <row r="151" spans="1:10" ht="60" customHeight="1">
      <c r="A151" s="6" t="s">
        <v>597</v>
      </c>
      <c r="B151" s="6" t="s">
        <v>26</v>
      </c>
      <c r="C151" s="6" t="s">
        <v>406</v>
      </c>
      <c r="D151" s="7" t="s">
        <v>598</v>
      </c>
      <c r="E151" s="8" t="s">
        <v>599</v>
      </c>
      <c r="F151" s="6" t="s">
        <v>600</v>
      </c>
      <c r="G151" s="9">
        <f>IF(A151=1,"_",IF(C151="_","???",C151))</f>
        <v/>
      </c>
      <c r="H151" s="10" t="s">
        <v>12</v>
      </c>
      <c r="I151" s="11" t="s">
        <v>12</v>
      </c>
      <c r="J151" s="12"/>
    </row>
    <row r="152" spans="1:10" ht="60" customHeight="1">
      <c r="A152" s="6" t="s">
        <v>601</v>
      </c>
      <c r="B152" s="6" t="s">
        <v>16</v>
      </c>
      <c r="C152" s="6" t="s">
        <v>12</v>
      </c>
      <c r="D152" s="7" t="s">
        <v>168</v>
      </c>
      <c r="E152" s="8" t="s">
        <v>602</v>
      </c>
      <c r="F152" s="6" t="s">
        <v>603</v>
      </c>
      <c r="G152" s="9">
        <f>IF(A152=1,"_",IF(C152="_","???",C152))</f>
        <v/>
      </c>
      <c r="H152" s="10" t="s">
        <v>12</v>
      </c>
      <c r="I152" s="11" t="s">
        <v>12</v>
      </c>
      <c r="J152" s="12"/>
    </row>
    <row r="153" spans="1:10" ht="60" customHeight="1">
      <c r="A153" s="6" t="s">
        <v>604</v>
      </c>
      <c r="B153" s="6" t="s">
        <v>79</v>
      </c>
      <c r="C153" s="6" t="s">
        <v>18</v>
      </c>
      <c r="D153" s="7" t="s">
        <v>605</v>
      </c>
      <c r="E153" s="8" t="s">
        <v>606</v>
      </c>
      <c r="F153" s="6" t="s">
        <v>607</v>
      </c>
      <c r="G153" s="9">
        <f>IF(A153=1,"_",IF(C153="_","???",C153))</f>
        <v/>
      </c>
      <c r="H153" s="10" t="s">
        <v>12</v>
      </c>
      <c r="I153" s="11" t="s">
        <v>12</v>
      </c>
      <c r="J153" s="12"/>
    </row>
    <row r="154" spans="1:10" ht="60" customHeight="1">
      <c r="A154" s="6" t="s">
        <v>608</v>
      </c>
      <c r="B154" s="6" t="s">
        <v>16</v>
      </c>
      <c r="C154" s="6" t="s">
        <v>75</v>
      </c>
      <c r="D154" s="7" t="s">
        <v>609</v>
      </c>
      <c r="E154" s="8" t="s">
        <v>610</v>
      </c>
      <c r="F154" s="6" t="s">
        <v>611</v>
      </c>
      <c r="G154" s="9">
        <f>IF(A154=1,"_",IF(C154="_","???",C154))</f>
        <v/>
      </c>
      <c r="H154" s="10" t="s">
        <v>12</v>
      </c>
      <c r="I154" s="11" t="s">
        <v>12</v>
      </c>
      <c r="J154" s="12"/>
    </row>
    <row r="155" spans="1:10" ht="60" customHeight="1">
      <c r="A155" s="6" t="s">
        <v>612</v>
      </c>
      <c r="B155" s="6" t="s">
        <v>27</v>
      </c>
      <c r="C155" s="6" t="s">
        <v>61</v>
      </c>
      <c r="D155" s="7" t="s">
        <v>613</v>
      </c>
      <c r="E155" s="8" t="s">
        <v>614</v>
      </c>
      <c r="F155" s="6" t="s">
        <v>615</v>
      </c>
      <c r="G155" s="9">
        <f>IF(A155=1,"_",IF(C155="_","???",C155))</f>
        <v/>
      </c>
      <c r="H155" s="10" t="s">
        <v>12</v>
      </c>
      <c r="I155" s="11" t="s">
        <v>12</v>
      </c>
      <c r="J155" s="12"/>
    </row>
    <row r="156" spans="1:10" ht="60" customHeight="1">
      <c r="A156" s="6" t="s">
        <v>616</v>
      </c>
      <c r="B156" s="6" t="s">
        <v>36</v>
      </c>
      <c r="C156" s="6" t="s">
        <v>97</v>
      </c>
      <c r="D156" s="7" t="s">
        <v>157</v>
      </c>
      <c r="E156" s="8" t="s">
        <v>617</v>
      </c>
      <c r="F156" s="6" t="s">
        <v>618</v>
      </c>
      <c r="G156" s="9">
        <f>IF(A156=1,"_",IF(C156="_","???",C156))</f>
        <v/>
      </c>
      <c r="H156" s="10" t="s">
        <v>12</v>
      </c>
      <c r="I156" s="11" t="s">
        <v>12</v>
      </c>
      <c r="J156" s="12"/>
    </row>
    <row r="157" spans="1:10" ht="60" customHeight="1">
      <c r="A157" s="6" t="s">
        <v>619</v>
      </c>
      <c r="B157" s="6" t="s">
        <v>10</v>
      </c>
      <c r="C157" s="6" t="s">
        <v>12</v>
      </c>
      <c r="D157" s="7" t="s">
        <v>190</v>
      </c>
      <c r="E157" s="8" t="s">
        <v>190</v>
      </c>
      <c r="F157" s="6" t="s">
        <v>620</v>
      </c>
      <c r="G157" s="9">
        <f>IF(A157=1,"_",IF(C157="_","???",C157))</f>
        <v/>
      </c>
      <c r="H157" s="10" t="s">
        <v>12</v>
      </c>
      <c r="I157" s="11" t="s">
        <v>12</v>
      </c>
      <c r="J157" s="12"/>
    </row>
    <row r="158" spans="1:10" ht="60" customHeight="1">
      <c r="A158" s="6" t="s">
        <v>621</v>
      </c>
      <c r="B158" s="6" t="s">
        <v>26</v>
      </c>
      <c r="C158" s="6" t="s">
        <v>18</v>
      </c>
      <c r="D158" s="7" t="s">
        <v>183</v>
      </c>
      <c r="E158" s="8" t="s">
        <v>622</v>
      </c>
      <c r="F158" s="6" t="s">
        <v>623</v>
      </c>
      <c r="G158" s="9">
        <f>IF(A158=1,"_",IF(C158="_","???",C158))</f>
        <v/>
      </c>
      <c r="H158" s="10" t="s">
        <v>12</v>
      </c>
      <c r="I158" s="11" t="s">
        <v>12</v>
      </c>
      <c r="J158" s="12"/>
    </row>
    <row r="159" spans="1:10" ht="60" customHeight="1">
      <c r="A159" s="6" t="s">
        <v>624</v>
      </c>
      <c r="B159" s="6" t="s">
        <v>44</v>
      </c>
      <c r="C159" s="6" t="s">
        <v>406</v>
      </c>
      <c r="D159" s="7" t="s">
        <v>625</v>
      </c>
      <c r="E159" s="8" t="s">
        <v>626</v>
      </c>
      <c r="F159" s="6" t="s">
        <v>627</v>
      </c>
      <c r="G159" s="9">
        <f>IF(A159=1,"_",IF(C159="_","???",C159))</f>
        <v/>
      </c>
      <c r="H159" s="10" t="s">
        <v>12</v>
      </c>
      <c r="I159" s="11" t="s">
        <v>12</v>
      </c>
      <c r="J159" s="12"/>
    </row>
    <row r="160" spans="1:10" ht="60" customHeight="1">
      <c r="A160" s="6" t="s">
        <v>628</v>
      </c>
      <c r="B160" s="6" t="s">
        <v>11</v>
      </c>
      <c r="C160" s="6" t="s">
        <v>75</v>
      </c>
      <c r="D160" s="7" t="s">
        <v>629</v>
      </c>
      <c r="E160" s="8" t="s">
        <v>630</v>
      </c>
      <c r="F160" s="6" t="s">
        <v>631</v>
      </c>
      <c r="G160" s="9">
        <f>IF(A160=1,"_",IF(C160="_","???",C160))</f>
        <v/>
      </c>
      <c r="H160" s="10" t="s">
        <v>12</v>
      </c>
      <c r="I160" s="11" t="s">
        <v>12</v>
      </c>
      <c r="J160" s="12"/>
    </row>
    <row r="161" spans="1:10" ht="60" customHeight="1">
      <c r="A161" s="6" t="s">
        <v>632</v>
      </c>
      <c r="B161" s="6" t="s">
        <v>16</v>
      </c>
      <c r="C161" s="6" t="s">
        <v>18</v>
      </c>
      <c r="D161" s="7" t="s">
        <v>633</v>
      </c>
      <c r="E161" s="8" t="s">
        <v>634</v>
      </c>
      <c r="F161" s="6" t="s">
        <v>635</v>
      </c>
      <c r="G161" s="9">
        <f>IF(A161=1,"_",IF(C161="_","???",C161))</f>
        <v/>
      </c>
      <c r="H161" s="10" t="s">
        <v>12</v>
      </c>
      <c r="I161" s="11" t="s">
        <v>12</v>
      </c>
      <c r="J161" s="12"/>
    </row>
    <row r="162" spans="1:10" ht="60" customHeight="1">
      <c r="A162" s="6" t="s">
        <v>636</v>
      </c>
      <c r="B162" s="6" t="s">
        <v>16</v>
      </c>
      <c r="C162" s="6" t="s">
        <v>637</v>
      </c>
      <c r="D162" s="7" t="s">
        <v>136</v>
      </c>
      <c r="E162" s="8" t="s">
        <v>638</v>
      </c>
      <c r="F162" s="6" t="s">
        <v>639</v>
      </c>
      <c r="G162" s="9">
        <f>IF(A162=1,"_",IF(C162="_","???",C162))</f>
        <v/>
      </c>
      <c r="H162" s="10" t="s">
        <v>12</v>
      </c>
      <c r="I162" s="11" t="s">
        <v>12</v>
      </c>
      <c r="J162" s="12"/>
    </row>
    <row r="163" spans="1:10" ht="60" customHeight="1">
      <c r="A163" s="6" t="s">
        <v>640</v>
      </c>
      <c r="B163" s="6" t="s">
        <v>31</v>
      </c>
      <c r="C163" s="6" t="s">
        <v>12</v>
      </c>
      <c r="D163" s="7" t="s">
        <v>442</v>
      </c>
      <c r="E163" s="8" t="s">
        <v>641</v>
      </c>
      <c r="F163" s="6" t="s">
        <v>642</v>
      </c>
      <c r="G163" s="9">
        <f>IF(A163=1,"_",IF(C163="_","???",C163))</f>
        <v/>
      </c>
      <c r="H163" s="10" t="s">
        <v>12</v>
      </c>
      <c r="I163" s="11" t="s">
        <v>12</v>
      </c>
      <c r="J163" s="12"/>
    </row>
    <row r="164" spans="1:10" ht="60" customHeight="1">
      <c r="A164" s="6" t="s">
        <v>643</v>
      </c>
      <c r="B164" s="6" t="s">
        <v>27</v>
      </c>
      <c r="C164" s="6" t="s">
        <v>97</v>
      </c>
      <c r="D164" s="7" t="s">
        <v>644</v>
      </c>
      <c r="E164" s="8" t="s">
        <v>645</v>
      </c>
      <c r="F164" s="6" t="s">
        <v>646</v>
      </c>
      <c r="G164" s="9">
        <f>IF(A164=1,"_",IF(C164="_","???",C164))</f>
        <v/>
      </c>
      <c r="H164" s="10" t="s">
        <v>12</v>
      </c>
      <c r="I164" s="11" t="s">
        <v>12</v>
      </c>
      <c r="J164" s="12"/>
    </row>
    <row r="165" spans="1:10" ht="60" customHeight="1">
      <c r="A165" s="6" t="s">
        <v>647</v>
      </c>
      <c r="B165" s="6" t="s">
        <v>26</v>
      </c>
      <c r="C165" s="6" t="s">
        <v>18</v>
      </c>
      <c r="D165" s="7" t="s">
        <v>461</v>
      </c>
      <c r="E165" s="8" t="s">
        <v>648</v>
      </c>
      <c r="F165" s="6" t="s">
        <v>649</v>
      </c>
      <c r="G165" s="9">
        <f>IF(A165=1,"_",IF(C165="_","???",C165))</f>
        <v/>
      </c>
      <c r="H165" s="10" t="s">
        <v>12</v>
      </c>
      <c r="I165" s="11" t="s">
        <v>12</v>
      </c>
      <c r="J165" s="12"/>
    </row>
    <row r="166" spans="1:10" ht="60" customHeight="1">
      <c r="A166" s="6" t="s">
        <v>650</v>
      </c>
      <c r="B166" s="6" t="s">
        <v>11</v>
      </c>
      <c r="C166" s="6" t="s">
        <v>651</v>
      </c>
      <c r="D166" s="7" t="s">
        <v>652</v>
      </c>
      <c r="E166" s="8" t="s">
        <v>653</v>
      </c>
      <c r="F166" s="6" t="s">
        <v>654</v>
      </c>
      <c r="G166" s="9">
        <f>IF(A166=1,"_",IF(C166="_","???",C166))</f>
        <v/>
      </c>
      <c r="H166" s="10" t="s">
        <v>12</v>
      </c>
      <c r="I166" s="11" t="s">
        <v>12</v>
      </c>
      <c r="J166" s="12"/>
    </row>
    <row r="167" spans="1:10" ht="60" customHeight="1">
      <c r="A167" s="6" t="s">
        <v>655</v>
      </c>
      <c r="B167" s="6" t="s">
        <v>31</v>
      </c>
      <c r="C167" s="6" t="s">
        <v>501</v>
      </c>
      <c r="D167" s="7" t="s">
        <v>656</v>
      </c>
      <c r="E167" s="8" t="s">
        <v>657</v>
      </c>
      <c r="F167" s="6" t="s">
        <v>658</v>
      </c>
      <c r="G167" s="9">
        <f>IF(A167=1,"_",IF(C167="_","???",C167))</f>
        <v/>
      </c>
      <c r="H167" s="10" t="s">
        <v>12</v>
      </c>
      <c r="I167" s="11" t="s">
        <v>12</v>
      </c>
      <c r="J167" s="12"/>
    </row>
    <row r="168" spans="1:10" ht="60" customHeight="1">
      <c r="A168" s="6" t="s">
        <v>659</v>
      </c>
      <c r="B168" s="6" t="s">
        <v>16</v>
      </c>
      <c r="C168" s="6" t="s">
        <v>12</v>
      </c>
      <c r="D168" s="7" t="s">
        <v>205</v>
      </c>
      <c r="E168" s="8" t="s">
        <v>660</v>
      </c>
      <c r="F168" s="6" t="s">
        <v>661</v>
      </c>
      <c r="G168" s="9">
        <f>IF(A168=1,"_",IF(C168="_","???",C168))</f>
        <v/>
      </c>
      <c r="H168" s="10" t="s">
        <v>12</v>
      </c>
      <c r="I168" s="11" t="s">
        <v>12</v>
      </c>
      <c r="J168" s="12"/>
    </row>
    <row r="169" spans="1:10" ht="60" customHeight="1">
      <c r="A169" s="6" t="s">
        <v>662</v>
      </c>
      <c r="B169" s="6" t="s">
        <v>26</v>
      </c>
      <c r="C169" s="6" t="s">
        <v>18</v>
      </c>
      <c r="D169" s="7" t="s">
        <v>663</v>
      </c>
      <c r="E169" s="8" t="s">
        <v>664</v>
      </c>
      <c r="F169" s="6" t="s">
        <v>665</v>
      </c>
      <c r="G169" s="9">
        <f>IF(A169=1,"_",IF(C169="_","???",C169))</f>
        <v/>
      </c>
      <c r="H169" s="10" t="s">
        <v>12</v>
      </c>
      <c r="I169" s="11" t="s">
        <v>12</v>
      </c>
      <c r="J169" s="12"/>
    </row>
    <row r="170" spans="1:10" ht="60" customHeight="1">
      <c r="A170" s="6" t="s">
        <v>666</v>
      </c>
      <c r="B170" s="6" t="s">
        <v>108</v>
      </c>
      <c r="C170" s="6" t="s">
        <v>75</v>
      </c>
      <c r="D170" s="7" t="s">
        <v>667</v>
      </c>
      <c r="E170" s="8" t="s">
        <v>668</v>
      </c>
      <c r="F170" s="6" t="s">
        <v>669</v>
      </c>
      <c r="G170" s="9">
        <f>IF(A170=1,"_",IF(C170="_","???",C170))</f>
        <v/>
      </c>
      <c r="H170" s="10" t="s">
        <v>12</v>
      </c>
      <c r="I170" s="11" t="s">
        <v>12</v>
      </c>
      <c r="J170" s="12"/>
    </row>
    <row r="171" spans="1:10" ht="60" customHeight="1">
      <c r="A171" s="6" t="s">
        <v>670</v>
      </c>
      <c r="B171" s="6" t="s">
        <v>10</v>
      </c>
      <c r="C171" s="6" t="s">
        <v>12</v>
      </c>
      <c r="D171" s="7" t="s">
        <v>190</v>
      </c>
      <c r="E171" s="8" t="s">
        <v>190</v>
      </c>
      <c r="F171" s="6" t="s">
        <v>671</v>
      </c>
      <c r="G171" s="9">
        <f>IF(A171=1,"_",IF(C171="_","???",C171))</f>
        <v/>
      </c>
      <c r="H171" s="10" t="s">
        <v>12</v>
      </c>
      <c r="I171" s="11" t="s">
        <v>12</v>
      </c>
      <c r="J171" s="12"/>
    </row>
    <row r="172" spans="1:10" ht="60" customHeight="1">
      <c r="A172" s="6" t="s">
        <v>672</v>
      </c>
      <c r="B172" s="6" t="s">
        <v>44</v>
      </c>
      <c r="C172" s="6" t="s">
        <v>673</v>
      </c>
      <c r="D172" s="7" t="s">
        <v>674</v>
      </c>
      <c r="E172" s="8" t="s">
        <v>675</v>
      </c>
      <c r="F172" s="6" t="s">
        <v>676</v>
      </c>
      <c r="G172" s="9">
        <f>IF(A172=1,"_",IF(C172="_","???",C172))</f>
        <v/>
      </c>
      <c r="H172" s="10" t="s">
        <v>12</v>
      </c>
      <c r="I172" s="11" t="s">
        <v>12</v>
      </c>
      <c r="J172" s="12"/>
    </row>
    <row r="173" spans="1:10" ht="60" customHeight="1">
      <c r="A173" s="6" t="s">
        <v>677</v>
      </c>
      <c r="B173" s="6" t="s">
        <v>26</v>
      </c>
      <c r="C173" s="6" t="s">
        <v>200</v>
      </c>
      <c r="D173" s="7" t="s">
        <v>54</v>
      </c>
      <c r="E173" s="8" t="s">
        <v>678</v>
      </c>
      <c r="F173" s="6" t="s">
        <v>679</v>
      </c>
      <c r="G173" s="9">
        <f>IF(A173=1,"_",IF(C173="_","???",C173))</f>
        <v/>
      </c>
      <c r="H173" s="10" t="s">
        <v>12</v>
      </c>
      <c r="I173" s="11" t="s">
        <v>12</v>
      </c>
      <c r="J173" s="12"/>
    </row>
    <row r="174" spans="1:10" ht="60" customHeight="1">
      <c r="A174" s="6" t="s">
        <v>680</v>
      </c>
      <c r="B174" s="6" t="s">
        <v>48</v>
      </c>
      <c r="C174" s="6" t="s">
        <v>18</v>
      </c>
      <c r="D174" s="7" t="s">
        <v>681</v>
      </c>
      <c r="E174" s="8" t="s">
        <v>682</v>
      </c>
      <c r="F174" s="6" t="s">
        <v>683</v>
      </c>
      <c r="G174" s="9">
        <f>IF(A174=1,"_",IF(C174="_","???",C174))</f>
        <v/>
      </c>
      <c r="H174" s="10" t="s">
        <v>12</v>
      </c>
      <c r="I174" s="11" t="s">
        <v>12</v>
      </c>
      <c r="J174" s="12"/>
    </row>
    <row r="175" spans="1:10" ht="60" customHeight="1">
      <c r="A175" s="6" t="s">
        <v>684</v>
      </c>
      <c r="B175" s="6" t="s">
        <v>11</v>
      </c>
      <c r="C175" s="6" t="s">
        <v>18</v>
      </c>
      <c r="D175" s="7" t="s">
        <v>183</v>
      </c>
      <c r="E175" s="8" t="s">
        <v>685</v>
      </c>
      <c r="F175" s="6" t="s">
        <v>686</v>
      </c>
      <c r="G175" s="9">
        <f>IF(A175=1,"_",IF(C175="_","???",C175))</f>
        <v/>
      </c>
      <c r="H175" s="10" t="s">
        <v>12</v>
      </c>
      <c r="I175" s="11" t="s">
        <v>12</v>
      </c>
      <c r="J175" s="12"/>
    </row>
    <row r="176" spans="1:10" ht="60" customHeight="1">
      <c r="A176" s="6" t="s">
        <v>687</v>
      </c>
      <c r="B176" s="6" t="s">
        <v>11</v>
      </c>
      <c r="C176" s="6" t="s">
        <v>75</v>
      </c>
      <c r="D176" s="7" t="s">
        <v>183</v>
      </c>
      <c r="E176" s="8" t="s">
        <v>688</v>
      </c>
      <c r="F176" s="6" t="s">
        <v>689</v>
      </c>
      <c r="G176" s="9">
        <f>IF(A176=1,"_",IF(C176="_","???",C176))</f>
        <v/>
      </c>
      <c r="H176" s="10" t="s">
        <v>12</v>
      </c>
      <c r="I176" s="11" t="s">
        <v>12</v>
      </c>
      <c r="J176" s="12"/>
    </row>
    <row r="177" spans="1:10" ht="60" customHeight="1">
      <c r="A177" s="6" t="s">
        <v>690</v>
      </c>
      <c r="B177" s="6" t="s">
        <v>11</v>
      </c>
      <c r="C177" s="6" t="s">
        <v>12</v>
      </c>
      <c r="D177" s="7" t="s">
        <v>168</v>
      </c>
      <c r="E177" s="8" t="s">
        <v>691</v>
      </c>
      <c r="F177" s="6" t="s">
        <v>692</v>
      </c>
      <c r="G177" s="9">
        <f>IF(A177=1,"_",IF(C177="_","???",C177))</f>
        <v/>
      </c>
      <c r="H177" s="10" t="s">
        <v>12</v>
      </c>
      <c r="I177" s="11" t="s">
        <v>12</v>
      </c>
      <c r="J177" s="12"/>
    </row>
    <row r="178" spans="1:10" ht="60" customHeight="1">
      <c r="A178" s="6" t="s">
        <v>693</v>
      </c>
      <c r="B178" s="6" t="s">
        <v>27</v>
      </c>
      <c r="C178" s="6" t="s">
        <v>12</v>
      </c>
      <c r="D178" s="7" t="s">
        <v>583</v>
      </c>
      <c r="E178" s="8" t="s">
        <v>694</v>
      </c>
      <c r="F178" s="6" t="s">
        <v>695</v>
      </c>
      <c r="G178" s="9">
        <f>IF(A178=1,"_",IF(C178="_","???",C178))</f>
        <v/>
      </c>
      <c r="H178" s="10" t="s">
        <v>12</v>
      </c>
      <c r="I178" s="11" t="s">
        <v>12</v>
      </c>
      <c r="J178" s="12"/>
    </row>
    <row r="179" spans="1:10" ht="60" customHeight="1">
      <c r="A179" s="6" t="s">
        <v>696</v>
      </c>
      <c r="B179" s="6" t="s">
        <v>53</v>
      </c>
      <c r="C179" s="6" t="s">
        <v>12</v>
      </c>
      <c r="D179" s="7" t="s">
        <v>431</v>
      </c>
      <c r="E179" s="8" t="s">
        <v>697</v>
      </c>
      <c r="F179" s="6" t="s">
        <v>698</v>
      </c>
      <c r="G179" s="9">
        <f>IF(A179=1,"_",IF(C179="_","???",C179))</f>
        <v/>
      </c>
      <c r="H179" s="10" t="s">
        <v>12</v>
      </c>
      <c r="I179" s="11" t="s">
        <v>12</v>
      </c>
      <c r="J179" s="12"/>
    </row>
    <row r="180" spans="1:10" ht="60" customHeight="1">
      <c r="A180" s="6" t="s">
        <v>699</v>
      </c>
      <c r="B180" s="6" t="s">
        <v>27</v>
      </c>
      <c r="C180" s="6" t="s">
        <v>12</v>
      </c>
      <c r="D180" s="7" t="s">
        <v>183</v>
      </c>
      <c r="E180" s="8" t="s">
        <v>700</v>
      </c>
      <c r="F180" s="6" t="s">
        <v>701</v>
      </c>
      <c r="G180" s="9">
        <f>IF(A180=1,"_",IF(C180="_","???",C180))</f>
        <v/>
      </c>
      <c r="H180" s="10" t="s">
        <v>12</v>
      </c>
      <c r="I180" s="11" t="s">
        <v>12</v>
      </c>
      <c r="J180" s="12"/>
    </row>
    <row r="181" spans="1:10" ht="60" customHeight="1">
      <c r="A181" s="6" t="s">
        <v>702</v>
      </c>
      <c r="B181" s="6" t="s">
        <v>16</v>
      </c>
      <c r="C181" s="6" t="s">
        <v>12</v>
      </c>
      <c r="D181" s="7" t="s">
        <v>168</v>
      </c>
      <c r="E181" s="8" t="s">
        <v>703</v>
      </c>
      <c r="F181" s="6" t="s">
        <v>704</v>
      </c>
      <c r="G181" s="9">
        <f>IF(A181=1,"_",IF(C181="_","???",C181))</f>
        <v/>
      </c>
      <c r="H181" s="10" t="s">
        <v>12</v>
      </c>
      <c r="I181" s="11" t="s">
        <v>12</v>
      </c>
      <c r="J181" s="12"/>
    </row>
    <row r="182" spans="1:10" ht="60" customHeight="1">
      <c r="A182" s="6" t="s">
        <v>705</v>
      </c>
      <c r="B182" s="6" t="s">
        <v>44</v>
      </c>
      <c r="C182" s="6" t="s">
        <v>12</v>
      </c>
      <c r="D182" s="7" t="s">
        <v>706</v>
      </c>
      <c r="E182" s="8" t="s">
        <v>707</v>
      </c>
      <c r="F182" s="6" t="s">
        <v>708</v>
      </c>
      <c r="G182" s="9">
        <f>IF(A182=1,"_",IF(C182="_","???",C182))</f>
        <v/>
      </c>
      <c r="H182" s="10" t="s">
        <v>12</v>
      </c>
      <c r="I182" s="11" t="s">
        <v>12</v>
      </c>
      <c r="J182" s="12"/>
    </row>
    <row r="183" spans="1:10" ht="60" customHeight="1">
      <c r="A183" s="6" t="s">
        <v>709</v>
      </c>
      <c r="B183" s="6" t="s">
        <v>26</v>
      </c>
      <c r="C183" s="6" t="s">
        <v>12</v>
      </c>
      <c r="D183" s="7" t="s">
        <v>183</v>
      </c>
      <c r="E183" s="8" t="s">
        <v>710</v>
      </c>
      <c r="F183" s="6" t="s">
        <v>711</v>
      </c>
      <c r="G183" s="9">
        <f>IF(A183=1,"_",IF(C183="_","???",C183))</f>
        <v/>
      </c>
      <c r="H183" s="10" t="s">
        <v>12</v>
      </c>
      <c r="I183" s="11" t="s">
        <v>12</v>
      </c>
      <c r="J183" s="12"/>
    </row>
    <row r="184" spans="1:10" ht="60" customHeight="1">
      <c r="A184" s="6" t="s">
        <v>712</v>
      </c>
      <c r="B184" s="6" t="s">
        <v>87</v>
      </c>
      <c r="C184" s="6" t="s">
        <v>12</v>
      </c>
      <c r="D184" s="7" t="s">
        <v>713</v>
      </c>
      <c r="E184" s="8" t="s">
        <v>714</v>
      </c>
      <c r="F184" s="6" t="s">
        <v>715</v>
      </c>
      <c r="G184" s="9">
        <f>IF(A184=1,"_",IF(C184="_","???",C184))</f>
        <v/>
      </c>
      <c r="H184" s="10" t="s">
        <v>12</v>
      </c>
      <c r="I184" s="11" t="s">
        <v>12</v>
      </c>
      <c r="J184" s="12"/>
    </row>
    <row r="185" spans="1:10" ht="60" customHeight="1">
      <c r="A185" s="6" t="s">
        <v>716</v>
      </c>
      <c r="B185" s="6" t="s">
        <v>11</v>
      </c>
      <c r="C185" s="6" t="s">
        <v>127</v>
      </c>
      <c r="D185" s="7" t="s">
        <v>717</v>
      </c>
      <c r="E185" s="8" t="s">
        <v>718</v>
      </c>
      <c r="F185" s="6" t="s">
        <v>719</v>
      </c>
      <c r="G185" s="9">
        <f>IF(A185=1,"_",IF(C185="_","???",C185))</f>
        <v/>
      </c>
      <c r="H185" s="10" t="s">
        <v>12</v>
      </c>
      <c r="I185" s="11" t="s">
        <v>12</v>
      </c>
      <c r="J185" s="12"/>
    </row>
    <row r="186" spans="1:10" ht="60" customHeight="1">
      <c r="A186" s="6" t="s">
        <v>720</v>
      </c>
      <c r="B186" s="6" t="s">
        <v>16</v>
      </c>
      <c r="C186" s="6" t="s">
        <v>12</v>
      </c>
      <c r="D186" s="7" t="s">
        <v>721</v>
      </c>
      <c r="E186" s="8" t="s">
        <v>722</v>
      </c>
      <c r="F186" s="6" t="s">
        <v>723</v>
      </c>
      <c r="G186" s="9">
        <f>IF(A186=1,"_",IF(C186="_","???",C186))</f>
        <v/>
      </c>
      <c r="H186" s="10" t="s">
        <v>12</v>
      </c>
      <c r="I186" s="11" t="s">
        <v>12</v>
      </c>
      <c r="J186" s="12"/>
    </row>
    <row r="187" spans="1:10" ht="60" customHeight="1">
      <c r="A187" s="6" t="s">
        <v>724</v>
      </c>
      <c r="B187" s="6" t="s">
        <v>26</v>
      </c>
      <c r="C187" s="6" t="s">
        <v>12</v>
      </c>
      <c r="D187" s="7" t="s">
        <v>725</v>
      </c>
      <c r="E187" s="8" t="s">
        <v>726</v>
      </c>
      <c r="F187" s="6" t="s">
        <v>727</v>
      </c>
      <c r="G187" s="9">
        <f>IF(A187=1,"_",IF(C187="_","???",C187))</f>
        <v/>
      </c>
      <c r="H187" s="10" t="s">
        <v>12</v>
      </c>
      <c r="I187" s="11" t="s">
        <v>12</v>
      </c>
      <c r="J187" s="12"/>
    </row>
    <row r="188" spans="1:10" ht="60" customHeight="1">
      <c r="A188" s="6" t="s">
        <v>728</v>
      </c>
      <c r="B188" s="6" t="s">
        <v>16</v>
      </c>
      <c r="C188" s="6" t="s">
        <v>327</v>
      </c>
      <c r="D188" s="7" t="s">
        <v>583</v>
      </c>
      <c r="E188" s="8" t="s">
        <v>729</v>
      </c>
      <c r="F188" s="6" t="s">
        <v>730</v>
      </c>
      <c r="G188" s="9">
        <f>IF(A188=1,"_",IF(C188="_","???",C188))</f>
        <v/>
      </c>
      <c r="H188" s="10" t="s">
        <v>12</v>
      </c>
      <c r="I188" s="11" t="s">
        <v>12</v>
      </c>
      <c r="J188" s="12"/>
    </row>
    <row r="189" spans="1:10" ht="60" customHeight="1">
      <c r="A189" s="6" t="s">
        <v>731</v>
      </c>
      <c r="B189" s="6" t="s">
        <v>79</v>
      </c>
      <c r="C189" s="6" t="s">
        <v>18</v>
      </c>
      <c r="D189" s="7" t="s">
        <v>732</v>
      </c>
      <c r="E189" s="8" t="s">
        <v>733</v>
      </c>
      <c r="F189" s="6" t="s">
        <v>734</v>
      </c>
      <c r="G189" s="9">
        <f>IF(A189=1,"_",IF(C189="_","???",C189))</f>
        <v/>
      </c>
      <c r="H189" s="10" t="s">
        <v>12</v>
      </c>
      <c r="I189" s="11" t="s">
        <v>12</v>
      </c>
      <c r="J189" s="12"/>
    </row>
    <row r="190" spans="1:10" ht="60" customHeight="1">
      <c r="A190" s="6" t="s">
        <v>735</v>
      </c>
      <c r="B190" s="6" t="s">
        <v>17</v>
      </c>
      <c r="C190" s="6" t="s">
        <v>18</v>
      </c>
      <c r="D190" s="7" t="s">
        <v>736</v>
      </c>
      <c r="E190" s="8" t="s">
        <v>737</v>
      </c>
      <c r="F190" s="6" t="s">
        <v>738</v>
      </c>
      <c r="G190" s="9">
        <f>IF(A190=1,"_",IF(C190="_","???",C190))</f>
        <v/>
      </c>
      <c r="H190" s="10" t="s">
        <v>12</v>
      </c>
      <c r="I190" s="11" t="s">
        <v>12</v>
      </c>
      <c r="J190" s="12"/>
    </row>
    <row r="191" spans="1:10" ht="60" customHeight="1">
      <c r="A191" s="6" t="s">
        <v>739</v>
      </c>
      <c r="B191" s="6" t="s">
        <v>26</v>
      </c>
      <c r="C191" s="6" t="s">
        <v>18</v>
      </c>
      <c r="D191" s="7" t="s">
        <v>105</v>
      </c>
      <c r="E191" s="8" t="s">
        <v>740</v>
      </c>
      <c r="F191" s="6" t="s">
        <v>741</v>
      </c>
      <c r="G191" s="9">
        <f>IF(A191=1,"_",IF(C191="_","???",C191))</f>
        <v/>
      </c>
      <c r="H191" s="10" t="s">
        <v>12</v>
      </c>
      <c r="I191" s="11" t="s">
        <v>12</v>
      </c>
      <c r="J191" s="12"/>
    </row>
    <row r="192" spans="1:10" ht="60" customHeight="1">
      <c r="A192" s="6" t="s">
        <v>742</v>
      </c>
      <c r="B192" s="6" t="s">
        <v>11</v>
      </c>
      <c r="C192" s="6" t="s">
        <v>12</v>
      </c>
      <c r="D192" s="7" t="s">
        <v>743</v>
      </c>
      <c r="E192" s="8" t="s">
        <v>744</v>
      </c>
      <c r="F192" s="6" t="s">
        <v>745</v>
      </c>
      <c r="G192" s="9">
        <f>IF(A192=1,"_",IF(C192="_","???",C192))</f>
        <v/>
      </c>
      <c r="H192" s="10" t="s">
        <v>12</v>
      </c>
      <c r="I192" s="11" t="s">
        <v>12</v>
      </c>
      <c r="J192" s="12"/>
    </row>
    <row r="193" spans="1:10" ht="60" customHeight="1">
      <c r="A193" s="6" t="s">
        <v>746</v>
      </c>
      <c r="B193" s="6" t="s">
        <v>26</v>
      </c>
      <c r="C193" s="6" t="s">
        <v>18</v>
      </c>
      <c r="D193" s="7" t="s">
        <v>168</v>
      </c>
      <c r="E193" s="8" t="s">
        <v>747</v>
      </c>
      <c r="F193" s="6" t="s">
        <v>748</v>
      </c>
      <c r="G193" s="9">
        <f>IF(A193=1,"_",IF(C193="_","???",C193))</f>
        <v/>
      </c>
      <c r="H193" s="10" t="s">
        <v>12</v>
      </c>
      <c r="I193" s="11" t="s">
        <v>12</v>
      </c>
      <c r="J193" s="12"/>
    </row>
    <row r="194" spans="1:10" ht="60" customHeight="1">
      <c r="A194" s="6" t="s">
        <v>749</v>
      </c>
      <c r="B194" s="6" t="s">
        <v>16</v>
      </c>
      <c r="C194" s="6" t="s">
        <v>32</v>
      </c>
      <c r="D194" s="7" t="s">
        <v>750</v>
      </c>
      <c r="E194" s="8" t="s">
        <v>751</v>
      </c>
      <c r="F194" s="6" t="s">
        <v>752</v>
      </c>
      <c r="G194" s="9">
        <f>IF(A194=1,"_",IF(C194="_","???",C194))</f>
        <v/>
      </c>
      <c r="H194" s="10" t="s">
        <v>12</v>
      </c>
      <c r="I194" s="11" t="s">
        <v>12</v>
      </c>
      <c r="J194" s="12"/>
    </row>
    <row r="195" spans="1:10" ht="60" customHeight="1">
      <c r="A195" s="6" t="s">
        <v>753</v>
      </c>
      <c r="B195" s="6" t="s">
        <v>16</v>
      </c>
      <c r="C195" s="6" t="s">
        <v>12</v>
      </c>
      <c r="D195" s="7" t="s">
        <v>754</v>
      </c>
      <c r="E195" s="8" t="s">
        <v>755</v>
      </c>
      <c r="F195" s="6" t="s">
        <v>756</v>
      </c>
      <c r="G195" s="9">
        <f>IF(A195=1,"_",IF(C195="_","???",C195))</f>
        <v/>
      </c>
      <c r="H195" s="10" t="s">
        <v>12</v>
      </c>
      <c r="I195" s="11" t="s">
        <v>12</v>
      </c>
      <c r="J195" s="12"/>
    </row>
    <row r="196" spans="1:10" ht="60" customHeight="1">
      <c r="A196" s="6" t="s">
        <v>757</v>
      </c>
      <c r="B196" s="6" t="s">
        <v>26</v>
      </c>
      <c r="C196" s="6" t="s">
        <v>327</v>
      </c>
      <c r="D196" s="7" t="s">
        <v>183</v>
      </c>
      <c r="E196" s="8" t="s">
        <v>758</v>
      </c>
      <c r="F196" s="6" t="s">
        <v>759</v>
      </c>
      <c r="G196" s="9">
        <f>IF(A196=1,"_",IF(C196="_","???",C196))</f>
        <v/>
      </c>
      <c r="H196" s="10" t="s">
        <v>12</v>
      </c>
      <c r="I196" s="11" t="s">
        <v>12</v>
      </c>
      <c r="J196" s="12"/>
    </row>
    <row r="197" spans="1:10" ht="60" customHeight="1">
      <c r="A197" s="6" t="s">
        <v>760</v>
      </c>
      <c r="B197" s="6" t="s">
        <v>87</v>
      </c>
      <c r="C197" s="6" t="s">
        <v>61</v>
      </c>
      <c r="D197" s="7" t="s">
        <v>761</v>
      </c>
      <c r="E197" s="8" t="s">
        <v>762</v>
      </c>
      <c r="F197" s="6" t="s">
        <v>763</v>
      </c>
      <c r="G197" s="9">
        <f>IF(A197=1,"_",IF(C197="_","???",C197))</f>
        <v/>
      </c>
      <c r="H197" s="10" t="s">
        <v>12</v>
      </c>
      <c r="I197" s="11" t="s">
        <v>12</v>
      </c>
      <c r="J197" s="12"/>
    </row>
    <row r="198" spans="1:10" ht="60" customHeight="1">
      <c r="A198" s="6" t="s">
        <v>764</v>
      </c>
      <c r="B198" s="6" t="s">
        <v>31</v>
      </c>
      <c r="C198" s="6" t="s">
        <v>18</v>
      </c>
      <c r="D198" s="7" t="s">
        <v>765</v>
      </c>
      <c r="E198" s="8" t="s">
        <v>766</v>
      </c>
      <c r="F198" s="6" t="s">
        <v>767</v>
      </c>
      <c r="G198" s="9">
        <f>IF(A198=1,"_",IF(C198="_","???",C198))</f>
        <v/>
      </c>
      <c r="H198" s="10" t="s">
        <v>12</v>
      </c>
      <c r="I198" s="11" t="s">
        <v>12</v>
      </c>
      <c r="J198" s="12"/>
    </row>
    <row r="199" spans="1:10" ht="60" customHeight="1">
      <c r="A199" s="6" t="s">
        <v>768</v>
      </c>
      <c r="B199" s="6" t="s">
        <v>70</v>
      </c>
      <c r="C199" s="6" t="s">
        <v>66</v>
      </c>
      <c r="D199" s="7" t="s">
        <v>769</v>
      </c>
      <c r="E199" s="8" t="s">
        <v>770</v>
      </c>
      <c r="F199" s="6" t="s">
        <v>771</v>
      </c>
      <c r="G199" s="9">
        <f>IF(A199=1,"_",IF(C199="_","???",C199))</f>
        <v/>
      </c>
      <c r="H199" s="10" t="s">
        <v>12</v>
      </c>
      <c r="I199" s="11" t="s">
        <v>12</v>
      </c>
      <c r="J199" s="12"/>
    </row>
    <row r="200" spans="1:10" ht="60" customHeight="1">
      <c r="A200" s="6" t="s">
        <v>772</v>
      </c>
      <c r="B200" s="6" t="s">
        <v>11</v>
      </c>
      <c r="C200" s="6" t="s">
        <v>75</v>
      </c>
      <c r="D200" s="7" t="s">
        <v>168</v>
      </c>
      <c r="E200" s="8" t="s">
        <v>773</v>
      </c>
      <c r="F200" s="6" t="s">
        <v>774</v>
      </c>
      <c r="G200" s="9">
        <f>IF(A200=1,"_",IF(C200="_","???",C200))</f>
        <v/>
      </c>
      <c r="H200" s="10" t="s">
        <v>12</v>
      </c>
      <c r="I200" s="11" t="s">
        <v>12</v>
      </c>
      <c r="J200" s="12"/>
    </row>
    <row r="201" spans="1:10" ht="60" customHeight="1">
      <c r="A201" s="6" t="s">
        <v>775</v>
      </c>
      <c r="B201" s="6" t="s">
        <v>16</v>
      </c>
      <c r="C201" s="6" t="s">
        <v>18</v>
      </c>
      <c r="D201" s="7" t="s">
        <v>674</v>
      </c>
      <c r="E201" s="8" t="s">
        <v>776</v>
      </c>
      <c r="F201" s="6" t="s">
        <v>777</v>
      </c>
      <c r="G201" s="9">
        <f>IF(A201=1,"_",IF(C201="_","???",C201))</f>
        <v/>
      </c>
      <c r="H201" s="10" t="s">
        <v>12</v>
      </c>
      <c r="I201" s="11" t="s">
        <v>12</v>
      </c>
      <c r="J201" s="12"/>
    </row>
    <row r="202" spans="1:10" ht="60" customHeight="1">
      <c r="A202" s="6" t="s">
        <v>778</v>
      </c>
      <c r="B202" s="6" t="s">
        <v>11</v>
      </c>
      <c r="C202" s="6" t="s">
        <v>18</v>
      </c>
      <c r="D202" s="7" t="s">
        <v>54</v>
      </c>
      <c r="E202" s="8" t="s">
        <v>779</v>
      </c>
      <c r="F202" s="6" t="s">
        <v>780</v>
      </c>
      <c r="G202" s="9">
        <f>IF(A202=1,"_",IF(C202="_","???",C202))</f>
        <v/>
      </c>
      <c r="H202" s="10" t="s">
        <v>12</v>
      </c>
      <c r="I202" s="11" t="s">
        <v>12</v>
      </c>
      <c r="J202" s="12"/>
    </row>
    <row r="203" spans="1:10" ht="60" customHeight="1">
      <c r="A203" s="6" t="s">
        <v>781</v>
      </c>
      <c r="B203" s="6" t="s">
        <v>16</v>
      </c>
      <c r="C203" s="6" t="s">
        <v>12</v>
      </c>
      <c r="D203" s="7" t="s">
        <v>782</v>
      </c>
      <c r="E203" s="8" t="s">
        <v>783</v>
      </c>
      <c r="F203" s="6" t="s">
        <v>784</v>
      </c>
      <c r="G203" s="9">
        <f>IF(A203=1,"_",IF(C203="_","???",C203))</f>
        <v/>
      </c>
      <c r="H203" s="10" t="s">
        <v>12</v>
      </c>
      <c r="I203" s="11" t="s">
        <v>12</v>
      </c>
      <c r="J203" s="12"/>
    </row>
    <row r="204" spans="1:10" ht="60" customHeight="1">
      <c r="A204" s="6" t="s">
        <v>785</v>
      </c>
      <c r="B204" s="6" t="s">
        <v>31</v>
      </c>
      <c r="C204" s="6" t="s">
        <v>32</v>
      </c>
      <c r="D204" s="7" t="s">
        <v>183</v>
      </c>
      <c r="E204" s="8" t="s">
        <v>786</v>
      </c>
      <c r="F204" s="6" t="s">
        <v>787</v>
      </c>
      <c r="G204" s="9">
        <f>IF(A204=1,"_",IF(C204="_","???",C204))</f>
        <v/>
      </c>
      <c r="H204" s="10" t="s">
        <v>12</v>
      </c>
      <c r="I204" s="11" t="s">
        <v>12</v>
      </c>
      <c r="J204" s="12"/>
    </row>
    <row r="205" spans="1:10" ht="60" customHeight="1">
      <c r="A205" s="6" t="s">
        <v>788</v>
      </c>
      <c r="B205" s="6" t="s">
        <v>31</v>
      </c>
      <c r="C205" s="6" t="s">
        <v>12</v>
      </c>
      <c r="D205" s="7" t="s">
        <v>414</v>
      </c>
      <c r="E205" s="8" t="s">
        <v>789</v>
      </c>
      <c r="F205" s="6" t="s">
        <v>790</v>
      </c>
      <c r="G205" s="9">
        <f>IF(A205=1,"_",IF(C205="_","???",C205))</f>
        <v/>
      </c>
      <c r="H205" s="10" t="s">
        <v>12</v>
      </c>
      <c r="I205" s="11" t="s">
        <v>12</v>
      </c>
      <c r="J205" s="12"/>
    </row>
    <row r="206" spans="1:10" ht="60" customHeight="1">
      <c r="A206" s="6" t="s">
        <v>791</v>
      </c>
      <c r="B206" s="6" t="s">
        <v>16</v>
      </c>
      <c r="C206" s="6" t="s">
        <v>12</v>
      </c>
      <c r="D206" s="7" t="s">
        <v>414</v>
      </c>
      <c r="E206" s="8" t="s">
        <v>792</v>
      </c>
      <c r="F206" s="6" t="s">
        <v>793</v>
      </c>
      <c r="G206" s="9">
        <f>IF(A206=1,"_",IF(C206="_","???",C206))</f>
        <v/>
      </c>
      <c r="H206" s="10" t="s">
        <v>12</v>
      </c>
      <c r="I206" s="11" t="s">
        <v>12</v>
      </c>
      <c r="J206" s="12"/>
    </row>
    <row r="207" spans="1:10" ht="60" customHeight="1">
      <c r="A207" s="6" t="s">
        <v>794</v>
      </c>
      <c r="B207" s="6" t="s">
        <v>10</v>
      </c>
      <c r="C207" s="6" t="s">
        <v>12</v>
      </c>
      <c r="D207" s="7" t="s">
        <v>190</v>
      </c>
      <c r="E207" s="8" t="s">
        <v>190</v>
      </c>
      <c r="F207" s="6" t="s">
        <v>795</v>
      </c>
      <c r="G207" s="9">
        <f>IF(A207=1,"_",IF(C207="_","???",C207))</f>
        <v/>
      </c>
      <c r="H207" s="10" t="s">
        <v>12</v>
      </c>
      <c r="I207" s="11" t="s">
        <v>12</v>
      </c>
      <c r="J207" s="12"/>
    </row>
    <row r="208" spans="1:10" ht="60" customHeight="1">
      <c r="A208" s="6" t="s">
        <v>796</v>
      </c>
      <c r="B208" s="6" t="s">
        <v>11</v>
      </c>
      <c r="C208" s="6" t="s">
        <v>97</v>
      </c>
      <c r="D208" s="7" t="s">
        <v>427</v>
      </c>
      <c r="E208" s="8" t="s">
        <v>797</v>
      </c>
      <c r="F208" s="6" t="s">
        <v>798</v>
      </c>
      <c r="G208" s="9">
        <f>IF(A208=1,"_",IF(C208="_","???",C208))</f>
        <v/>
      </c>
      <c r="H208" s="10" t="s">
        <v>12</v>
      </c>
      <c r="I208" s="11" t="s">
        <v>12</v>
      </c>
      <c r="J208" s="12"/>
    </row>
    <row r="209" spans="1:10" ht="60" customHeight="1">
      <c r="A209" s="6" t="s">
        <v>799</v>
      </c>
      <c r="B209" s="6" t="s">
        <v>104</v>
      </c>
      <c r="C209" s="6" t="s">
        <v>12</v>
      </c>
      <c r="D209" s="7" t="s">
        <v>800</v>
      </c>
      <c r="E209" s="8" t="s">
        <v>801</v>
      </c>
      <c r="F209" s="6" t="s">
        <v>802</v>
      </c>
      <c r="G209" s="9">
        <f>IF(A209=1,"_",IF(C209="_","???",C209))</f>
        <v/>
      </c>
      <c r="H209" s="10" t="s">
        <v>12</v>
      </c>
      <c r="I209" s="11" t="s">
        <v>12</v>
      </c>
      <c r="J209" s="12"/>
    </row>
    <row r="210" spans="1:10" ht="60" customHeight="1">
      <c r="A210" s="6" t="s">
        <v>803</v>
      </c>
      <c r="B210" s="6" t="s">
        <v>31</v>
      </c>
      <c r="C210" s="6" t="s">
        <v>18</v>
      </c>
      <c r="D210" s="7" t="s">
        <v>721</v>
      </c>
      <c r="E210" s="8" t="s">
        <v>804</v>
      </c>
      <c r="F210" s="6" t="s">
        <v>805</v>
      </c>
      <c r="G210" s="9">
        <f>IF(A210=1,"_",IF(C210="_","???",C210))</f>
        <v/>
      </c>
      <c r="H210" s="10" t="s">
        <v>12</v>
      </c>
      <c r="I210" s="11" t="s">
        <v>12</v>
      </c>
      <c r="J210" s="12"/>
    </row>
    <row r="211" spans="1:10" ht="60" customHeight="1">
      <c r="A211" s="6" t="s">
        <v>806</v>
      </c>
      <c r="B211" s="6" t="s">
        <v>31</v>
      </c>
      <c r="C211" s="6" t="s">
        <v>22</v>
      </c>
      <c r="D211" s="7" t="s">
        <v>807</v>
      </c>
      <c r="E211" s="8" t="s">
        <v>808</v>
      </c>
      <c r="F211" s="6" t="s">
        <v>809</v>
      </c>
      <c r="G211" s="9">
        <f>IF(A211=1,"_",IF(C211="_","???",C211))</f>
        <v/>
      </c>
      <c r="H211" s="10" t="s">
        <v>12</v>
      </c>
      <c r="I211" s="11" t="s">
        <v>12</v>
      </c>
      <c r="J211" s="12"/>
    </row>
    <row r="212" spans="1:10" ht="60" customHeight="1">
      <c r="A212" s="6" t="s">
        <v>810</v>
      </c>
      <c r="B212" s="6" t="s">
        <v>27</v>
      </c>
      <c r="C212" s="6" t="s">
        <v>501</v>
      </c>
      <c r="D212" s="7" t="s">
        <v>811</v>
      </c>
      <c r="E212" s="8" t="s">
        <v>812</v>
      </c>
      <c r="F212" s="6" t="s">
        <v>813</v>
      </c>
      <c r="G212" s="9">
        <f>IF(A212=1,"_",IF(C212="_","???",C212))</f>
        <v/>
      </c>
      <c r="H212" s="10" t="s">
        <v>12</v>
      </c>
      <c r="I212" s="11" t="s">
        <v>12</v>
      </c>
      <c r="J212" s="12"/>
    </row>
    <row r="213" spans="1:10" ht="60" customHeight="1">
      <c r="A213" s="6" t="s">
        <v>814</v>
      </c>
      <c r="B213" s="6" t="s">
        <v>31</v>
      </c>
      <c r="C213" s="6" t="s">
        <v>18</v>
      </c>
      <c r="D213" s="7" t="s">
        <v>183</v>
      </c>
      <c r="E213" s="8" t="s">
        <v>815</v>
      </c>
      <c r="F213" s="6" t="s">
        <v>816</v>
      </c>
      <c r="G213" s="9">
        <f>IF(A213=1,"_",IF(C213="_","???",C213))</f>
        <v/>
      </c>
      <c r="H213" s="10" t="s">
        <v>12</v>
      </c>
      <c r="I213" s="11" t="s">
        <v>12</v>
      </c>
      <c r="J213" s="12"/>
    </row>
    <row r="214" spans="1:10" ht="60" customHeight="1">
      <c r="A214" s="6" t="s">
        <v>817</v>
      </c>
      <c r="B214" s="6" t="s">
        <v>11</v>
      </c>
      <c r="C214" s="6" t="s">
        <v>18</v>
      </c>
      <c r="D214" s="7" t="s">
        <v>818</v>
      </c>
      <c r="E214" s="8" t="s">
        <v>819</v>
      </c>
      <c r="F214" s="6" t="s">
        <v>820</v>
      </c>
      <c r="G214" s="9">
        <f>IF(A214=1,"_",IF(C214="_","???",C214))</f>
        <v/>
      </c>
      <c r="H214" s="10" t="s">
        <v>12</v>
      </c>
      <c r="I214" s="11" t="s">
        <v>12</v>
      </c>
      <c r="J214" s="12"/>
    </row>
    <row r="215" spans="1:10" ht="60" customHeight="1">
      <c r="A215" s="6" t="s">
        <v>821</v>
      </c>
      <c r="B215" s="6" t="s">
        <v>10</v>
      </c>
      <c r="C215" s="6" t="s">
        <v>12</v>
      </c>
      <c r="D215" s="7" t="s">
        <v>822</v>
      </c>
      <c r="E215" s="8" t="s">
        <v>823</v>
      </c>
      <c r="F215" s="6" t="s">
        <v>824</v>
      </c>
      <c r="G215" s="9">
        <f>IF(A215=1,"_",IF(C215="_","???",C215))</f>
        <v/>
      </c>
      <c r="H215" s="10" t="s">
        <v>12</v>
      </c>
      <c r="I215" s="11" t="s">
        <v>12</v>
      </c>
      <c r="J215" s="12"/>
    </row>
    <row r="216" spans="1:10" ht="60" customHeight="1">
      <c r="A216" s="6" t="s">
        <v>825</v>
      </c>
      <c r="B216" s="6" t="s">
        <v>11</v>
      </c>
      <c r="C216" s="6" t="s">
        <v>18</v>
      </c>
      <c r="D216" s="7" t="s">
        <v>826</v>
      </c>
      <c r="E216" s="8" t="s">
        <v>827</v>
      </c>
      <c r="F216" s="6" t="s">
        <v>828</v>
      </c>
      <c r="G216" s="9">
        <f>IF(A216=1,"_",IF(C216="_","???",C216))</f>
        <v/>
      </c>
      <c r="H216" s="10" t="s">
        <v>12</v>
      </c>
      <c r="I216" s="11" t="s">
        <v>12</v>
      </c>
      <c r="J216" s="12"/>
    </row>
    <row r="217" spans="1:10" ht="60" customHeight="1">
      <c r="A217" s="6" t="s">
        <v>829</v>
      </c>
      <c r="B217" s="6" t="s">
        <v>26</v>
      </c>
      <c r="C217" s="6" t="s">
        <v>97</v>
      </c>
      <c r="D217" s="7" t="s">
        <v>183</v>
      </c>
      <c r="E217" s="8" t="s">
        <v>830</v>
      </c>
      <c r="F217" s="6" t="s">
        <v>831</v>
      </c>
      <c r="G217" s="9">
        <f>IF(A217=1,"_",IF(C217="_","???",C217))</f>
        <v/>
      </c>
      <c r="H217" s="10" t="s">
        <v>12</v>
      </c>
      <c r="I217" s="11" t="s">
        <v>12</v>
      </c>
      <c r="J217" s="12"/>
    </row>
    <row r="218" spans="1:10" ht="60" customHeight="1">
      <c r="A218" s="6" t="s">
        <v>832</v>
      </c>
      <c r="B218" s="6" t="s">
        <v>10</v>
      </c>
      <c r="C218" s="6" t="s">
        <v>12</v>
      </c>
      <c r="D218" s="7" t="s">
        <v>190</v>
      </c>
      <c r="E218" s="8" t="s">
        <v>190</v>
      </c>
      <c r="F218" s="6" t="s">
        <v>833</v>
      </c>
      <c r="G218" s="9">
        <f>IF(A218=1,"_",IF(C218="_","???",C218))</f>
        <v/>
      </c>
      <c r="H218" s="10" t="s">
        <v>12</v>
      </c>
      <c r="I218" s="11" t="s">
        <v>12</v>
      </c>
      <c r="J218" s="12"/>
    </row>
    <row r="219" spans="1:10" ht="60" customHeight="1">
      <c r="A219" s="6" t="s">
        <v>834</v>
      </c>
      <c r="B219" s="6" t="s">
        <v>60</v>
      </c>
      <c r="C219" s="6" t="s">
        <v>18</v>
      </c>
      <c r="D219" s="7" t="s">
        <v>835</v>
      </c>
      <c r="E219" s="8" t="s">
        <v>836</v>
      </c>
      <c r="F219" s="6" t="s">
        <v>837</v>
      </c>
      <c r="G219" s="9">
        <f>IF(A219=1,"_",IF(C219="_","???",C219))</f>
        <v/>
      </c>
      <c r="H219" s="10" t="s">
        <v>12</v>
      </c>
      <c r="I219" s="11" t="s">
        <v>12</v>
      </c>
      <c r="J219" s="12"/>
    </row>
    <row r="220" spans="1:10" ht="60" customHeight="1">
      <c r="A220" s="6" t="s">
        <v>838</v>
      </c>
      <c r="B220" s="6" t="s">
        <v>16</v>
      </c>
      <c r="C220" s="6" t="s">
        <v>75</v>
      </c>
      <c r="D220" s="7" t="s">
        <v>674</v>
      </c>
      <c r="E220" s="8" t="s">
        <v>839</v>
      </c>
      <c r="F220" s="6" t="s">
        <v>840</v>
      </c>
      <c r="G220" s="9">
        <f>IF(A220=1,"_",IF(C220="_","???",C220))</f>
        <v/>
      </c>
      <c r="H220" s="10" t="s">
        <v>12</v>
      </c>
      <c r="I220" s="11" t="s">
        <v>12</v>
      </c>
      <c r="J220" s="12"/>
    </row>
    <row r="221" spans="1:10" ht="60" customHeight="1">
      <c r="A221" s="6" t="s">
        <v>841</v>
      </c>
      <c r="B221" s="6" t="s">
        <v>79</v>
      </c>
      <c r="C221" s="6" t="s">
        <v>18</v>
      </c>
      <c r="D221" s="7" t="s">
        <v>93</v>
      </c>
      <c r="E221" s="8" t="s">
        <v>842</v>
      </c>
      <c r="F221" s="6" t="s">
        <v>843</v>
      </c>
      <c r="G221" s="9">
        <f>IF(A221=1,"_",IF(C221="_","???",C221))</f>
        <v/>
      </c>
      <c r="H221" s="10" t="s">
        <v>12</v>
      </c>
      <c r="I221" s="11" t="s">
        <v>12</v>
      </c>
      <c r="J221" s="12"/>
    </row>
    <row r="222" spans="1:10" ht="60" customHeight="1">
      <c r="A222" s="6" t="s">
        <v>844</v>
      </c>
      <c r="B222" s="6" t="s">
        <v>11</v>
      </c>
      <c r="C222" s="6" t="s">
        <v>22</v>
      </c>
      <c r="D222" s="7" t="s">
        <v>845</v>
      </c>
      <c r="E222" s="8" t="s">
        <v>846</v>
      </c>
      <c r="F222" s="6" t="s">
        <v>847</v>
      </c>
      <c r="G222" s="9">
        <f>IF(A222=1,"_",IF(C222="_","???",C222))</f>
        <v/>
      </c>
      <c r="H222" s="10" t="s">
        <v>12</v>
      </c>
      <c r="I222" s="11" t="s">
        <v>12</v>
      </c>
      <c r="J222" s="12"/>
    </row>
    <row r="223" spans="1:10" ht="60" customHeight="1">
      <c r="A223" s="6" t="s">
        <v>848</v>
      </c>
      <c r="B223" s="6" t="s">
        <v>16</v>
      </c>
      <c r="C223" s="6" t="s">
        <v>75</v>
      </c>
      <c r="D223" s="7" t="s">
        <v>849</v>
      </c>
      <c r="E223" s="8" t="s">
        <v>850</v>
      </c>
      <c r="F223" s="6" t="s">
        <v>851</v>
      </c>
      <c r="G223" s="9">
        <f>IF(A223=1,"_",IF(C223="_","???",C223))</f>
        <v/>
      </c>
      <c r="H223" s="10" t="s">
        <v>12</v>
      </c>
      <c r="I223" s="11" t="s">
        <v>12</v>
      </c>
      <c r="J223" s="12"/>
    </row>
    <row r="224" spans="1:10" ht="60" customHeight="1">
      <c r="A224" s="6" t="s">
        <v>852</v>
      </c>
      <c r="B224" s="6" t="s">
        <v>16</v>
      </c>
      <c r="C224" s="6" t="s">
        <v>49</v>
      </c>
      <c r="D224" s="7" t="s">
        <v>853</v>
      </c>
      <c r="E224" s="8" t="s">
        <v>854</v>
      </c>
      <c r="F224" s="6" t="s">
        <v>855</v>
      </c>
      <c r="G224" s="9">
        <f>IF(A224=1,"_",IF(C224="_","???",C224))</f>
        <v/>
      </c>
      <c r="H224" s="10" t="s">
        <v>12</v>
      </c>
      <c r="I224" s="11" t="s">
        <v>12</v>
      </c>
      <c r="J224" s="12"/>
    </row>
    <row r="225" spans="1:10" ht="60" customHeight="1">
      <c r="A225" s="6" t="s">
        <v>856</v>
      </c>
      <c r="B225" s="6" t="s">
        <v>16</v>
      </c>
      <c r="C225" s="6" t="s">
        <v>18</v>
      </c>
      <c r="D225" s="7" t="s">
        <v>857</v>
      </c>
      <c r="E225" s="8" t="s">
        <v>858</v>
      </c>
      <c r="F225" s="6" t="s">
        <v>859</v>
      </c>
      <c r="G225" s="9">
        <f>IF(A225=1,"_",IF(C225="_","???",C225))</f>
        <v/>
      </c>
      <c r="H225" s="10" t="s">
        <v>12</v>
      </c>
      <c r="I225" s="11" t="s">
        <v>12</v>
      </c>
      <c r="J225" s="12"/>
    </row>
    <row r="226" spans="1:10" ht="60" customHeight="1">
      <c r="A226" s="6" t="s">
        <v>860</v>
      </c>
      <c r="B226" s="6" t="s">
        <v>10</v>
      </c>
      <c r="C226" s="6" t="s">
        <v>12</v>
      </c>
      <c r="D226" s="7" t="s">
        <v>861</v>
      </c>
      <c r="E226" s="8" t="s">
        <v>862</v>
      </c>
      <c r="F226" s="6" t="s">
        <v>863</v>
      </c>
      <c r="G226" s="9">
        <f>IF(A226=1,"_",IF(C226="_","???",C226))</f>
        <v/>
      </c>
      <c r="H226" s="10" t="s">
        <v>12</v>
      </c>
      <c r="I226" s="11" t="s">
        <v>12</v>
      </c>
      <c r="J226" s="12"/>
    </row>
    <row r="227" spans="1:10" ht="60" customHeight="1">
      <c r="A227" s="6" t="s">
        <v>864</v>
      </c>
      <c r="B227" s="6" t="s">
        <v>27</v>
      </c>
      <c r="C227" s="6" t="s">
        <v>97</v>
      </c>
      <c r="D227" s="7" t="s">
        <v>515</v>
      </c>
      <c r="E227" s="8" t="s">
        <v>865</v>
      </c>
      <c r="F227" s="6" t="s">
        <v>866</v>
      </c>
      <c r="G227" s="9">
        <f>IF(A227=1,"_",IF(C227="_","???",C227))</f>
        <v/>
      </c>
      <c r="H227" s="10" t="s">
        <v>12</v>
      </c>
      <c r="I227" s="11" t="s">
        <v>12</v>
      </c>
      <c r="J227" s="12"/>
    </row>
    <row r="228" spans="1:10" ht="60" customHeight="1">
      <c r="A228" s="6" t="s">
        <v>867</v>
      </c>
      <c r="B228" s="6" t="s">
        <v>26</v>
      </c>
      <c r="C228" s="6" t="s">
        <v>61</v>
      </c>
      <c r="D228" s="7" t="s">
        <v>868</v>
      </c>
      <c r="E228" s="8" t="s">
        <v>869</v>
      </c>
      <c r="F228" s="6" t="s">
        <v>870</v>
      </c>
      <c r="G228" s="9">
        <f>IF(A228=1,"_",IF(C228="_","???",C228))</f>
        <v/>
      </c>
      <c r="H228" s="10" t="s">
        <v>12</v>
      </c>
      <c r="I228" s="11" t="s">
        <v>12</v>
      </c>
      <c r="J228" s="12"/>
    </row>
    <row r="229" spans="1:10" ht="60" customHeight="1">
      <c r="A229" s="6" t="s">
        <v>871</v>
      </c>
      <c r="B229" s="6" t="s">
        <v>16</v>
      </c>
      <c r="C229" s="6" t="s">
        <v>12</v>
      </c>
      <c r="D229" s="7" t="s">
        <v>286</v>
      </c>
      <c r="E229" s="8" t="s">
        <v>872</v>
      </c>
      <c r="F229" s="6" t="s">
        <v>873</v>
      </c>
      <c r="G229" s="9">
        <f>IF(A229=1,"_",IF(C229="_","???",C229))</f>
        <v/>
      </c>
      <c r="H229" s="10" t="s">
        <v>12</v>
      </c>
      <c r="I229" s="11" t="s">
        <v>12</v>
      </c>
      <c r="J229" s="12"/>
    </row>
    <row r="230" spans="1:10" ht="60" customHeight="1">
      <c r="A230" s="6" t="s">
        <v>874</v>
      </c>
      <c r="B230" s="6" t="s">
        <v>44</v>
      </c>
      <c r="C230" s="6" t="s">
        <v>18</v>
      </c>
      <c r="D230" s="7" t="s">
        <v>54</v>
      </c>
      <c r="E230" s="8" t="s">
        <v>875</v>
      </c>
      <c r="F230" s="6" t="s">
        <v>876</v>
      </c>
      <c r="G230" s="9">
        <f>IF(A230=1,"_",IF(C230="_","???",C230))</f>
        <v/>
      </c>
      <c r="H230" s="10" t="s">
        <v>12</v>
      </c>
      <c r="I230" s="11" t="s">
        <v>12</v>
      </c>
      <c r="J230" s="12"/>
    </row>
    <row r="231" spans="1:10" ht="60" customHeight="1">
      <c r="A231" s="6" t="s">
        <v>877</v>
      </c>
      <c r="B231" s="6" t="s">
        <v>31</v>
      </c>
      <c r="C231" s="6" t="s">
        <v>49</v>
      </c>
      <c r="D231" s="7" t="s">
        <v>878</v>
      </c>
      <c r="E231" s="8" t="s">
        <v>879</v>
      </c>
      <c r="F231" s="6" t="s">
        <v>880</v>
      </c>
      <c r="G231" s="9">
        <f>IF(A231=1,"_",IF(C231="_","???",C231))</f>
        <v/>
      </c>
      <c r="H231" s="10" t="s">
        <v>12</v>
      </c>
      <c r="I231" s="11" t="s">
        <v>12</v>
      </c>
      <c r="J231" s="12"/>
    </row>
    <row r="232" spans="1:10" ht="60" customHeight="1">
      <c r="A232" s="6" t="s">
        <v>881</v>
      </c>
      <c r="B232" s="6" t="s">
        <v>31</v>
      </c>
      <c r="C232" s="6" t="s">
        <v>12</v>
      </c>
      <c r="D232" s="7" t="s">
        <v>414</v>
      </c>
      <c r="E232" s="8" t="s">
        <v>882</v>
      </c>
      <c r="F232" s="6" t="s">
        <v>883</v>
      </c>
      <c r="G232" s="9">
        <f>IF(A232=1,"_",IF(C232="_","???",C232))</f>
        <v/>
      </c>
      <c r="H232" s="10" t="s">
        <v>12</v>
      </c>
      <c r="I232" s="11" t="s">
        <v>12</v>
      </c>
      <c r="J232" s="12"/>
    </row>
    <row r="233" spans="1:10" ht="60" customHeight="1">
      <c r="A233" s="6" t="s">
        <v>884</v>
      </c>
      <c r="B233" s="6" t="s">
        <v>44</v>
      </c>
      <c r="C233" s="6" t="s">
        <v>12</v>
      </c>
      <c r="D233" s="7" t="s">
        <v>885</v>
      </c>
      <c r="E233" s="8" t="s">
        <v>886</v>
      </c>
      <c r="F233" s="6" t="s">
        <v>887</v>
      </c>
      <c r="G233" s="9">
        <f>IF(A233=1,"_",IF(C233="_","???",C233))</f>
        <v/>
      </c>
      <c r="H233" s="10" t="s">
        <v>12</v>
      </c>
      <c r="I233" s="11" t="s">
        <v>12</v>
      </c>
      <c r="J233" s="12"/>
    </row>
    <row r="234" spans="1:10" ht="60" customHeight="1">
      <c r="A234" s="6" t="s">
        <v>888</v>
      </c>
      <c r="B234" s="6" t="s">
        <v>16</v>
      </c>
      <c r="C234" s="6" t="s">
        <v>256</v>
      </c>
      <c r="D234" s="7" t="s">
        <v>889</v>
      </c>
      <c r="E234" s="8" t="s">
        <v>890</v>
      </c>
      <c r="F234" s="6" t="s">
        <v>891</v>
      </c>
      <c r="G234" s="9">
        <f>IF(A234=1,"_",IF(C234="_","???",C234))</f>
        <v/>
      </c>
      <c r="H234" s="10" t="s">
        <v>12</v>
      </c>
      <c r="I234" s="11" t="s">
        <v>12</v>
      </c>
      <c r="J234" s="12"/>
    </row>
    <row r="235" spans="1:10" ht="60" customHeight="1">
      <c r="A235" s="6" t="s">
        <v>892</v>
      </c>
      <c r="B235" s="6" t="s">
        <v>44</v>
      </c>
      <c r="C235" s="6" t="s">
        <v>12</v>
      </c>
      <c r="D235" s="7" t="s">
        <v>485</v>
      </c>
      <c r="E235" s="8" t="s">
        <v>893</v>
      </c>
      <c r="F235" s="6" t="s">
        <v>894</v>
      </c>
      <c r="G235" s="9">
        <f>IF(A235=1,"_",IF(C235="_","???",C235))</f>
        <v/>
      </c>
      <c r="H235" s="10" t="s">
        <v>12</v>
      </c>
      <c r="I235" s="11" t="s">
        <v>12</v>
      </c>
      <c r="J235" s="12"/>
    </row>
    <row r="236" spans="1:10" ht="60" customHeight="1">
      <c r="A236" s="6" t="s">
        <v>895</v>
      </c>
      <c r="B236" s="6" t="s">
        <v>27</v>
      </c>
      <c r="C236" s="6" t="s">
        <v>97</v>
      </c>
      <c r="D236" s="7" t="s">
        <v>896</v>
      </c>
      <c r="E236" s="8" t="s">
        <v>897</v>
      </c>
      <c r="F236" s="6" t="s">
        <v>898</v>
      </c>
      <c r="G236" s="9">
        <f>IF(A236=1,"_",IF(C236="_","???",C236))</f>
        <v/>
      </c>
      <c r="H236" s="10" t="s">
        <v>12</v>
      </c>
      <c r="I236" s="11" t="s">
        <v>12</v>
      </c>
      <c r="J236" s="12"/>
    </row>
    <row r="237" spans="1:10" ht="60" customHeight="1">
      <c r="A237" s="6" t="s">
        <v>899</v>
      </c>
      <c r="B237" s="6" t="s">
        <v>16</v>
      </c>
      <c r="C237" s="6" t="s">
        <v>12</v>
      </c>
      <c r="D237" s="7" t="s">
        <v>900</v>
      </c>
      <c r="E237" s="8" t="s">
        <v>901</v>
      </c>
      <c r="F237" s="6" t="s">
        <v>902</v>
      </c>
      <c r="G237" s="9">
        <f>IF(A237=1,"_",IF(C237="_","???",C237))</f>
        <v/>
      </c>
      <c r="H237" s="10" t="s">
        <v>12</v>
      </c>
      <c r="I237" s="11" t="s">
        <v>12</v>
      </c>
      <c r="J237" s="12"/>
    </row>
    <row r="238" spans="1:10" ht="60" customHeight="1">
      <c r="A238" s="6" t="s">
        <v>903</v>
      </c>
      <c r="B238" s="6" t="s">
        <v>121</v>
      </c>
      <c r="C238" s="6" t="s">
        <v>18</v>
      </c>
      <c r="D238" s="7" t="s">
        <v>904</v>
      </c>
      <c r="E238" s="8" t="s">
        <v>905</v>
      </c>
      <c r="F238" s="6" t="s">
        <v>906</v>
      </c>
      <c r="G238" s="9">
        <f>IF(A238=1,"_",IF(C238="_","???",C238))</f>
        <v/>
      </c>
      <c r="H238" s="10" t="s">
        <v>12</v>
      </c>
      <c r="I238" s="11" t="s">
        <v>12</v>
      </c>
      <c r="J238" s="12"/>
    </row>
    <row r="239" spans="1:10" ht="60" customHeight="1">
      <c r="A239" s="6" t="s">
        <v>907</v>
      </c>
      <c r="B239" s="6" t="s">
        <v>27</v>
      </c>
      <c r="C239" s="6" t="s">
        <v>18</v>
      </c>
      <c r="D239" s="7" t="s">
        <v>183</v>
      </c>
      <c r="E239" s="8" t="s">
        <v>908</v>
      </c>
      <c r="F239" s="6" t="s">
        <v>909</v>
      </c>
      <c r="G239" s="9">
        <f>IF(A239=1,"_",IF(C239="_","???",C239))</f>
        <v/>
      </c>
      <c r="H239" s="10" t="s">
        <v>12</v>
      </c>
      <c r="I239" s="11" t="s">
        <v>12</v>
      </c>
      <c r="J239" s="12"/>
    </row>
    <row r="240" spans="1:10" ht="60" customHeight="1">
      <c r="A240" s="6" t="s">
        <v>910</v>
      </c>
      <c r="B240" s="6" t="s">
        <v>17</v>
      </c>
      <c r="C240" s="6" t="s">
        <v>32</v>
      </c>
      <c r="D240" s="7" t="s">
        <v>105</v>
      </c>
      <c r="E240" s="8" t="s">
        <v>911</v>
      </c>
      <c r="F240" s="6" t="s">
        <v>912</v>
      </c>
      <c r="G240" s="9">
        <f>IF(A240=1,"_",IF(C240="_","???",C240))</f>
        <v/>
      </c>
      <c r="H240" s="10" t="s">
        <v>12</v>
      </c>
      <c r="I240" s="11" t="s">
        <v>12</v>
      </c>
      <c r="J240" s="12"/>
    </row>
    <row r="241" spans="1:10" ht="60" customHeight="1">
      <c r="A241" s="6" t="s">
        <v>913</v>
      </c>
      <c r="B241" s="6" t="s">
        <v>16</v>
      </c>
      <c r="C241" s="6" t="s">
        <v>75</v>
      </c>
      <c r="D241" s="7" t="s">
        <v>914</v>
      </c>
      <c r="E241" s="8" t="s">
        <v>915</v>
      </c>
      <c r="F241" s="6" t="s">
        <v>916</v>
      </c>
      <c r="G241" s="9">
        <f>IF(A241=1,"_",IF(C241="_","???",C241))</f>
        <v/>
      </c>
      <c r="H241" s="10" t="s">
        <v>12</v>
      </c>
      <c r="I241" s="11" t="s">
        <v>12</v>
      </c>
      <c r="J241" s="12"/>
    </row>
    <row r="242" spans="1:10" ht="60" customHeight="1">
      <c r="A242" s="6" t="s">
        <v>917</v>
      </c>
      <c r="B242" s="6" t="s">
        <v>11</v>
      </c>
      <c r="C242" s="6" t="s">
        <v>12</v>
      </c>
      <c r="D242" s="7" t="s">
        <v>918</v>
      </c>
      <c r="E242" s="8" t="s">
        <v>919</v>
      </c>
      <c r="F242" s="6" t="s">
        <v>920</v>
      </c>
      <c r="G242" s="9">
        <f>IF(A242=1,"_",IF(C242="_","???",C242))</f>
        <v/>
      </c>
      <c r="H242" s="10" t="s">
        <v>12</v>
      </c>
      <c r="I242" s="11" t="s">
        <v>12</v>
      </c>
      <c r="J242" s="12"/>
    </row>
    <row r="243" spans="1:10" ht="60" customHeight="1">
      <c r="A243" s="6" t="s">
        <v>921</v>
      </c>
      <c r="B243" s="6" t="s">
        <v>11</v>
      </c>
      <c r="C243" s="6" t="s">
        <v>61</v>
      </c>
      <c r="D243" s="7" t="s">
        <v>656</v>
      </c>
      <c r="E243" s="8" t="s">
        <v>922</v>
      </c>
      <c r="F243" s="6" t="s">
        <v>923</v>
      </c>
      <c r="G243" s="9">
        <f>IF(A243=1,"_",IF(C243="_","???",C243))</f>
        <v/>
      </c>
      <c r="H243" s="10" t="s">
        <v>12</v>
      </c>
      <c r="I243" s="11" t="s">
        <v>12</v>
      </c>
      <c r="J243" s="12"/>
    </row>
    <row r="244" spans="1:10" ht="60" customHeight="1">
      <c r="A244" s="6" t="s">
        <v>924</v>
      </c>
      <c r="B244" s="6" t="s">
        <v>27</v>
      </c>
      <c r="C244" s="6" t="s">
        <v>75</v>
      </c>
      <c r="D244" s="7" t="s">
        <v>925</v>
      </c>
      <c r="E244" s="8" t="s">
        <v>926</v>
      </c>
      <c r="F244" s="6" t="s">
        <v>927</v>
      </c>
      <c r="G244" s="9">
        <f>IF(A244=1,"_",IF(C244="_","???",C244))</f>
        <v/>
      </c>
      <c r="H244" s="10" t="s">
        <v>12</v>
      </c>
      <c r="I244" s="11" t="s">
        <v>12</v>
      </c>
      <c r="J244" s="12"/>
    </row>
    <row r="245" spans="1:10" ht="60" customHeight="1">
      <c r="A245" s="6" t="s">
        <v>928</v>
      </c>
      <c r="B245" s="6" t="s">
        <v>26</v>
      </c>
      <c r="C245" s="6" t="s">
        <v>61</v>
      </c>
      <c r="D245" s="7" t="s">
        <v>270</v>
      </c>
      <c r="E245" s="8" t="s">
        <v>929</v>
      </c>
      <c r="F245" s="6" t="s">
        <v>930</v>
      </c>
      <c r="G245" s="9">
        <f>IF(A245=1,"_",IF(C245="_","???",C245))</f>
        <v/>
      </c>
      <c r="H245" s="10" t="s">
        <v>12</v>
      </c>
      <c r="I245" s="11" t="s">
        <v>12</v>
      </c>
      <c r="J245" s="12"/>
    </row>
    <row r="246" spans="1:10" ht="60" customHeight="1">
      <c r="A246" s="6" t="s">
        <v>931</v>
      </c>
      <c r="B246" s="6" t="s">
        <v>11</v>
      </c>
      <c r="C246" s="6" t="s">
        <v>61</v>
      </c>
      <c r="D246" s="7" t="s">
        <v>270</v>
      </c>
      <c r="E246" s="8" t="s">
        <v>932</v>
      </c>
      <c r="F246" s="6" t="s">
        <v>933</v>
      </c>
      <c r="G246" s="9">
        <f>IF(A246=1,"_",IF(C246="_","???",C246))</f>
        <v/>
      </c>
      <c r="H246" s="10" t="s">
        <v>12</v>
      </c>
      <c r="I246" s="11" t="s">
        <v>12</v>
      </c>
      <c r="J246" s="12"/>
    </row>
    <row r="247" spans="1:10" ht="60" customHeight="1">
      <c r="A247" s="6" t="s">
        <v>934</v>
      </c>
      <c r="B247" s="6" t="s">
        <v>36</v>
      </c>
      <c r="C247" s="6" t="s">
        <v>40</v>
      </c>
      <c r="D247" s="7" t="s">
        <v>935</v>
      </c>
      <c r="E247" s="8" t="s">
        <v>936</v>
      </c>
      <c r="F247" s="6" t="s">
        <v>937</v>
      </c>
      <c r="G247" s="9">
        <f>IF(A247=1,"_",IF(C247="_","???",C247))</f>
        <v/>
      </c>
      <c r="H247" s="10" t="s">
        <v>12</v>
      </c>
      <c r="I247" s="11" t="s">
        <v>12</v>
      </c>
      <c r="J247" s="12"/>
    </row>
    <row r="248" spans="1:10" ht="60" customHeight="1">
      <c r="A248" s="6" t="s">
        <v>938</v>
      </c>
      <c r="B248" s="6" t="s">
        <v>53</v>
      </c>
      <c r="C248" s="6" t="s">
        <v>75</v>
      </c>
      <c r="D248" s="7" t="s">
        <v>76</v>
      </c>
      <c r="E248" s="8" t="s">
        <v>939</v>
      </c>
      <c r="F248" s="6" t="s">
        <v>940</v>
      </c>
      <c r="G248" s="9">
        <f>IF(A248=1,"_",IF(C248="_","???",C248))</f>
        <v/>
      </c>
      <c r="H248" s="10" t="s">
        <v>12</v>
      </c>
      <c r="I248" s="11" t="s">
        <v>12</v>
      </c>
      <c r="J248" s="12"/>
    </row>
    <row r="249" spans="1:10" ht="60" customHeight="1">
      <c r="A249" s="6" t="s">
        <v>941</v>
      </c>
      <c r="B249" s="6" t="s">
        <v>17</v>
      </c>
      <c r="C249" s="6" t="s">
        <v>327</v>
      </c>
      <c r="D249" s="7" t="s">
        <v>168</v>
      </c>
      <c r="E249" s="8" t="s">
        <v>942</v>
      </c>
      <c r="F249" s="6" t="s">
        <v>943</v>
      </c>
      <c r="G249" s="9">
        <f>IF(A249=1,"_",IF(C249="_","???",C249))</f>
        <v/>
      </c>
      <c r="H249" s="10" t="s">
        <v>12</v>
      </c>
      <c r="I249" s="11" t="s">
        <v>12</v>
      </c>
      <c r="J249" s="12"/>
    </row>
    <row r="250" spans="1:10" ht="60" customHeight="1">
      <c r="A250" s="6" t="s">
        <v>944</v>
      </c>
      <c r="B250" s="6" t="s">
        <v>11</v>
      </c>
      <c r="C250" s="6" t="s">
        <v>18</v>
      </c>
      <c r="D250" s="7" t="s">
        <v>13</v>
      </c>
      <c r="E250" s="8" t="s">
        <v>945</v>
      </c>
      <c r="F250" s="6" t="s">
        <v>946</v>
      </c>
      <c r="G250" s="9">
        <f>IF(A250=1,"_",IF(C250="_","???",C250))</f>
        <v/>
      </c>
      <c r="H250" s="10" t="s">
        <v>12</v>
      </c>
      <c r="I250" s="11" t="s">
        <v>12</v>
      </c>
      <c r="J250" s="12"/>
    </row>
    <row r="251" spans="1:10" ht="60" customHeight="1">
      <c r="A251" s="6" t="s">
        <v>947</v>
      </c>
      <c r="B251" s="6" t="s">
        <v>108</v>
      </c>
      <c r="C251" s="6" t="s">
        <v>18</v>
      </c>
      <c r="D251" s="7" t="s">
        <v>948</v>
      </c>
      <c r="E251" s="8" t="s">
        <v>949</v>
      </c>
      <c r="F251" s="6" t="s">
        <v>950</v>
      </c>
      <c r="G251" s="9">
        <f>IF(A251=1,"_",IF(C251="_","???",C251))</f>
        <v/>
      </c>
      <c r="H251" s="10" t="s">
        <v>12</v>
      </c>
      <c r="I251" s="11" t="s">
        <v>12</v>
      </c>
      <c r="J251" s="12"/>
    </row>
    <row r="252" spans="1:10" ht="60" customHeight="1">
      <c r="A252" s="6" t="s">
        <v>951</v>
      </c>
      <c r="B252" s="6" t="s">
        <v>11</v>
      </c>
      <c r="C252" s="6" t="s">
        <v>401</v>
      </c>
      <c r="D252" s="7" t="s">
        <v>952</v>
      </c>
      <c r="E252" s="8" t="s">
        <v>953</v>
      </c>
      <c r="F252" s="6" t="s">
        <v>954</v>
      </c>
      <c r="G252" s="9">
        <f>IF(A252=1,"_",IF(C252="_","???",C252))</f>
        <v/>
      </c>
      <c r="H252" s="10" t="s">
        <v>12</v>
      </c>
      <c r="I252" s="11" t="s">
        <v>12</v>
      </c>
      <c r="J252" s="12"/>
    </row>
    <row r="253" spans="1:10" ht="60" customHeight="1">
      <c r="A253" s="6" t="s">
        <v>955</v>
      </c>
      <c r="B253" s="6" t="s">
        <v>27</v>
      </c>
      <c r="C253" s="6" t="s">
        <v>12</v>
      </c>
      <c r="D253" s="7" t="s">
        <v>956</v>
      </c>
      <c r="E253" s="8" t="s">
        <v>957</v>
      </c>
      <c r="F253" s="6" t="s">
        <v>958</v>
      </c>
      <c r="G253" s="9">
        <f>IF(A253=1,"_",IF(C253="_","???",C253))</f>
        <v/>
      </c>
      <c r="H253" s="10" t="s">
        <v>12</v>
      </c>
      <c r="I253" s="11" t="s">
        <v>12</v>
      </c>
      <c r="J253" s="12"/>
    </row>
    <row r="254" spans="1:10" ht="60" customHeight="1">
      <c r="A254" s="6" t="s">
        <v>959</v>
      </c>
      <c r="B254" s="6" t="s">
        <v>10</v>
      </c>
      <c r="C254" s="6" t="s">
        <v>12</v>
      </c>
      <c r="D254" s="7" t="s">
        <v>960</v>
      </c>
      <c r="E254" s="8" t="s">
        <v>961</v>
      </c>
      <c r="F254" s="6" t="s">
        <v>962</v>
      </c>
      <c r="G254" s="9">
        <f>IF(A254=1,"_",IF(C254="_","???",C254))</f>
        <v/>
      </c>
      <c r="H254" s="10" t="s">
        <v>12</v>
      </c>
      <c r="I254" s="11" t="s">
        <v>12</v>
      </c>
      <c r="J25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78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963</v>
      </c>
      <c r="B1" s="13" t="s">
        <v>964</v>
      </c>
      <c r="C1" s="13" t="s">
        <v>965</v>
      </c>
      <c r="D1" s="13" t="s">
        <v>966</v>
      </c>
      <c r="E1" s="14" t="s">
        <v>967</v>
      </c>
      <c r="F1" s="15" t="s">
        <v>968</v>
      </c>
      <c r="G1" s="16" t="s">
        <v>969</v>
      </c>
      <c r="H1" s="17" t="s">
        <v>970</v>
      </c>
      <c r="I1" s="18" t="s">
        <v>971</v>
      </c>
      <c r="J1" s="18" t="s">
        <v>972</v>
      </c>
      <c r="K1" s="18" t="s">
        <v>973</v>
      </c>
      <c r="L1" s="19" t="s">
        <v>9</v>
      </c>
    </row>
    <row r="2" spans="1:12">
      <c r="A2" s="20" t="s">
        <v>974</v>
      </c>
    </row>
    <row r="3" spans="1:12">
      <c r="A3" s="20" t="s">
        <v>975</v>
      </c>
      <c r="B3" s="21" t="s">
        <v>976</v>
      </c>
      <c r="C3" s="21" t="s">
        <v>977</v>
      </c>
      <c r="D3" s="21" t="s">
        <v>978</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979</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980</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609</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981</v>
      </c>
      <c r="B7" s="21" t="s">
        <v>982</v>
      </c>
      <c r="C7" s="21" t="s">
        <v>983</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984</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985</v>
      </c>
      <c r="B9" s="21" t="s">
        <v>986</v>
      </c>
      <c r="C9" s="21" t="s">
        <v>987</v>
      </c>
      <c r="D9" s="21" t="s">
        <v>978</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988</v>
      </c>
      <c r="B10" s="21" t="s">
        <v>989</v>
      </c>
      <c r="C10" s="21" t="s">
        <v>990</v>
      </c>
      <c r="D10" s="21" t="s">
        <v>978</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row>
    <row r="12" spans="1:12">
      <c r="A12" s="20" t="s">
        <v>991</v>
      </c>
    </row>
    <row r="13" spans="1:12">
      <c r="A13" s="20" t="s">
        <v>992</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993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994</v>
      </c>
      <c r="B15" s="21" t="s">
        <v>976</v>
      </c>
      <c r="C15" s="21" t="s">
        <v>995</v>
      </c>
      <c r="D15" s="21" t="s">
        <v>978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996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997</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998</v>
      </c>
      <c r="B18" s="21" t="s">
        <v>986</v>
      </c>
      <c r="C18" s="21" t="s">
        <v>995</v>
      </c>
      <c r="D18" s="21" t="s">
        <v>978</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999</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1000</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1001</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1002</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1003</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1004</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1005</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1002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1006</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1004</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172</v>
      </c>
      <c r="B29" s="21" t="s">
        <v>1007</v>
      </c>
      <c r="C29" s="21" t="s">
        <v>1008</v>
      </c>
      <c r="D29" s="21" t="s">
        <v>978</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1009</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1010</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1011</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1012</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1013</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985</v>
      </c>
      <c r="B35" s="21" t="s">
        <v>1014</v>
      </c>
      <c r="C35" s="21" t="s">
        <v>987</v>
      </c>
      <c r="D35" s="21" t="s">
        <v>978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1015</v>
      </c>
      <c r="B36" s="21" t="s">
        <v>1016</v>
      </c>
      <c r="C36" s="21" t="s">
        <v>990</v>
      </c>
      <c r="D36" s="21" t="s">
        <v>978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1017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1018</v>
      </c>
      <c r="B38" s="21" t="s">
        <v>1019</v>
      </c>
      <c r="C38" s="21" t="s">
        <v>1020</v>
      </c>
      <c r="D38" s="21" t="s">
        <v>978</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1021</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1022</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row>
    <row r="42" spans="1:12">
      <c r="A42" s="20" t="s">
        <v>1023</v>
      </c>
    </row>
    <row r="43" spans="1:12">
      <c r="A43" s="20" t="s">
        <v>992</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1024</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1025</v>
      </c>
      <c r="B45" s="21" t="s">
        <v>976</v>
      </c>
      <c r="C45" s="21" t="s">
        <v>977</v>
      </c>
      <c r="D45" s="21" t="s">
        <v>978</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1017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1026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1027</v>
      </c>
      <c r="B48" s="21" t="s">
        <v>989</v>
      </c>
      <c r="C48" s="21" t="s">
        <v>1020</v>
      </c>
      <c r="D48" s="21" t="s">
        <v>978</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1028</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row>
    <row r="51" spans="1:12">
      <c r="A51" s="20" t="s">
        <v>1029</v>
      </c>
    </row>
    <row r="52" spans="1:12">
      <c r="A52" s="20" t="s">
        <v>1030</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1031</v>
      </c>
      <c r="B53" s="21" t="s">
        <v>976</v>
      </c>
      <c r="C53" s="21" t="s">
        <v>983</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1032</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609</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1033</v>
      </c>
      <c r="B56" s="21" t="s">
        <v>986</v>
      </c>
      <c r="C56" s="21" t="s">
        <v>983</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1034</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1002</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1034</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1002</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1006</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1004</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172</v>
      </c>
      <c r="B63" s="21" t="s">
        <v>986</v>
      </c>
      <c r="C63" s="21" t="s">
        <v>1008</v>
      </c>
      <c r="D63" s="21" t="s">
        <v>978</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1009</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1010</v>
      </c>
      <c r="B65" s="21" t="s">
        <v>1035</v>
      </c>
      <c r="C65" s="21" t="s">
        <v>977</v>
      </c>
      <c r="D65" s="21" t="s">
        <v>978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1011</v>
      </c>
      <c r="B66" s="21" t="s">
        <v>1036</v>
      </c>
      <c r="C66" s="21" t="s">
        <v>977</v>
      </c>
      <c r="D66" s="21" t="s">
        <v>978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1037</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1038</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1039</v>
      </c>
      <c r="B69" s="21" t="s">
        <v>1040</v>
      </c>
      <c r="C69" s="21" t="s">
        <v>987</v>
      </c>
      <c r="D69" s="21" t="s">
        <v>978</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1041</v>
      </c>
      <c r="B70" s="21" t="s">
        <v>1042</v>
      </c>
      <c r="C70" s="21" t="s">
        <v>990</v>
      </c>
      <c r="D70" s="21" t="s">
        <v>978</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1043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1044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1022</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row>
    <row r="75" spans="1:12">
      <c r="A75" s="20" t="s">
        <v>1045</v>
      </c>
    </row>
    <row r="76" spans="1:12">
      <c r="A76" s="20" t="s">
        <v>992</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1046</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1002</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1047</v>
      </c>
      <c r="B79" s="21" t="s">
        <v>976</v>
      </c>
      <c r="C79" s="21" t="s">
        <v>977</v>
      </c>
      <c r="D79" s="21" t="s">
        <v>978</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993</v>
      </c>
      <c r="B80" s="21" t="s">
        <v>982</v>
      </c>
      <c r="C80" s="21" t="s">
        <v>977</v>
      </c>
      <c r="D80" s="21" t="s">
        <v>978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979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1048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1049</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1050</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1051</v>
      </c>
      <c r="B85" s="21" t="s">
        <v>1052</v>
      </c>
      <c r="C85" s="21" t="s">
        <v>983</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1000</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1053</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1039</v>
      </c>
      <c r="B88" s="21" t="s">
        <v>1054</v>
      </c>
      <c r="C88" s="21" t="s">
        <v>987</v>
      </c>
      <c r="D88" s="21" t="s">
        <v>978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1055</v>
      </c>
      <c r="B89" s="21" t="s">
        <v>1052</v>
      </c>
      <c r="C89" s="21" t="s">
        <v>990</v>
      </c>
      <c r="D89" s="21" t="s">
        <v>978</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1018</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1056</v>
      </c>
      <c r="B91" s="21" t="s">
        <v>1054</v>
      </c>
      <c r="C91" s="21" t="s">
        <v>1057</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1002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1058</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1059</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1060</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1061</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1062</v>
      </c>
      <c r="B97" s="21" t="s">
        <v>989</v>
      </c>
      <c r="C97" s="21" t="s">
        <v>1063</v>
      </c>
      <c r="D97" s="21" t="s">
        <v>978</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996</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1064</v>
      </c>
      <c r="B99" s="21" t="s">
        <v>986</v>
      </c>
      <c r="C99" s="21" t="s">
        <v>1057</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1002</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1046</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1065</v>
      </c>
      <c r="B102" s="21" t="s">
        <v>1066</v>
      </c>
      <c r="C102" s="21" t="s">
        <v>1020</v>
      </c>
      <c r="D102" s="21" t="s">
        <v>978</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1017</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1067</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1068</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1004</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1069</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1002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1032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1070</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993</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1071</v>
      </c>
      <c r="B112" s="21" t="s">
        <v>1035</v>
      </c>
      <c r="C112" s="21" t="s">
        <v>995</v>
      </c>
      <c r="D112" s="21" t="s">
        <v>978</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1072</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1026</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1009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1050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1073</v>
      </c>
      <c r="B117" s="21" t="s">
        <v>1054</v>
      </c>
      <c r="C117" s="21" t="s">
        <v>983</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1000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1074</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1075</v>
      </c>
      <c r="B120" s="21" t="s">
        <v>1042</v>
      </c>
      <c r="C120" s="21" t="s">
        <v>995</v>
      </c>
      <c r="D120" s="21" t="s">
        <v>978</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1072</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1076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1009</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1050</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1077</v>
      </c>
      <c r="B125" s="21" t="s">
        <v>1007</v>
      </c>
      <c r="C125" s="21" t="s">
        <v>983</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1000</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1078</v>
      </c>
      <c r="B127" s="21" t="s">
        <v>1007</v>
      </c>
      <c r="C127" s="21" t="s">
        <v>1020</v>
      </c>
      <c r="D127" s="21" t="s">
        <v>978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1002</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1000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997</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1079</v>
      </c>
      <c r="B131" s="21" t="s">
        <v>1054</v>
      </c>
      <c r="C131" s="21" t="s">
        <v>995</v>
      </c>
      <c r="D131" s="21" t="s">
        <v>978</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1002</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1050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1080</v>
      </c>
      <c r="B134" s="21" t="s">
        <v>1007</v>
      </c>
      <c r="C134" s="21" t="s">
        <v>983</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1081</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1082</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1083</v>
      </c>
      <c r="B137" s="21" t="s">
        <v>1084</v>
      </c>
      <c r="C137" s="21" t="s">
        <v>1057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1085</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1002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1086</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1002</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1087</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1022</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row>
    <row r="145" spans="1:12">
      <c r="A145" s="20" t="s">
        <v>1088</v>
      </c>
    </row>
    <row r="146" spans="1:12">
      <c r="A146" s="20" t="s">
        <v>1089</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609</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1090</v>
      </c>
      <c r="B148" s="21" t="s">
        <v>989</v>
      </c>
      <c r="C148" s="21" t="s">
        <v>983</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1002</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1050</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1091</v>
      </c>
      <c r="B151" s="21" t="s">
        <v>976</v>
      </c>
      <c r="C151" s="21" t="s">
        <v>983</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996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1092</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1015</v>
      </c>
      <c r="B154" s="21" t="s">
        <v>986</v>
      </c>
      <c r="C154" s="21" t="s">
        <v>995</v>
      </c>
      <c r="D154" s="21" t="s">
        <v>978</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1093</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1094</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1002</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1000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1047</v>
      </c>
      <c r="B159" s="21" t="s">
        <v>1095</v>
      </c>
      <c r="C159" s="21" t="s">
        <v>977</v>
      </c>
      <c r="D159" s="21" t="s">
        <v>978</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1096</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1002</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1097</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1098</v>
      </c>
      <c r="B163" s="21" t="s">
        <v>986</v>
      </c>
      <c r="C163" s="21" t="s">
        <v>1057</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1000</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1099</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609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1100</v>
      </c>
      <c r="B167" s="21" t="s">
        <v>1101</v>
      </c>
      <c r="C167" s="21" t="s">
        <v>983</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1002</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1004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1102</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1103</v>
      </c>
      <c r="B171" s="21" t="s">
        <v>986</v>
      </c>
      <c r="C171" s="21" t="s">
        <v>1104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1000</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1046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1105</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1106</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1081</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93</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1107</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1022</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row>
    <row r="181" spans="1:12">
      <c r="A181" s="20" t="s">
        <v>1108</v>
      </c>
    </row>
    <row r="182" spans="1:12">
      <c r="A182" s="20" t="s">
        <v>190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1109</v>
      </c>
      <c r="B183" s="21" t="s">
        <v>976</v>
      </c>
      <c r="C183" s="21" t="s">
        <v>977</v>
      </c>
      <c r="D183" s="21" t="s">
        <v>978</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1110</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1092</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1111</v>
      </c>
      <c r="B186" s="21" t="s">
        <v>982</v>
      </c>
      <c r="C186" s="21" t="s">
        <v>995</v>
      </c>
      <c r="D186" s="21" t="s">
        <v>978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1004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1112</v>
      </c>
      <c r="B188" s="21" t="s">
        <v>1054</v>
      </c>
      <c r="C188" s="21" t="s">
        <v>1057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993</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1113</v>
      </c>
      <c r="B190" s="21" t="s">
        <v>989</v>
      </c>
      <c r="C190" s="21" t="s">
        <v>995</v>
      </c>
      <c r="D190" s="21" t="s">
        <v>978</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1022</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row>
    <row r="193" spans="1:12">
      <c r="A193" s="20" t="s">
        <v>1114</v>
      </c>
    </row>
    <row r="194" spans="1:12">
      <c r="A194" s="20" t="s">
        <v>1115</v>
      </c>
      <c r="B194" s="21" t="s">
        <v>976</v>
      </c>
      <c r="C194" s="21" t="s">
        <v>1116</v>
      </c>
      <c r="D194" s="21" t="s">
        <v>978</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1117</v>
      </c>
      <c r="B195" s="21" t="s">
        <v>986</v>
      </c>
      <c r="C195" s="21" t="s">
        <v>1116</v>
      </c>
      <c r="D195" s="21" t="s">
        <v>978</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1118</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1004</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1092</v>
      </c>
      <c r="B198" s="21" t="s">
        <v>1052</v>
      </c>
      <c r="C198" s="21" t="s">
        <v>977</v>
      </c>
      <c r="D198" s="21" t="s">
        <v>978</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1119</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1120</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996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993</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1121</v>
      </c>
      <c r="B203" s="21" t="s">
        <v>986</v>
      </c>
      <c r="C203" s="21" t="s">
        <v>995</v>
      </c>
      <c r="D203" s="21" t="s">
        <v>978</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1002</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1122</v>
      </c>
      <c r="B205" s="21" t="s">
        <v>989</v>
      </c>
      <c r="C205" s="21" t="s">
        <v>1116</v>
      </c>
      <c r="D205" s="21" t="s">
        <v>978</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1120</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1050</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1123</v>
      </c>
      <c r="B208" s="21" t="s">
        <v>986</v>
      </c>
      <c r="C208" s="21" t="s">
        <v>983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1022</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row>
    <row r="211" spans="1:12">
      <c r="A211" s="20" t="s">
        <v>1124</v>
      </c>
    </row>
    <row r="212" spans="1:12">
      <c r="A212" s="20" t="s">
        <v>1125</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1126</v>
      </c>
      <c r="B213" s="21" t="s">
        <v>976</v>
      </c>
      <c r="C213" s="21" t="s">
        <v>995</v>
      </c>
      <c r="D213" s="21" t="s">
        <v>978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996</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1074</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1127</v>
      </c>
      <c r="B216" s="21" t="s">
        <v>986</v>
      </c>
      <c r="C216" s="21" t="s">
        <v>995</v>
      </c>
      <c r="D216" s="21" t="s">
        <v>978</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1067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1002</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1018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1128</v>
      </c>
      <c r="B220" s="21" t="s">
        <v>989</v>
      </c>
      <c r="C220" s="21" t="s">
        <v>1057</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1002</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996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1129</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996</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1130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1131</v>
      </c>
      <c r="B226" s="21" t="s">
        <v>1052</v>
      </c>
      <c r="C226" s="21" t="s">
        <v>983</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1132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1022</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row>
    <row r="230" spans="1:12">
      <c r="A230" s="20" t="s">
        <v>1133</v>
      </c>
    </row>
    <row r="231" spans="1:12">
      <c r="A231" s="20" t="s">
        <v>1134</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1004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1078</v>
      </c>
      <c r="B233" s="21" t="s">
        <v>989</v>
      </c>
      <c r="C233" s="21" t="s">
        <v>1020</v>
      </c>
      <c r="D233" s="21" t="s">
        <v>978</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1002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1047</v>
      </c>
      <c r="B235" s="21" t="s">
        <v>976</v>
      </c>
      <c r="C235" s="21" t="s">
        <v>977</v>
      </c>
      <c r="D235" s="21" t="s">
        <v>978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1135</v>
      </c>
      <c r="B236" s="21" t="s">
        <v>982</v>
      </c>
      <c r="C236" s="21" t="s">
        <v>977</v>
      </c>
      <c r="D236" s="21" t="s">
        <v>978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1136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1137</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1138</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1139</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1002</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1140</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1141</v>
      </c>
      <c r="B243" s="21" t="s">
        <v>989</v>
      </c>
      <c r="C243" s="21" t="s">
        <v>1008</v>
      </c>
      <c r="D243" s="21" t="s">
        <v>978</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1142</v>
      </c>
      <c r="B244" s="21" t="s">
        <v>1066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1143</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1144</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1070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1145</v>
      </c>
      <c r="B248" s="21" t="s">
        <v>1042</v>
      </c>
      <c r="C248" s="21" t="s">
        <v>1020</v>
      </c>
      <c r="D248" s="21" t="s">
        <v>978</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1135</v>
      </c>
      <c r="B249" s="21" t="s">
        <v>1146</v>
      </c>
      <c r="C249" s="21" t="s">
        <v>977</v>
      </c>
      <c r="D249" s="21" t="s">
        <v>978</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1147</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1148</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984</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609</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1149</v>
      </c>
      <c r="B254" s="21" t="s">
        <v>1084</v>
      </c>
      <c r="C254" s="21" t="s">
        <v>983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996</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1150</v>
      </c>
      <c r="B256" s="21" t="s">
        <v>1040</v>
      </c>
      <c r="C256" s="21" t="s">
        <v>1057</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1022</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row>
    <row r="259" spans="1:12">
      <c r="A259" s="20" t="s">
        <v>1151</v>
      </c>
    </row>
    <row r="260" spans="1:12">
      <c r="A260" s="20" t="s">
        <v>1152</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1153</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1002</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1154</v>
      </c>
      <c r="B263" s="21" t="s">
        <v>976</v>
      </c>
      <c r="C263" s="21" t="s">
        <v>977</v>
      </c>
      <c r="D263" s="21" t="s">
        <v>978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979</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1155</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1050</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1156</v>
      </c>
      <c r="B267" s="21" t="s">
        <v>982</v>
      </c>
      <c r="C267" s="21" t="s">
        <v>983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996</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1157</v>
      </c>
      <c r="B269" s="21" t="s">
        <v>986</v>
      </c>
      <c r="C269" s="21" t="s">
        <v>1057</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1022</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row>
    <row r="272" spans="1:12">
      <c r="A272" s="20" t="s">
        <v>1158</v>
      </c>
    </row>
    <row r="273" spans="1:12">
      <c r="A273" s="20" t="s">
        <v>1159</v>
      </c>
      <c r="B273" s="21" t="s">
        <v>986</v>
      </c>
      <c r="C273" s="21" t="s">
        <v>987</v>
      </c>
      <c r="D273" s="21" t="s">
        <v>978</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1160</v>
      </c>
      <c r="B274" s="21" t="s">
        <v>976</v>
      </c>
      <c r="C274" s="21" t="s">
        <v>990</v>
      </c>
      <c r="D274" s="21" t="s">
        <v>978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1067</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1161</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1002</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1050</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1162</v>
      </c>
      <c r="B279" s="21" t="s">
        <v>1095</v>
      </c>
      <c r="C279" s="21" t="s">
        <v>983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1017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1067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1163</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1002</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1047</v>
      </c>
      <c r="B284" s="21" t="s">
        <v>1095</v>
      </c>
      <c r="C284" s="21" t="s">
        <v>977</v>
      </c>
      <c r="D284" s="21" t="s">
        <v>978</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1164</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1165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1004</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993</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1166</v>
      </c>
      <c r="B289" s="21" t="s">
        <v>986</v>
      </c>
      <c r="C289" s="21" t="s">
        <v>1116</v>
      </c>
      <c r="D289" s="21" t="s">
        <v>978</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1167</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1168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1169</v>
      </c>
      <c r="B292" s="21" t="s">
        <v>986</v>
      </c>
      <c r="C292" s="21" t="s">
        <v>1104</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1004</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1074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1170</v>
      </c>
      <c r="B295" s="21" t="s">
        <v>986</v>
      </c>
      <c r="C295" s="21" t="s">
        <v>995</v>
      </c>
      <c r="D295" s="21" t="s">
        <v>978</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1002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1000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1047</v>
      </c>
      <c r="B298" s="21" t="s">
        <v>1095</v>
      </c>
      <c r="C298" s="21" t="s">
        <v>977</v>
      </c>
      <c r="D298" s="21" t="s">
        <v>978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1135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1018</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1164</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1171</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1172</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1022</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row>
    <row r="306" spans="1:12">
      <c r="A306" s="20" t="s">
        <v>1173</v>
      </c>
    </row>
    <row r="307" spans="1:12">
      <c r="A307" s="20" t="s">
        <v>1174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1018</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1175</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1002</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1176</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1177</v>
      </c>
      <c r="B312" s="21" t="s">
        <v>989</v>
      </c>
      <c r="C312" s="21" t="s">
        <v>1178</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1167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1002</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1154</v>
      </c>
      <c r="B315" s="21" t="s">
        <v>976</v>
      </c>
      <c r="C315" s="21" t="s">
        <v>977</v>
      </c>
      <c r="D315" s="21" t="s">
        <v>978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979</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1179</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1038</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1047</v>
      </c>
      <c r="B319" s="21" t="s">
        <v>1095</v>
      </c>
      <c r="C319" s="21" t="s">
        <v>977</v>
      </c>
      <c r="D319" s="21" t="s">
        <v>978</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1011</v>
      </c>
      <c r="B320" s="21" t="s">
        <v>1052</v>
      </c>
      <c r="C320" s="21" t="s">
        <v>977</v>
      </c>
      <c r="D320" s="21" t="s">
        <v>978</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1180</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996</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1065</v>
      </c>
      <c r="B323" s="21" t="s">
        <v>986</v>
      </c>
      <c r="C323" s="21" t="s">
        <v>1020</v>
      </c>
      <c r="D323" s="21" t="s">
        <v>978</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1022</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row>
    <row r="326" spans="1:12">
      <c r="A326" s="20" t="s">
        <v>1181</v>
      </c>
    </row>
    <row r="327" spans="1:12">
      <c r="A327" s="20" t="s">
        <v>1182</v>
      </c>
      <c r="B327" s="21" t="s">
        <v>976</v>
      </c>
      <c r="C327" s="21" t="s">
        <v>977</v>
      </c>
      <c r="D327" s="21" t="s">
        <v>978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1116</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71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1183</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414</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993</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1184</v>
      </c>
      <c r="B333" s="21" t="s">
        <v>1052</v>
      </c>
      <c r="C333" s="21" t="s">
        <v>995</v>
      </c>
      <c r="D333" s="21" t="s">
        <v>978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1038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1154</v>
      </c>
      <c r="B335" s="21" t="s">
        <v>1066</v>
      </c>
      <c r="C335" s="21" t="s">
        <v>977</v>
      </c>
      <c r="D335" s="21" t="s">
        <v>978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1185</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1186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414</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1187</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1002</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1000</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1047</v>
      </c>
      <c r="B342" s="21" t="s">
        <v>1095</v>
      </c>
      <c r="C342" s="21" t="s">
        <v>977</v>
      </c>
      <c r="D342" s="21" t="s">
        <v>978</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1116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1188</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1189</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1190</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1022</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row>
    <row r="349" spans="1:12">
      <c r="A349" s="20" t="s">
        <v>1191</v>
      </c>
    </row>
    <row r="350" spans="1:12">
      <c r="A350" s="20" t="s">
        <v>1125</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1192</v>
      </c>
      <c r="B351" s="21" t="s">
        <v>976</v>
      </c>
      <c r="C351" s="21" t="s">
        <v>995</v>
      </c>
      <c r="D351" s="21" t="s">
        <v>978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996</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1092</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1111</v>
      </c>
      <c r="B354" s="21" t="s">
        <v>986</v>
      </c>
      <c r="C354" s="21" t="s">
        <v>995</v>
      </c>
      <c r="D354" s="21" t="s">
        <v>978</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1072</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1067</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1189</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997</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1193</v>
      </c>
      <c r="B359" s="21" t="s">
        <v>989</v>
      </c>
      <c r="C359" s="21" t="s">
        <v>995</v>
      </c>
      <c r="D359" s="21" t="s">
        <v>978</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1002</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1194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1092</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1195</v>
      </c>
      <c r="B363" s="21" t="s">
        <v>989</v>
      </c>
      <c r="C363" s="21" t="s">
        <v>995</v>
      </c>
      <c r="D363" s="21" t="s">
        <v>978</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1002</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1000</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1196</v>
      </c>
      <c r="B366" s="21" t="s">
        <v>1066</v>
      </c>
      <c r="C366" s="21" t="s">
        <v>1008</v>
      </c>
      <c r="D366" s="21" t="s">
        <v>978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1076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1092</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1195</v>
      </c>
      <c r="B369" s="21" t="s">
        <v>986</v>
      </c>
      <c r="C369" s="21" t="s">
        <v>995</v>
      </c>
      <c r="D369" s="21" t="s">
        <v>978</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1142</v>
      </c>
      <c r="B370" s="21" t="s">
        <v>1035</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1197</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1011</v>
      </c>
      <c r="B372" s="21" t="s">
        <v>1146</v>
      </c>
      <c r="C372" s="21" t="s">
        <v>977</v>
      </c>
      <c r="D372" s="21" t="s">
        <v>978</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1198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1004</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172</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1199</v>
      </c>
      <c r="B376" s="21" t="s">
        <v>1084</v>
      </c>
      <c r="C376" s="21" t="s">
        <v>1063</v>
      </c>
      <c r="D376" s="21" t="s">
        <v>978</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1200</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1022</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row>
    <row r="380" spans="1:12">
      <c r="A380" s="20" t="s">
        <v>1201</v>
      </c>
    </row>
    <row r="381" spans="1:12">
      <c r="A381" s="20" t="s">
        <v>1202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172</v>
      </c>
      <c r="B382" s="21" t="s">
        <v>976</v>
      </c>
      <c r="C382" s="21" t="s">
        <v>1008</v>
      </c>
      <c r="D382" s="21" t="s">
        <v>978</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1038</v>
      </c>
      <c r="B383" s="21" t="s">
        <v>1036</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1154</v>
      </c>
      <c r="B384" s="21" t="s">
        <v>1066</v>
      </c>
      <c r="C384" s="21" t="s">
        <v>977</v>
      </c>
      <c r="D384" s="21" t="s">
        <v>978</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1185</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1004</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414</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1011</v>
      </c>
      <c r="B388" s="21" t="s">
        <v>982</v>
      </c>
      <c r="C388" s="21" t="s">
        <v>977</v>
      </c>
      <c r="D388" s="21" t="s">
        <v>978</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1037</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1203</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1022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1204</v>
      </c>
    </row>
    <row r="394" spans="1:12">
      <c r="A394" s="20" t="s">
        <v>1182</v>
      </c>
      <c r="B394" s="21" t="s">
        <v>976</v>
      </c>
      <c r="C394" s="21" t="s">
        <v>977</v>
      </c>
      <c r="D394" s="21" t="s">
        <v>978</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1205</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1004</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1092</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1206</v>
      </c>
      <c r="B398" s="21" t="s">
        <v>989</v>
      </c>
      <c r="C398" s="21" t="s">
        <v>995</v>
      </c>
      <c r="D398" s="21" t="s">
        <v>978</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1000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1047</v>
      </c>
      <c r="B400" s="21" t="s">
        <v>1095</v>
      </c>
      <c r="C400" s="21" t="s">
        <v>977</v>
      </c>
      <c r="D400" s="21" t="s">
        <v>978</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1207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1092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1208</v>
      </c>
      <c r="B403" s="21" t="s">
        <v>1052</v>
      </c>
      <c r="C403" s="21" t="s">
        <v>995</v>
      </c>
      <c r="D403" s="21" t="s">
        <v>978</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1209</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996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997</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1210</v>
      </c>
      <c r="B407" s="21" t="s">
        <v>1054</v>
      </c>
      <c r="C407" s="21" t="s">
        <v>995</v>
      </c>
      <c r="D407" s="21" t="s">
        <v>978</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1211</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1002</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1000</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1004</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997</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1212</v>
      </c>
      <c r="B413" s="21" t="s">
        <v>1054</v>
      </c>
      <c r="C413" s="21" t="s">
        <v>1057</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1081</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93</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1213</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1081</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168</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996</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993</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1214</v>
      </c>
      <c r="B421" s="21" t="s">
        <v>1084</v>
      </c>
      <c r="C421" s="21" t="s">
        <v>995</v>
      </c>
      <c r="D421" s="21" t="s">
        <v>978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996</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993</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994</v>
      </c>
      <c r="B424" s="21" t="s">
        <v>1040</v>
      </c>
      <c r="C424" s="21" t="s">
        <v>995</v>
      </c>
      <c r="D424" s="21" t="s">
        <v>978</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1002</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1047</v>
      </c>
      <c r="B426" s="21" t="s">
        <v>1095</v>
      </c>
      <c r="C426" s="21" t="s">
        <v>977</v>
      </c>
      <c r="D426" s="21" t="s">
        <v>978</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1215</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1216</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1217</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1218</v>
      </c>
      <c r="B430" s="21" t="s">
        <v>1066</v>
      </c>
      <c r="C430" s="21" t="s">
        <v>1008</v>
      </c>
      <c r="D430" s="21" t="s">
        <v>978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1219</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1220</v>
      </c>
      <c r="B432" s="21" t="s">
        <v>1101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996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1100</v>
      </c>
      <c r="B434" s="21" t="s">
        <v>1007</v>
      </c>
      <c r="C434" s="21" t="s">
        <v>1057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1004</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1221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1022</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row>
    <row r="439" spans="1:12">
      <c r="A439" s="20" t="s">
        <v>1222</v>
      </c>
    </row>
    <row r="440" spans="1:12">
      <c r="A440" s="20" t="s">
        <v>190</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1223</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1047</v>
      </c>
      <c r="B442" s="21" t="s">
        <v>976</v>
      </c>
      <c r="C442" s="21" t="s">
        <v>977</v>
      </c>
      <c r="D442" s="21" t="s">
        <v>978</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1224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996</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431</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1039</v>
      </c>
      <c r="B446" s="21" t="s">
        <v>1054</v>
      </c>
      <c r="C446" s="21" t="s">
        <v>987</v>
      </c>
      <c r="D446" s="21" t="s">
        <v>978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1225</v>
      </c>
      <c r="B447" s="21" t="s">
        <v>1052</v>
      </c>
      <c r="C447" s="21" t="s">
        <v>990</v>
      </c>
      <c r="D447" s="21" t="s">
        <v>978</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1002</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1226</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1009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1167</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1002</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1047</v>
      </c>
      <c r="B453" s="21" t="s">
        <v>1066</v>
      </c>
      <c r="C453" s="21" t="s">
        <v>977</v>
      </c>
      <c r="D453" s="21" t="s">
        <v>978</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1215</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1009</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1010</v>
      </c>
      <c r="B456" s="21" t="s">
        <v>1035</v>
      </c>
      <c r="C456" s="21" t="s">
        <v>977</v>
      </c>
      <c r="D456" s="21" t="s">
        <v>978</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1011</v>
      </c>
      <c r="B457" s="21" t="s">
        <v>1036</v>
      </c>
      <c r="C457" s="21" t="s">
        <v>977</v>
      </c>
      <c r="D457" s="21" t="s">
        <v>978</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1227</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868</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1092</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1228</v>
      </c>
      <c r="B461" s="21" t="s">
        <v>1146</v>
      </c>
      <c r="C461" s="21" t="s">
        <v>995</v>
      </c>
      <c r="D461" s="21" t="s">
        <v>978</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1002</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1092</v>
      </c>
      <c r="B463" s="21" t="s">
        <v>1229</v>
      </c>
      <c r="C463" s="21" t="s">
        <v>977</v>
      </c>
      <c r="D463" s="21" t="s">
        <v>978</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644</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1230</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1050</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1231</v>
      </c>
      <c r="B467" s="21" t="s">
        <v>1040</v>
      </c>
      <c r="C467" s="21" t="s">
        <v>983</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1002</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1092</v>
      </c>
      <c r="B469" s="21" t="s">
        <v>1229</v>
      </c>
      <c r="C469" s="21" t="s">
        <v>977</v>
      </c>
      <c r="D469" s="21" t="s">
        <v>978</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1232</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1002</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1092</v>
      </c>
      <c r="B472" s="21" t="s">
        <v>1229</v>
      </c>
      <c r="C472" s="21" t="s">
        <v>977</v>
      </c>
      <c r="D472" s="21" t="s">
        <v>978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1233</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1002</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1074</v>
      </c>
      <c r="B475" s="21" t="s">
        <v>1229</v>
      </c>
      <c r="C475" s="21" t="s">
        <v>977</v>
      </c>
      <c r="D475" s="21" t="s">
        <v>978</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1234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1002</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1000</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1196</v>
      </c>
      <c r="B479" s="21" t="s">
        <v>1042</v>
      </c>
      <c r="C479" s="21" t="s">
        <v>1008</v>
      </c>
      <c r="D479" s="21" t="s">
        <v>978</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1076</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1235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1078</v>
      </c>
      <c r="B482" s="21" t="s">
        <v>1084</v>
      </c>
      <c r="C482" s="21" t="s">
        <v>1020</v>
      </c>
      <c r="D482" s="21" t="s">
        <v>978</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609</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1236</v>
      </c>
      <c r="B484" s="21" t="s">
        <v>1007</v>
      </c>
      <c r="C484" s="21" t="s">
        <v>983</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1022</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row>
    <row r="487" spans="1:12">
      <c r="A487" s="20" t="s">
        <v>1237</v>
      </c>
    </row>
    <row r="488" spans="1:12">
      <c r="A488" s="20" t="s">
        <v>1238</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1239</v>
      </c>
      <c r="B489" s="21" t="s">
        <v>989</v>
      </c>
      <c r="C489" s="21" t="s">
        <v>983</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1009</v>
      </c>
      <c r="B490" s="21" t="s">
        <v>1101</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1145</v>
      </c>
      <c r="B491" s="21" t="s">
        <v>1066</v>
      </c>
      <c r="C491" s="21" t="s">
        <v>1020</v>
      </c>
      <c r="D491" s="21" t="s">
        <v>978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1240</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1241</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1242</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1145</v>
      </c>
      <c r="B495" s="21" t="s">
        <v>1066</v>
      </c>
      <c r="C495" s="21" t="s">
        <v>1020</v>
      </c>
      <c r="D495" s="21" t="s">
        <v>978</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1243</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996</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1092</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1111</v>
      </c>
      <c r="B499" s="21" t="s">
        <v>1054</v>
      </c>
      <c r="C499" s="21" t="s">
        <v>995</v>
      </c>
      <c r="D499" s="21" t="s">
        <v>978</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1002</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1196</v>
      </c>
      <c r="B501" s="21" t="s">
        <v>976</v>
      </c>
      <c r="C501" s="21" t="s">
        <v>1008</v>
      </c>
      <c r="D501" s="21" t="s">
        <v>978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1067</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1009</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1145</v>
      </c>
      <c r="B504" s="21" t="s">
        <v>1095</v>
      </c>
      <c r="C504" s="21" t="s">
        <v>1020</v>
      </c>
      <c r="D504" s="21" t="s">
        <v>978</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1067</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1244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1038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1196</v>
      </c>
      <c r="B508" s="21" t="s">
        <v>1066</v>
      </c>
      <c r="C508" s="21" t="s">
        <v>1008</v>
      </c>
      <c r="D508" s="21" t="s">
        <v>978</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1067</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1245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1022</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row>
    <row r="513" spans="1:12">
      <c r="A513" s="20" t="s">
        <v>1246</v>
      </c>
    </row>
    <row r="514" spans="1:12">
      <c r="A514" s="20" t="s">
        <v>1247</v>
      </c>
      <c r="B514" s="21" t="s">
        <v>976</v>
      </c>
      <c r="C514" s="21" t="s">
        <v>1020</v>
      </c>
      <c r="D514" s="21" t="s">
        <v>978</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1067</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1244</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1038</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1196</v>
      </c>
      <c r="B518" s="21" t="s">
        <v>1095</v>
      </c>
      <c r="C518" s="21" t="s">
        <v>1008</v>
      </c>
      <c r="D518" s="21" t="s">
        <v>978</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1067</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1245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1002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1106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1009</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1145</v>
      </c>
      <c r="B524" s="21" t="s">
        <v>1095</v>
      </c>
      <c r="C524" s="21" t="s">
        <v>1020</v>
      </c>
      <c r="D524" s="21" t="s">
        <v>978</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1074</v>
      </c>
      <c r="B525" s="21" t="s">
        <v>1052</v>
      </c>
      <c r="C525" s="21" t="s">
        <v>977</v>
      </c>
      <c r="D525" s="21" t="s">
        <v>978</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1248</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1022</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row>
    <row r="529" spans="1:12">
      <c r="A529" s="20" t="s">
        <v>1249</v>
      </c>
    </row>
    <row r="530" spans="1:12">
      <c r="A530" s="20" t="s">
        <v>1247</v>
      </c>
      <c r="B530" s="21" t="s">
        <v>976</v>
      </c>
      <c r="C530" s="21" t="s">
        <v>1020</v>
      </c>
      <c r="D530" s="21" t="s">
        <v>978</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1067</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1244</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1038</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1092</v>
      </c>
      <c r="B534" s="21" t="s">
        <v>1095</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1250</v>
      </c>
      <c r="B535" s="21" t="s">
        <v>1054</v>
      </c>
      <c r="C535" s="21" t="s">
        <v>1057</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996</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993</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750</v>
      </c>
      <c r="B538" s="21" t="s">
        <v>1054</v>
      </c>
      <c r="C538" s="21" t="s">
        <v>995</v>
      </c>
      <c r="D538" s="21" t="s">
        <v>978</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1251</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1004</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1252</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1253</v>
      </c>
      <c r="B542" s="21" t="s">
        <v>1007</v>
      </c>
      <c r="C542" s="21" t="s">
        <v>987</v>
      </c>
      <c r="D542" s="21" t="s">
        <v>978</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1254</v>
      </c>
      <c r="B543" s="21" t="s">
        <v>1101</v>
      </c>
      <c r="C543" s="21" t="s">
        <v>990</v>
      </c>
      <c r="D543" s="21" t="s">
        <v>978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1000</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1004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1225</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1000</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1004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1017</v>
      </c>
      <c r="B549" s="21" t="s">
        <v>1036</v>
      </c>
      <c r="C549" s="21" t="s">
        <v>977</v>
      </c>
      <c r="D549" s="21" t="s">
        <v>978</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1255</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1235</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431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1050</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1256</v>
      </c>
      <c r="B554" s="21" t="s">
        <v>1146</v>
      </c>
      <c r="C554" s="21" t="s">
        <v>983</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1000</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1004</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1257</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1092</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1206</v>
      </c>
      <c r="B559" s="21" t="s">
        <v>1229</v>
      </c>
      <c r="C559" s="21" t="s">
        <v>995</v>
      </c>
      <c r="D559" s="21" t="s">
        <v>978</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1000</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172</v>
      </c>
      <c r="B561" s="21" t="s">
        <v>1066</v>
      </c>
      <c r="C561" s="21" t="s">
        <v>1008</v>
      </c>
      <c r="D561" s="21" t="s">
        <v>978</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1072</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1067</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1189</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1070</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1258</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1002</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1194</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1259</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1002</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1145</v>
      </c>
      <c r="B571" s="21" t="s">
        <v>1066</v>
      </c>
      <c r="C571" s="21" t="s">
        <v>1020</v>
      </c>
      <c r="D571" s="21" t="s">
        <v>978</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1067</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1260</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1261</v>
      </c>
      <c r="B574" s="21" t="s">
        <v>1054</v>
      </c>
      <c r="C574" s="21" t="s">
        <v>987</v>
      </c>
      <c r="D574" s="21" t="s">
        <v>978</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1262</v>
      </c>
      <c r="B575" s="21" t="s">
        <v>986</v>
      </c>
      <c r="C575" s="21" t="s">
        <v>990</v>
      </c>
      <c r="D575" s="21" t="s">
        <v>978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1000</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1145</v>
      </c>
      <c r="B577" s="21" t="s">
        <v>1035</v>
      </c>
      <c r="C577" s="21" t="s">
        <v>1020</v>
      </c>
      <c r="D577" s="21" t="s">
        <v>978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1067</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1263</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996</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54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1050</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1264</v>
      </c>
      <c r="B583" s="21" t="s">
        <v>1146</v>
      </c>
      <c r="C583" s="21" t="s">
        <v>983</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996</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1092</v>
      </c>
      <c r="B585" s="21" t="s">
        <v>1019</v>
      </c>
      <c r="C585" s="21" t="s">
        <v>977</v>
      </c>
      <c r="D585" s="21" t="s">
        <v>978</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1265</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1022</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row>
    <row r="589" spans="1:12">
      <c r="A589" s="20" t="s">
        <v>1266</v>
      </c>
    </row>
    <row r="590" spans="1:12">
      <c r="A590" s="20" t="s">
        <v>992</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1106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1047</v>
      </c>
      <c r="B592" s="21" t="s">
        <v>976</v>
      </c>
      <c r="C592" s="21" t="s">
        <v>977</v>
      </c>
      <c r="D592" s="21" t="s">
        <v>978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1011</v>
      </c>
      <c r="B593" s="21" t="s">
        <v>982</v>
      </c>
      <c r="C593" s="21" t="s">
        <v>977</v>
      </c>
      <c r="D593" s="21" t="s">
        <v>978</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1164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1267</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1268</v>
      </c>
      <c r="B596" s="21" t="s">
        <v>982</v>
      </c>
      <c r="C596" s="21" t="s">
        <v>1057</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1038</v>
      </c>
      <c r="B597" s="21" t="s">
        <v>1052</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1047</v>
      </c>
      <c r="B598" s="21" t="s">
        <v>1095</v>
      </c>
      <c r="C598" s="21" t="s">
        <v>977</v>
      </c>
      <c r="D598" s="21" t="s">
        <v>978</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1269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1270</v>
      </c>
      <c r="B600" s="21" t="s">
        <v>1052</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996</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1184</v>
      </c>
      <c r="B602" s="21" t="s">
        <v>1054</v>
      </c>
      <c r="C602" s="21" t="s">
        <v>1057</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1002</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1038</v>
      </c>
      <c r="B604" s="21" t="s">
        <v>1052</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1047</v>
      </c>
      <c r="B605" s="21" t="s">
        <v>1095</v>
      </c>
      <c r="C605" s="21" t="s">
        <v>977</v>
      </c>
      <c r="D605" s="21" t="s">
        <v>978</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1215</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1270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1002</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1038</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1047</v>
      </c>
      <c r="B610" s="21" t="s">
        <v>1095</v>
      </c>
      <c r="C610" s="21" t="s">
        <v>977</v>
      </c>
      <c r="D610" s="21" t="s">
        <v>978</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1271</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1270</v>
      </c>
      <c r="B612" s="21" t="s">
        <v>1052</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996</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1184</v>
      </c>
      <c r="B614" s="21" t="s">
        <v>1054</v>
      </c>
      <c r="C614" s="21" t="s">
        <v>1057</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1022</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row>
    <row r="617" spans="1:12">
      <c r="A617" s="20" t="s">
        <v>1272</v>
      </c>
    </row>
    <row r="618" spans="1:12">
      <c r="A618" s="20" t="s">
        <v>1273</v>
      </c>
      <c r="B618" s="21" t="s">
        <v>976</v>
      </c>
      <c r="C618" s="21" t="s">
        <v>1008</v>
      </c>
      <c r="D618" s="21" t="s">
        <v>978</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1076</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1050</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1274</v>
      </c>
      <c r="B621" s="21" t="s">
        <v>989</v>
      </c>
      <c r="C621" s="21" t="s">
        <v>983</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996</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1275</v>
      </c>
      <c r="B623" s="21" t="s">
        <v>989</v>
      </c>
      <c r="C623" s="21" t="s">
        <v>1057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1022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row>
    <row r="626" spans="1:12">
      <c r="A626" s="20" t="s">
        <v>1276</v>
      </c>
    </row>
    <row r="627" spans="1:12">
      <c r="A627" s="20" t="s">
        <v>992</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1046</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1074</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1277</v>
      </c>
      <c r="B630" s="21" t="s">
        <v>976</v>
      </c>
      <c r="C630" s="21" t="s">
        <v>995</v>
      </c>
      <c r="D630" s="21" t="s">
        <v>978</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1017</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1067</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1278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1022</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row>
    <row r="636" spans="1:12">
      <c r="A636" s="20" t="s">
        <v>1279</v>
      </c>
    </row>
    <row r="637" spans="1:12">
      <c r="A637" s="20" t="s">
        <v>1280</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1145</v>
      </c>
      <c r="B638" s="21" t="s">
        <v>1095</v>
      </c>
      <c r="C638" s="21" t="s">
        <v>1020</v>
      </c>
      <c r="D638" s="21" t="s">
        <v>978</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1011</v>
      </c>
      <c r="B639" s="21" t="s">
        <v>1052</v>
      </c>
      <c r="C639" s="21" t="s">
        <v>977</v>
      </c>
      <c r="D639" s="21" t="s">
        <v>978</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1281</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1038</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1047</v>
      </c>
      <c r="B642" s="21" t="s">
        <v>1066</v>
      </c>
      <c r="C642" s="21" t="s">
        <v>977</v>
      </c>
      <c r="D642" s="21" t="s">
        <v>978</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1282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93</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1018</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1111</v>
      </c>
      <c r="B646" s="21" t="s">
        <v>1054</v>
      </c>
      <c r="C646" s="21" t="s">
        <v>1057</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1283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1065</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997</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1284</v>
      </c>
      <c r="B650" s="21" t="s">
        <v>1007</v>
      </c>
      <c r="C650" s="21" t="s">
        <v>995</v>
      </c>
      <c r="D650" s="21" t="s">
        <v>978</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1285</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1002</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1047</v>
      </c>
      <c r="B653" s="21" t="s">
        <v>976</v>
      </c>
      <c r="C653" s="21" t="s">
        <v>977</v>
      </c>
      <c r="D653" s="21" t="s">
        <v>978</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1286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1216</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1217</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1287</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1038</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1047</v>
      </c>
      <c r="B659" s="21" t="s">
        <v>1035</v>
      </c>
      <c r="C659" s="21" t="s">
        <v>977</v>
      </c>
      <c r="D659" s="21" t="s">
        <v>978</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1288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1038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1289</v>
      </c>
      <c r="B662" s="21" t="s">
        <v>1042</v>
      </c>
      <c r="C662" s="21" t="s">
        <v>1008</v>
      </c>
      <c r="D662" s="21" t="s">
        <v>978</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1290</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1291</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1018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1292</v>
      </c>
      <c r="B666" s="21" t="s">
        <v>1084</v>
      </c>
      <c r="C666" s="21" t="s">
        <v>1057</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1002</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1047</v>
      </c>
      <c r="B668" s="21" t="s">
        <v>1095</v>
      </c>
      <c r="C668" s="21" t="s">
        <v>977</v>
      </c>
      <c r="D668" s="21" t="s">
        <v>978</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1293</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1294</v>
      </c>
      <c r="B670" s="21" t="s">
        <v>1101</v>
      </c>
      <c r="C670" s="21" t="s">
        <v>1020</v>
      </c>
      <c r="D670" s="21" t="s">
        <v>978</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45</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1022</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row>
    <row r="674" spans="1:12">
      <c r="A674" s="20" t="s">
        <v>1295</v>
      </c>
    </row>
    <row r="675" spans="1:12">
      <c r="A675" s="20" t="s">
        <v>190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1174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1070</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1145</v>
      </c>
      <c r="B678" s="21" t="s">
        <v>1066</v>
      </c>
      <c r="C678" s="21" t="s">
        <v>1020</v>
      </c>
      <c r="D678" s="21" t="s">
        <v>978</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1011</v>
      </c>
      <c r="B679" s="21" t="s">
        <v>1101</v>
      </c>
      <c r="C679" s="21" t="s">
        <v>977</v>
      </c>
      <c r="D679" s="21" t="s">
        <v>978</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1281</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1216</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1217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1296</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997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1284</v>
      </c>
      <c r="B685" s="21" t="s">
        <v>986</v>
      </c>
      <c r="C685" s="21" t="s">
        <v>995</v>
      </c>
      <c r="D685" s="21" t="s">
        <v>978</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1285</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1002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1297</v>
      </c>
      <c r="B688" s="21" t="s">
        <v>1095</v>
      </c>
      <c r="C688" s="21" t="s">
        <v>977</v>
      </c>
      <c r="D688" s="21" t="s">
        <v>978</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1298</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1053</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1050</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1299</v>
      </c>
      <c r="B692" s="21" t="s">
        <v>1101</v>
      </c>
      <c r="C692" s="21" t="s">
        <v>983</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1081</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1277</v>
      </c>
      <c r="B694" s="21" t="s">
        <v>1007</v>
      </c>
      <c r="C694" s="21" t="s">
        <v>1057</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1300</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1002</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190</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1047</v>
      </c>
      <c r="B698" s="21" t="s">
        <v>976</v>
      </c>
      <c r="C698" s="21" t="s">
        <v>977</v>
      </c>
      <c r="D698" s="21" t="s">
        <v>978</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1011</v>
      </c>
      <c r="B699" s="21" t="s">
        <v>982</v>
      </c>
      <c r="C699" s="21" t="s">
        <v>977</v>
      </c>
      <c r="D699" s="21" t="s">
        <v>978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1301</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993</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1302</v>
      </c>
      <c r="B702" s="21" t="s">
        <v>982</v>
      </c>
      <c r="C702" s="21" t="s">
        <v>995</v>
      </c>
      <c r="D702" s="21" t="s">
        <v>978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1303</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1038</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996</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1092</v>
      </c>
      <c r="B706" s="21" t="s">
        <v>1101</v>
      </c>
      <c r="C706" s="21" t="s">
        <v>977</v>
      </c>
      <c r="D706" s="21" t="s">
        <v>978</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57</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1022</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row>
    <row r="710" spans="1:12">
      <c r="A710" s="20" t="s">
        <v>1304</v>
      </c>
    </row>
    <row r="711" spans="1:12">
      <c r="A711" s="20" t="s">
        <v>1273</v>
      </c>
      <c r="B711" s="21" t="s">
        <v>976</v>
      </c>
      <c r="C711" s="21" t="s">
        <v>1008</v>
      </c>
      <c r="D711" s="21" t="s">
        <v>978</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1076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1137</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997</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1305</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1306</v>
      </c>
      <c r="B716" s="21" t="s">
        <v>989</v>
      </c>
      <c r="C716" s="21" t="s">
        <v>995</v>
      </c>
      <c r="D716" s="21" t="s">
        <v>978</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1032</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172</v>
      </c>
      <c r="B718" s="21" t="s">
        <v>989</v>
      </c>
      <c r="C718" s="21" t="s">
        <v>1008</v>
      </c>
      <c r="D718" s="21" t="s">
        <v>978</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1009</v>
      </c>
      <c r="B719" s="21" t="s">
        <v>1101</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1145</v>
      </c>
      <c r="B720" s="21" t="s">
        <v>1066</v>
      </c>
      <c r="C720" s="21" t="s">
        <v>1020</v>
      </c>
      <c r="D720" s="21" t="s">
        <v>978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1307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1024</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1145</v>
      </c>
      <c r="B723" s="21" t="s">
        <v>1035</v>
      </c>
      <c r="C723" s="21" t="s">
        <v>1020</v>
      </c>
      <c r="D723" s="21" t="s">
        <v>978</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1308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1000</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1009</v>
      </c>
      <c r="B726" s="21" t="s">
        <v>1146</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1145</v>
      </c>
      <c r="B727" s="21" t="s">
        <v>1042</v>
      </c>
      <c r="C727" s="21" t="s">
        <v>1020</v>
      </c>
      <c r="D727" s="21" t="s">
        <v>978</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1309</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1310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1009</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1145</v>
      </c>
      <c r="B731" s="21" t="s">
        <v>1311</v>
      </c>
      <c r="C731" s="21" t="s">
        <v>1020</v>
      </c>
      <c r="D731" s="21" t="s">
        <v>978</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1312</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1002</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1000</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1092</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1313</v>
      </c>
      <c r="B736" s="21" t="s">
        <v>1016</v>
      </c>
      <c r="C736" s="21" t="s">
        <v>995</v>
      </c>
      <c r="D736" s="21" t="s">
        <v>978</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1314</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1315</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1316</v>
      </c>
      <c r="B739" s="21" t="s">
        <v>1317</v>
      </c>
      <c r="C739" s="21" t="s">
        <v>1020</v>
      </c>
      <c r="D739" s="21" t="s">
        <v>978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1002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1194</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1303</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1038</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996</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1318</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1319</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1004</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1320</v>
      </c>
      <c r="B748" s="21" t="s">
        <v>1321</v>
      </c>
      <c r="C748" s="21" t="s">
        <v>1057</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1050</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1322</v>
      </c>
      <c r="B750" s="21" t="s">
        <v>1317</v>
      </c>
      <c r="C750" s="21" t="s">
        <v>983</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1002</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1289</v>
      </c>
      <c r="B752" s="21" t="s">
        <v>1042</v>
      </c>
      <c r="C752" s="21" t="s">
        <v>1008</v>
      </c>
      <c r="D752" s="21" t="s">
        <v>978</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1323</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1324</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1325</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1284</v>
      </c>
      <c r="B756" s="21" t="s">
        <v>1146</v>
      </c>
      <c r="C756" s="21" t="s">
        <v>1178</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1022</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row>
    <row r="759" spans="1:12">
      <c r="A759" s="20" t="s">
        <v>1326</v>
      </c>
    </row>
    <row r="760" spans="1:12">
      <c r="A760" s="20" t="s">
        <v>1273</v>
      </c>
      <c r="B760" s="21" t="s">
        <v>976</v>
      </c>
      <c r="C760" s="21" t="s">
        <v>1008</v>
      </c>
      <c r="D760" s="21" t="s">
        <v>978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1067</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1092</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1327</v>
      </c>
      <c r="B763" s="21" t="s">
        <v>989</v>
      </c>
      <c r="C763" s="21" t="s">
        <v>995</v>
      </c>
      <c r="D763" s="21" t="s">
        <v>978</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1081</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168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1328</v>
      </c>
      <c r="B766" s="21" t="s">
        <v>1052</v>
      </c>
      <c r="C766" s="21" t="s">
        <v>1057</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1065</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997</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1329</v>
      </c>
      <c r="B769" s="21" t="s">
        <v>986</v>
      </c>
      <c r="C769" s="21" t="s">
        <v>995</v>
      </c>
      <c r="D769" s="21" t="s">
        <v>978</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1097</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1305</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335</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996</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1330</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1145</v>
      </c>
      <c r="B775" s="21" t="s">
        <v>1095</v>
      </c>
      <c r="C775" s="21" t="s">
        <v>1020</v>
      </c>
      <c r="D775" s="21" t="s">
        <v>978</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1323</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1328</v>
      </c>
      <c r="B777" s="21" t="s">
        <v>1052</v>
      </c>
      <c r="C777" s="21" t="s">
        <v>1057</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1022</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row>
    <row r="780" spans="1:12">
      <c r="A780" s="20" t="s">
        <v>1331</v>
      </c>
    </row>
    <row r="781" spans="1:12">
      <c r="A781" s="20" t="s">
        <v>992</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1196</v>
      </c>
      <c r="B782" s="21" t="s">
        <v>976</v>
      </c>
      <c r="C782" s="21" t="s">
        <v>1008</v>
      </c>
      <c r="D782" s="21" t="s">
        <v>978</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1076</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1004</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172</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1199</v>
      </c>
      <c r="B786" s="21" t="s">
        <v>989</v>
      </c>
      <c r="C786" s="21" t="s">
        <v>1063</v>
      </c>
      <c r="D786" s="21" t="s">
        <v>978</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1200</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1038</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1154</v>
      </c>
      <c r="B789" s="21" t="s">
        <v>1066</v>
      </c>
      <c r="C789" s="21" t="s">
        <v>977</v>
      </c>
      <c r="D789" s="21" t="s">
        <v>978</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979</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1332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1004</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339</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1038</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1333</v>
      </c>
      <c r="B795" s="21" t="s">
        <v>1042</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1334</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1203</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1335</v>
      </c>
      <c r="B798" s="21" t="s">
        <v>1146</v>
      </c>
      <c r="C798" s="21" t="s">
        <v>1057</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1002</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1000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1038</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1092</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1336</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1015</v>
      </c>
      <c r="B804" s="21" t="s">
        <v>986</v>
      </c>
      <c r="C804" s="21" t="s">
        <v>995</v>
      </c>
      <c r="D804" s="21" t="s">
        <v>978</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996</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1116</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1189</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1093</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1337</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1002</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1196</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1076</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1338</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1081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1339</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1004</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993</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1340</v>
      </c>
      <c r="B818" s="21" t="s">
        <v>1054</v>
      </c>
      <c r="C818" s="21" t="s">
        <v>1020</v>
      </c>
      <c r="D818" s="21" t="s">
        <v>978</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996</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1341</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1022</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row>
    <row r="823" spans="1:12">
      <c r="A823" s="20" t="s">
        <v>1342</v>
      </c>
    </row>
    <row r="824" spans="1:12">
      <c r="A824" s="20" t="s">
        <v>1343</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609</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1344</v>
      </c>
      <c r="B826" s="21" t="s">
        <v>989</v>
      </c>
      <c r="C826" s="21" t="s">
        <v>983</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1002</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1047</v>
      </c>
      <c r="B828" s="21" t="s">
        <v>976</v>
      </c>
      <c r="C828" s="21" t="s">
        <v>977</v>
      </c>
      <c r="D828" s="21" t="s">
        <v>978</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1011</v>
      </c>
      <c r="B829" s="21" t="s">
        <v>982</v>
      </c>
      <c r="C829" s="21" t="s">
        <v>977</v>
      </c>
      <c r="D829" s="21" t="s">
        <v>978</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1164</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1345</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1000</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1154</v>
      </c>
      <c r="B833" s="21" t="s">
        <v>1095</v>
      </c>
      <c r="C833" s="21" t="s">
        <v>977</v>
      </c>
      <c r="D833" s="21" t="s">
        <v>978</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979</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1346</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168</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1347</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1050</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1348</v>
      </c>
      <c r="B839" s="21" t="s">
        <v>1101</v>
      </c>
      <c r="C839" s="21" t="s">
        <v>983</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1349</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1002</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1350</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1154</v>
      </c>
      <c r="B843" s="21" t="s">
        <v>1095</v>
      </c>
      <c r="C843" s="21" t="s">
        <v>977</v>
      </c>
      <c r="D843" s="21" t="s">
        <v>978</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1136</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1351</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1230</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997</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1352</v>
      </c>
      <c r="B848" s="21" t="s">
        <v>986</v>
      </c>
      <c r="C848" s="21" t="s">
        <v>995</v>
      </c>
      <c r="D848" s="21" t="s">
        <v>978</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1002</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1353</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1002</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1047</v>
      </c>
      <c r="B852" s="21" t="s">
        <v>1095</v>
      </c>
      <c r="C852" s="21" t="s">
        <v>977</v>
      </c>
      <c r="D852" s="21" t="s">
        <v>978</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1354</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997</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1355</v>
      </c>
      <c r="B855" s="21" t="s">
        <v>1052</v>
      </c>
      <c r="C855" s="21" t="s">
        <v>995</v>
      </c>
      <c r="D855" s="21" t="s">
        <v>978</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1002</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1000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1154</v>
      </c>
      <c r="B858" s="21" t="s">
        <v>1066</v>
      </c>
      <c r="C858" s="21" t="s">
        <v>977</v>
      </c>
      <c r="D858" s="21" t="s">
        <v>978</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979</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1356</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1216</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1217</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1357</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1294</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1323</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1358</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1239</v>
      </c>
      <c r="B867" s="21" t="s">
        <v>1101</v>
      </c>
      <c r="C867" s="21" t="s">
        <v>1104</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1142</v>
      </c>
      <c r="B868" s="21" t="s">
        <v>1042</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1073</v>
      </c>
      <c r="B869" s="21" t="s">
        <v>1007</v>
      </c>
      <c r="C869" s="21" t="s">
        <v>1057</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1002</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1047</v>
      </c>
      <c r="B871" s="21" t="s">
        <v>1035</v>
      </c>
      <c r="C871" s="21" t="s">
        <v>977</v>
      </c>
      <c r="D871" s="21" t="s">
        <v>978</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1359</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1360</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1361</v>
      </c>
      <c r="B874" s="21" t="s">
        <v>1146</v>
      </c>
      <c r="C874" s="21" t="s">
        <v>1020</v>
      </c>
      <c r="D874" s="21" t="s">
        <v>978</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1022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row>
    <row r="877" spans="1:12">
      <c r="A877" s="20" t="s">
        <v>1362</v>
      </c>
    </row>
    <row r="878" spans="1:12">
      <c r="A878" s="20" t="s">
        <v>190</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1194</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1047</v>
      </c>
      <c r="B880" s="21" t="s">
        <v>976</v>
      </c>
      <c r="C880" s="21" t="s">
        <v>977</v>
      </c>
      <c r="D880" s="21" t="s">
        <v>978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1072</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1363</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1189</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1004</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1364</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997</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1365</v>
      </c>
      <c r="B887" s="21" t="s">
        <v>1052</v>
      </c>
      <c r="C887" s="21" t="s">
        <v>995</v>
      </c>
      <c r="D887" s="21" t="s">
        <v>978</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1235</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1366</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997</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1355</v>
      </c>
      <c r="B891" s="21" t="s">
        <v>1101</v>
      </c>
      <c r="C891" s="21" t="s">
        <v>995</v>
      </c>
      <c r="D891" s="21" t="s">
        <v>978</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1000</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1367</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609</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1368</v>
      </c>
      <c r="B895" s="21" t="s">
        <v>1036</v>
      </c>
      <c r="C895" s="21" t="s">
        <v>983</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1022</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row>
    <row r="898" spans="1:12">
      <c r="A898" s="20" t="s">
        <v>1369</v>
      </c>
    </row>
    <row r="899" spans="1:12">
      <c r="A899" s="20" t="s">
        <v>1370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1371</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1002</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1004</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997</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1372</v>
      </c>
      <c r="B904" s="21" t="s">
        <v>986</v>
      </c>
      <c r="C904" s="21" t="s">
        <v>995</v>
      </c>
      <c r="D904" s="21" t="s">
        <v>978</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996</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1373</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1374</v>
      </c>
      <c r="B907" s="21" t="s">
        <v>1054</v>
      </c>
      <c r="C907" s="21" t="s">
        <v>1178</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1375</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1376</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1004</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997</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1377</v>
      </c>
      <c r="B912" s="21" t="s">
        <v>1040</v>
      </c>
      <c r="C912" s="21" t="s">
        <v>995</v>
      </c>
      <c r="D912" s="21" t="s">
        <v>978</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1002</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997</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1355</v>
      </c>
      <c r="B915" s="21" t="s">
        <v>1095</v>
      </c>
      <c r="C915" s="21" t="s">
        <v>995</v>
      </c>
      <c r="D915" s="21" t="s">
        <v>978</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1323</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1378</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1002</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1154</v>
      </c>
      <c r="B919" s="21" t="s">
        <v>976</v>
      </c>
      <c r="C919" s="21" t="s">
        <v>977</v>
      </c>
      <c r="D919" s="21" t="s">
        <v>978</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979</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1379</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1004</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997</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1380</v>
      </c>
      <c r="B924" s="21" t="s">
        <v>989</v>
      </c>
      <c r="C924" s="21" t="s">
        <v>995</v>
      </c>
      <c r="D924" s="21" t="s">
        <v>978</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1081</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1050</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1381</v>
      </c>
      <c r="B927" s="21" t="s">
        <v>986</v>
      </c>
      <c r="C927" s="21" t="s">
        <v>983</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1310</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1081</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1050</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1382</v>
      </c>
      <c r="B931" s="21" t="s">
        <v>1054</v>
      </c>
      <c r="C931" s="21" t="s">
        <v>983</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1002</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1000</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1196</v>
      </c>
      <c r="B934" s="21" t="s">
        <v>1095</v>
      </c>
      <c r="C934" s="21" t="s">
        <v>1008</v>
      </c>
      <c r="D934" s="21" t="s">
        <v>978</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1076</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1039</v>
      </c>
      <c r="B936" s="21" t="s">
        <v>986</v>
      </c>
      <c r="C936" s="21" t="s">
        <v>987</v>
      </c>
      <c r="D936" s="21" t="s">
        <v>978</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1383</v>
      </c>
      <c r="B937" s="21" t="s">
        <v>989</v>
      </c>
      <c r="C937" s="21" t="s">
        <v>990</v>
      </c>
      <c r="D937" s="21" t="s">
        <v>978</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1002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1000</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1154</v>
      </c>
      <c r="B940" s="21" t="s">
        <v>1066</v>
      </c>
      <c r="C940" s="21" t="s">
        <v>977</v>
      </c>
      <c r="D940" s="21" t="s">
        <v>978</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979</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1384</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1216</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1217</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975</v>
      </c>
      <c r="B945" s="21" t="s">
        <v>1095</v>
      </c>
      <c r="C945" s="21" t="s">
        <v>977</v>
      </c>
      <c r="D945" s="21" t="s">
        <v>978</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979</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996</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1385</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1386</v>
      </c>
      <c r="B949" s="21" t="s">
        <v>1052</v>
      </c>
      <c r="C949" s="21" t="s">
        <v>983</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1022</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row>
    <row r="952" spans="1:12">
      <c r="A952" s="20" t="s">
        <v>1387</v>
      </c>
    </row>
    <row r="953" spans="1:12">
      <c r="A953" s="20" t="s">
        <v>1357</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1388</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1009</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1145</v>
      </c>
      <c r="B956" s="21" t="s">
        <v>1095</v>
      </c>
      <c r="C956" s="21" t="s">
        <v>1020</v>
      </c>
      <c r="D956" s="21" t="s">
        <v>978</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1389</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1358</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1239</v>
      </c>
      <c r="B959" s="21" t="s">
        <v>1052</v>
      </c>
      <c r="C959" s="21" t="s">
        <v>1104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1022</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row>
    <row r="962" spans="1:12">
      <c r="A962" s="20" t="s">
        <v>1390</v>
      </c>
    </row>
    <row r="963" spans="1:12">
      <c r="A963" s="20" t="s">
        <v>190</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1125</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1391</v>
      </c>
      <c r="B965" s="21" t="s">
        <v>989</v>
      </c>
      <c r="C965" s="21" t="s">
        <v>995</v>
      </c>
      <c r="D965" s="21" t="s">
        <v>978</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1002</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1154</v>
      </c>
      <c r="B967" s="21" t="s">
        <v>976</v>
      </c>
      <c r="C967" s="21" t="s">
        <v>977</v>
      </c>
      <c r="D967" s="21" t="s">
        <v>978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979</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1332</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1004</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431</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996</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993</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1392</v>
      </c>
      <c r="B974" s="21" t="s">
        <v>986</v>
      </c>
      <c r="C974" s="21" t="s">
        <v>995</v>
      </c>
      <c r="D974" s="21" t="s">
        <v>978</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1000</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1050</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1393</v>
      </c>
      <c r="B977" s="21" t="s">
        <v>989</v>
      </c>
      <c r="C977" s="21" t="s">
        <v>983</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1022</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row>
    <row r="980" spans="1:12">
      <c r="A980" s="20" t="s">
        <v>1394</v>
      </c>
    </row>
    <row r="981" spans="1:12">
      <c r="A981" s="20" t="s">
        <v>992</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1154</v>
      </c>
      <c r="B982" s="21" t="s">
        <v>976</v>
      </c>
      <c r="C982" s="21" t="s">
        <v>977</v>
      </c>
      <c r="D982" s="21" t="s">
        <v>978</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979</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1395</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1332</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1004</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1396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1397</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1258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1398</v>
      </c>
      <c r="B990" s="21" t="s">
        <v>1052</v>
      </c>
      <c r="C990" s="21" t="s">
        <v>1063</v>
      </c>
      <c r="D990" s="21" t="s">
        <v>978</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1216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1280</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1047</v>
      </c>
      <c r="B993" s="21" t="s">
        <v>1095</v>
      </c>
      <c r="C993" s="21" t="s">
        <v>977</v>
      </c>
      <c r="D993" s="21" t="s">
        <v>978</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1116</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1164</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1189</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1092</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1399</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323</v>
      </c>
      <c r="B999" s="21" t="s">
        <v>989</v>
      </c>
      <c r="C999" s="21" t="s">
        <v>995</v>
      </c>
      <c r="D999" s="21" t="s">
        <v>978</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1142</v>
      </c>
      <c r="B1000" s="21" t="s">
        <v>1066</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1400</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1401</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1402</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996</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1144</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984</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609</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1149</v>
      </c>
      <c r="B1008" s="21" t="s">
        <v>1007</v>
      </c>
      <c r="C1008" s="21" t="s">
        <v>983</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996</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1150</v>
      </c>
      <c r="B1010" s="21" t="s">
        <v>1084</v>
      </c>
      <c r="C1010" s="21" t="s">
        <v>1057</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1002</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1106</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1142</v>
      </c>
      <c r="B1013" s="21" t="s">
        <v>1311</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1164</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1403</v>
      </c>
      <c r="B1015" s="21" t="s">
        <v>1084</v>
      </c>
      <c r="C1015" s="21" t="s">
        <v>977</v>
      </c>
      <c r="D1015" s="21" t="s">
        <v>978</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1404</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row>
    <row r="1018" spans="1:12">
      <c r="A1018" s="20" t="s">
        <v>1405</v>
      </c>
    </row>
    <row r="1019" spans="1:12">
      <c r="A1019" s="20" t="s">
        <v>992</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1070</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1047</v>
      </c>
      <c r="B1021" s="21" t="s">
        <v>1095</v>
      </c>
      <c r="C1021" s="21" t="s">
        <v>977</v>
      </c>
      <c r="D1021" s="21" t="s">
        <v>978</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1298</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431</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996</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993</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1392</v>
      </c>
      <c r="B1026" s="21" t="s">
        <v>1054</v>
      </c>
      <c r="C1026" s="21" t="s">
        <v>995</v>
      </c>
      <c r="D1026" s="21" t="s">
        <v>978</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1002</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1067</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1406</v>
      </c>
      <c r="B1029" s="21" t="s">
        <v>976</v>
      </c>
      <c r="C1029" s="21" t="s">
        <v>1008</v>
      </c>
      <c r="D1029" s="21" t="s">
        <v>978</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1009</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1025</v>
      </c>
      <c r="B1031" s="21" t="s">
        <v>1095</v>
      </c>
      <c r="C1031" s="21" t="s">
        <v>977</v>
      </c>
      <c r="D1031" s="21" t="s">
        <v>978</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1407</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1011</v>
      </c>
      <c r="B1033" s="21" t="s">
        <v>1101</v>
      </c>
      <c r="C1033" s="21" t="s">
        <v>977</v>
      </c>
      <c r="D1033" s="21" t="s">
        <v>978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1408</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996</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1409</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1410</v>
      </c>
      <c r="B1037" s="21" t="s">
        <v>1036</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1002</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1310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1411</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1412</v>
      </c>
      <c r="B1041" s="21" t="s">
        <v>1095</v>
      </c>
      <c r="C1041" s="21" t="s">
        <v>977</v>
      </c>
      <c r="D1041" s="21" t="s">
        <v>978</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996</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1078</v>
      </c>
      <c r="B1043" s="21" t="s">
        <v>986</v>
      </c>
      <c r="C1043" s="21" t="s">
        <v>1020</v>
      </c>
      <c r="D1043" s="21" t="s">
        <v>978</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1361</v>
      </c>
      <c r="B1044" s="21" t="s">
        <v>1052</v>
      </c>
      <c r="C1044" s="21" t="s">
        <v>1020</v>
      </c>
      <c r="D1044" s="21" t="s">
        <v>978</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1081</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1382</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1404</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row>
    <row r="1049" spans="1:12">
      <c r="A1049" s="20" t="s">
        <v>1413</v>
      </c>
    </row>
    <row r="1050" spans="1:12">
      <c r="A1050" s="20" t="s">
        <v>992</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1038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1414</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1403</v>
      </c>
      <c r="B1053" s="21" t="s">
        <v>1095</v>
      </c>
      <c r="C1053" s="21" t="s">
        <v>977</v>
      </c>
      <c r="D1053" s="21" t="s">
        <v>978</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853</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1017</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1025</v>
      </c>
      <c r="B1056" s="21" t="s">
        <v>1035</v>
      </c>
      <c r="C1056" s="21" t="s">
        <v>977</v>
      </c>
      <c r="D1056" s="21" t="s">
        <v>978</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1415</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996</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1078</v>
      </c>
      <c r="B1059" s="21" t="s">
        <v>1007</v>
      </c>
      <c r="C1059" s="21" t="s">
        <v>1020</v>
      </c>
      <c r="D1059" s="21" t="s">
        <v>978</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1416</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1011</v>
      </c>
      <c r="B1061" s="21" t="s">
        <v>1042</v>
      </c>
      <c r="C1061" s="21" t="s">
        <v>977</v>
      </c>
      <c r="D1061" s="21" t="s">
        <v>978</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1164</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1417</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984</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1092</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1418</v>
      </c>
      <c r="B1066" s="21" t="s">
        <v>1084</v>
      </c>
      <c r="C1066" s="21" t="s">
        <v>995</v>
      </c>
      <c r="D1066" s="21" t="s">
        <v>978</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1002</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1154</v>
      </c>
      <c r="B1068" s="21" t="s">
        <v>976</v>
      </c>
      <c r="C1068" s="21" t="s">
        <v>977</v>
      </c>
      <c r="D1068" s="21" t="s">
        <v>978</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1185</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1419</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1420</v>
      </c>
      <c r="B1071" s="21" t="s">
        <v>982</v>
      </c>
      <c r="C1071" s="21" t="s">
        <v>1178</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1022</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row>
    <row r="1074" spans="1:12">
      <c r="A1074" s="20" t="s">
        <v>1421</v>
      </c>
    </row>
    <row r="1075" spans="1:12">
      <c r="A1075" s="20" t="s">
        <v>1125</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1422</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1002</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1196</v>
      </c>
      <c r="B1078" s="21" t="s">
        <v>989</v>
      </c>
      <c r="C1078" s="21" t="s">
        <v>1008</v>
      </c>
      <c r="D1078" s="21" t="s">
        <v>978</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1076</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1038</v>
      </c>
      <c r="B1080" s="21" t="s">
        <v>1101</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1047</v>
      </c>
      <c r="B1081" s="21" t="s">
        <v>1066</v>
      </c>
      <c r="C1081" s="21" t="s">
        <v>977</v>
      </c>
      <c r="D1081" s="21" t="s">
        <v>978</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1188</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1002</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1423</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1424</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1002</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1038</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1047</v>
      </c>
      <c r="B1088" s="21" t="s">
        <v>1035</v>
      </c>
      <c r="C1088" s="21" t="s">
        <v>977</v>
      </c>
      <c r="D1088" s="21" t="s">
        <v>978</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1425</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1050</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1426</v>
      </c>
      <c r="B1091" s="21" t="s">
        <v>1036</v>
      </c>
      <c r="C1091" s="21" t="s">
        <v>983</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1427</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1002</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1000</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1038</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1070</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1047</v>
      </c>
      <c r="B1097" s="21" t="s">
        <v>1042</v>
      </c>
      <c r="C1097" s="21" t="s">
        <v>977</v>
      </c>
      <c r="D1097" s="21" t="s">
        <v>978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1428</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1135</v>
      </c>
      <c r="B1099" s="21" t="s">
        <v>1229</v>
      </c>
      <c r="C1099" s="21" t="s">
        <v>977</v>
      </c>
      <c r="D1099" s="21" t="s">
        <v>978</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1018</v>
      </c>
      <c r="B1100" s="21" t="s">
        <v>1229</v>
      </c>
      <c r="C1100" s="21" t="s">
        <v>1020</v>
      </c>
      <c r="D1100" s="21" t="s">
        <v>978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1429</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1002</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1010</v>
      </c>
      <c r="B1103" s="21" t="s">
        <v>1035</v>
      </c>
      <c r="C1103" s="21" t="s">
        <v>977</v>
      </c>
      <c r="D1103" s="21" t="s">
        <v>978</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1011</v>
      </c>
      <c r="B1104" s="21" t="s">
        <v>1036</v>
      </c>
      <c r="C1104" s="21" t="s">
        <v>977</v>
      </c>
      <c r="D1104" s="21" t="s">
        <v>978</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1430</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1137</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1358</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1239</v>
      </c>
      <c r="B1108" s="21" t="s">
        <v>1036</v>
      </c>
      <c r="C1108" s="21" t="s">
        <v>1104</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1142</v>
      </c>
      <c r="B1109" s="21" t="s">
        <v>1311</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1431</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1092</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1320</v>
      </c>
      <c r="B1112" s="21" t="s">
        <v>1229</v>
      </c>
      <c r="C1112" s="21" t="s">
        <v>995</v>
      </c>
      <c r="D1112" s="21" t="s">
        <v>978</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996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1333</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1022</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row>
    <row r="1117" spans="1:12">
      <c r="A1117" s="20" t="s">
        <v>1432</v>
      </c>
    </row>
    <row r="1118" spans="1:12">
      <c r="A1118" s="20" t="s">
        <v>992</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1074</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1382</v>
      </c>
      <c r="B1120" s="21" t="s">
        <v>989</v>
      </c>
      <c r="C1120" s="21" t="s">
        <v>1020</v>
      </c>
      <c r="D1120" s="21" t="s">
        <v>978</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1002</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1196</v>
      </c>
      <c r="B1122" s="21" t="s">
        <v>976</v>
      </c>
      <c r="C1122" s="21" t="s">
        <v>1008</v>
      </c>
      <c r="D1122" s="21" t="s">
        <v>978</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1067</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1038</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1154</v>
      </c>
      <c r="B1125" s="21" t="s">
        <v>1095</v>
      </c>
      <c r="C1125" s="21" t="s">
        <v>977</v>
      </c>
      <c r="D1125" s="21" t="s">
        <v>978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1185</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1433</v>
      </c>
      <c r="B1127" s="21" t="s">
        <v>1052</v>
      </c>
      <c r="C1127" s="21" t="s">
        <v>1057</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1004</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997</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1434</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1435</v>
      </c>
      <c r="B1131" s="21" t="s">
        <v>986</v>
      </c>
      <c r="C1131" s="21" t="s">
        <v>995</v>
      </c>
      <c r="D1131" s="21" t="s">
        <v>978</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1022</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row>
    <row r="1134" spans="1:12">
      <c r="A1134" s="20" t="s">
        <v>1436</v>
      </c>
    </row>
    <row r="1135" spans="1:12">
      <c r="A1135" s="20" t="s">
        <v>1437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1002</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1154</v>
      </c>
      <c r="B1137" s="21" t="s">
        <v>976</v>
      </c>
      <c r="C1137" s="21" t="s">
        <v>977</v>
      </c>
      <c r="D1137" s="21" t="s">
        <v>978</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1438</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1439</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1000</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1047</v>
      </c>
      <c r="B1141" s="21" t="s">
        <v>1095</v>
      </c>
      <c r="C1141" s="21" t="s">
        <v>977</v>
      </c>
      <c r="D1141" s="21" t="s">
        <v>978</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1440</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1002</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1154</v>
      </c>
      <c r="B1144" s="21" t="s">
        <v>1095</v>
      </c>
      <c r="C1144" s="21" t="s">
        <v>977</v>
      </c>
      <c r="D1144" s="21" t="s">
        <v>978</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1438</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1439</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1000</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1047</v>
      </c>
      <c r="B1148" s="21" t="s">
        <v>1095</v>
      </c>
      <c r="C1148" s="21" t="s">
        <v>977</v>
      </c>
      <c r="D1148" s="21" t="s">
        <v>978</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1440</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1002</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1006</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1004</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172</v>
      </c>
      <c r="B1153" s="21" t="s">
        <v>986</v>
      </c>
      <c r="C1153" s="21" t="s">
        <v>1008</v>
      </c>
      <c r="D1153" s="21" t="s">
        <v>978</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1038</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1047</v>
      </c>
      <c r="B1155" s="21" t="s">
        <v>1066</v>
      </c>
      <c r="C1155" s="21" t="s">
        <v>977</v>
      </c>
      <c r="D1155" s="21" t="s">
        <v>978</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1441</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1038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1047</v>
      </c>
      <c r="B1158" s="21" t="s">
        <v>1035</v>
      </c>
      <c r="C1158" s="21" t="s">
        <v>977</v>
      </c>
      <c r="D1158" s="21" t="s">
        <v>978</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1442</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997</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1443</v>
      </c>
      <c r="B1161" s="21" t="s">
        <v>1036</v>
      </c>
      <c r="C1161" s="21" t="s">
        <v>990</v>
      </c>
      <c r="D1161" s="21" t="s">
        <v>978</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996</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985</v>
      </c>
      <c r="B1163" s="21" t="s">
        <v>1040</v>
      </c>
      <c r="C1163" s="21" t="s">
        <v>987</v>
      </c>
      <c r="D1163" s="21" t="s">
        <v>978</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1426</v>
      </c>
      <c r="B1164" s="21" t="s">
        <v>1084</v>
      </c>
      <c r="C1164" s="21" t="s">
        <v>990</v>
      </c>
      <c r="D1164" s="21" t="s">
        <v>978</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1000</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1004</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1444</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1050</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1393</v>
      </c>
      <c r="B1169" s="21" t="s">
        <v>1146</v>
      </c>
      <c r="C1169" s="21" t="s">
        <v>983</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1022</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row>
    <row r="1172" spans="1:12">
      <c r="A1172" s="20" t="s">
        <v>1445</v>
      </c>
    </row>
    <row r="1173" spans="1:12">
      <c r="A1173" s="20" t="s">
        <v>992</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1047</v>
      </c>
      <c r="B1174" s="21" t="s">
        <v>976</v>
      </c>
      <c r="C1174" s="21" t="s">
        <v>977</v>
      </c>
      <c r="D1174" s="21" t="s">
        <v>978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1011</v>
      </c>
      <c r="B1175" s="21" t="s">
        <v>982</v>
      </c>
      <c r="C1175" s="21" t="s">
        <v>977</v>
      </c>
      <c r="D1175" s="21" t="s">
        <v>978</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1164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1384</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1216</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1217</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1174</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1002</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1067</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1406</v>
      </c>
      <c r="B1183" s="21" t="s">
        <v>1095</v>
      </c>
      <c r="C1183" s="21" t="s">
        <v>1008</v>
      </c>
      <c r="D1183" s="21" t="s">
        <v>978</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609</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1446</v>
      </c>
      <c r="B1185" s="21" t="s">
        <v>989</v>
      </c>
      <c r="C1185" s="21" t="s">
        <v>983</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1447</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1310</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1448</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1404</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row>
    <row r="1191" spans="1:12">
      <c r="A1191" s="20" t="s">
        <v>1449</v>
      </c>
    </row>
    <row r="1192" spans="1:12">
      <c r="A1192" s="20" t="s">
        <v>992</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1388</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1450</v>
      </c>
      <c r="B1194" s="21" t="s">
        <v>976</v>
      </c>
      <c r="C1194" s="21" t="s">
        <v>977</v>
      </c>
      <c r="D1194" s="21" t="s">
        <v>978</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609</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1435</v>
      </c>
      <c r="B1196" s="21" t="s">
        <v>982</v>
      </c>
      <c r="C1196" s="21" t="s">
        <v>983</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1447</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1002</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1310</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1448</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1404</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row>
    <row r="1203" spans="1:12">
      <c r="A1203" s="20" t="s">
        <v>1451</v>
      </c>
    </row>
    <row r="1204" spans="1:12">
      <c r="A1204" s="20" t="s">
        <v>190</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row>
    <row r="1206" spans="1:12">
      <c r="A1206" s="20" t="s">
        <v>1452</v>
      </c>
    </row>
    <row r="1207" spans="1:12">
      <c r="A1207" s="20" t="s">
        <v>992</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1047</v>
      </c>
      <c r="B1208" s="21" t="s">
        <v>976</v>
      </c>
      <c r="C1208" s="21" t="s">
        <v>977</v>
      </c>
      <c r="D1208" s="21" t="s">
        <v>978</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1072</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1363</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1189</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1004</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196</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1022</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row>
    <row r="1216" spans="1:12">
      <c r="A1216" s="20" t="s">
        <v>1453</v>
      </c>
    </row>
    <row r="1217" spans="1:12">
      <c r="A1217" s="20" t="s">
        <v>992</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1046</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1154</v>
      </c>
      <c r="B1219" s="21" t="s">
        <v>976</v>
      </c>
      <c r="C1219" s="21" t="s">
        <v>977</v>
      </c>
      <c r="D1219" s="21" t="s">
        <v>978</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979</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1454</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1009</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1018</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1219</v>
      </c>
      <c r="B1224" s="21" t="s">
        <v>986</v>
      </c>
      <c r="C1224" s="21" t="s">
        <v>1057</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1002</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1145</v>
      </c>
      <c r="B1226" s="21" t="s">
        <v>1095</v>
      </c>
      <c r="C1226" s="21" t="s">
        <v>1020</v>
      </c>
      <c r="D1226" s="21" t="s">
        <v>978</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1072</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1147</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1189</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1455</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1456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984</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1060</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1419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1457</v>
      </c>
      <c r="B1235" s="21" t="s">
        <v>1054</v>
      </c>
      <c r="C1235" s="21" t="s">
        <v>1063</v>
      </c>
      <c r="D1235" s="21" t="s">
        <v>978</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1235</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1458</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1459</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993</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1184</v>
      </c>
      <c r="B1240" s="21" t="s">
        <v>1036</v>
      </c>
      <c r="C1240" s="21" t="s">
        <v>995</v>
      </c>
      <c r="D1240" s="21" t="s">
        <v>978</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1022</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row>
    <row r="1243" spans="1:12">
      <c r="A1243" s="20" t="s">
        <v>1460</v>
      </c>
    </row>
    <row r="1244" spans="1:12">
      <c r="A1244" s="20" t="s">
        <v>1125</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1461</v>
      </c>
      <c r="B1245" s="21" t="s">
        <v>976</v>
      </c>
      <c r="C1245" s="21" t="s">
        <v>995</v>
      </c>
      <c r="D1245" s="21" t="s">
        <v>978</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1447</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1000</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1448</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1462</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1027</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993</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1419</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609</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1463</v>
      </c>
      <c r="B1254" s="21" t="s">
        <v>989</v>
      </c>
      <c r="C1254" s="21" t="s">
        <v>983</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1004</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1464</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1002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1000</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1154</v>
      </c>
      <c r="B1259" s="21" t="s">
        <v>1095</v>
      </c>
      <c r="C1259" s="21" t="s">
        <v>977</v>
      </c>
      <c r="D1259" s="21" t="s">
        <v>978</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979</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1465</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1454</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1038</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1092</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1111</v>
      </c>
      <c r="B1265" s="21" t="s">
        <v>1066</v>
      </c>
      <c r="C1265" s="21" t="s">
        <v>995</v>
      </c>
      <c r="D1265" s="21" t="s">
        <v>978</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1067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1050</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1239</v>
      </c>
      <c r="B1268" s="21" t="s">
        <v>986</v>
      </c>
      <c r="C1268" s="21" t="s">
        <v>983</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1142</v>
      </c>
      <c r="B1269" s="21" t="s">
        <v>1035</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1067</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1070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1466</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1004</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997</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1467</v>
      </c>
      <c r="B1275" s="21" t="s">
        <v>1007</v>
      </c>
      <c r="C1275" s="21" t="s">
        <v>990</v>
      </c>
      <c r="D1275" s="21" t="s">
        <v>978</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996</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1316</v>
      </c>
      <c r="B1277" s="21" t="s">
        <v>1084</v>
      </c>
      <c r="C1277" s="21" t="s">
        <v>1020</v>
      </c>
      <c r="D1277" s="21" t="s">
        <v>978</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1009</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1468</v>
      </c>
      <c r="B1279" s="21" t="s">
        <v>1042</v>
      </c>
      <c r="C1279" s="21" t="s">
        <v>977</v>
      </c>
      <c r="D1279" s="21" t="s">
        <v>978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1116</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1469</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93</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1470</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996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1471</v>
      </c>
      <c r="B1285" s="21" t="s">
        <v>1317</v>
      </c>
      <c r="C1285" s="21" t="s">
        <v>987</v>
      </c>
      <c r="D1285" s="21" t="s">
        <v>978</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1472</v>
      </c>
      <c r="B1286" s="21" t="s">
        <v>1040</v>
      </c>
      <c r="C1286" s="21" t="s">
        <v>990</v>
      </c>
      <c r="D1286" s="21" t="s">
        <v>978</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1310</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1473</v>
      </c>
      <c r="B1288" s="21" t="s">
        <v>1317</v>
      </c>
      <c r="C1288" s="21" t="s">
        <v>1057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1022</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row>
    <row r="1291" spans="1:12">
      <c r="A1291" s="20" t="s">
        <v>1474</v>
      </c>
    </row>
    <row r="1292" spans="1:12">
      <c r="A1292" s="20" t="s">
        <v>1182</v>
      </c>
      <c r="B1292" s="21" t="s">
        <v>976</v>
      </c>
      <c r="C1292" s="21" t="s">
        <v>977</v>
      </c>
      <c r="D1292" s="21" t="s">
        <v>978</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1298</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1475</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1038</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993</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1476</v>
      </c>
      <c r="B1297" s="21" t="s">
        <v>1066</v>
      </c>
      <c r="C1297" s="21" t="s">
        <v>995</v>
      </c>
      <c r="D1297" s="21" t="s">
        <v>978</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1477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996</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1092</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1111</v>
      </c>
      <c r="B1301" s="21" t="s">
        <v>1007</v>
      </c>
      <c r="C1301" s="21" t="s">
        <v>995</v>
      </c>
      <c r="D1301" s="21" t="s">
        <v>978</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1478</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1479</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1022</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row>
    <row r="1306" spans="1:12">
      <c r="A1306" s="20" t="s">
        <v>1480</v>
      </c>
    </row>
    <row r="1307" spans="1:12">
      <c r="A1307" s="20" t="s">
        <v>1481</v>
      </c>
      <c r="B1307" s="21" t="s">
        <v>976</v>
      </c>
      <c r="C1307" s="21" t="s">
        <v>977</v>
      </c>
      <c r="D1307" s="21" t="s">
        <v>978</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1116</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1478</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1189</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1482</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1483</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1022</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row>
    <row r="1315" spans="1:12">
      <c r="A1315" s="20" t="s">
        <v>1484</v>
      </c>
    </row>
    <row r="1316" spans="1:12">
      <c r="A1316" s="20" t="s">
        <v>1481</v>
      </c>
      <c r="B1316" s="21" t="s">
        <v>976</v>
      </c>
      <c r="C1316" s="21" t="s">
        <v>977</v>
      </c>
      <c r="D1316" s="21" t="s">
        <v>978</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1478</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1482</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1485</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1022</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row>
    <row r="1322" spans="1:12">
      <c r="A1322" s="20" t="s">
        <v>1486</v>
      </c>
    </row>
    <row r="1323" spans="1:12">
      <c r="A1323" s="20" t="s">
        <v>1481</v>
      </c>
      <c r="B1323" s="21" t="s">
        <v>976</v>
      </c>
      <c r="C1323" s="21" t="s">
        <v>977</v>
      </c>
      <c r="D1323" s="21" t="s">
        <v>978</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1017</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1487</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1081</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1488</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1489</v>
      </c>
      <c r="B1328" s="21" t="s">
        <v>989</v>
      </c>
      <c r="C1328" s="21" t="s">
        <v>1057</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1490</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1022</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row>
    <row r="1332" spans="1:12">
      <c r="A1332" s="20" t="s">
        <v>1491</v>
      </c>
    </row>
    <row r="1333" spans="1:12">
      <c r="A1333" s="20" t="s">
        <v>1273</v>
      </c>
      <c r="B1333" s="21" t="s">
        <v>976</v>
      </c>
      <c r="C1333" s="21" t="s">
        <v>1008</v>
      </c>
      <c r="D1333" s="21" t="s">
        <v>978</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1067</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1492</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1050</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1493</v>
      </c>
      <c r="B1337" s="21" t="s">
        <v>989</v>
      </c>
      <c r="C1337" s="21" t="s">
        <v>983</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1022</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row>
    <row r="1340" spans="1:12">
      <c r="A1340" s="20" t="s">
        <v>1494</v>
      </c>
    </row>
    <row r="1341" spans="1:12">
      <c r="A1341" s="20" t="s">
        <v>1174</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1047</v>
      </c>
      <c r="B1342" s="21" t="s">
        <v>976</v>
      </c>
      <c r="C1342" s="21" t="s">
        <v>977</v>
      </c>
      <c r="D1342" s="21" t="s">
        <v>978</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1164</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1495</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1496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996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1333</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996</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1497</v>
      </c>
      <c r="B1349" s="21" t="s">
        <v>1054</v>
      </c>
      <c r="C1349" s="21" t="s">
        <v>987</v>
      </c>
      <c r="D1349" s="21" t="s">
        <v>978</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1498</v>
      </c>
      <c r="B1350" s="21" t="s">
        <v>986</v>
      </c>
      <c r="C1350" s="21" t="s">
        <v>990</v>
      </c>
      <c r="D1350" s="21" t="s">
        <v>978</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1303</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1009</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1010</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1294</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1323</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216</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1177</v>
      </c>
      <c r="B1357" s="21" t="s">
        <v>1101</v>
      </c>
      <c r="C1357" s="21" t="s">
        <v>1178</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1002</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1024</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1145</v>
      </c>
      <c r="B1360" s="21" t="s">
        <v>1035</v>
      </c>
      <c r="C1360" s="21" t="s">
        <v>1020</v>
      </c>
      <c r="D1360" s="21" t="s">
        <v>978</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1116</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1499</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1500</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1501</v>
      </c>
      <c r="B1364" s="21" t="s">
        <v>1146</v>
      </c>
      <c r="C1364" s="21" t="s">
        <v>1020</v>
      </c>
      <c r="D1364" s="21" t="s">
        <v>978</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1294</v>
      </c>
      <c r="B1365" s="21" t="s">
        <v>1146</v>
      </c>
      <c r="C1365" s="21" t="s">
        <v>1020</v>
      </c>
      <c r="D1365" s="21" t="s">
        <v>978</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414</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1022</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row>
    <row r="1369" spans="1:12">
      <c r="A1369" s="20" t="s">
        <v>1502</v>
      </c>
    </row>
    <row r="1370" spans="1:12">
      <c r="A1370" s="20" t="s">
        <v>975</v>
      </c>
      <c r="B1370" s="21" t="s">
        <v>976</v>
      </c>
      <c r="C1370" s="21" t="s">
        <v>977</v>
      </c>
      <c r="D1370" s="21" t="s">
        <v>978</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1503</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1038</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984</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216</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1177</v>
      </c>
      <c r="B1375" s="21" t="s">
        <v>989</v>
      </c>
      <c r="C1375" s="21" t="s">
        <v>1178</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1002</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993</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750</v>
      </c>
      <c r="B1378" s="21" t="s">
        <v>1095</v>
      </c>
      <c r="C1378" s="21" t="s">
        <v>995</v>
      </c>
      <c r="D1378" s="21" t="s">
        <v>978</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1504</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263</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996</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993</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1476</v>
      </c>
      <c r="B1383" s="21" t="s">
        <v>1054</v>
      </c>
      <c r="C1383" s="21" t="s">
        <v>995</v>
      </c>
      <c r="D1383" s="21" t="s">
        <v>978</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1038</v>
      </c>
      <c r="B1384" s="21" t="s">
        <v>1146</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1154</v>
      </c>
      <c r="B1385" s="21" t="s">
        <v>1042</v>
      </c>
      <c r="C1385" s="21" t="s">
        <v>977</v>
      </c>
      <c r="D1385" s="21" t="s">
        <v>978</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979</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1505</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1000</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1009</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1025</v>
      </c>
      <c r="B1390" s="21" t="s">
        <v>1095</v>
      </c>
      <c r="C1390" s="21" t="s">
        <v>977</v>
      </c>
      <c r="D1390" s="21" t="s">
        <v>978</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1506</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1507</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1081</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935</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1038</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1074</v>
      </c>
      <c r="B1396" s="21" t="s">
        <v>1035</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1145</v>
      </c>
      <c r="B1397" s="21" t="s">
        <v>1084</v>
      </c>
      <c r="C1397" s="21" t="s">
        <v>1020</v>
      </c>
      <c r="D1397" s="21" t="s">
        <v>978</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1508</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1050</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1509</v>
      </c>
      <c r="B1400" s="21" t="s">
        <v>1036</v>
      </c>
      <c r="C1400" s="21" t="s">
        <v>983</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1070</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1510</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1022</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row>
    <row r="1405" spans="1:12">
      <c r="A1405" s="20" t="s">
        <v>1511</v>
      </c>
    </row>
    <row r="1406" spans="1:12">
      <c r="A1406" s="20" t="s">
        <v>1512</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1111</v>
      </c>
      <c r="B1407" s="21" t="s">
        <v>976</v>
      </c>
      <c r="C1407" s="21" t="s">
        <v>995</v>
      </c>
      <c r="D1407" s="21" t="s">
        <v>978</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1067</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609</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1513</v>
      </c>
      <c r="B1410" s="21" t="s">
        <v>989</v>
      </c>
      <c r="C1410" s="21" t="s">
        <v>983</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996</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1074</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1514</v>
      </c>
      <c r="B1413" s="21" t="s">
        <v>989</v>
      </c>
      <c r="C1413" s="21" t="s">
        <v>995</v>
      </c>
      <c r="D1413" s="21" t="s">
        <v>978</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1022</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row>
    <row r="1416" spans="1:12">
      <c r="A1416" s="20" t="s">
        <v>1515</v>
      </c>
    </row>
    <row r="1417" spans="1:12">
      <c r="A1417" s="20" t="s">
        <v>1280</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1145</v>
      </c>
      <c r="B1418" s="21" t="s">
        <v>976</v>
      </c>
      <c r="C1418" s="21" t="s">
        <v>1020</v>
      </c>
      <c r="D1418" s="21" t="s">
        <v>978</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1067</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1516</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1000</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1070</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1145</v>
      </c>
      <c r="B1423" s="21" t="s">
        <v>1095</v>
      </c>
      <c r="C1423" s="21" t="s">
        <v>1020</v>
      </c>
      <c r="D1423" s="21" t="s">
        <v>978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1517</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1216</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1217</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1518</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1519</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1002</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1070</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985</v>
      </c>
      <c r="B1431" s="21" t="s">
        <v>1084</v>
      </c>
      <c r="C1431" s="21" t="s">
        <v>987</v>
      </c>
      <c r="D1431" s="21" t="s">
        <v>978</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1520</v>
      </c>
      <c r="B1432" s="21" t="s">
        <v>1035</v>
      </c>
      <c r="C1432" s="21" t="s">
        <v>990</v>
      </c>
      <c r="D1432" s="21" t="s">
        <v>978</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1521</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1002</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1154</v>
      </c>
      <c r="B1435" s="21" t="s">
        <v>1035</v>
      </c>
      <c r="C1435" s="21" t="s">
        <v>977</v>
      </c>
      <c r="D1435" s="21" t="s">
        <v>978</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1018</v>
      </c>
      <c r="B1436" s="21" t="s">
        <v>1036</v>
      </c>
      <c r="C1436" s="21" t="s">
        <v>1020</v>
      </c>
      <c r="D1436" s="21" t="s">
        <v>978</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1522</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1050</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1382</v>
      </c>
      <c r="B1439" s="21" t="s">
        <v>1036</v>
      </c>
      <c r="C1439" s="21" t="s">
        <v>1020</v>
      </c>
      <c r="D1439" s="21" t="s">
        <v>978</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1022</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row>
    <row r="1442" spans="1:12">
      <c r="A1442" s="20" t="s">
        <v>1523</v>
      </c>
    </row>
    <row r="1443" spans="1:12">
      <c r="A1443" s="20" t="s">
        <v>190</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172</v>
      </c>
      <c r="B1444" s="21" t="s">
        <v>976</v>
      </c>
      <c r="C1444" s="21" t="s">
        <v>1008</v>
      </c>
      <c r="D1444" s="21" t="s">
        <v>978</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1116</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1524</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1189</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996</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1074</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1514</v>
      </c>
      <c r="B1450" s="21" t="s">
        <v>989</v>
      </c>
      <c r="C1450" s="21" t="s">
        <v>995</v>
      </c>
      <c r="D1450" s="21" t="s">
        <v>978</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1525</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1009</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1145</v>
      </c>
      <c r="B1453" s="21" t="s">
        <v>1066</v>
      </c>
      <c r="C1453" s="21" t="s">
        <v>1020</v>
      </c>
      <c r="D1453" s="21" t="s">
        <v>978</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997</v>
      </c>
      <c r="B1454" s="21" t="s">
        <v>1101</v>
      </c>
      <c r="C1454" s="21" t="s">
        <v>977</v>
      </c>
      <c r="D1454" s="21" t="s">
        <v>978</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1526</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1022</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row>
    <row r="1458" spans="1:12">
      <c r="A1458" s="20" t="s">
        <v>1527</v>
      </c>
    </row>
    <row r="1459" spans="1:12">
      <c r="A1459" s="20" t="s">
        <v>1357</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1072</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1294</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1323</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1189</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1081</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1514</v>
      </c>
      <c r="B1465" s="21" t="s">
        <v>982</v>
      </c>
      <c r="C1465" s="21" t="s">
        <v>983</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1097</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1074</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1528</v>
      </c>
      <c r="B1468" s="21" t="s">
        <v>989</v>
      </c>
      <c r="C1468" s="21" t="s">
        <v>995</v>
      </c>
      <c r="D1468" s="21" t="s">
        <v>978</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996</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1092</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1529</v>
      </c>
      <c r="B1471" s="21" t="s">
        <v>986</v>
      </c>
      <c r="C1471" s="21" t="s">
        <v>995</v>
      </c>
      <c r="D1471" s="21" t="s">
        <v>978</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1002</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1000</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172</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1530</v>
      </c>
      <c r="B1475" s="21" t="s">
        <v>1095</v>
      </c>
      <c r="C1475" s="21" t="s">
        <v>1063</v>
      </c>
      <c r="D1475" s="21" t="s">
        <v>978</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996</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997</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1531</v>
      </c>
      <c r="B1478" s="21" t="s">
        <v>1054</v>
      </c>
      <c r="C1478" s="21" t="s">
        <v>995</v>
      </c>
      <c r="D1478" s="21" t="s">
        <v>978</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1469</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93</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997</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1532</v>
      </c>
      <c r="B1482" s="21" t="s">
        <v>986</v>
      </c>
      <c r="C1482" s="21" t="s">
        <v>995</v>
      </c>
      <c r="D1482" s="21" t="s">
        <v>978</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996</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1074</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1533</v>
      </c>
      <c r="B1485" s="21" t="s">
        <v>1054</v>
      </c>
      <c r="C1485" s="21" t="s">
        <v>995</v>
      </c>
      <c r="D1485" s="21" t="s">
        <v>978</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1022</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row>
    <row r="1488" spans="1:12">
      <c r="A1488" s="20" t="s">
        <v>1534</v>
      </c>
    </row>
    <row r="1489" spans="1:12">
      <c r="A1489" s="20" t="s">
        <v>1357</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1294</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1323</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1176</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1184</v>
      </c>
      <c r="B1493" s="21" t="s">
        <v>982</v>
      </c>
      <c r="C1493" s="21" t="s">
        <v>1178</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1009</v>
      </c>
      <c r="B1494" s="21" t="s">
        <v>1036</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1145</v>
      </c>
      <c r="B1495" s="21" t="s">
        <v>1066</v>
      </c>
      <c r="C1495" s="21" t="s">
        <v>1020</v>
      </c>
      <c r="D1495" s="21" t="s">
        <v>978</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1323</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1535</v>
      </c>
      <c r="B1497" s="21" t="s">
        <v>1101</v>
      </c>
      <c r="C1497" s="21" t="s">
        <v>1057</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1004</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1536</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1216</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1092</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1111</v>
      </c>
      <c r="B1502" s="21" t="s">
        <v>1007</v>
      </c>
      <c r="C1502" s="21" t="s">
        <v>995</v>
      </c>
      <c r="D1502" s="21" t="s">
        <v>978</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1002</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997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1537</v>
      </c>
      <c r="B1505" s="21" t="s">
        <v>1084</v>
      </c>
      <c r="C1505" s="21" t="s">
        <v>995</v>
      </c>
      <c r="D1505" s="21" t="s">
        <v>978</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1002</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1000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1092</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1538</v>
      </c>
      <c r="B1509" s="21" t="s">
        <v>1084</v>
      </c>
      <c r="C1509" s="21" t="s">
        <v>995</v>
      </c>
      <c r="D1509" s="21" t="s">
        <v>978</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1022</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row>
    <row r="1512" spans="1:12">
      <c r="A1512" s="20" t="s">
        <v>1539</v>
      </c>
    </row>
    <row r="1513" spans="1:12">
      <c r="A1513" s="20" t="s">
        <v>1125</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1537</v>
      </c>
      <c r="B1514" s="21" t="s">
        <v>976</v>
      </c>
      <c r="C1514" s="21" t="s">
        <v>995</v>
      </c>
      <c r="D1514" s="21" t="s">
        <v>978</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1067</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1540</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1541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1022</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row>
    <row r="1520" spans="1:12">
      <c r="A1520" s="20" t="s">
        <v>1542</v>
      </c>
    </row>
    <row r="1521" spans="1:12">
      <c r="A1521" s="20" t="s">
        <v>1280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1145</v>
      </c>
      <c r="B1522" s="21" t="s">
        <v>1095</v>
      </c>
      <c r="C1522" s="21" t="s">
        <v>1020</v>
      </c>
      <c r="D1522" s="21" t="s">
        <v>978</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1323</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1155</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1050</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1529</v>
      </c>
      <c r="B1526" s="21" t="s">
        <v>1052</v>
      </c>
      <c r="C1526" s="21" t="s">
        <v>983</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1002</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1000</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1145</v>
      </c>
      <c r="B1529" s="21" t="s">
        <v>1066</v>
      </c>
      <c r="C1529" s="21" t="s">
        <v>1020</v>
      </c>
      <c r="D1529" s="21" t="s">
        <v>978</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1093</v>
      </c>
      <c r="B1530" s="21" t="s">
        <v>1101</v>
      </c>
      <c r="C1530" s="21" t="s">
        <v>977</v>
      </c>
      <c r="D1530" s="21" t="s">
        <v>978</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1543</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1482</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1544</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1002</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1000</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1325</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1284</v>
      </c>
      <c r="B1537" s="21" t="s">
        <v>1054</v>
      </c>
      <c r="C1537" s="21" t="s">
        <v>1178</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1167</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1002</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1145</v>
      </c>
      <c r="B1540" s="21" t="s">
        <v>976</v>
      </c>
      <c r="C1540" s="21" t="s">
        <v>1020</v>
      </c>
      <c r="D1540" s="21" t="s">
        <v>978</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1093</v>
      </c>
      <c r="B1541" s="21" t="s">
        <v>982</v>
      </c>
      <c r="C1541" s="21" t="s">
        <v>977</v>
      </c>
      <c r="D1541" s="21" t="s">
        <v>978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1543</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1137</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1545</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1546</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1002</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1194</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1145</v>
      </c>
      <c r="B1548" s="21" t="s">
        <v>1095</v>
      </c>
      <c r="C1548" s="21" t="s">
        <v>1020</v>
      </c>
      <c r="D1548" s="21" t="s">
        <v>978</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1547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1439</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1004</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1548</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1106</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1010</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1017</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1549</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1550</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996</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1537</v>
      </c>
      <c r="B1559" s="21" t="s">
        <v>1054</v>
      </c>
      <c r="C1559" s="21" t="s">
        <v>1057</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1002</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1000</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1010</v>
      </c>
      <c r="B1562" s="21" t="s">
        <v>1035</v>
      </c>
      <c r="C1562" s="21" t="s">
        <v>977</v>
      </c>
      <c r="D1562" s="21" t="s">
        <v>978</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1551</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1550</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1120</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1093</v>
      </c>
      <c r="B1566" s="21" t="s">
        <v>1146</v>
      </c>
      <c r="C1566" s="21" t="s">
        <v>977</v>
      </c>
      <c r="D1566" s="21" t="s">
        <v>978</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1552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984</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1050</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1553</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1554</v>
      </c>
      <c r="B1571" s="21" t="s">
        <v>1084</v>
      </c>
      <c r="C1571" s="21" t="s">
        <v>983</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1022</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row>
    <row r="1574" spans="1:12">
      <c r="A1574" s="20" t="s">
        <v>1555</v>
      </c>
    </row>
    <row r="1575" spans="1:12">
      <c r="A1575" s="20" t="s">
        <v>1280</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1145</v>
      </c>
      <c r="B1576" s="21" t="s">
        <v>1095</v>
      </c>
      <c r="C1576" s="21" t="s">
        <v>1020</v>
      </c>
      <c r="D1576" s="21" t="s">
        <v>978</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1556</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1050</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1557</v>
      </c>
      <c r="B1579" s="21" t="s">
        <v>1052</v>
      </c>
      <c r="C1579" s="21" t="s">
        <v>983</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1529</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1002</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1000</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1145</v>
      </c>
      <c r="B1583" s="21" t="s">
        <v>1066</v>
      </c>
      <c r="C1583" s="21" t="s">
        <v>1020</v>
      </c>
      <c r="D1583" s="21" t="s">
        <v>978</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1093</v>
      </c>
      <c r="B1584" s="21" t="s">
        <v>1101</v>
      </c>
      <c r="C1584" s="21" t="s">
        <v>977</v>
      </c>
      <c r="D1584" s="21" t="s">
        <v>978</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1543</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1482</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1335</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1002</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1000</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1004</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997</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1372</v>
      </c>
      <c r="B1592" s="21" t="s">
        <v>986</v>
      </c>
      <c r="C1592" s="21" t="s">
        <v>995</v>
      </c>
      <c r="D1592" s="21" t="s">
        <v>978</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996</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1325</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1284</v>
      </c>
      <c r="B1595" s="21" t="s">
        <v>1054</v>
      </c>
      <c r="C1595" s="21" t="s">
        <v>1178</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1002</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1145</v>
      </c>
      <c r="B1597" s="21" t="s">
        <v>976</v>
      </c>
      <c r="C1597" s="21" t="s">
        <v>1020</v>
      </c>
      <c r="D1597" s="21" t="s">
        <v>978</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1072</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1547</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1137</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1189</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1004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1548</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1002</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1081</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1050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1111</v>
      </c>
      <c r="B1607" s="21" t="s">
        <v>986</v>
      </c>
      <c r="C1607" s="21" t="s">
        <v>983</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1558</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1120</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996</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993</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1559</v>
      </c>
      <c r="B1612" s="21" t="s">
        <v>1007</v>
      </c>
      <c r="C1612" s="21" t="s">
        <v>995</v>
      </c>
      <c r="D1612" s="21" t="s">
        <v>978</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1560</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1022</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row>
    <row r="1616" spans="1:12">
      <c r="A1616" s="20" t="s">
        <v>1561</v>
      </c>
    </row>
    <row r="1617" spans="1:12">
      <c r="A1617" s="20" t="s">
        <v>1512</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1562</v>
      </c>
      <c r="B1618" s="21" t="s">
        <v>976</v>
      </c>
      <c r="C1618" s="21" t="s">
        <v>995</v>
      </c>
      <c r="D1618" s="21" t="s">
        <v>978</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1563</v>
      </c>
      <c r="B1619" s="21" t="s">
        <v>976</v>
      </c>
      <c r="C1619" s="21" t="s">
        <v>977</v>
      </c>
      <c r="D1619" s="21" t="s">
        <v>978</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1018</v>
      </c>
      <c r="B1620" s="21" t="s">
        <v>982</v>
      </c>
      <c r="C1620" s="21" t="s">
        <v>1020</v>
      </c>
      <c r="D1620" s="21" t="s">
        <v>978</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1564</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1565</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1022</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row>
    <row r="1625" spans="1:12">
      <c r="A1625" s="20" t="s">
        <v>1566</v>
      </c>
    </row>
    <row r="1626" spans="1:12">
      <c r="A1626" s="20" t="s">
        <v>1247</v>
      </c>
      <c r="B1626" s="21" t="s">
        <v>976</v>
      </c>
      <c r="C1626" s="21" t="s">
        <v>1020</v>
      </c>
      <c r="D1626" s="21" t="s">
        <v>978</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1323</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1535</v>
      </c>
      <c r="B1628" s="21" t="s">
        <v>982</v>
      </c>
      <c r="C1628" s="21" t="s">
        <v>1057</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1004</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339</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1038</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1092</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1111</v>
      </c>
      <c r="B1633" s="21" t="s">
        <v>1066</v>
      </c>
      <c r="C1633" s="21" t="s">
        <v>995</v>
      </c>
      <c r="D1633" s="21" t="s">
        <v>978</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1072</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1067</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1038</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996</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1092</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1538</v>
      </c>
      <c r="B1639" s="21" t="s">
        <v>1054</v>
      </c>
      <c r="C1639" s="21" t="s">
        <v>995</v>
      </c>
      <c r="D1639" s="21" t="s">
        <v>978</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1022</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row>
    <row r="1642" spans="1:12">
      <c r="A1642" s="20" t="s">
        <v>1567</v>
      </c>
    </row>
    <row r="1643" spans="1:12">
      <c r="A1643" s="20" t="s">
        <v>1357</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1017</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1549</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996</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1519</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1002</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1519</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1203</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996</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1538</v>
      </c>
      <c r="B1652" s="21" t="s">
        <v>986</v>
      </c>
      <c r="C1652" s="21" t="s">
        <v>1057</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1002</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1519</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1203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996</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1537</v>
      </c>
      <c r="B1657" s="21" t="s">
        <v>1007</v>
      </c>
      <c r="C1657" s="21" t="s">
        <v>1057</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1002</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1000</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1065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1289</v>
      </c>
      <c r="B1661" s="21" t="s">
        <v>1054</v>
      </c>
      <c r="C1661" s="21" t="s">
        <v>1008</v>
      </c>
      <c r="D1661" s="21" t="s">
        <v>978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1235</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996</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993</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1568</v>
      </c>
      <c r="B1665" s="21" t="s">
        <v>1007</v>
      </c>
      <c r="C1665" s="21" t="s">
        <v>995</v>
      </c>
      <c r="D1665" s="21" t="s">
        <v>978</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1203</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1569</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1022</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row>
    <row r="1670" spans="1:12">
      <c r="A1670" s="20" t="s">
        <v>1570</v>
      </c>
    </row>
    <row r="1671" spans="1:12">
      <c r="A1671" s="20" t="s">
        <v>1416</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1154</v>
      </c>
      <c r="B1672" s="21" t="s">
        <v>1095</v>
      </c>
      <c r="C1672" s="21" t="s">
        <v>977</v>
      </c>
      <c r="D1672" s="21" t="s">
        <v>978</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979</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1571</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1230</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1078</v>
      </c>
      <c r="B1676" s="21" t="s">
        <v>986</v>
      </c>
      <c r="C1676" s="21" t="s">
        <v>1020</v>
      </c>
      <c r="D1676" s="21" t="s">
        <v>978</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1235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196</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1092</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1111</v>
      </c>
      <c r="B1680" s="21" t="s">
        <v>1101</v>
      </c>
      <c r="C1680" s="21" t="s">
        <v>995</v>
      </c>
      <c r="D1680" s="21" t="s">
        <v>978</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1002</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1000</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1235</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290</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996</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993</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750</v>
      </c>
      <c r="B1687" s="21" t="s">
        <v>1054</v>
      </c>
      <c r="C1687" s="21" t="s">
        <v>995</v>
      </c>
      <c r="D1687" s="21" t="s">
        <v>978</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1142</v>
      </c>
      <c r="B1688" s="21" t="s">
        <v>1042</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1074</v>
      </c>
      <c r="B1689" s="21" t="s">
        <v>1146</v>
      </c>
      <c r="C1689" s="21" t="s">
        <v>977</v>
      </c>
      <c r="D1689" s="21" t="s">
        <v>978</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1462</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1572</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1002</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1154</v>
      </c>
      <c r="B1693" s="21" t="s">
        <v>976</v>
      </c>
      <c r="C1693" s="21" t="s">
        <v>977</v>
      </c>
      <c r="D1693" s="21" t="s">
        <v>978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979</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1179</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1038</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1573</v>
      </c>
      <c r="B1697" s="21" t="s">
        <v>1095</v>
      </c>
      <c r="C1697" s="21" t="s">
        <v>1020</v>
      </c>
      <c r="D1697" s="21" t="s">
        <v>978</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1574</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278</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1002</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1004</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997</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1270</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1575</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1002</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172</v>
      </c>
      <c r="B1706" s="21" t="s">
        <v>986</v>
      </c>
      <c r="C1706" s="21" t="s">
        <v>1008</v>
      </c>
      <c r="D1706" s="21" t="s">
        <v>978</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1142</v>
      </c>
      <c r="B1707" s="21" t="s">
        <v>1035</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1197</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93</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1050</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1111</v>
      </c>
      <c r="B1711" s="21" t="s">
        <v>1007</v>
      </c>
      <c r="C1711" s="21" t="s">
        <v>983</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1576</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1577</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1002</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1194</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1025</v>
      </c>
      <c r="B1716" s="21" t="s">
        <v>1095</v>
      </c>
      <c r="C1716" s="21" t="s">
        <v>977</v>
      </c>
      <c r="D1716" s="21" t="s">
        <v>978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1018</v>
      </c>
      <c r="B1717" s="21" t="s">
        <v>1052</v>
      </c>
      <c r="C1717" s="21" t="s">
        <v>1020</v>
      </c>
      <c r="D1717" s="21" t="s">
        <v>978</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1026</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1578</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1065</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1579</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1580</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1022</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row>
    <row r="1725" spans="1:12">
      <c r="A1725" s="20" t="s">
        <v>1581</v>
      </c>
    </row>
    <row r="1726" spans="1:12">
      <c r="A1726" s="20" t="s">
        <v>992</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1081</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1340</v>
      </c>
      <c r="B1728" s="21" t="s">
        <v>976</v>
      </c>
      <c r="C1728" s="21" t="s">
        <v>1020</v>
      </c>
      <c r="D1728" s="21" t="s">
        <v>978</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1582</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172</v>
      </c>
      <c r="B1730" s="21" t="s">
        <v>982</v>
      </c>
      <c r="C1730" s="21" t="s">
        <v>1008</v>
      </c>
      <c r="D1730" s="21" t="s">
        <v>978</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1142</v>
      </c>
      <c r="B1731" s="21" t="s">
        <v>1066</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1037</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93</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1002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1583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1253</v>
      </c>
      <c r="B1736" s="21" t="s">
        <v>1084</v>
      </c>
      <c r="C1736" s="21" t="s">
        <v>987</v>
      </c>
      <c r="D1736" s="21" t="s">
        <v>978</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1584</v>
      </c>
      <c r="B1737" s="21" t="s">
        <v>1007</v>
      </c>
      <c r="C1737" s="21" t="s">
        <v>990</v>
      </c>
      <c r="D1737" s="21" t="s">
        <v>978</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1002</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1050</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1111</v>
      </c>
      <c r="B1740" s="21" t="s">
        <v>1054</v>
      </c>
      <c r="C1740" s="21" t="s">
        <v>983</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1482</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1585</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1194</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1025</v>
      </c>
      <c r="B1744" s="21" t="s">
        <v>1095</v>
      </c>
      <c r="C1744" s="21" t="s">
        <v>977</v>
      </c>
      <c r="D1744" s="21" t="s">
        <v>978</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1586</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1587</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996</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1588</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1589</v>
      </c>
      <c r="B1749" s="21" t="s">
        <v>1052</v>
      </c>
      <c r="C1749" s="21" t="s">
        <v>983</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984</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993</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1590</v>
      </c>
      <c r="B1752" s="21" t="s">
        <v>986</v>
      </c>
      <c r="C1752" s="21" t="s">
        <v>995</v>
      </c>
      <c r="D1752" s="21" t="s">
        <v>978</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1591</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993</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1592</v>
      </c>
      <c r="B1755" s="21" t="s">
        <v>1054</v>
      </c>
      <c r="C1755" s="21" t="s">
        <v>995</v>
      </c>
      <c r="D1755" s="21" t="s">
        <v>978</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996</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1111</v>
      </c>
      <c r="B1757" s="21" t="s">
        <v>1007</v>
      </c>
      <c r="C1757" s="21" t="s">
        <v>1057</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1022</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row>
    <row r="1760" spans="1:12">
      <c r="A1760" s="20" t="s">
        <v>1593</v>
      </c>
    </row>
    <row r="1761" spans="1:12">
      <c r="A1761" s="20" t="s">
        <v>1594</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1154</v>
      </c>
      <c r="B1762" s="21" t="s">
        <v>976</v>
      </c>
      <c r="C1762" s="21" t="s">
        <v>977</v>
      </c>
      <c r="D1762" s="21" t="s">
        <v>978</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979</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1595</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996</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1596</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172</v>
      </c>
      <c r="B1767" s="21" t="s">
        <v>1052</v>
      </c>
      <c r="C1767" s="21" t="s">
        <v>1008</v>
      </c>
      <c r="D1767" s="21" t="s">
        <v>978</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1142</v>
      </c>
      <c r="B1768" s="21" t="s">
        <v>1035</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1597</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1598</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1599</v>
      </c>
      <c r="B1771" s="21" t="s">
        <v>1036</v>
      </c>
      <c r="C1771" s="21" t="s">
        <v>1104</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1183</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1600</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1038</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1081</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1340</v>
      </c>
      <c r="B1776" s="21" t="s">
        <v>1040</v>
      </c>
      <c r="C1776" s="21" t="s">
        <v>1020</v>
      </c>
      <c r="D1776" s="21" t="s">
        <v>978</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1022</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row>
    <row r="1779" spans="1:12">
      <c r="A1779" s="20" t="s">
        <v>1601</v>
      </c>
    </row>
    <row r="1780" spans="1:12">
      <c r="A1780" s="20" t="s">
        <v>1602</v>
      </c>
      <c r="B1780" s="21" t="s">
        <v>976</v>
      </c>
      <c r="C1780" s="21" t="s">
        <v>1020</v>
      </c>
      <c r="D1780" s="21" t="s">
        <v>978</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1478</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993</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1603</v>
      </c>
      <c r="B1783" s="21" t="s">
        <v>989</v>
      </c>
      <c r="C1783" s="21" t="s">
        <v>995</v>
      </c>
      <c r="D1783" s="21" t="s">
        <v>978</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1142</v>
      </c>
      <c r="B1784" s="21" t="s">
        <v>1095</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1563</v>
      </c>
      <c r="B1785" s="21" t="s">
        <v>1052</v>
      </c>
      <c r="C1785" s="21" t="s">
        <v>977</v>
      </c>
      <c r="D1785" s="21" t="s">
        <v>978</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1604</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996</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1144</v>
      </c>
      <c r="B1788" s="21" t="s">
        <v>986</v>
      </c>
      <c r="C1788" s="21" t="s">
        <v>1057</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1404</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row>
    <row r="1791" spans="1:12">
      <c r="A1791" s="20" t="s">
        <v>1605</v>
      </c>
    </row>
    <row r="1792" spans="1:12">
      <c r="A1792" s="20" t="s">
        <v>1594</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1154</v>
      </c>
      <c r="B1793" s="21" t="s">
        <v>976</v>
      </c>
      <c r="C1793" s="21" t="s">
        <v>977</v>
      </c>
      <c r="D1793" s="21" t="s">
        <v>978</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979</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1606</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996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993</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1599</v>
      </c>
      <c r="B1798" s="21" t="s">
        <v>989</v>
      </c>
      <c r="C1798" s="21" t="s">
        <v>995</v>
      </c>
      <c r="D1798" s="21" t="s">
        <v>978</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1002</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993</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1607</v>
      </c>
      <c r="B1801" s="21" t="s">
        <v>982</v>
      </c>
      <c r="C1801" s="21" t="s">
        <v>995</v>
      </c>
      <c r="D1801" s="21" t="s">
        <v>978</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1167</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993</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1340</v>
      </c>
      <c r="B1804" s="21" t="s">
        <v>986</v>
      </c>
      <c r="C1804" s="21" t="s">
        <v>995</v>
      </c>
      <c r="D1804" s="21" t="s">
        <v>978</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1002</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1608</v>
      </c>
      <c r="B1806" s="21" t="s">
        <v>1101</v>
      </c>
      <c r="C1806" s="21" t="s">
        <v>1020</v>
      </c>
      <c r="D1806" s="21" t="s">
        <v>978</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1609</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1081</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1050</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1111</v>
      </c>
      <c r="B1810" s="21" t="s">
        <v>1054</v>
      </c>
      <c r="C1810" s="21" t="s">
        <v>983</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1022</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row>
    <row r="1813" spans="1:12">
      <c r="A1813" s="20" t="s">
        <v>1610</v>
      </c>
    </row>
    <row r="1814" spans="1:12">
      <c r="A1814" s="20" t="s">
        <v>1611</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1050</v>
      </c>
      <c r="B1815" s="21" t="s">
        <v>976</v>
      </c>
      <c r="C1815" s="21" t="s">
        <v>1020</v>
      </c>
      <c r="D1815" s="21" t="s">
        <v>978</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996</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993</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1612</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1599</v>
      </c>
      <c r="B1819" s="21" t="s">
        <v>986</v>
      </c>
      <c r="C1819" s="21" t="s">
        <v>995</v>
      </c>
      <c r="D1819" s="21" t="s">
        <v>978</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1038</v>
      </c>
      <c r="B1820" s="21" t="s">
        <v>1036</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1154</v>
      </c>
      <c r="B1821" s="21" t="s">
        <v>1035</v>
      </c>
      <c r="C1821" s="21" t="s">
        <v>977</v>
      </c>
      <c r="D1821" s="21" t="s">
        <v>978</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979</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1613</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1323</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1614</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1092</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1111</v>
      </c>
      <c r="B1827" s="21" t="s">
        <v>982</v>
      </c>
      <c r="C1827" s="21" t="s">
        <v>995</v>
      </c>
      <c r="D1827" s="21" t="s">
        <v>978</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1004</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1050</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1381</v>
      </c>
      <c r="B1830" s="21" t="s">
        <v>989</v>
      </c>
      <c r="C1830" s="21" t="s">
        <v>983</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1183</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1615</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1081</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93</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1616</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1002</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1000</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1289</v>
      </c>
      <c r="B1838" s="21" t="s">
        <v>1095</v>
      </c>
      <c r="C1838" s="21" t="s">
        <v>1008</v>
      </c>
      <c r="D1838" s="21" t="s">
        <v>978</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1135</v>
      </c>
      <c r="B1839" s="21" t="s">
        <v>1052</v>
      </c>
      <c r="C1839" s="21" t="s">
        <v>977</v>
      </c>
      <c r="D1839" s="21" t="s">
        <v>978</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1076</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1617</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1081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33</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1289</v>
      </c>
      <c r="B1844" s="21" t="s">
        <v>1101</v>
      </c>
      <c r="C1844" s="21" t="s">
        <v>1008</v>
      </c>
      <c r="D1844" s="21" t="s">
        <v>978</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1618</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997</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1619</v>
      </c>
      <c r="B1847" s="21" t="s">
        <v>1054</v>
      </c>
      <c r="C1847" s="21" t="s">
        <v>995</v>
      </c>
      <c r="D1847" s="21" t="s">
        <v>978</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1350</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1289</v>
      </c>
      <c r="B1849" s="21" t="s">
        <v>1066</v>
      </c>
      <c r="C1849" s="21" t="s">
        <v>1008</v>
      </c>
      <c r="D1849" s="21" t="s">
        <v>978</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1135</v>
      </c>
      <c r="B1850" s="21" t="s">
        <v>1101</v>
      </c>
      <c r="C1850" s="21" t="s">
        <v>977</v>
      </c>
      <c r="D1850" s="21" t="s">
        <v>978</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1323</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1620</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1038</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1397</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1264</v>
      </c>
      <c r="B1855" s="21" t="s">
        <v>1035</v>
      </c>
      <c r="C1855" s="21" t="s">
        <v>1063</v>
      </c>
      <c r="D1855" s="21" t="s">
        <v>978</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1183</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1615</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1081</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93</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1616</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1469</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1621</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1004</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1092</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1616</v>
      </c>
      <c r="B1865" s="21" t="s">
        <v>1040</v>
      </c>
      <c r="C1865" s="21" t="s">
        <v>995</v>
      </c>
      <c r="D1865" s="21" t="s">
        <v>978</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1235</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996</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1622</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1002</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1000</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1038</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1196</v>
      </c>
      <c r="B1872" s="21" t="s">
        <v>1311</v>
      </c>
      <c r="C1872" s="21" t="s">
        <v>1008</v>
      </c>
      <c r="D1872" s="21" t="s">
        <v>978</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1067</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1482</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1585</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1022</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row>
    <row r="1878" spans="1:12">
      <c r="A1878" s="20" t="s">
        <v>1623</v>
      </c>
    </row>
    <row r="1879" spans="1:12">
      <c r="A1879" s="20" t="s">
        <v>1624</v>
      </c>
      <c r="B1879" s="21" t="s">
        <v>976</v>
      </c>
      <c r="C1879" s="21" t="s">
        <v>977</v>
      </c>
      <c r="D1879" s="21" t="s">
        <v>978</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1625</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997</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1626</v>
      </c>
      <c r="B1882" s="21" t="s">
        <v>982</v>
      </c>
      <c r="C1882" s="21" t="s">
        <v>995</v>
      </c>
      <c r="D1882" s="21" t="s">
        <v>978</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997</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1183</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1627</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1004</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997</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1100</v>
      </c>
      <c r="B1888" s="21" t="s">
        <v>1054</v>
      </c>
      <c r="C1888" s="21" t="s">
        <v>995</v>
      </c>
      <c r="D1888" s="21" t="s">
        <v>978</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1002</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1000</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996</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993</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750</v>
      </c>
      <c r="B1893" s="21" t="s">
        <v>1095</v>
      </c>
      <c r="C1893" s="21" t="s">
        <v>995</v>
      </c>
      <c r="D1893" s="21" t="s">
        <v>978</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1018</v>
      </c>
      <c r="B1894" s="21" t="s">
        <v>1054</v>
      </c>
      <c r="C1894" s="21" t="s">
        <v>1020</v>
      </c>
      <c r="D1894" s="21" t="s">
        <v>978</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1628</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1027</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993</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1498</v>
      </c>
      <c r="B1898" s="21" t="s">
        <v>986</v>
      </c>
      <c r="C1898" s="21" t="s">
        <v>995</v>
      </c>
      <c r="D1898" s="21" t="s">
        <v>978</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1022</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row>
    <row r="1901" spans="1:12">
      <c r="A1901" s="20" t="s">
        <v>1629</v>
      </c>
    </row>
    <row r="1902" spans="1:12">
      <c r="A1902" s="20" t="s">
        <v>1238</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323</v>
      </c>
      <c r="B1903" s="21" t="s">
        <v>976</v>
      </c>
      <c r="C1903" s="21" t="s">
        <v>983</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1004</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1142</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1154</v>
      </c>
      <c r="B1906" s="21" t="s">
        <v>1066</v>
      </c>
      <c r="C1906" s="21" t="s">
        <v>977</v>
      </c>
      <c r="D1906" s="21" t="s">
        <v>978</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979</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1630</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1631</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1154</v>
      </c>
      <c r="B1910" s="21" t="s">
        <v>1035</v>
      </c>
      <c r="C1910" s="21" t="s">
        <v>977</v>
      </c>
      <c r="D1910" s="21" t="s">
        <v>978</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1632</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996</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196</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1065</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1633</v>
      </c>
      <c r="B1915" s="21" t="s">
        <v>1146</v>
      </c>
      <c r="C1915" s="21" t="s">
        <v>1020</v>
      </c>
      <c r="D1915" s="21" t="s">
        <v>978</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1067</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1050</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1634</v>
      </c>
      <c r="B1918" s="21" t="s">
        <v>989</v>
      </c>
      <c r="C1918" s="21" t="s">
        <v>983</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1635</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1038</v>
      </c>
      <c r="B1920" s="21" t="s">
        <v>1052</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1047</v>
      </c>
      <c r="B1921" s="21" t="s">
        <v>1095</v>
      </c>
      <c r="C1921" s="21" t="s">
        <v>977</v>
      </c>
      <c r="D1921" s="21" t="s">
        <v>978</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1636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1637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1482</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1638</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1002</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1000</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1142</v>
      </c>
      <c r="B1928" s="21" t="s">
        <v>1095</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1147</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1639</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609</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1640</v>
      </c>
      <c r="B1932" s="21" t="s">
        <v>1052</v>
      </c>
      <c r="C1932" s="21" t="s">
        <v>983</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1641</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1018</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1642</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1643</v>
      </c>
      <c r="B1936" s="21" t="s">
        <v>986</v>
      </c>
      <c r="C1936" s="21" t="s">
        <v>1057</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1081</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1644</v>
      </c>
      <c r="B1938" s="21" t="s">
        <v>986</v>
      </c>
      <c r="C1938" s="21" t="s">
        <v>1057</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1002</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1645</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996</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1017</v>
      </c>
      <c r="B1942" s="21" t="s">
        <v>1101</v>
      </c>
      <c r="C1942" s="21" t="s">
        <v>977</v>
      </c>
      <c r="D1942" s="21" t="s">
        <v>978</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1646</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984</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1050</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1647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1111</v>
      </c>
      <c r="B1947" s="21" t="s">
        <v>1054</v>
      </c>
      <c r="C1947" s="21" t="s">
        <v>983</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1022</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row>
    <row r="1950" spans="1:12">
      <c r="A1950" s="20" t="s">
        <v>1648</v>
      </c>
    </row>
    <row r="1951" spans="1:12">
      <c r="A1951" s="20" t="s">
        <v>1624</v>
      </c>
      <c r="B1951" s="21" t="s">
        <v>976</v>
      </c>
      <c r="C1951" s="21" t="s">
        <v>977</v>
      </c>
      <c r="D1951" s="21" t="s">
        <v>978</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1649</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996</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1650</v>
      </c>
      <c r="B1954" s="21" t="s">
        <v>989</v>
      </c>
      <c r="C1954" s="21" t="s">
        <v>1057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1651</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1002</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1310</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996</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1652</v>
      </c>
      <c r="B1959" s="21" t="s">
        <v>989</v>
      </c>
      <c r="C1959" s="21" t="s">
        <v>1057</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1653</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1032</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1145</v>
      </c>
      <c r="B1962" s="21" t="s">
        <v>1066</v>
      </c>
      <c r="C1962" s="21" t="s">
        <v>1020</v>
      </c>
      <c r="D1962" s="21" t="s">
        <v>978</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1074</v>
      </c>
      <c r="B1963" s="21" t="s">
        <v>1101</v>
      </c>
      <c r="C1963" s="21" t="s">
        <v>977</v>
      </c>
      <c r="D1963" s="21" t="s">
        <v>978</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1654</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1004</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1074</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1655</v>
      </c>
      <c r="B1967" s="21" t="s">
        <v>1054</v>
      </c>
      <c r="C1967" s="21" t="s">
        <v>995</v>
      </c>
      <c r="D1967" s="21" t="s">
        <v>978</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1022</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row>
    <row r="1970" spans="1:12">
      <c r="A1970" s="20" t="s">
        <v>1656</v>
      </c>
    </row>
    <row r="1971" spans="1:12">
      <c r="A1971" s="20" t="s">
        <v>1624</v>
      </c>
      <c r="B1971" s="21" t="s">
        <v>976</v>
      </c>
      <c r="C1971" s="21" t="s">
        <v>977</v>
      </c>
      <c r="D1971" s="21" t="s">
        <v>978</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1021</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1482</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1519</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1657</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1658</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1169</v>
      </c>
      <c r="B1977" s="21" t="s">
        <v>989</v>
      </c>
      <c r="C1977" s="21" t="s">
        <v>1104</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1002</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1659</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1004</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997</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1660</v>
      </c>
      <c r="B1982" s="21" t="s">
        <v>986</v>
      </c>
      <c r="C1982" s="21" t="s">
        <v>995</v>
      </c>
      <c r="D1982" s="21" t="s">
        <v>978</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1002</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1000</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1046</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1371</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1145</v>
      </c>
      <c r="B1987" s="21" t="s">
        <v>1095</v>
      </c>
      <c r="C1987" s="21" t="s">
        <v>1020</v>
      </c>
      <c r="D1987" s="21" t="s">
        <v>978</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1323</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1661</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996</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1662</v>
      </c>
      <c r="B1991" s="21" t="s">
        <v>1101</v>
      </c>
      <c r="C1991" s="21" t="s">
        <v>977</v>
      </c>
      <c r="D1991" s="21" t="s">
        <v>978</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1663</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996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997</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1660</v>
      </c>
      <c r="B1995" s="21" t="s">
        <v>1054</v>
      </c>
      <c r="C1995" s="21" t="s">
        <v>995</v>
      </c>
      <c r="D1995" s="21" t="s">
        <v>978</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1235</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1664</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1665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1468</v>
      </c>
      <c r="B1999" s="21" t="s">
        <v>1042</v>
      </c>
      <c r="C1999" s="21" t="s">
        <v>977</v>
      </c>
      <c r="D1999" s="21" t="s">
        <v>978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1666</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1097</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1002</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1000</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1468</v>
      </c>
      <c r="B2004" s="21" t="s">
        <v>1066</v>
      </c>
      <c r="C2004" s="21" t="s">
        <v>977</v>
      </c>
      <c r="D2004" s="21" t="s">
        <v>978</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1323</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1639</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609</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1382</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1640</v>
      </c>
      <c r="B2009" s="21" t="s">
        <v>1101</v>
      </c>
      <c r="C2009" s="21" t="s">
        <v>983</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1641</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1002</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1046</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1468</v>
      </c>
      <c r="B2013" s="21" t="s">
        <v>1042</v>
      </c>
      <c r="C2013" s="21" t="s">
        <v>977</v>
      </c>
      <c r="D2013" s="21" t="s">
        <v>978</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1323</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1667</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984</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1092</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1668</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1111</v>
      </c>
      <c r="B2019" s="21" t="s">
        <v>1084</v>
      </c>
      <c r="C2019" s="21" t="s">
        <v>995</v>
      </c>
      <c r="D2019" s="21" t="s">
        <v>978</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1038</v>
      </c>
      <c r="B2020" s="21" t="s">
        <v>1019</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1154</v>
      </c>
      <c r="B2021" s="21" t="s">
        <v>1016</v>
      </c>
      <c r="C2021" s="21" t="s">
        <v>977</v>
      </c>
      <c r="D2021" s="21" t="s">
        <v>978</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1669</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1670</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1671</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1657</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1672</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1468</v>
      </c>
      <c r="B2027" s="21" t="s">
        <v>1311</v>
      </c>
      <c r="C2027" s="21" t="s">
        <v>977</v>
      </c>
      <c r="D2027" s="21" t="s">
        <v>978</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1067</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1673</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1674</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1675</v>
      </c>
      <c r="B2031" s="21" t="s">
        <v>1317</v>
      </c>
      <c r="C2031" s="21" t="s">
        <v>987</v>
      </c>
      <c r="D2031" s="21" t="s">
        <v>978</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1676</v>
      </c>
      <c r="B2032" s="21" t="s">
        <v>1040</v>
      </c>
      <c r="C2032" s="21" t="s">
        <v>990</v>
      </c>
      <c r="D2032" s="21" t="s">
        <v>978</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1002</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984</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609</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1677</v>
      </c>
      <c r="B2036" s="21" t="s">
        <v>1040</v>
      </c>
      <c r="C2036" s="21" t="s">
        <v>983</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1183</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1310</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1270</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1678</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1002</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1679</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1097</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1680</v>
      </c>
      <c r="B2044" s="21" t="s">
        <v>1040</v>
      </c>
      <c r="C2044" s="21" t="s">
        <v>1057</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1002</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1344</v>
      </c>
      <c r="B2046" s="21" t="s">
        <v>1317</v>
      </c>
      <c r="C2046" s="21" t="s">
        <v>1057</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1167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1344</v>
      </c>
      <c r="B2048" s="21" t="s">
        <v>1014</v>
      </c>
      <c r="C2048" s="21" t="s">
        <v>1057</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1167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1344</v>
      </c>
      <c r="B2050" s="21" t="s">
        <v>1321</v>
      </c>
      <c r="C2050" s="21" t="s">
        <v>1057</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1022</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row>
    <row r="2053" spans="1:12">
      <c r="A2053" s="20" t="s">
        <v>1681</v>
      </c>
    </row>
    <row r="2054" spans="1:12">
      <c r="A2054" s="20" t="s">
        <v>992</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1024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1047</v>
      </c>
      <c r="B2056" s="21" t="s">
        <v>1095</v>
      </c>
      <c r="C2056" s="21" t="s">
        <v>977</v>
      </c>
      <c r="D2056" s="21" t="s">
        <v>978</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1074</v>
      </c>
      <c r="B2057" s="21" t="s">
        <v>1052</v>
      </c>
      <c r="C2057" s="21" t="s">
        <v>977</v>
      </c>
      <c r="D2057" s="21" t="s">
        <v>978</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979</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1682</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996</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993</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1169</v>
      </c>
      <c r="B2062" s="21" t="s">
        <v>986</v>
      </c>
      <c r="C2062" s="21" t="s">
        <v>995</v>
      </c>
      <c r="D2062" s="21" t="s">
        <v>978</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1167</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1230</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1397</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1683</v>
      </c>
      <c r="B2066" s="21" t="s">
        <v>1054</v>
      </c>
      <c r="C2066" s="21" t="s">
        <v>1063</v>
      </c>
      <c r="D2066" s="21" t="s">
        <v>978</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12</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1468</v>
      </c>
      <c r="B2068" s="21" t="s">
        <v>1066</v>
      </c>
      <c r="C2068" s="21" t="s">
        <v>977</v>
      </c>
      <c r="D2068" s="21" t="s">
        <v>978</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1067</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1684</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1000</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1685</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1000</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1017</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1686</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1687</v>
      </c>
      <c r="B2076" s="21" t="s">
        <v>1036</v>
      </c>
      <c r="C2076" s="21" t="s">
        <v>1116</v>
      </c>
      <c r="D2076" s="21" t="s">
        <v>978</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1688</v>
      </c>
      <c r="B2077" s="21" t="s">
        <v>1084</v>
      </c>
      <c r="C2077" s="21" t="s">
        <v>1116</v>
      </c>
      <c r="D2077" s="21" t="s">
        <v>978</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12</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12</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984</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1689</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1690</v>
      </c>
      <c r="B2082" s="21" t="s">
        <v>1007</v>
      </c>
      <c r="C2082" s="21" t="s">
        <v>1063</v>
      </c>
      <c r="D2082" s="21" t="s">
        <v>978</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1002</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1468</v>
      </c>
      <c r="B2084" s="21" t="s">
        <v>976</v>
      </c>
      <c r="C2084" s="21" t="s">
        <v>977</v>
      </c>
      <c r="D2084" s="21" t="s">
        <v>978</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1323</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1384</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1216</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1217</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1182</v>
      </c>
      <c r="B2089" s="21" t="s">
        <v>1095</v>
      </c>
      <c r="C2089" s="21" t="s">
        <v>977</v>
      </c>
      <c r="D2089" s="21" t="s">
        <v>978</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1691</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1692</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1693</v>
      </c>
      <c r="B2092" s="21" t="s">
        <v>1052</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1694</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1695</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1696</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1697</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1698</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1692</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1018</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1699</v>
      </c>
      <c r="B2100" s="21" t="s">
        <v>986</v>
      </c>
      <c r="C2100" s="21" t="s">
        <v>1057</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1002</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1235</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1135</v>
      </c>
      <c r="B2103" s="21" t="s">
        <v>1101</v>
      </c>
      <c r="C2103" s="21" t="s">
        <v>977</v>
      </c>
      <c r="D2103" s="21" t="s">
        <v>978</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450</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1074</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1041</v>
      </c>
      <c r="B2106" s="21" t="s">
        <v>1101</v>
      </c>
      <c r="C2106" s="21" t="s">
        <v>995</v>
      </c>
      <c r="D2106" s="21" t="s">
        <v>978</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1022</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row>
    <row r="2109" spans="1:12">
      <c r="A2109" s="20" t="s">
        <v>1700</v>
      </c>
    </row>
    <row r="2110" spans="1:12">
      <c r="A2110" s="20" t="s">
        <v>1182</v>
      </c>
      <c r="B2110" s="21" t="s">
        <v>976</v>
      </c>
      <c r="C2110" s="21" t="s">
        <v>977</v>
      </c>
      <c r="D2110" s="21" t="s">
        <v>978</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1691</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1235</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1701</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172</v>
      </c>
      <c r="B2114" s="21" t="s">
        <v>1052</v>
      </c>
      <c r="C2114" s="21" t="s">
        <v>1008</v>
      </c>
      <c r="D2114" s="21" t="s">
        <v>978</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1038</v>
      </c>
      <c r="B2115" s="21" t="s">
        <v>1036</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1039</v>
      </c>
      <c r="B2116" s="21" t="s">
        <v>1084</v>
      </c>
      <c r="C2116" s="21" t="s">
        <v>987</v>
      </c>
      <c r="D2116" s="21" t="s">
        <v>978</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1041</v>
      </c>
      <c r="B2117" s="21" t="s">
        <v>1035</v>
      </c>
      <c r="C2117" s="21" t="s">
        <v>990</v>
      </c>
      <c r="D2117" s="21" t="s">
        <v>978</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1281</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1216</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1692</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1702</v>
      </c>
      <c r="B2121" s="21" t="s">
        <v>1095</v>
      </c>
      <c r="C2121" s="21" t="s">
        <v>977</v>
      </c>
      <c r="D2121" s="21" t="s">
        <v>978</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1072</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1703</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1501</v>
      </c>
      <c r="B2124" s="21" t="s">
        <v>989</v>
      </c>
      <c r="C2124" s="21" t="s">
        <v>1020</v>
      </c>
      <c r="D2124" s="21" t="s">
        <v>978</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1022</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row>
    <row r="2127" spans="1:12">
      <c r="A2127" s="20" t="s">
        <v>1704</v>
      </c>
    </row>
    <row r="2128" spans="1:12">
      <c r="A2128" s="20" t="s">
        <v>1702</v>
      </c>
      <c r="B2128" s="21" t="s">
        <v>976</v>
      </c>
      <c r="C2128" s="21" t="s">
        <v>977</v>
      </c>
      <c r="D2128" s="21" t="s">
        <v>978</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1072</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1703</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323</v>
      </c>
      <c r="B2131" s="21" t="s">
        <v>989</v>
      </c>
      <c r="C2131" s="21" t="s">
        <v>1057</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1022</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row>
    <row r="2134" spans="1:12">
      <c r="A2134" s="20" t="s">
        <v>1705</v>
      </c>
    </row>
    <row r="2135" spans="1:12">
      <c r="A2135" s="20" t="s">
        <v>1702</v>
      </c>
      <c r="B2135" s="21" t="s">
        <v>976</v>
      </c>
      <c r="C2135" s="21" t="s">
        <v>977</v>
      </c>
      <c r="D2135" s="21" t="s">
        <v>978</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1116</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1706</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1305</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1189</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996</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1333</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1707</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row>
    <row r="2144" spans="1:12">
      <c r="A2144" s="20" t="s">
        <v>1708</v>
      </c>
    </row>
    <row r="2145" spans="1:12">
      <c r="A2145" s="20" t="s">
        <v>992</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1196</v>
      </c>
      <c r="B2146" s="21" t="s">
        <v>976</v>
      </c>
      <c r="C2146" s="21" t="s">
        <v>1008</v>
      </c>
      <c r="D2146" s="21" t="s">
        <v>978</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1076</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1004</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172</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1199</v>
      </c>
      <c r="B2150" s="21" t="s">
        <v>989</v>
      </c>
      <c r="C2150" s="21" t="s">
        <v>1063</v>
      </c>
      <c r="D2150" s="21" t="s">
        <v>978</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845</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1038</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1154</v>
      </c>
      <c r="B2153" s="21" t="s">
        <v>1066</v>
      </c>
      <c r="C2153" s="21" t="s">
        <v>977</v>
      </c>
      <c r="D2153" s="21" t="s">
        <v>978</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979</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1492</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1332</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1004</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1709</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1004</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1011</v>
      </c>
      <c r="B2160" s="21" t="s">
        <v>1146</v>
      </c>
      <c r="C2160" s="21" t="s">
        <v>977</v>
      </c>
      <c r="D2160" s="21" t="s">
        <v>978</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1710</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1022</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row>
    <row r="2164" spans="1:12">
      <c r="A2164" s="20" t="s">
        <v>1711</v>
      </c>
    </row>
    <row r="2165" spans="1:12">
      <c r="A2165" s="20" t="s">
        <v>190</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1416</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1145</v>
      </c>
      <c r="B2167" s="21" t="s">
        <v>1095</v>
      </c>
      <c r="C2167" s="21" t="s">
        <v>1020</v>
      </c>
      <c r="D2167" s="21" t="s">
        <v>978</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1067</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1712</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1002</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1145</v>
      </c>
      <c r="B2171" s="21" t="s">
        <v>976</v>
      </c>
      <c r="C2171" s="21" t="s">
        <v>1020</v>
      </c>
      <c r="D2171" s="21" t="s">
        <v>978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1116</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1713</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1189</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1009</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1145</v>
      </c>
      <c r="B2176" s="21" t="s">
        <v>1095</v>
      </c>
      <c r="C2176" s="21" t="s">
        <v>1020</v>
      </c>
      <c r="D2176" s="21" t="s">
        <v>978</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1714</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609</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1715</v>
      </c>
      <c r="B2179" s="21" t="s">
        <v>1052</v>
      </c>
      <c r="C2179" s="21" t="s">
        <v>983</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1716</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1000</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1009</v>
      </c>
      <c r="B2182" s="21" t="s">
        <v>1036</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1145</v>
      </c>
      <c r="B2183" s="21" t="s">
        <v>1035</v>
      </c>
      <c r="C2183" s="21" t="s">
        <v>1020</v>
      </c>
      <c r="D2183" s="21" t="s">
        <v>978</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1717</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997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1100</v>
      </c>
      <c r="B2186" s="21" t="s">
        <v>1036</v>
      </c>
      <c r="C2186" s="21" t="s">
        <v>995</v>
      </c>
      <c r="D2186" s="21" t="s">
        <v>978</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1004</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1112</v>
      </c>
      <c r="B2188" s="21" t="s">
        <v>1040</v>
      </c>
      <c r="C2188" s="21" t="s">
        <v>1057</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997</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1718</v>
      </c>
      <c r="B2190" s="21" t="s">
        <v>1007</v>
      </c>
      <c r="C2190" s="21" t="s">
        <v>995</v>
      </c>
      <c r="D2190" s="21" t="s">
        <v>978</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1719</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1120</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1092</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1720</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1721</v>
      </c>
      <c r="B2195" s="21" t="s">
        <v>1040</v>
      </c>
      <c r="C2195" s="21" t="s">
        <v>995</v>
      </c>
      <c r="D2195" s="21" t="s">
        <v>978</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1022</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row>
    <row r="2198" spans="1:12">
      <c r="A2198" s="20" t="s">
        <v>1722</v>
      </c>
    </row>
    <row r="2199" spans="1:12">
      <c r="A2199" s="20" t="s">
        <v>1247</v>
      </c>
      <c r="B2199" s="21" t="s">
        <v>976</v>
      </c>
      <c r="C2199" s="21" t="s">
        <v>1020</v>
      </c>
      <c r="D2199" s="21" t="s">
        <v>978</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1723</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1038</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997</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1715</v>
      </c>
      <c r="B2203" s="21" t="s">
        <v>1095</v>
      </c>
      <c r="C2203" s="21" t="s">
        <v>995</v>
      </c>
      <c r="D2203" s="21" t="s">
        <v>978</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1323</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1401</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1724</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1002</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997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1715</v>
      </c>
      <c r="B2209" s="21" t="s">
        <v>986</v>
      </c>
      <c r="C2209" s="21" t="s">
        <v>995</v>
      </c>
      <c r="D2209" s="21" t="s">
        <v>978</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996</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997</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1193</v>
      </c>
      <c r="B2212" s="21" t="s">
        <v>1054</v>
      </c>
      <c r="C2212" s="21" t="s">
        <v>995</v>
      </c>
      <c r="D2212" s="21" t="s">
        <v>978</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1002</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1000</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1038</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1725</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1145</v>
      </c>
      <c r="B2217" s="21" t="s">
        <v>1066</v>
      </c>
      <c r="C2217" s="21" t="s">
        <v>1020</v>
      </c>
      <c r="D2217" s="21" t="s">
        <v>978</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1717</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1726</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1022</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row>
    <row r="2222" spans="1:12">
      <c r="A2222" s="20" t="s">
        <v>1727</v>
      </c>
    </row>
    <row r="2223" spans="1:12">
      <c r="A2223" s="20" t="s">
        <v>1357</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1067</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1183</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1728</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1081</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1729</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996</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993</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1730</v>
      </c>
      <c r="B2231" s="21" t="s">
        <v>986</v>
      </c>
      <c r="C2231" s="21" t="s">
        <v>995</v>
      </c>
      <c r="D2231" s="21" t="s">
        <v>978</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1142</v>
      </c>
      <c r="B2232" s="21" t="s">
        <v>1035</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1017</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1731</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1050</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1239</v>
      </c>
      <c r="B2236" s="21" t="s">
        <v>1036</v>
      </c>
      <c r="C2236" s="21" t="s">
        <v>983</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1732</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1004</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997</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1467</v>
      </c>
      <c r="B2240" s="21" t="s">
        <v>1007</v>
      </c>
      <c r="C2240" s="21" t="s">
        <v>990</v>
      </c>
      <c r="D2240" s="21" t="s">
        <v>978</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1081</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1733</v>
      </c>
      <c r="B2242" s="21" t="s">
        <v>1084</v>
      </c>
      <c r="C2242" s="21" t="s">
        <v>1020</v>
      </c>
      <c r="D2242" s="21" t="s">
        <v>978</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1142</v>
      </c>
      <c r="B2243" s="21" t="s">
        <v>1311</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1734</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1093</v>
      </c>
      <c r="B2245" s="21" t="s">
        <v>1019</v>
      </c>
      <c r="C2245" s="21" t="s">
        <v>977</v>
      </c>
      <c r="D2245" s="21" t="s">
        <v>978</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414</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1735</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1002</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1194</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1092</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1736</v>
      </c>
      <c r="B2251" s="21" t="s">
        <v>986</v>
      </c>
      <c r="C2251" s="21" t="s">
        <v>995</v>
      </c>
      <c r="D2251" s="21" t="s">
        <v>978</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1674</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993</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1737</v>
      </c>
      <c r="B2254" s="21" t="s">
        <v>1054</v>
      </c>
      <c r="C2254" s="21" t="s">
        <v>995</v>
      </c>
      <c r="D2254" s="21" t="s">
        <v>978</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1002</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1196</v>
      </c>
      <c r="B2256" s="21" t="s">
        <v>1095</v>
      </c>
      <c r="C2256" s="21" t="s">
        <v>1008</v>
      </c>
      <c r="D2256" s="21" t="s">
        <v>978</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1067</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1009</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1145</v>
      </c>
      <c r="B2259" s="21" t="s">
        <v>1066</v>
      </c>
      <c r="C2259" s="21" t="s">
        <v>1020</v>
      </c>
      <c r="D2259" s="21" t="s">
        <v>978</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1723</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1738</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1092</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1739</v>
      </c>
      <c r="B2263" s="21" t="s">
        <v>1036</v>
      </c>
      <c r="C2263" s="21" t="s">
        <v>995</v>
      </c>
      <c r="D2263" s="21" t="s">
        <v>978</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1022</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row>
    <row r="2266" spans="1:12">
      <c r="A2266" s="20" t="s">
        <v>1740</v>
      </c>
    </row>
    <row r="2267" spans="1:12">
      <c r="A2267" s="20" t="s">
        <v>1174</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1092</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1739</v>
      </c>
      <c r="B2269" s="21" t="s">
        <v>976</v>
      </c>
      <c r="C2269" s="21" t="s">
        <v>995</v>
      </c>
      <c r="D2269" s="21" t="s">
        <v>978</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1741</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1022</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row>
    <row r="2273" spans="1:12">
      <c r="A2273" s="20" t="s">
        <v>1742</v>
      </c>
    </row>
    <row r="2274" spans="1:12">
      <c r="A2274" s="20" t="s">
        <v>1182</v>
      </c>
      <c r="B2274" s="21" t="s">
        <v>976</v>
      </c>
      <c r="C2274" s="21" t="s">
        <v>977</v>
      </c>
      <c r="D2274" s="21" t="s">
        <v>978</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1164</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1743</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1744</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1120</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1397</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1745</v>
      </c>
      <c r="B2280" s="21" t="s">
        <v>986</v>
      </c>
      <c r="C2280" s="21" t="s">
        <v>1063</v>
      </c>
      <c r="D2280" s="21" t="s">
        <v>978</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1216</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1217</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1174</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1092</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1739</v>
      </c>
      <c r="B2285" s="21" t="s">
        <v>986</v>
      </c>
      <c r="C2285" s="21" t="s">
        <v>995</v>
      </c>
      <c r="D2285" s="21" t="s">
        <v>978</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1741</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1022</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row>
    <row r="2289" spans="1:12">
      <c r="A2289" s="20" t="s">
        <v>1746</v>
      </c>
    </row>
    <row r="2290" spans="1:12">
      <c r="A2290" s="20" t="s">
        <v>190</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992</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1154</v>
      </c>
      <c r="B2292" s="21" t="s">
        <v>976</v>
      </c>
      <c r="C2292" s="21" t="s">
        <v>977</v>
      </c>
      <c r="D2292" s="21" t="s">
        <v>978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979</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1747</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1002</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1018</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1424</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1004</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996</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993</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1737</v>
      </c>
      <c r="B2301" s="21" t="s">
        <v>986</v>
      </c>
      <c r="C2301" s="21" t="s">
        <v>995</v>
      </c>
      <c r="D2301" s="21" t="s">
        <v>978</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1002</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1009</v>
      </c>
      <c r="B2303" s="21" t="s">
        <v>1036</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1025</v>
      </c>
      <c r="B2304" s="21" t="s">
        <v>1035</v>
      </c>
      <c r="C2304" s="21" t="s">
        <v>977</v>
      </c>
      <c r="D2304" s="21" t="s">
        <v>978</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1748</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996</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1749</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1750</v>
      </c>
      <c r="B2308" s="21" t="s">
        <v>1035</v>
      </c>
      <c r="C2308" s="21" t="s">
        <v>983</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1022</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row>
    <row r="2311" spans="1:12">
      <c r="A2311" s="20" t="s">
        <v>1751</v>
      </c>
    </row>
    <row r="2312" spans="1:12">
      <c r="A2312" s="20" t="s">
        <v>1752</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750</v>
      </c>
      <c r="B2313" s="21" t="s">
        <v>976</v>
      </c>
      <c r="C2313" s="21" t="s">
        <v>995</v>
      </c>
      <c r="D2313" s="21" t="s">
        <v>978</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1753</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1216</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1217</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1754</v>
      </c>
      <c r="B2317" s="21" t="s">
        <v>1095</v>
      </c>
      <c r="C2317" s="21" t="s">
        <v>1020</v>
      </c>
      <c r="D2317" s="21" t="s">
        <v>978</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1116</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1135</v>
      </c>
      <c r="B2319" s="21" t="s">
        <v>1052</v>
      </c>
      <c r="C2319" s="21" t="s">
        <v>977</v>
      </c>
      <c r="D2319" s="21" t="s">
        <v>978</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1755</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1022</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row>
    <row r="2323" spans="1:12">
      <c r="A2323" s="20" t="s">
        <v>1756</v>
      </c>
    </row>
    <row r="2324" spans="1:12">
      <c r="A2324" s="20" t="s">
        <v>190</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992</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1145</v>
      </c>
      <c r="B2326" s="21" t="s">
        <v>976</v>
      </c>
      <c r="C2326" s="21" t="s">
        <v>1020</v>
      </c>
      <c r="D2326" s="21" t="s">
        <v>978</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1757</v>
      </c>
      <c r="B2327" s="21" t="s">
        <v>982</v>
      </c>
      <c r="C2327" s="21" t="s">
        <v>977</v>
      </c>
      <c r="D2327" s="21" t="s">
        <v>978</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1384</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1216</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1217</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1758</v>
      </c>
      <c r="B2331" s="21" t="s">
        <v>986</v>
      </c>
      <c r="C2331" s="21" t="s">
        <v>1020</v>
      </c>
      <c r="D2331" s="21" t="s">
        <v>978</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1002</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1047</v>
      </c>
      <c r="B2333" s="21" t="s">
        <v>1095</v>
      </c>
      <c r="C2333" s="21" t="s">
        <v>977</v>
      </c>
      <c r="D2333" s="21" t="s">
        <v>978</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1759</v>
      </c>
      <c r="B2334" s="21" t="s">
        <v>1052</v>
      </c>
      <c r="C2334" s="21" t="s">
        <v>977</v>
      </c>
      <c r="D2334" s="21" t="s">
        <v>978</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1755</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1002</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1760</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1520</v>
      </c>
      <c r="B2338" s="21" t="s">
        <v>1066</v>
      </c>
      <c r="C2338" s="21" t="s">
        <v>1057</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1759</v>
      </c>
      <c r="B2339" s="21" t="s">
        <v>1101</v>
      </c>
      <c r="C2339" s="21" t="s">
        <v>977</v>
      </c>
      <c r="D2339" s="21" t="s">
        <v>978</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1755</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1002</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1760</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1160</v>
      </c>
      <c r="B2343" s="21" t="s">
        <v>1035</v>
      </c>
      <c r="C2343" s="21" t="s">
        <v>1057</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1759</v>
      </c>
      <c r="B2344" s="21" t="s">
        <v>1036</v>
      </c>
      <c r="C2344" s="21" t="s">
        <v>977</v>
      </c>
      <c r="D2344" s="21" t="s">
        <v>978</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1755</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1022</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row>
    <row r="2348" spans="1:12">
      <c r="A2348" s="20" t="s">
        <v>1761</v>
      </c>
    </row>
    <row r="2349" spans="1:12">
      <c r="A2349" s="20" t="s">
        <v>190</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1762</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1763</v>
      </c>
      <c r="B2351" s="21" t="s">
        <v>976</v>
      </c>
      <c r="C2351" s="21" t="s">
        <v>1063</v>
      </c>
      <c r="D2351" s="21" t="s">
        <v>978</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1072</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1067</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1189</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1764</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1004</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54</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1002</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1235</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1092</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1250</v>
      </c>
      <c r="B2361" s="21" t="s">
        <v>1054</v>
      </c>
      <c r="C2361" s="21" t="s">
        <v>1057</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996</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993</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750</v>
      </c>
      <c r="B2364" s="21" t="s">
        <v>1054</v>
      </c>
      <c r="C2364" s="21" t="s">
        <v>995</v>
      </c>
      <c r="D2364" s="21" t="s">
        <v>978</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1002</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1004</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997</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1270</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1022</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row>
    <row r="2371" spans="1:12">
      <c r="A2371" s="20" t="s">
        <v>1765</v>
      </c>
    </row>
    <row r="2372" spans="1:12">
      <c r="A2372" s="20" t="s">
        <v>1174</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993</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1737</v>
      </c>
      <c r="B2374" s="21" t="s">
        <v>976</v>
      </c>
      <c r="C2374" s="21" t="s">
        <v>995</v>
      </c>
      <c r="D2374" s="21" t="s">
        <v>978</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1753</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1465</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1216</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1217</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1766</v>
      </c>
      <c r="B2379" s="21" t="s">
        <v>986</v>
      </c>
      <c r="C2379" s="21" t="s">
        <v>1767</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1009</v>
      </c>
      <c r="B2380" s="21" t="s">
        <v>1036</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1145</v>
      </c>
      <c r="B2381" s="21" t="s">
        <v>1035</v>
      </c>
      <c r="C2381" s="21" t="s">
        <v>1020</v>
      </c>
      <c r="D2381" s="21" t="s">
        <v>978</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1389</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1002</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1145</v>
      </c>
      <c r="B2384" s="21" t="s">
        <v>1095</v>
      </c>
      <c r="C2384" s="21" t="s">
        <v>1020</v>
      </c>
      <c r="D2384" s="21" t="s">
        <v>978</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1768</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1065</v>
      </c>
      <c r="B2386" s="21" t="s">
        <v>1101</v>
      </c>
      <c r="C2386" s="21" t="s">
        <v>1020</v>
      </c>
      <c r="D2386" s="21" t="s">
        <v>978</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1769</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1120</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62</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1022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row>
    <row r="2392" spans="1:12">
      <c r="A2392" s="20" t="s">
        <v>1770</v>
      </c>
    </row>
    <row r="2393" spans="1:12">
      <c r="A2393" s="20" t="s">
        <v>190</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1223</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1025</v>
      </c>
      <c r="B2395" s="21" t="s">
        <v>976</v>
      </c>
      <c r="C2395" s="21" t="s">
        <v>977</v>
      </c>
      <c r="D2395" s="21" t="s">
        <v>978</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1753</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1216</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1217</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1357</v>
      </c>
      <c r="B2399" s="21" t="s">
        <v>1095</v>
      </c>
      <c r="C2399" s="21" t="s">
        <v>977</v>
      </c>
      <c r="D2399" s="21" t="s">
        <v>978</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1116</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1469</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1189</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1294</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168</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996</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1771</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1772</v>
      </c>
      <c r="B2407" s="21" t="s">
        <v>1054</v>
      </c>
      <c r="C2407" s="21" t="s">
        <v>1057</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1591</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1419</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1773</v>
      </c>
      <c r="B2410" s="21" t="s">
        <v>1007</v>
      </c>
      <c r="C2410" s="21" t="s">
        <v>1178</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1774</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1022</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row>
    <row r="2414" spans="1:12">
      <c r="A2414" s="20" t="s">
        <v>1775</v>
      </c>
    </row>
    <row r="2415" spans="1:12">
      <c r="A2415" s="20" t="s">
        <v>1776</v>
      </c>
      <c r="B2415" s="21" t="s">
        <v>976</v>
      </c>
      <c r="C2415" s="21" t="s">
        <v>1020</v>
      </c>
      <c r="D2415" s="21" t="s">
        <v>978</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1067</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1777</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984</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1261</v>
      </c>
      <c r="B2419" s="21" t="s">
        <v>986</v>
      </c>
      <c r="C2419" s="21" t="s">
        <v>987</v>
      </c>
      <c r="D2419" s="21" t="s">
        <v>978</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1778</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1779</v>
      </c>
      <c r="B2421" s="21" t="s">
        <v>989</v>
      </c>
      <c r="C2421" s="21" t="s">
        <v>990</v>
      </c>
      <c r="D2421" s="21" t="s">
        <v>978</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1022</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row>
    <row r="2424" spans="1:12">
      <c r="A2424" s="20" t="s">
        <v>1780</v>
      </c>
    </row>
    <row r="2425" spans="1:12">
      <c r="A2425" s="20" t="s">
        <v>190</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1781</v>
      </c>
      <c r="B2426" s="21" t="s">
        <v>989</v>
      </c>
      <c r="C2426" s="21" t="s">
        <v>1008</v>
      </c>
      <c r="D2426" s="21" t="s">
        <v>978</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1004</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1330</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1010</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1388</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427</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1216</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1217</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1782</v>
      </c>
      <c r="B2434" s="21" t="s">
        <v>989</v>
      </c>
      <c r="C2434" s="21" t="s">
        <v>1116</v>
      </c>
      <c r="D2434" s="21" t="s">
        <v>978</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1002</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1018</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1783</v>
      </c>
      <c r="B2437" s="21" t="s">
        <v>1054</v>
      </c>
      <c r="C2437" s="21" t="s">
        <v>1057</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1002</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1194</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845</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1725</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1010</v>
      </c>
      <c r="B2442" s="21" t="s">
        <v>1066</v>
      </c>
      <c r="C2442" s="21" t="s">
        <v>977</v>
      </c>
      <c r="D2442" s="21" t="s">
        <v>978</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1784</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1439</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1093</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1785</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1230</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172</v>
      </c>
      <c r="B2448" s="21" t="s">
        <v>1007</v>
      </c>
      <c r="C2448" s="21" t="s">
        <v>1008</v>
      </c>
      <c r="D2448" s="21" t="s">
        <v>978</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1009</v>
      </c>
      <c r="B2449" s="21" t="s">
        <v>1019</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1145</v>
      </c>
      <c r="B2450" s="21" t="s">
        <v>1311</v>
      </c>
      <c r="C2450" s="21" t="s">
        <v>1020</v>
      </c>
      <c r="D2450" s="21" t="s">
        <v>978</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1768</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431</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1004</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997</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1786</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1225</v>
      </c>
      <c r="B2456" s="21" t="s">
        <v>1317</v>
      </c>
      <c r="C2456" s="21" t="s">
        <v>995</v>
      </c>
      <c r="D2456" s="21" t="s">
        <v>978</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1022</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row>
    <row r="2459" spans="1:12">
      <c r="A2459" s="20" t="s">
        <v>1787</v>
      </c>
    </row>
    <row r="2460" spans="1:12">
      <c r="A2460" s="20" t="s">
        <v>190</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1788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543</v>
      </c>
      <c r="B2462" s="21" t="s">
        <v>989</v>
      </c>
      <c r="C2462" s="21" t="s">
        <v>1116</v>
      </c>
      <c r="D2462" s="21" t="s">
        <v>978</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1789</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1790</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1002</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172</v>
      </c>
      <c r="B2466" s="21" t="s">
        <v>986</v>
      </c>
      <c r="C2466" s="21" t="s">
        <v>1008</v>
      </c>
      <c r="D2466" s="21" t="s">
        <v>978</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1009</v>
      </c>
      <c r="B2467" s="21" t="s">
        <v>1036</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1025</v>
      </c>
      <c r="B2468" s="21" t="s">
        <v>1035</v>
      </c>
      <c r="C2468" s="21" t="s">
        <v>977</v>
      </c>
      <c r="D2468" s="21" t="s">
        <v>978</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1791</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1002</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172</v>
      </c>
      <c r="B2471" s="21" t="s">
        <v>976</v>
      </c>
      <c r="C2471" s="21" t="s">
        <v>1008</v>
      </c>
      <c r="D2471" s="21" t="s">
        <v>978</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1072</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1067</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1189</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1092</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1792</v>
      </c>
      <c r="B2476" s="21" t="s">
        <v>989</v>
      </c>
      <c r="C2476" s="21" t="s">
        <v>995</v>
      </c>
      <c r="D2476" s="21" t="s">
        <v>978</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1002</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1194</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1092</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1793</v>
      </c>
      <c r="B2480" s="21" t="s">
        <v>989</v>
      </c>
      <c r="C2480" s="21" t="s">
        <v>995</v>
      </c>
      <c r="D2480" s="21" t="s">
        <v>978</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1002</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1000</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1145</v>
      </c>
      <c r="B2483" s="21" t="s">
        <v>1066</v>
      </c>
      <c r="C2483" s="21" t="s">
        <v>1020</v>
      </c>
      <c r="D2483" s="21" t="s">
        <v>978</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1547</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1004</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1794</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1038</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1074</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1795</v>
      </c>
      <c r="B2489" s="21" t="s">
        <v>1084</v>
      </c>
      <c r="C2489" s="21" t="s">
        <v>995</v>
      </c>
      <c r="D2489" s="21" t="s">
        <v>978</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1002</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1196</v>
      </c>
      <c r="B2491" s="21" t="s">
        <v>1042</v>
      </c>
      <c r="C2491" s="21" t="s">
        <v>1008</v>
      </c>
      <c r="D2491" s="21" t="s">
        <v>978</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1067</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1038</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1092</v>
      </c>
      <c r="B2494" s="21" t="s">
        <v>1311</v>
      </c>
      <c r="C2494" s="21" t="s">
        <v>990</v>
      </c>
      <c r="D2494" s="21" t="s">
        <v>978</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1250</v>
      </c>
      <c r="B2495" s="21" t="s">
        <v>1317</v>
      </c>
      <c r="C2495" s="21" t="s">
        <v>1057</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1081</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1591</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1563</v>
      </c>
      <c r="B2498" s="21" t="s">
        <v>1317</v>
      </c>
      <c r="C2498" s="21" t="s">
        <v>977</v>
      </c>
      <c r="D2498" s="21" t="s">
        <v>978</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1478</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1004</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997</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1796</v>
      </c>
      <c r="B2502" s="21" t="s">
        <v>1084</v>
      </c>
      <c r="C2502" s="21" t="s">
        <v>990</v>
      </c>
      <c r="D2502" s="21" t="s">
        <v>978</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996</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1060</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1797</v>
      </c>
      <c r="B2505" s="21" t="s">
        <v>1040</v>
      </c>
      <c r="C2505" s="21" t="s">
        <v>1063</v>
      </c>
      <c r="D2505" s="21" t="s">
        <v>978</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1798</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1194</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1799</v>
      </c>
      <c r="B2508" s="21" t="s">
        <v>1016</v>
      </c>
      <c r="C2508" s="21" t="s">
        <v>977</v>
      </c>
      <c r="D2508" s="21" t="s">
        <v>978</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1116</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1563</v>
      </c>
      <c r="B2510" s="21" t="s">
        <v>1019</v>
      </c>
      <c r="C2510" s="21" t="s">
        <v>977</v>
      </c>
      <c r="D2510" s="21" t="s">
        <v>978</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1800</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1189</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1203</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1022</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row>
    <row r="2516" spans="1:12">
      <c r="A2516" s="20" t="s">
        <v>1801</v>
      </c>
    </row>
    <row r="2517" spans="1:12">
      <c r="A2517" s="20" t="s">
        <v>1357</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1294</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1323</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1050</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1802</v>
      </c>
      <c r="B2521" s="21" t="s">
        <v>982</v>
      </c>
      <c r="C2521" s="21" t="s">
        <v>983</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1038</v>
      </c>
      <c r="B2522" s="21" t="s">
        <v>1101</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1154</v>
      </c>
      <c r="B2523" s="21" t="s">
        <v>1066</v>
      </c>
      <c r="C2523" s="21" t="s">
        <v>977</v>
      </c>
      <c r="D2523" s="21" t="s">
        <v>978</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979</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1220</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1803</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984</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1672</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1145</v>
      </c>
      <c r="B2529" s="21" t="s">
        <v>1035</v>
      </c>
      <c r="C2529" s="21" t="s">
        <v>1020</v>
      </c>
      <c r="D2529" s="21" t="s">
        <v>978</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1323</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1804</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1004</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609</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1805</v>
      </c>
      <c r="B2534" s="21" t="s">
        <v>1007</v>
      </c>
      <c r="C2534" s="21" t="s">
        <v>983</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996</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1737</v>
      </c>
      <c r="B2536" s="21" t="s">
        <v>1084</v>
      </c>
      <c r="C2536" s="21" t="s">
        <v>1057</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1000</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609</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1805</v>
      </c>
      <c r="B2539" s="21" t="s">
        <v>1084</v>
      </c>
      <c r="C2539" s="21" t="s">
        <v>983</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996</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1806</v>
      </c>
      <c r="B2541" s="21" t="s">
        <v>1040</v>
      </c>
      <c r="C2541" s="21" t="s">
        <v>1057</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996</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1807</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1050</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1808</v>
      </c>
      <c r="B2545" s="21" t="s">
        <v>1019</v>
      </c>
      <c r="C2545" s="21" t="s">
        <v>983</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1004</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1464</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609</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1809</v>
      </c>
      <c r="B2549" s="21" t="s">
        <v>1810</v>
      </c>
      <c r="C2549" s="21" t="s">
        <v>983</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1811</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1002</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1000</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1004</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1092</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1812</v>
      </c>
      <c r="B2555" s="21" t="s">
        <v>1007</v>
      </c>
      <c r="C2555" s="21" t="s">
        <v>995</v>
      </c>
      <c r="D2555" s="21" t="s">
        <v>978</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996</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1074</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1808</v>
      </c>
      <c r="B2558" s="21" t="s">
        <v>1084</v>
      </c>
      <c r="C2558" s="21" t="s">
        <v>995</v>
      </c>
      <c r="D2558" s="21" t="s">
        <v>978</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1002</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1145</v>
      </c>
      <c r="B2560" s="21" t="s">
        <v>1042</v>
      </c>
      <c r="C2560" s="21" t="s">
        <v>1020</v>
      </c>
      <c r="D2560" s="21" t="s">
        <v>978</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1757</v>
      </c>
      <c r="B2561" s="21" t="s">
        <v>1146</v>
      </c>
      <c r="C2561" s="21" t="s">
        <v>977</v>
      </c>
      <c r="D2561" s="21" t="s">
        <v>978</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1323</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1804</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1813</v>
      </c>
      <c r="B2564" s="21" t="s">
        <v>1146</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996</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1814</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1815</v>
      </c>
      <c r="B2567" s="21" t="s">
        <v>1040</v>
      </c>
      <c r="C2567" s="21" t="s">
        <v>1057</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1025</v>
      </c>
      <c r="B2568" s="21" t="s">
        <v>1016</v>
      </c>
      <c r="C2568" s="21" t="s">
        <v>977</v>
      </c>
      <c r="D2568" s="21" t="s">
        <v>978</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1816</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168</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1817</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1022</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row>
    <row r="2574" spans="1:12">
      <c r="A2574" s="20" t="s">
        <v>1818</v>
      </c>
    </row>
    <row r="2575" spans="1:12">
      <c r="A2575" s="20" t="s">
        <v>1125</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1805</v>
      </c>
      <c r="B2576" s="21" t="s">
        <v>976</v>
      </c>
      <c r="C2576" s="21" t="s">
        <v>995</v>
      </c>
      <c r="D2576" s="21" t="s">
        <v>978</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1819</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1076</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1820</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1482</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1821</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1058</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1050</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1822</v>
      </c>
      <c r="B2584" s="21" t="s">
        <v>989</v>
      </c>
      <c r="C2584" s="21" t="s">
        <v>983</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996</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53</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1823</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1002</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1106</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1038</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993</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1806</v>
      </c>
      <c r="B2592" s="21" t="s">
        <v>1095</v>
      </c>
      <c r="C2592" s="21" t="s">
        <v>995</v>
      </c>
      <c r="D2592" s="21" t="s">
        <v>978</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1824</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1591</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74</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1000</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96</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1825</v>
      </c>
      <c r="B2598" s="21" t="s">
        <v>986</v>
      </c>
      <c r="C2598" s="21" t="s">
        <v>1178</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1183</v>
      </c>
      <c r="B2599" s="21" t="s">
        <v>1052</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996</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1814</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1815</v>
      </c>
      <c r="B2602" s="21" t="s">
        <v>1054</v>
      </c>
      <c r="C2602" s="21" t="s">
        <v>1057</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12</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1788</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543</v>
      </c>
      <c r="B2605" s="21" t="s">
        <v>1007</v>
      </c>
      <c r="C2605" s="21" t="s">
        <v>1116</v>
      </c>
      <c r="D2605" s="21" t="s">
        <v>978</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1789</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12</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12</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1009</v>
      </c>
      <c r="B2609" s="21" t="s">
        <v>1229</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1025</v>
      </c>
      <c r="B2610" s="21" t="s">
        <v>1311</v>
      </c>
      <c r="C2610" s="21" t="s">
        <v>977</v>
      </c>
      <c r="D2610" s="21" t="s">
        <v>978</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1462</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1492</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1817</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1022</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row>
    <row r="2616" spans="1:12">
      <c r="A2616" s="20" t="s">
        <v>1826</v>
      </c>
    </row>
    <row r="2617" spans="1:12">
      <c r="A2617" s="20" t="s">
        <v>1827</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993</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750</v>
      </c>
      <c r="B2619" s="21" t="s">
        <v>976</v>
      </c>
      <c r="C2619" s="21" t="s">
        <v>995</v>
      </c>
      <c r="D2619" s="21" t="s">
        <v>978</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1135</v>
      </c>
      <c r="B2620" s="21" t="s">
        <v>982</v>
      </c>
      <c r="C2620" s="21" t="s">
        <v>977</v>
      </c>
      <c r="D2620" s="21" t="s">
        <v>978</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1828</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1384</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1002</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1024</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1154</v>
      </c>
      <c r="B2625" s="21" t="s">
        <v>1095</v>
      </c>
      <c r="C2625" s="21" t="s">
        <v>977</v>
      </c>
      <c r="D2625" s="21" t="s">
        <v>978</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979</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1829</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1081</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1830</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1230</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1092</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1111</v>
      </c>
      <c r="B2632" s="21" t="s">
        <v>1054</v>
      </c>
      <c r="C2632" s="21" t="s">
        <v>995</v>
      </c>
      <c r="D2632" s="21" t="s">
        <v>978</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1009</v>
      </c>
      <c r="B2633" s="21" t="s">
        <v>1146</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1010</v>
      </c>
      <c r="B2634" s="21" t="s">
        <v>1042</v>
      </c>
      <c r="C2634" s="21" t="s">
        <v>977</v>
      </c>
      <c r="D2634" s="21" t="s">
        <v>978</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1734</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93</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1482</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1831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996</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1832</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1633</v>
      </c>
      <c r="B2641" s="21" t="s">
        <v>1019</v>
      </c>
      <c r="C2641" s="21" t="s">
        <v>1020</v>
      </c>
      <c r="D2641" s="21" t="s">
        <v>978</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1002</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1038</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993</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750</v>
      </c>
      <c r="B2645" s="21" t="s">
        <v>1833</v>
      </c>
      <c r="C2645" s="21" t="s">
        <v>995</v>
      </c>
      <c r="D2645" s="21" t="s">
        <v>978</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997</v>
      </c>
      <c r="B2646" s="21" t="s">
        <v>1810</v>
      </c>
      <c r="C2646" s="21" t="s">
        <v>977</v>
      </c>
      <c r="D2646" s="21" t="s">
        <v>978</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1834</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1022</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row>
    <row r="2650" spans="1:12">
      <c r="A2650" s="20" t="s">
        <v>1835</v>
      </c>
    </row>
    <row r="2651" spans="1:12">
      <c r="A2651" s="20" t="s">
        <v>1481</v>
      </c>
      <c r="B2651" s="21" t="s">
        <v>976</v>
      </c>
      <c r="C2651" s="21" t="s">
        <v>977</v>
      </c>
      <c r="D2651" s="21" t="s">
        <v>978</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1836</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1216</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1217</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1247</v>
      </c>
      <c r="B2655" s="21" t="s">
        <v>1095</v>
      </c>
      <c r="C2655" s="21" t="s">
        <v>1020</v>
      </c>
      <c r="D2655" s="21" t="s">
        <v>978</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1837</v>
      </c>
      <c r="B2656" s="21" t="s">
        <v>1052</v>
      </c>
      <c r="C2656" s="21" t="s">
        <v>977</v>
      </c>
      <c r="D2656" s="21" t="s">
        <v>978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1564</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402</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1404</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row>
    <row r="2661" spans="1:12">
      <c r="A2661" s="20" t="s">
        <v>1838</v>
      </c>
    </row>
    <row r="2662" spans="1:12">
      <c r="A2662" s="20" t="s">
        <v>190</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992</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1047</v>
      </c>
      <c r="B2664" s="21" t="s">
        <v>976</v>
      </c>
      <c r="C2664" s="21" t="s">
        <v>977</v>
      </c>
      <c r="D2664" s="21" t="s">
        <v>978</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1839</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1216</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1217</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1782</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1002</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1145</v>
      </c>
      <c r="B2670" s="21" t="s">
        <v>1095</v>
      </c>
      <c r="C2670" s="21" t="s">
        <v>1020</v>
      </c>
      <c r="D2670" s="21" t="s">
        <v>978</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1011</v>
      </c>
      <c r="B2671" s="21" t="s">
        <v>1052</v>
      </c>
      <c r="C2671" s="21" t="s">
        <v>977</v>
      </c>
      <c r="D2671" s="21" t="s">
        <v>978</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1564</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402</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1022</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row>
    <row r="2676" spans="1:12">
      <c r="A2676" s="20" t="s">
        <v>1840</v>
      </c>
    </row>
    <row r="2677" spans="1:12">
      <c r="A2677" s="20" t="s">
        <v>190</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1841</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1002</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1842</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1025</v>
      </c>
      <c r="B2681" s="21" t="s">
        <v>1095</v>
      </c>
      <c r="C2681" s="21" t="s">
        <v>977</v>
      </c>
      <c r="D2681" s="21" t="s">
        <v>978</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1843</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1004</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1011</v>
      </c>
      <c r="B2684" s="21" t="s">
        <v>1101</v>
      </c>
      <c r="C2684" s="21" t="s">
        <v>977</v>
      </c>
      <c r="D2684" s="21" t="s">
        <v>978</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578</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1757</v>
      </c>
      <c r="B2686" s="21" t="s">
        <v>1007</v>
      </c>
      <c r="C2686" s="21" t="s">
        <v>987</v>
      </c>
      <c r="D2686" s="21" t="s">
        <v>978</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1683</v>
      </c>
      <c r="B2687" s="21" t="s">
        <v>1101</v>
      </c>
      <c r="C2687" s="21" t="s">
        <v>990</v>
      </c>
      <c r="D2687" s="21" t="s">
        <v>978</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1002</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1310</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1844</v>
      </c>
      <c r="B2690" s="21" t="s">
        <v>986</v>
      </c>
      <c r="C2690" s="21" t="s">
        <v>1008</v>
      </c>
      <c r="D2690" s="21" t="s">
        <v>978</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996</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1757</v>
      </c>
      <c r="B2692" s="21" t="s">
        <v>1007</v>
      </c>
      <c r="C2692" s="21" t="s">
        <v>987</v>
      </c>
      <c r="D2692" s="21" t="s">
        <v>978</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1845</v>
      </c>
      <c r="B2693" s="21" t="s">
        <v>1054</v>
      </c>
      <c r="C2693" s="21" t="s">
        <v>990</v>
      </c>
      <c r="D2693" s="21" t="s">
        <v>978</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1002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1310</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996</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1757</v>
      </c>
      <c r="B2697" s="21" t="s">
        <v>1084</v>
      </c>
      <c r="C2697" s="21" t="s">
        <v>987</v>
      </c>
      <c r="D2697" s="21" t="s">
        <v>978</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1846</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1847</v>
      </c>
      <c r="B2699" s="21" t="s">
        <v>1007</v>
      </c>
      <c r="C2699" s="21" t="s">
        <v>990</v>
      </c>
      <c r="D2699" s="21" t="s">
        <v>978</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1022</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row>
    <row r="2702" spans="1:12">
      <c r="A2702" s="20" t="s">
        <v>1848</v>
      </c>
    </row>
    <row r="2703" spans="1:12">
      <c r="A2703" s="20" t="s">
        <v>1849</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1002</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1065</v>
      </c>
      <c r="B2705" s="21" t="s">
        <v>976</v>
      </c>
      <c r="C2705" s="21" t="s">
        <v>1020</v>
      </c>
      <c r="D2705" s="21" t="s">
        <v>978</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1067</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1850</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1350</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1047</v>
      </c>
      <c r="B2709" s="21" t="s">
        <v>1095</v>
      </c>
      <c r="C2709" s="21" t="s">
        <v>977</v>
      </c>
      <c r="D2709" s="21" t="s">
        <v>978</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1288</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1038</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1092</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1111</v>
      </c>
      <c r="B2713" s="21" t="s">
        <v>1054</v>
      </c>
      <c r="C2713" s="21" t="s">
        <v>995</v>
      </c>
      <c r="D2713" s="21" t="s">
        <v>978</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1002</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1196</v>
      </c>
      <c r="B2715" s="21" t="s">
        <v>1066</v>
      </c>
      <c r="C2715" s="21" t="s">
        <v>1008</v>
      </c>
      <c r="D2715" s="21" t="s">
        <v>978</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1067</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997</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1851</v>
      </c>
      <c r="B2718" s="21" t="s">
        <v>986</v>
      </c>
      <c r="C2718" s="21" t="s">
        <v>995</v>
      </c>
      <c r="D2718" s="21" t="s">
        <v>978</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1852</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1038</v>
      </c>
      <c r="B2720" s="21" t="s">
        <v>1036</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1853</v>
      </c>
      <c r="B2721" s="21" t="s">
        <v>1035</v>
      </c>
      <c r="C2721" s="21" t="s">
        <v>1020</v>
      </c>
      <c r="D2721" s="21" t="s">
        <v>978</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1854</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1022</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row>
    <row r="2725" spans="1:12">
      <c r="A2725" s="20" t="s">
        <v>1855</v>
      </c>
    </row>
    <row r="2726" spans="1:12">
      <c r="A2726" s="20" t="s">
        <v>1357</v>
      </c>
      <c r="B2726" s="21" t="s">
        <v>986</v>
      </c>
      <c r="C2726" s="21" t="s">
        <v>977</v>
      </c>
      <c r="D2726" s="21" t="s">
        <v>978</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1294</v>
      </c>
      <c r="B2727" s="21" t="s">
        <v>1054</v>
      </c>
      <c r="C2727" s="21" t="s">
        <v>1020</v>
      </c>
      <c r="D2727" s="21" t="s">
        <v>978</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1323</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1168</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1169</v>
      </c>
      <c r="B2730" s="21" t="s">
        <v>989</v>
      </c>
      <c r="C2730" s="21" t="s">
        <v>1104</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1002</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1047</v>
      </c>
      <c r="B2732" s="21" t="s">
        <v>976</v>
      </c>
      <c r="C2732" s="21" t="s">
        <v>977</v>
      </c>
      <c r="D2732" s="21" t="s">
        <v>978</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1164</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1856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1004</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1050</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1857</v>
      </c>
      <c r="B2737" s="21" t="s">
        <v>989</v>
      </c>
      <c r="C2737" s="21" t="s">
        <v>983</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1002</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1000</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997</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1858</v>
      </c>
      <c r="B2741" s="21" t="s">
        <v>989</v>
      </c>
      <c r="C2741" s="21" t="s">
        <v>990</v>
      </c>
      <c r="D2741" s="21" t="s">
        <v>978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996</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1397</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1857</v>
      </c>
      <c r="B2744" s="21" t="s">
        <v>986</v>
      </c>
      <c r="C2744" s="21" t="s">
        <v>1063</v>
      </c>
      <c r="D2744" s="21" t="s">
        <v>978</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996</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1176</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1498</v>
      </c>
      <c r="B2747" s="21" t="s">
        <v>1054</v>
      </c>
      <c r="C2747" s="21" t="s">
        <v>1178</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1002</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1050</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1859</v>
      </c>
      <c r="B2750" s="21" t="s">
        <v>1095</v>
      </c>
      <c r="C2750" s="21" t="s">
        <v>983</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1135</v>
      </c>
      <c r="B2751" s="21" t="s">
        <v>1052</v>
      </c>
      <c r="C2751" s="21" t="s">
        <v>977</v>
      </c>
      <c r="D2751" s="21" t="s">
        <v>978</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1323</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1571</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1004</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1860</v>
      </c>
      <c r="B2755" s="21" t="s">
        <v>986</v>
      </c>
      <c r="C2755" s="21" t="s">
        <v>1057</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1002</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1000</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1468</v>
      </c>
      <c r="B2758" s="21" t="s">
        <v>1066</v>
      </c>
      <c r="C2758" s="21" t="s">
        <v>977</v>
      </c>
      <c r="D2758" s="21" t="s">
        <v>978</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1135</v>
      </c>
      <c r="B2759" s="21" t="s">
        <v>1101</v>
      </c>
      <c r="C2759" s="21" t="s">
        <v>977</v>
      </c>
      <c r="D2759" s="21" t="s">
        <v>978</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1323</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1384</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1216</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1217</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1182</v>
      </c>
      <c r="B2764" s="21" t="s">
        <v>1066</v>
      </c>
      <c r="C2764" s="21" t="s">
        <v>977</v>
      </c>
      <c r="D2764" s="21" t="s">
        <v>978</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1861</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1081</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1050</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1111</v>
      </c>
      <c r="B2768" s="21" t="s">
        <v>1054</v>
      </c>
      <c r="C2768" s="21" t="s">
        <v>983</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1000</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1154</v>
      </c>
      <c r="B2770" s="21" t="s">
        <v>1035</v>
      </c>
      <c r="C2770" s="21" t="s">
        <v>977</v>
      </c>
      <c r="D2770" s="21" t="s">
        <v>978</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1018</v>
      </c>
      <c r="B2771" s="21" t="s">
        <v>1036</v>
      </c>
      <c r="C2771" s="21" t="s">
        <v>1020</v>
      </c>
      <c r="D2771" s="21" t="s">
        <v>978</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1164</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609</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1862</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1863</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1002</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1194</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1047</v>
      </c>
      <c r="B2778" s="21" t="s">
        <v>1035</v>
      </c>
      <c r="C2778" s="21" t="s">
        <v>977</v>
      </c>
      <c r="D2778" s="21" t="s">
        <v>978</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1864</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1060</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1392</v>
      </c>
      <c r="B2781" s="21" t="s">
        <v>1036</v>
      </c>
      <c r="C2781" s="21" t="s">
        <v>1063</v>
      </c>
      <c r="D2781" s="21" t="s">
        <v>978</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1637</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1358</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1329</v>
      </c>
      <c r="B2784" s="21" t="s">
        <v>1007</v>
      </c>
      <c r="C2784" s="21" t="s">
        <v>1104</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1002</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1000</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1047</v>
      </c>
      <c r="B2787" s="21" t="s">
        <v>1066</v>
      </c>
      <c r="C2787" s="21" t="s">
        <v>977</v>
      </c>
      <c r="D2787" s="21" t="s">
        <v>978</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71</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335</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172</v>
      </c>
      <c r="B2790" s="21" t="s">
        <v>1101</v>
      </c>
      <c r="C2790" s="21" t="s">
        <v>1008</v>
      </c>
      <c r="D2790" s="21" t="s">
        <v>978</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1038</v>
      </c>
      <c r="B2791" s="21" t="s">
        <v>1146</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1865</v>
      </c>
      <c r="B2792" s="21" t="s">
        <v>1042</v>
      </c>
      <c r="C2792" s="21" t="s">
        <v>977</v>
      </c>
      <c r="D2792" s="21" t="s">
        <v>978</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1018</v>
      </c>
      <c r="B2793" s="21" t="s">
        <v>1146</v>
      </c>
      <c r="C2793" s="21" t="s">
        <v>1020</v>
      </c>
      <c r="D2793" s="21" t="s">
        <v>978</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1866</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1404</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row>
    <row r="2797" spans="1:12">
      <c r="A2797" s="20" t="s">
        <v>1867</v>
      </c>
    </row>
    <row r="2798" spans="1:12">
      <c r="A2798" s="20" t="s">
        <v>190</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1594</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1154</v>
      </c>
      <c r="B2800" s="21" t="s">
        <v>976</v>
      </c>
      <c r="C2800" s="21" t="s">
        <v>977</v>
      </c>
      <c r="D2800" s="21" t="s">
        <v>978</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979</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1219</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996</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1039</v>
      </c>
      <c r="B2804" s="21" t="s">
        <v>986</v>
      </c>
      <c r="C2804" s="21" t="s">
        <v>987</v>
      </c>
      <c r="D2804" s="21" t="s">
        <v>978</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1439</v>
      </c>
      <c r="B2805" s="21" t="s">
        <v>989</v>
      </c>
      <c r="C2805" s="21" t="s">
        <v>990</v>
      </c>
      <c r="D2805" s="21" t="s">
        <v>978</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996</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1662</v>
      </c>
      <c r="B2807" s="21" t="s">
        <v>1101</v>
      </c>
      <c r="C2807" s="21" t="s">
        <v>977</v>
      </c>
      <c r="D2807" s="21" t="s">
        <v>978</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1868</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1869</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1038</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1047</v>
      </c>
      <c r="B2811" s="21" t="s">
        <v>1042</v>
      </c>
      <c r="C2811" s="21" t="s">
        <v>977</v>
      </c>
      <c r="D2811" s="21" t="s">
        <v>978</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1428</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1022</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row>
    <row r="2815" spans="1:12">
      <c r="A2815" s="20" t="s">
        <v>1870</v>
      </c>
    </row>
    <row r="2816" spans="1:12">
      <c r="A2816" s="20" t="s">
        <v>992</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1046</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1468</v>
      </c>
      <c r="B2818" s="21" t="s">
        <v>976</v>
      </c>
      <c r="C2818" s="21" t="s">
        <v>977</v>
      </c>
      <c r="D2818" s="21" t="s">
        <v>978</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1323</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1384</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1216</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1217</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1871</v>
      </c>
      <c r="B2823" s="21" t="s">
        <v>1095</v>
      </c>
      <c r="C2823" s="21" t="s">
        <v>977</v>
      </c>
      <c r="D2823" s="21" t="s">
        <v>978</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1872</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1002</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1039</v>
      </c>
      <c r="B2826" s="21" t="s">
        <v>1007</v>
      </c>
      <c r="C2826" s="21" t="s">
        <v>987</v>
      </c>
      <c r="D2826" s="21" t="s">
        <v>978</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1873</v>
      </c>
      <c r="B2827" s="21" t="s">
        <v>1066</v>
      </c>
      <c r="C2827" s="21" t="s">
        <v>990</v>
      </c>
      <c r="D2827" s="21" t="s">
        <v>978</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1116</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1874</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1670</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196</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1633</v>
      </c>
      <c r="B2832" s="21" t="s">
        <v>1036</v>
      </c>
      <c r="C2832" s="21" t="s">
        <v>1020</v>
      </c>
      <c r="D2832" s="21" t="s">
        <v>978</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1022</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row>
    <row r="2835" spans="1:12">
      <c r="A2835" s="20" t="s">
        <v>1875</v>
      </c>
    </row>
    <row r="2836" spans="1:12">
      <c r="A2836" s="20" t="s">
        <v>1152</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1219</v>
      </c>
      <c r="B2837" s="21" t="s">
        <v>986</v>
      </c>
      <c r="C2837" s="21" t="s">
        <v>1057</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1002</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1196</v>
      </c>
      <c r="B2839" s="21" t="s">
        <v>976</v>
      </c>
      <c r="C2839" s="21" t="s">
        <v>1008</v>
      </c>
      <c r="D2839" s="21" t="s">
        <v>978</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1067</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1050</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323</v>
      </c>
      <c r="B2842" s="21" t="s">
        <v>989</v>
      </c>
      <c r="C2842" s="21" t="s">
        <v>983</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1002</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1235</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1142</v>
      </c>
      <c r="B2845" s="21" t="s">
        <v>986</v>
      </c>
      <c r="C2845" s="21" t="s">
        <v>1767</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1633</v>
      </c>
      <c r="B2846" s="21" t="s">
        <v>1095</v>
      </c>
      <c r="C2846" s="21" t="s">
        <v>1020</v>
      </c>
      <c r="D2846" s="21" t="s">
        <v>978</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1072</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1400</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1189</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996</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1876</v>
      </c>
      <c r="B2851" s="21" t="s">
        <v>1052</v>
      </c>
      <c r="C2851" s="21" t="s">
        <v>983</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1002</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1106</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1047</v>
      </c>
      <c r="B2854" s="21" t="s">
        <v>1066</v>
      </c>
      <c r="C2854" s="21" t="s">
        <v>977</v>
      </c>
      <c r="D2854" s="21" t="s">
        <v>978</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1002</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1865</v>
      </c>
      <c r="B2856" s="21" t="s">
        <v>1101</v>
      </c>
      <c r="C2856" s="21" t="s">
        <v>977</v>
      </c>
      <c r="D2856" s="21" t="s">
        <v>978</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1872</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1002</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1877</v>
      </c>
      <c r="B2859" s="21" t="s">
        <v>1035</v>
      </c>
      <c r="C2859" s="21" t="s">
        <v>1008</v>
      </c>
      <c r="D2859" s="21" t="s">
        <v>978</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1443</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1591</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1563</v>
      </c>
      <c r="B2862" s="21" t="s">
        <v>1007</v>
      </c>
      <c r="C2862" s="21" t="s">
        <v>977</v>
      </c>
      <c r="D2862" s="21" t="s">
        <v>978</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1022</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row>
    <row r="2865" spans="1:12">
      <c r="A2865" s="20" t="s">
        <v>1878</v>
      </c>
    </row>
    <row r="2866" spans="1:12">
      <c r="A2866" s="20" t="s">
        <v>190</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992</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1154</v>
      </c>
      <c r="B2868" s="21" t="s">
        <v>976</v>
      </c>
      <c r="C2868" s="21" t="s">
        <v>977</v>
      </c>
      <c r="D2868" s="21" t="s">
        <v>978</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979</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1879</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1216</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1217</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1089</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1880</v>
      </c>
      <c r="B2874" s="21" t="s">
        <v>989</v>
      </c>
      <c r="C2874" s="21" t="s">
        <v>1057</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1002</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1189</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996</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1446</v>
      </c>
      <c r="B2878" s="21" t="s">
        <v>1054</v>
      </c>
      <c r="C2878" s="21" t="s">
        <v>1057</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1022</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row>
    <row r="2881" spans="1:12">
      <c r="A2881" s="20" t="s">
        <v>1881</v>
      </c>
    </row>
    <row r="2882" spans="1:12">
      <c r="A2882" s="20" t="s">
        <v>190</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992</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997</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1882</v>
      </c>
      <c r="B2885" s="21" t="s">
        <v>989</v>
      </c>
      <c r="C2885" s="21" t="s">
        <v>990</v>
      </c>
      <c r="D2885" s="21" t="s">
        <v>978</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996</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1397</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1305</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1857</v>
      </c>
      <c r="B2889" s="21" t="s">
        <v>986</v>
      </c>
      <c r="C2889" s="21" t="s">
        <v>1063</v>
      </c>
      <c r="D2889" s="21" t="s">
        <v>978</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1002</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1261</v>
      </c>
      <c r="B2891" s="21" t="s">
        <v>986</v>
      </c>
      <c r="C2891" s="21" t="s">
        <v>987</v>
      </c>
      <c r="D2891" s="21" t="s">
        <v>978</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1873</v>
      </c>
      <c r="B2892" s="21" t="s">
        <v>976</v>
      </c>
      <c r="C2892" s="21" t="s">
        <v>990</v>
      </c>
      <c r="D2892" s="21" t="s">
        <v>978</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1135</v>
      </c>
      <c r="B2893" s="21" t="s">
        <v>982</v>
      </c>
      <c r="C2893" s="21" t="s">
        <v>977</v>
      </c>
      <c r="D2893" s="21" t="s">
        <v>978</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1323</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1571</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1004</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1860</v>
      </c>
      <c r="B2897" s="21" t="s">
        <v>989</v>
      </c>
      <c r="C2897" s="21" t="s">
        <v>1057</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1002</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1000</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1010</v>
      </c>
      <c r="B2900" s="21" t="s">
        <v>1066</v>
      </c>
      <c r="C2900" s="21" t="s">
        <v>977</v>
      </c>
      <c r="D2900" s="21" t="s">
        <v>978</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1135</v>
      </c>
      <c r="B2901" s="21" t="s">
        <v>1101</v>
      </c>
      <c r="C2901" s="21" t="s">
        <v>977</v>
      </c>
      <c r="D2901" s="21" t="s">
        <v>978</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1323</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1384</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1216</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1217</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1159</v>
      </c>
      <c r="B2906" s="21" t="s">
        <v>1054</v>
      </c>
      <c r="C2906" s="21" t="s">
        <v>987</v>
      </c>
      <c r="D2906" s="21" t="s">
        <v>978</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1520</v>
      </c>
      <c r="B2907" s="21" t="s">
        <v>1095</v>
      </c>
      <c r="C2907" s="21" t="s">
        <v>990</v>
      </c>
      <c r="D2907" s="21" t="s">
        <v>978</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1116</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1011</v>
      </c>
      <c r="B2909" s="21" t="s">
        <v>1052</v>
      </c>
      <c r="C2909" s="21" t="s">
        <v>977</v>
      </c>
      <c r="D2909" s="21" t="s">
        <v>978</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1883</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1189</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1018</v>
      </c>
      <c r="B2912" s="21" t="s">
        <v>1101</v>
      </c>
      <c r="C2912" s="21" t="s">
        <v>1020</v>
      </c>
      <c r="D2912" s="21" t="s">
        <v>978</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1884</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1018</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1885</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1038</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1886</v>
      </c>
      <c r="B2917" s="21" t="s">
        <v>1054</v>
      </c>
      <c r="C2917" s="21" t="s">
        <v>1057</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1002</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1070</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1468</v>
      </c>
      <c r="B2920" s="21" t="s">
        <v>1035</v>
      </c>
      <c r="C2920" s="21" t="s">
        <v>977</v>
      </c>
      <c r="D2920" s="21" t="s">
        <v>978</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997</v>
      </c>
      <c r="B2921" s="21" t="s">
        <v>1036</v>
      </c>
      <c r="C2921" s="21" t="s">
        <v>977</v>
      </c>
      <c r="D2921" s="21" t="s">
        <v>978</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1887</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1002</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1194</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1047</v>
      </c>
      <c r="B2925" s="21" t="s">
        <v>1035</v>
      </c>
      <c r="C2925" s="21" t="s">
        <v>977</v>
      </c>
      <c r="D2925" s="21" t="s">
        <v>978</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1861</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1081</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1050</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1111</v>
      </c>
      <c r="B2929" s="21" t="s">
        <v>1007</v>
      </c>
      <c r="C2929" s="21" t="s">
        <v>983</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1637</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1358</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1329</v>
      </c>
      <c r="B2932" s="21" t="s">
        <v>1007</v>
      </c>
      <c r="C2932" s="21" t="s">
        <v>1104</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1000</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1047</v>
      </c>
      <c r="B2934" s="21" t="s">
        <v>1035</v>
      </c>
      <c r="C2934" s="21" t="s">
        <v>977</v>
      </c>
      <c r="D2934" s="21" t="s">
        <v>978</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1864</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996</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993</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1392</v>
      </c>
      <c r="B2938" s="21" t="s">
        <v>1007</v>
      </c>
      <c r="C2938" s="21" t="s">
        <v>995</v>
      </c>
      <c r="D2938" s="21" t="s">
        <v>978</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1002</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1000</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1047</v>
      </c>
      <c r="B2941" s="21" t="s">
        <v>1035</v>
      </c>
      <c r="C2941" s="21" t="s">
        <v>977</v>
      </c>
      <c r="D2941" s="21" t="s">
        <v>978</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1011</v>
      </c>
      <c r="B2942" s="21" t="s">
        <v>1036</v>
      </c>
      <c r="C2942" s="21" t="s">
        <v>977</v>
      </c>
      <c r="D2942" s="21" t="s">
        <v>978</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1888</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row>
    <row r="2945" spans="1:12">
      <c r="A2945" s="20" t="s">
        <v>1889</v>
      </c>
    </row>
    <row r="2946" spans="1:12">
      <c r="A2946" s="20" t="s">
        <v>1481</v>
      </c>
      <c r="B2946" s="21" t="s">
        <v>976</v>
      </c>
      <c r="C2946" s="21" t="s">
        <v>977</v>
      </c>
      <c r="D2946" s="21" t="s">
        <v>978</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1093</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1890</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993</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1061</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1891</v>
      </c>
      <c r="B2951" s="21" t="s">
        <v>982</v>
      </c>
      <c r="C2951" s="21" t="s">
        <v>995</v>
      </c>
      <c r="D2951" s="21" t="s">
        <v>978</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1002</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984</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1419</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1892</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1893</v>
      </c>
      <c r="B2956" s="21" t="s">
        <v>986</v>
      </c>
      <c r="C2956" s="21" t="s">
        <v>1178</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984</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1092</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1305</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1894</v>
      </c>
      <c r="B2960" s="21" t="s">
        <v>1054</v>
      </c>
      <c r="C2960" s="21" t="s">
        <v>995</v>
      </c>
      <c r="D2960" s="21" t="s">
        <v>978</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1022</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row>
    <row r="2963" spans="1:12">
      <c r="A2963" s="20" t="s">
        <v>1895</v>
      </c>
    </row>
    <row r="2964" spans="1:12">
      <c r="A2964" s="20" t="s">
        <v>992</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1154</v>
      </c>
      <c r="B2965" s="21" t="s">
        <v>976</v>
      </c>
      <c r="C2965" s="21" t="s">
        <v>977</v>
      </c>
      <c r="D2965" s="21" t="s">
        <v>978</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979</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1384</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1038</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1047</v>
      </c>
      <c r="B2969" s="21" t="s">
        <v>1095</v>
      </c>
      <c r="C2969" s="21" t="s">
        <v>977</v>
      </c>
      <c r="D2969" s="21" t="s">
        <v>978</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1896</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1038</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1092</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1897</v>
      </c>
      <c r="B2973" s="21" t="s">
        <v>1066</v>
      </c>
      <c r="C2973" s="21" t="s">
        <v>995</v>
      </c>
      <c r="D2973" s="21" t="s">
        <v>978</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1004</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997</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1898</v>
      </c>
      <c r="B2976" s="21" t="s">
        <v>1007</v>
      </c>
      <c r="C2976" s="21" t="s">
        <v>990</v>
      </c>
      <c r="D2976" s="21" t="s">
        <v>978</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996</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1757</v>
      </c>
      <c r="B2978" s="21" t="s">
        <v>1040</v>
      </c>
      <c r="C2978" s="21" t="s">
        <v>987</v>
      </c>
      <c r="D2978" s="21" t="s">
        <v>978</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1899</v>
      </c>
      <c r="B2979" s="21" t="s">
        <v>1084</v>
      </c>
      <c r="C2979" s="21" t="s">
        <v>990</v>
      </c>
      <c r="D2979" s="21" t="s">
        <v>978</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1874</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93</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1004</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1074</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1900</v>
      </c>
      <c r="B2984" s="21" t="s">
        <v>1007</v>
      </c>
      <c r="C2984" s="21" t="s">
        <v>990</v>
      </c>
      <c r="D2984" s="21" t="s">
        <v>978</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996</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1253</v>
      </c>
      <c r="B2986" s="21" t="s">
        <v>1040</v>
      </c>
      <c r="C2986" s="21" t="s">
        <v>987</v>
      </c>
      <c r="D2986" s="21" t="s">
        <v>978</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1386</v>
      </c>
      <c r="B2987" s="21" t="s">
        <v>1084</v>
      </c>
      <c r="C2987" s="21" t="s">
        <v>990</v>
      </c>
      <c r="D2987" s="21" t="s">
        <v>978</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1022</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row>
    <row r="2990" spans="1:12">
      <c r="A2990" s="20" t="s">
        <v>1901</v>
      </c>
    </row>
    <row r="2991" spans="1:12">
      <c r="A2991" s="20" t="s">
        <v>1174</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1154</v>
      </c>
      <c r="B2992" s="21" t="s">
        <v>976</v>
      </c>
      <c r="C2992" s="21" t="s">
        <v>977</v>
      </c>
      <c r="D2992" s="21" t="s">
        <v>978</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979</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1465</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1401</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1902</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1120</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1074</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1557</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1903</v>
      </c>
      <c r="B3000" s="21" t="s">
        <v>989</v>
      </c>
      <c r="C3000" s="21" t="s">
        <v>995</v>
      </c>
      <c r="D3000" s="21" t="s">
        <v>978</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1038</v>
      </c>
      <c r="B3001" s="21" t="s">
        <v>1101</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1625</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172</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1851</v>
      </c>
      <c r="B3004" s="21" t="s">
        <v>1066</v>
      </c>
      <c r="C3004" s="21" t="s">
        <v>1063</v>
      </c>
      <c r="D3004" s="21" t="s">
        <v>978</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1904</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1022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row>
    <row r="3008" spans="1:12">
      <c r="A3008" s="20" t="s">
        <v>1905</v>
      </c>
    </row>
    <row r="3009" spans="1:12">
      <c r="A3009" s="20" t="s">
        <v>1512</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1111</v>
      </c>
      <c r="B3010" s="21" t="s">
        <v>976</v>
      </c>
      <c r="C3010" s="21" t="s">
        <v>995</v>
      </c>
      <c r="D3010" s="21" t="s">
        <v>978</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1067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1906</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1022</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row>
    <row r="3015" spans="1:12">
      <c r="A3015" s="20" t="s">
        <v>1907</v>
      </c>
    </row>
    <row r="3016" spans="1:12">
      <c r="A3016" s="20" t="s">
        <v>1624</v>
      </c>
      <c r="B3016" s="21" t="s">
        <v>976</v>
      </c>
      <c r="C3016" s="21" t="s">
        <v>977</v>
      </c>
      <c r="D3016" s="21" t="s">
        <v>978</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1908</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1885</v>
      </c>
      <c r="B3018" s="21" t="s">
        <v>982</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996</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1329</v>
      </c>
      <c r="B3020" s="21" t="s">
        <v>986</v>
      </c>
      <c r="C3020" s="21" t="s">
        <v>1057</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1000</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1081</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1909</v>
      </c>
      <c r="B3023" s="21" t="s">
        <v>1054</v>
      </c>
      <c r="C3023" s="21" t="s">
        <v>1057</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1002</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1000</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1092</v>
      </c>
      <c r="B3026" s="21" t="s">
        <v>1052</v>
      </c>
      <c r="C3026" s="21" t="s">
        <v>977</v>
      </c>
      <c r="D3026" s="21" t="s">
        <v>978</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1807</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1260</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1079</v>
      </c>
      <c r="B3029" s="21" t="s">
        <v>986</v>
      </c>
      <c r="C3029" s="21" t="s">
        <v>1057</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1002</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1877</v>
      </c>
      <c r="B3031" s="21" t="s">
        <v>1066</v>
      </c>
      <c r="C3031" s="21" t="s">
        <v>1008</v>
      </c>
      <c r="D3031" s="21" t="s">
        <v>978</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1597</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1092</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1111</v>
      </c>
      <c r="B3034" s="21" t="s">
        <v>1101</v>
      </c>
      <c r="C3034" s="21" t="s">
        <v>995</v>
      </c>
      <c r="D3034" s="21" t="s">
        <v>978</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1059</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1668</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1022</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row>
    <row r="3039" spans="1:12">
      <c r="A3039" s="20" t="s">
        <v>1910</v>
      </c>
    </row>
    <row r="3040" spans="1:12">
      <c r="A3040" s="20" t="s">
        <v>992</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1046</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1154</v>
      </c>
      <c r="B3042" s="21" t="s">
        <v>976</v>
      </c>
      <c r="C3042" s="21" t="s">
        <v>977</v>
      </c>
      <c r="D3042" s="21" t="s">
        <v>978</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979</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1332</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1004</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1911</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1230</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1608</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993</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1912</v>
      </c>
      <c r="B3050" s="21" t="s">
        <v>986</v>
      </c>
      <c r="C3050" s="21" t="s">
        <v>995</v>
      </c>
      <c r="D3050" s="21" t="s">
        <v>978</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1009</v>
      </c>
      <c r="B3051" s="21" t="s">
        <v>1036</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1828</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993</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750</v>
      </c>
      <c r="B3054" s="21" t="s">
        <v>1035</v>
      </c>
      <c r="C3054" s="21" t="s">
        <v>995</v>
      </c>
      <c r="D3054" s="21" t="s">
        <v>978</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996</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1093</v>
      </c>
      <c r="B3056" s="21" t="s">
        <v>1229</v>
      </c>
      <c r="C3056" s="21" t="s">
        <v>977</v>
      </c>
      <c r="D3056" s="21" t="s">
        <v>978</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1913</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1022</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row>
    <row r="3060" spans="1:12">
      <c r="A3060" s="20" t="s">
        <v>1914</v>
      </c>
    </row>
    <row r="3061" spans="1:12">
      <c r="A3061" s="20" t="s">
        <v>1915</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997</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1916</v>
      </c>
      <c r="B3063" s="21" t="s">
        <v>989</v>
      </c>
      <c r="C3063" s="21" t="s">
        <v>995</v>
      </c>
      <c r="D3063" s="21" t="s">
        <v>978</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1002</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1154</v>
      </c>
      <c r="B3065" s="21" t="s">
        <v>976</v>
      </c>
      <c r="C3065" s="21" t="s">
        <v>977</v>
      </c>
      <c r="D3065" s="21" t="s">
        <v>978</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1185</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1401</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1917</v>
      </c>
      <c r="B3068" s="21" t="s">
        <v>989</v>
      </c>
      <c r="C3068" s="21" t="s">
        <v>1057</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1918</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1022</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row>
    <row r="3072" spans="1:12">
      <c r="A3072" s="20" t="s">
        <v>1919</v>
      </c>
    </row>
    <row r="3073" spans="1:12">
      <c r="A3073" s="20" t="s">
        <v>975</v>
      </c>
      <c r="B3073" s="21" t="s">
        <v>976</v>
      </c>
      <c r="C3073" s="21" t="s">
        <v>977</v>
      </c>
      <c r="D3073" s="21" t="s">
        <v>978</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979</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1346</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1009</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1010</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1294</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1147</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1168</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1920</v>
      </c>
      <c r="B3081" s="21" t="s">
        <v>1052</v>
      </c>
      <c r="C3081" s="21" t="s">
        <v>1104</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996</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1393</v>
      </c>
      <c r="B3083" s="21" t="s">
        <v>1054</v>
      </c>
      <c r="C3083" s="21" t="s">
        <v>1057</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1142</v>
      </c>
      <c r="B3084" s="21" t="s">
        <v>1035</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1921</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1002</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1196</v>
      </c>
      <c r="B3087" s="21" t="s">
        <v>1095</v>
      </c>
      <c r="C3087" s="21" t="s">
        <v>1008</v>
      </c>
      <c r="D3087" s="21" t="s">
        <v>978</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1076</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1922</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12</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1009</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1010</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1017</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1923</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996</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997</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1924</v>
      </c>
      <c r="B3097" s="21" t="s">
        <v>1054</v>
      </c>
      <c r="C3097" s="21" t="s">
        <v>995</v>
      </c>
      <c r="D3097" s="21" t="s">
        <v>978</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1002</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1573</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1925</v>
      </c>
      <c r="B3100" s="21" t="s">
        <v>1007</v>
      </c>
      <c r="C3100" s="21" t="s">
        <v>1104</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996</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1926</v>
      </c>
      <c r="B3102" s="21" t="s">
        <v>1084</v>
      </c>
      <c r="C3102" s="21" t="s">
        <v>1057</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1002</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1927</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1092</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1393</v>
      </c>
      <c r="B3106" s="21" t="s">
        <v>1007</v>
      </c>
      <c r="C3106" s="21" t="s">
        <v>995</v>
      </c>
      <c r="D3106" s="21" t="s">
        <v>978</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1928</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1002</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1000</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1038</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1065</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997</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1443</v>
      </c>
      <c r="B3113" s="21" t="s">
        <v>1066</v>
      </c>
      <c r="C3113" s="21" t="s">
        <v>995</v>
      </c>
      <c r="D3113" s="21" t="s">
        <v>978</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1076</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1072</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1929</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1330</v>
      </c>
      <c r="B3117" s="21" t="s">
        <v>1066</v>
      </c>
      <c r="C3117" s="21" t="s">
        <v>1020</v>
      </c>
      <c r="D3117" s="21" t="s">
        <v>978</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1022</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row>
    <row r="3120" spans="1:12">
      <c r="A3120" s="20" t="s">
        <v>1930</v>
      </c>
    </row>
    <row r="3121" spans="1:12">
      <c r="A3121" s="20" t="s">
        <v>992</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1046</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1002</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1154</v>
      </c>
      <c r="B3124" s="21" t="s">
        <v>976</v>
      </c>
      <c r="C3124" s="21" t="s">
        <v>977</v>
      </c>
      <c r="D3124" s="21" t="s">
        <v>978</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979</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1747</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1050</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1239</v>
      </c>
      <c r="B3128" s="21" t="s">
        <v>982</v>
      </c>
      <c r="C3128" s="21" t="s">
        <v>983</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1022</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row>
    <row r="3131" spans="1:12">
      <c r="A3131" s="20" t="s">
        <v>1931</v>
      </c>
    </row>
    <row r="3132" spans="1:12">
      <c r="A3132" s="20" t="s">
        <v>1280</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1865</v>
      </c>
      <c r="B3133" s="21" t="s">
        <v>1095</v>
      </c>
      <c r="C3133" s="21" t="s">
        <v>977</v>
      </c>
      <c r="D3133" s="21" t="s">
        <v>978</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1932</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609</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1933</v>
      </c>
      <c r="B3136" s="21" t="s">
        <v>1052</v>
      </c>
      <c r="C3136" s="21" t="s">
        <v>983</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996</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997</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1934</v>
      </c>
      <c r="B3139" s="21" t="s">
        <v>1054</v>
      </c>
      <c r="C3139" s="21" t="s">
        <v>995</v>
      </c>
      <c r="D3139" s="21" t="s">
        <v>978</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1002</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1000</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1865</v>
      </c>
      <c r="B3142" s="21" t="s">
        <v>1066</v>
      </c>
      <c r="C3142" s="21" t="s">
        <v>977</v>
      </c>
      <c r="D3142" s="21" t="s">
        <v>978</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1865</v>
      </c>
      <c r="B3143" s="21" t="s">
        <v>1101</v>
      </c>
      <c r="C3143" s="21" t="s">
        <v>977</v>
      </c>
      <c r="D3143" s="21" t="s">
        <v>978</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1935</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1038</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1865</v>
      </c>
      <c r="B3146" s="21" t="s">
        <v>1101</v>
      </c>
      <c r="C3146" s="21" t="s">
        <v>977</v>
      </c>
      <c r="D3146" s="21" t="s">
        <v>978</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1936</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1230</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1092</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988</v>
      </c>
      <c r="B3150" s="21" t="s">
        <v>1054</v>
      </c>
      <c r="C3150" s="21" t="s">
        <v>995</v>
      </c>
      <c r="D3150" s="21" t="s">
        <v>978</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1657</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96</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1937</v>
      </c>
      <c r="B3153" s="21" t="s">
        <v>1054</v>
      </c>
      <c r="C3153" s="21" t="s">
        <v>1178</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1002</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1102</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1938</v>
      </c>
      <c r="B3156" s="21" t="s">
        <v>976</v>
      </c>
      <c r="C3156" s="21" t="s">
        <v>1104</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1865</v>
      </c>
      <c r="B3157" s="21" t="s">
        <v>982</v>
      </c>
      <c r="C3157" s="21" t="s">
        <v>977</v>
      </c>
      <c r="D3157" s="21" t="s">
        <v>978</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1219</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13</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1439</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1002</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1877</v>
      </c>
      <c r="B3162" s="21" t="s">
        <v>1095</v>
      </c>
      <c r="C3162" s="21" t="s">
        <v>1008</v>
      </c>
      <c r="D3162" s="21" t="s">
        <v>978</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1874</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1482</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1519</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1865</v>
      </c>
      <c r="B3166" s="21" t="s">
        <v>1101</v>
      </c>
      <c r="C3166" s="21" t="s">
        <v>977</v>
      </c>
      <c r="D3166" s="21" t="s">
        <v>978</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414</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13</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1439</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1002</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1194</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1865</v>
      </c>
      <c r="B3172" s="21" t="s">
        <v>1095</v>
      </c>
      <c r="C3172" s="21" t="s">
        <v>977</v>
      </c>
      <c r="D3172" s="21" t="s">
        <v>978</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1932</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1137</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1000</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1865</v>
      </c>
      <c r="B3176" s="21" t="s">
        <v>1066</v>
      </c>
      <c r="C3176" s="21" t="s">
        <v>977</v>
      </c>
      <c r="D3176" s="21" t="s">
        <v>978</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1939</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1550</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1018</v>
      </c>
      <c r="B3179" s="21" t="s">
        <v>1101</v>
      </c>
      <c r="C3179" s="21" t="s">
        <v>1020</v>
      </c>
      <c r="D3179" s="21" t="s">
        <v>978</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62</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1022</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row>
    <row r="3183" spans="1:12">
      <c r="A3183" s="20" t="s">
        <v>1940</v>
      </c>
    </row>
    <row r="3184" spans="1:12">
      <c r="A3184" s="20" t="s">
        <v>1174</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1070</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1865</v>
      </c>
      <c r="B3186" s="21" t="s">
        <v>1095</v>
      </c>
      <c r="C3186" s="21" t="s">
        <v>977</v>
      </c>
      <c r="D3186" s="21" t="s">
        <v>978</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1935</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1038</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1865</v>
      </c>
      <c r="B3189" s="21" t="s">
        <v>1066</v>
      </c>
      <c r="C3189" s="21" t="s">
        <v>977</v>
      </c>
      <c r="D3189" s="21" t="s">
        <v>978</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1932</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1050</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1111</v>
      </c>
      <c r="B3192" s="21" t="s">
        <v>1101</v>
      </c>
      <c r="C3192" s="21" t="s">
        <v>983</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1002</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1000</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1865</v>
      </c>
      <c r="B3195" s="21" t="s">
        <v>1101</v>
      </c>
      <c r="C3195" s="21" t="s">
        <v>977</v>
      </c>
      <c r="D3195" s="21" t="s">
        <v>978</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1936</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1230</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1092</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988</v>
      </c>
      <c r="B3199" s="21" t="s">
        <v>986</v>
      </c>
      <c r="C3199" s="21" t="s">
        <v>995</v>
      </c>
      <c r="D3199" s="21" t="s">
        <v>978</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1657</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96</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1937</v>
      </c>
      <c r="B3202" s="21" t="s">
        <v>1054</v>
      </c>
      <c r="C3202" s="21" t="s">
        <v>1178</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1102</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1344</v>
      </c>
      <c r="B3204" s="21" t="s">
        <v>976</v>
      </c>
      <c r="C3204" s="21" t="s">
        <v>1104</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1865</v>
      </c>
      <c r="B3205" s="21" t="s">
        <v>982</v>
      </c>
      <c r="C3205" s="21" t="s">
        <v>977</v>
      </c>
      <c r="D3205" s="21" t="s">
        <v>978</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1219</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13</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1439</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1002</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1106</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1289</v>
      </c>
      <c r="B3211" s="21" t="s">
        <v>1095</v>
      </c>
      <c r="C3211" s="21" t="s">
        <v>1008</v>
      </c>
      <c r="D3211" s="21" t="s">
        <v>978</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1323</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1941</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1002</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1942</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1092</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1111</v>
      </c>
      <c r="B3217" s="21" t="s">
        <v>1095</v>
      </c>
      <c r="C3217" s="21" t="s">
        <v>995</v>
      </c>
      <c r="D3217" s="21" t="s">
        <v>978</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1067</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1050</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1792</v>
      </c>
      <c r="B3220" s="21" t="s">
        <v>989</v>
      </c>
      <c r="C3220" s="21" t="s">
        <v>983</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1142</v>
      </c>
      <c r="B3221" s="21" t="s">
        <v>1066</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1714</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1230</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1665</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1145</v>
      </c>
      <c r="B3225" s="21" t="s">
        <v>1035</v>
      </c>
      <c r="C3225" s="21" t="s">
        <v>1020</v>
      </c>
      <c r="D3225" s="21" t="s">
        <v>978</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1093</v>
      </c>
      <c r="B3226" s="21" t="s">
        <v>1036</v>
      </c>
      <c r="C3226" s="21" t="s">
        <v>977</v>
      </c>
      <c r="D3226" s="21" t="s">
        <v>978</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1543</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1002</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1000</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1070</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1865</v>
      </c>
      <c r="B3231" s="21" t="s">
        <v>1311</v>
      </c>
      <c r="C3231" s="21" t="s">
        <v>977</v>
      </c>
      <c r="D3231" s="21" t="s">
        <v>978</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1865</v>
      </c>
      <c r="B3232" s="21" t="s">
        <v>1229</v>
      </c>
      <c r="C3232" s="21" t="s">
        <v>977</v>
      </c>
      <c r="D3232" s="21" t="s">
        <v>978</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1943</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1439</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1002</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1106</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1944</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1002</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1865</v>
      </c>
      <c r="B3239" s="21" t="s">
        <v>1042</v>
      </c>
      <c r="C3239" s="21" t="s">
        <v>977</v>
      </c>
      <c r="D3239" s="21" t="s">
        <v>978</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1072</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1945</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1183</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1712</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1022</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row>
    <row r="3246" spans="1:12">
      <c r="A3246" s="20" t="s">
        <v>1946</v>
      </c>
    </row>
    <row r="3247" spans="1:12">
      <c r="A3247" s="20" t="s">
        <v>1594</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1047</v>
      </c>
      <c r="B3248" s="21" t="s">
        <v>976</v>
      </c>
      <c r="C3248" s="21" t="s">
        <v>977</v>
      </c>
      <c r="D3248" s="21" t="s">
        <v>978</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1164</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1743</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1220</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1183</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1947</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1948</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1092</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1949</v>
      </c>
      <c r="B3256" s="21" t="s">
        <v>986</v>
      </c>
      <c r="C3256" s="21" t="s">
        <v>995</v>
      </c>
      <c r="D3256" s="21" t="s">
        <v>978</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1081</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1340</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1476</v>
      </c>
      <c r="B3259" s="21" t="s">
        <v>1054</v>
      </c>
      <c r="C3259" s="21" t="s">
        <v>1057</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1022</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row>
    <row r="3262" spans="1:12">
      <c r="A3262" s="20" t="s">
        <v>1950</v>
      </c>
    </row>
    <row r="3263" spans="1:12">
      <c r="A3263" s="20" t="s">
        <v>992</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1047</v>
      </c>
      <c r="B3264" s="21" t="s">
        <v>976</v>
      </c>
      <c r="C3264" s="21" t="s">
        <v>977</v>
      </c>
      <c r="D3264" s="21" t="s">
        <v>978</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1951</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996</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993</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1952</v>
      </c>
      <c r="B3268" s="21" t="s">
        <v>989</v>
      </c>
      <c r="C3268" s="21" t="s">
        <v>995</v>
      </c>
      <c r="D3268" s="21" t="s">
        <v>978</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1002</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996</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993</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1953</v>
      </c>
      <c r="B3272" s="21" t="s">
        <v>989</v>
      </c>
      <c r="C3272" s="21" t="s">
        <v>995</v>
      </c>
      <c r="D3272" s="21" t="s">
        <v>978</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996</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1952</v>
      </c>
      <c r="B3274" s="21" t="s">
        <v>986</v>
      </c>
      <c r="C3274" s="21" t="s">
        <v>1057</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996</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750</v>
      </c>
      <c r="B3276" s="21" t="s">
        <v>1054</v>
      </c>
      <c r="C3276" s="21" t="s">
        <v>1057</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1142</v>
      </c>
      <c r="B3277" s="21" t="s">
        <v>1066</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1135</v>
      </c>
      <c r="B3278" s="21" t="s">
        <v>1101</v>
      </c>
      <c r="C3278" s="21" t="s">
        <v>977</v>
      </c>
      <c r="D3278" s="21" t="s">
        <v>978</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1954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1235</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1011</v>
      </c>
      <c r="B3281" s="21" t="s">
        <v>1036</v>
      </c>
      <c r="C3281" s="21" t="s">
        <v>977</v>
      </c>
      <c r="D3281" s="21" t="s">
        <v>978</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1955</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172</v>
      </c>
      <c r="B3283" s="21" t="s">
        <v>1036</v>
      </c>
      <c r="C3283" s="21" t="s">
        <v>1008</v>
      </c>
      <c r="D3283" s="21" t="s">
        <v>978</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1142</v>
      </c>
      <c r="B3284" s="21" t="s">
        <v>1311</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1308</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1235</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1956</v>
      </c>
      <c r="B3287" s="21" t="s">
        <v>1040</v>
      </c>
      <c r="C3287" s="21" t="s">
        <v>1020</v>
      </c>
      <c r="D3287" s="21" t="s">
        <v>978</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1022</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row>
    <row r="3290" spans="1:12">
      <c r="A3290" s="20" t="s">
        <v>1957</v>
      </c>
    </row>
    <row r="3291" spans="1:12">
      <c r="A3291" s="20" t="s">
        <v>1202</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1004</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1074</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1808</v>
      </c>
      <c r="B3294" s="21" t="s">
        <v>989</v>
      </c>
      <c r="C3294" s="21" t="s">
        <v>995</v>
      </c>
      <c r="D3294" s="21" t="s">
        <v>978</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1002</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1018</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1958</v>
      </c>
      <c r="B3297" s="21" t="s">
        <v>989</v>
      </c>
      <c r="C3297" s="21" t="s">
        <v>1057</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1002</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1145</v>
      </c>
      <c r="B3299" s="21" t="s">
        <v>976</v>
      </c>
      <c r="C3299" s="21" t="s">
        <v>1020</v>
      </c>
      <c r="D3299" s="21" t="s">
        <v>978</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1011</v>
      </c>
      <c r="B3300" s="21" t="s">
        <v>982</v>
      </c>
      <c r="C3300" s="21" t="s">
        <v>977</v>
      </c>
      <c r="D3300" s="21" t="s">
        <v>978</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1959</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996</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993</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1797</v>
      </c>
      <c r="B3304" s="21" t="s">
        <v>989</v>
      </c>
      <c r="C3304" s="21" t="s">
        <v>995</v>
      </c>
      <c r="D3304" s="21" t="s">
        <v>978</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1230</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1092</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1960</v>
      </c>
      <c r="B3307" s="21" t="s">
        <v>986</v>
      </c>
      <c r="C3307" s="21" t="s">
        <v>995</v>
      </c>
      <c r="D3307" s="21" t="s">
        <v>978</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1022</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row>
    <row r="3310" spans="1:12">
      <c r="A3310" s="20" t="s">
        <v>1961</v>
      </c>
    </row>
    <row r="3311" spans="1:12">
      <c r="A3311" s="20" t="s">
        <v>1962</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1608</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993</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1952</v>
      </c>
      <c r="B3314" s="21" t="s">
        <v>989</v>
      </c>
      <c r="C3314" s="21" t="s">
        <v>995</v>
      </c>
      <c r="D3314" s="21" t="s">
        <v>978</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1038</v>
      </c>
      <c r="B3315" s="21" t="s">
        <v>1101</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1154</v>
      </c>
      <c r="B3316" s="21" t="s">
        <v>1066</v>
      </c>
      <c r="C3316" s="21" t="s">
        <v>977</v>
      </c>
      <c r="D3316" s="21" t="s">
        <v>978</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979</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1963</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1002</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985</v>
      </c>
      <c r="B3320" s="21" t="s">
        <v>986</v>
      </c>
      <c r="C3320" s="21" t="s">
        <v>987</v>
      </c>
      <c r="D3320" s="21" t="s">
        <v>978</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1964</v>
      </c>
      <c r="B3321" s="21" t="s">
        <v>976</v>
      </c>
      <c r="C3321" s="21" t="s">
        <v>990</v>
      </c>
      <c r="D3321" s="21" t="s">
        <v>978</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1067</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1844</v>
      </c>
      <c r="B3323" s="21" t="s">
        <v>989</v>
      </c>
      <c r="C3323" s="21" t="s">
        <v>1008</v>
      </c>
      <c r="D3323" s="21" t="s">
        <v>978</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1965</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1120</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1050</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1520</v>
      </c>
      <c r="B3327" s="21" t="s">
        <v>986</v>
      </c>
      <c r="C3327" s="21" t="s">
        <v>983</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1142</v>
      </c>
      <c r="B3328" s="21" t="s">
        <v>1035</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1323</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1966</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1235</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183</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1009</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1468</v>
      </c>
      <c r="B3334" s="21" t="s">
        <v>1311</v>
      </c>
      <c r="C3334" s="21" t="s">
        <v>977</v>
      </c>
      <c r="D3334" s="21" t="s">
        <v>978</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1147</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1967</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1092</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1393</v>
      </c>
      <c r="B3338" s="21" t="s">
        <v>1229</v>
      </c>
      <c r="C3338" s="21" t="s">
        <v>995</v>
      </c>
      <c r="D3338" s="21" t="s">
        <v>978</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1002</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1468</v>
      </c>
      <c r="B3340" s="21" t="s">
        <v>1095</v>
      </c>
      <c r="C3340" s="21" t="s">
        <v>977</v>
      </c>
      <c r="D3340" s="21" t="s">
        <v>978</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1147</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1967</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997</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1924</v>
      </c>
      <c r="B3344" s="21" t="s">
        <v>1052</v>
      </c>
      <c r="C3344" s="21" t="s">
        <v>995</v>
      </c>
      <c r="D3344" s="21" t="s">
        <v>978</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1002</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1468</v>
      </c>
      <c r="B3346" s="21" t="s">
        <v>1095</v>
      </c>
      <c r="C3346" s="21" t="s">
        <v>977</v>
      </c>
      <c r="D3346" s="21" t="s">
        <v>978</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1147</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1967</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1004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1862</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1968</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1065</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1002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1000</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1468</v>
      </c>
      <c r="B3355" s="21" t="s">
        <v>1035</v>
      </c>
      <c r="C3355" s="21" t="s">
        <v>977</v>
      </c>
      <c r="D3355" s="21" t="s">
        <v>978</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1147</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1138</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1050</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1969</v>
      </c>
      <c r="B3359" s="21" t="s">
        <v>1036</v>
      </c>
      <c r="C3359" s="21" t="s">
        <v>983</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1000</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1468</v>
      </c>
      <c r="B3361" s="21" t="s">
        <v>1035</v>
      </c>
      <c r="C3361" s="21" t="s">
        <v>977</v>
      </c>
      <c r="D3361" s="21" t="s">
        <v>978</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1970</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1038</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1047</v>
      </c>
      <c r="B3364" s="21" t="s">
        <v>1042</v>
      </c>
      <c r="C3364" s="21" t="s">
        <v>977</v>
      </c>
      <c r="D3364" s="21" t="s">
        <v>978</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1092</v>
      </c>
      <c r="B3365" s="21" t="s">
        <v>1146</v>
      </c>
      <c r="C3365" s="21" t="s">
        <v>977</v>
      </c>
      <c r="D3365" s="21" t="s">
        <v>978</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1971</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1004</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1027</v>
      </c>
      <c r="B3368" s="21" t="s">
        <v>1084</v>
      </c>
      <c r="C3368" s="21" t="s">
        <v>1020</v>
      </c>
      <c r="D3368" s="21" t="s">
        <v>978</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1002</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1000</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1092</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1969</v>
      </c>
      <c r="B3372" s="21" t="s">
        <v>1084</v>
      </c>
      <c r="C3372" s="21" t="s">
        <v>995</v>
      </c>
      <c r="D3372" s="21" t="s">
        <v>978</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1002</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1196</v>
      </c>
      <c r="B3374" s="21" t="s">
        <v>1095</v>
      </c>
      <c r="C3374" s="21" t="s">
        <v>1008</v>
      </c>
      <c r="D3374" s="21" t="s">
        <v>978</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1076</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1092</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1972</v>
      </c>
      <c r="B3377" s="21" t="s">
        <v>989</v>
      </c>
      <c r="C3377" s="21" t="s">
        <v>995</v>
      </c>
      <c r="D3377" s="21" t="s">
        <v>978</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996</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993</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1973</v>
      </c>
      <c r="B3380" s="21" t="s">
        <v>986</v>
      </c>
      <c r="C3380" s="21" t="s">
        <v>995</v>
      </c>
      <c r="D3380" s="21" t="s">
        <v>978</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1018</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1974</v>
      </c>
      <c r="B3382" s="21" t="s">
        <v>1054</v>
      </c>
      <c r="C3382" s="21" t="s">
        <v>1057</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1022</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row>
    <row r="3385" spans="1:12">
      <c r="A3385" s="20" t="s">
        <v>1975</v>
      </c>
    </row>
    <row r="3386" spans="1:12">
      <c r="A3386" s="20" t="s">
        <v>1624</v>
      </c>
      <c r="B3386" s="21" t="s">
        <v>976</v>
      </c>
      <c r="C3386" s="21" t="s">
        <v>977</v>
      </c>
      <c r="D3386" s="21" t="s">
        <v>978</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1135</v>
      </c>
      <c r="B3387" s="21" t="s">
        <v>982</v>
      </c>
      <c r="C3387" s="21" t="s">
        <v>977</v>
      </c>
      <c r="D3387" s="21" t="s">
        <v>978</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1018</v>
      </c>
      <c r="B3388" s="21" t="s">
        <v>986</v>
      </c>
      <c r="C3388" s="21" t="s">
        <v>1020</v>
      </c>
      <c r="D3388" s="21" t="s">
        <v>978</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1323</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1148</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1976</v>
      </c>
      <c r="B3391" s="21" t="s">
        <v>982</v>
      </c>
      <c r="C3391" s="21" t="s">
        <v>1020</v>
      </c>
      <c r="D3391" s="21" t="s">
        <v>978</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1022</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row>
    <row r="3394" spans="1:12">
      <c r="A3394" s="20" t="s">
        <v>1977</v>
      </c>
    </row>
    <row r="3395" spans="1:12">
      <c r="A3395" s="20" t="s">
        <v>992</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1047</v>
      </c>
      <c r="B3396" s="21" t="s">
        <v>976</v>
      </c>
      <c r="C3396" s="21" t="s">
        <v>977</v>
      </c>
      <c r="D3396" s="21" t="s">
        <v>978</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1116</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993</v>
      </c>
      <c r="B3398" s="21" t="s">
        <v>982</v>
      </c>
      <c r="C3398" s="21" t="s">
        <v>977</v>
      </c>
      <c r="D3398" s="21" t="s">
        <v>978</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1714</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1189</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1018</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172</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1199</v>
      </c>
      <c r="B3403" s="21" t="s">
        <v>989</v>
      </c>
      <c r="C3403" s="21" t="s">
        <v>1063</v>
      </c>
      <c r="D3403" s="21" t="s">
        <v>978</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1022</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row>
    <row r="3406" spans="1:12">
      <c r="A3406" s="20" t="s">
        <v>1978</v>
      </c>
    </row>
    <row r="3407" spans="1:12">
      <c r="A3407" s="20" t="s">
        <v>1182</v>
      </c>
      <c r="B3407" s="21" t="s">
        <v>976</v>
      </c>
      <c r="C3407" s="21" t="s">
        <v>977</v>
      </c>
      <c r="D3407" s="21" t="s">
        <v>978</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1662</v>
      </c>
      <c r="B3408" s="21" t="s">
        <v>982</v>
      </c>
      <c r="C3408" s="21" t="s">
        <v>977</v>
      </c>
      <c r="D3408" s="21" t="s">
        <v>978</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979</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1979</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996</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1093</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1980</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1230</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997</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1650</v>
      </c>
      <c r="B3416" s="21" t="s">
        <v>986</v>
      </c>
      <c r="C3416" s="21" t="s">
        <v>995</v>
      </c>
      <c r="D3416" s="21" t="s">
        <v>978</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1981</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984</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997</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1982</v>
      </c>
      <c r="B3420" s="21" t="s">
        <v>986</v>
      </c>
      <c r="C3420" s="21" t="s">
        <v>995</v>
      </c>
      <c r="D3420" s="21" t="s">
        <v>978</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996</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993</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1983</v>
      </c>
      <c r="B3423" s="21" t="s">
        <v>1054</v>
      </c>
      <c r="C3423" s="21" t="s">
        <v>995</v>
      </c>
      <c r="D3423" s="21" t="s">
        <v>978</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1984</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1022</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row>
    <row r="3427" spans="1:12">
      <c r="A3427" s="20" t="s">
        <v>1985</v>
      </c>
    </row>
    <row r="3428" spans="1:12">
      <c r="A3428" s="20" t="s">
        <v>1174</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1259</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1002</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1024</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1047</v>
      </c>
      <c r="B3432" s="21" t="s">
        <v>1095</v>
      </c>
      <c r="C3432" s="21" t="s">
        <v>977</v>
      </c>
      <c r="D3432" s="21" t="s">
        <v>978</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1164</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1986</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1004</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1092</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1987</v>
      </c>
      <c r="B3437" s="21" t="s">
        <v>986</v>
      </c>
      <c r="C3437" s="21" t="s">
        <v>995</v>
      </c>
      <c r="D3437" s="21" t="s">
        <v>978</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996</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993</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1476</v>
      </c>
      <c r="B3440" s="21" t="s">
        <v>1054</v>
      </c>
      <c r="C3440" s="21" t="s">
        <v>995</v>
      </c>
      <c r="D3440" s="21" t="s">
        <v>978</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1988</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1002</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1154</v>
      </c>
      <c r="B3443" s="21" t="s">
        <v>976</v>
      </c>
      <c r="C3443" s="21" t="s">
        <v>977</v>
      </c>
      <c r="D3443" s="21" t="s">
        <v>978</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979</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1465</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1747</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row>
    <row r="3448" spans="1:12">
      <c r="A3448" s="20" t="s">
        <v>1989</v>
      </c>
    </row>
    <row r="3449" spans="1:12">
      <c r="A3449" s="20" t="s">
        <v>975</v>
      </c>
      <c r="B3449" s="21" t="s">
        <v>976</v>
      </c>
      <c r="C3449" s="21" t="s">
        <v>977</v>
      </c>
      <c r="D3449" s="21" t="s">
        <v>978</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979</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1990</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1004</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609</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1991</v>
      </c>
      <c r="B3454" s="21" t="s">
        <v>989</v>
      </c>
      <c r="C3454" s="21" t="s">
        <v>983</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1992</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1004</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997</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1993</v>
      </c>
      <c r="B3458" s="21" t="s">
        <v>986</v>
      </c>
      <c r="C3458" s="21" t="s">
        <v>1116</v>
      </c>
      <c r="D3458" s="21" t="s">
        <v>978</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1142</v>
      </c>
      <c r="B3459" s="21" t="s">
        <v>1066</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1994</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1189</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1335</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996</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1995</v>
      </c>
      <c r="B3464" s="21" t="s">
        <v>1007</v>
      </c>
      <c r="C3464" s="21" t="s">
        <v>1057</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996</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1996</v>
      </c>
      <c r="B3466" s="21" t="s">
        <v>1084</v>
      </c>
      <c r="C3466" s="21" t="s">
        <v>1057</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1000</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1047</v>
      </c>
      <c r="B3468" s="21" t="s">
        <v>1095</v>
      </c>
      <c r="C3468" s="21" t="s">
        <v>977</v>
      </c>
      <c r="D3468" s="21" t="s">
        <v>978</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1116</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1135</v>
      </c>
      <c r="B3470" s="21" t="s">
        <v>1052</v>
      </c>
      <c r="C3470" s="21" t="s">
        <v>977</v>
      </c>
      <c r="D3470" s="21" t="s">
        <v>978</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1294</v>
      </c>
      <c r="B3471" s="21" t="s">
        <v>1052</v>
      </c>
      <c r="C3471" s="21" t="s">
        <v>1020</v>
      </c>
      <c r="D3471" s="21" t="s">
        <v>978</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1997</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1189</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1018</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172</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1199</v>
      </c>
      <c r="B3476" s="21" t="s">
        <v>986</v>
      </c>
      <c r="C3476" s="21" t="s">
        <v>1063</v>
      </c>
      <c r="D3476" s="21" t="s">
        <v>978</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1002</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1194</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1168</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1169</v>
      </c>
      <c r="B3480" s="21" t="s">
        <v>1054</v>
      </c>
      <c r="C3480" s="21" t="s">
        <v>1104</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1183</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1998</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1047</v>
      </c>
      <c r="B3483" s="21" t="s">
        <v>1066</v>
      </c>
      <c r="C3483" s="21" t="s">
        <v>977</v>
      </c>
      <c r="D3483" s="21" t="s">
        <v>978</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1999</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1230</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609</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1382</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2000</v>
      </c>
      <c r="B3488" s="21" t="s">
        <v>1054</v>
      </c>
      <c r="C3488" s="21" t="s">
        <v>983</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1002</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1004</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997</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2001</v>
      </c>
      <c r="B3492" s="21" t="s">
        <v>1054</v>
      </c>
      <c r="C3492" s="21" t="s">
        <v>1116</v>
      </c>
      <c r="D3492" s="21" t="s">
        <v>978</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1002</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1000</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1010</v>
      </c>
      <c r="B3495" s="21" t="s">
        <v>1066</v>
      </c>
      <c r="C3495" s="21" t="s">
        <v>977</v>
      </c>
      <c r="D3495" s="21" t="s">
        <v>978</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1135</v>
      </c>
      <c r="B3496" s="21" t="s">
        <v>1101</v>
      </c>
      <c r="C3496" s="21" t="s">
        <v>977</v>
      </c>
      <c r="D3496" s="21" t="s">
        <v>978</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1067</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2002</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996</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1129</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1074</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1683</v>
      </c>
      <c r="B3502" s="21" t="s">
        <v>1036</v>
      </c>
      <c r="C3502" s="21" t="s">
        <v>995</v>
      </c>
      <c r="D3502" s="21" t="s">
        <v>978</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1004</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1361</v>
      </c>
      <c r="B3504" s="21" t="s">
        <v>1007</v>
      </c>
      <c r="C3504" s="21" t="s">
        <v>1020</v>
      </c>
      <c r="D3504" s="21" t="s">
        <v>978</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1002</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1000</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1010</v>
      </c>
      <c r="B3507" s="21" t="s">
        <v>1066</v>
      </c>
      <c r="C3507" s="21" t="s">
        <v>977</v>
      </c>
      <c r="D3507" s="21" t="s">
        <v>978</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1135</v>
      </c>
      <c r="B3508" s="21" t="s">
        <v>1101</v>
      </c>
      <c r="C3508" s="21" t="s">
        <v>977</v>
      </c>
      <c r="D3508" s="21" t="s">
        <v>978</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1323</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1384</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1216</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1217</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1518</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1519</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1002</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1865</v>
      </c>
      <c r="B3516" s="21" t="s">
        <v>1036</v>
      </c>
      <c r="C3516" s="21" t="s">
        <v>977</v>
      </c>
      <c r="D3516" s="21" t="s">
        <v>978</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1872</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1002</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1289</v>
      </c>
      <c r="B3519" s="21" t="s">
        <v>1054</v>
      </c>
      <c r="C3519" s="21" t="s">
        <v>1008</v>
      </c>
      <c r="D3519" s="21" t="s">
        <v>978</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1196</v>
      </c>
      <c r="B3520" s="21" t="s">
        <v>1066</v>
      </c>
      <c r="C3520" s="21" t="s">
        <v>1008</v>
      </c>
      <c r="D3520" s="21" t="s">
        <v>978</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1067</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2003</v>
      </c>
      <c r="B3522" s="21" t="s">
        <v>986</v>
      </c>
      <c r="C3522" s="21" t="s">
        <v>1116</v>
      </c>
      <c r="D3522" s="21" t="s">
        <v>978</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996</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1074</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2004</v>
      </c>
      <c r="B3525" s="21" t="s">
        <v>1054</v>
      </c>
      <c r="C3525" s="21" t="s">
        <v>995</v>
      </c>
      <c r="D3525" s="21" t="s">
        <v>978</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1002</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1000</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1087</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1196</v>
      </c>
      <c r="B3529" s="21" t="s">
        <v>1066</v>
      </c>
      <c r="C3529" s="21" t="s">
        <v>1008</v>
      </c>
      <c r="D3529" s="21" t="s">
        <v>978</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1067</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2003</v>
      </c>
      <c r="B3531" s="21" t="s">
        <v>986</v>
      </c>
      <c r="C3531" s="21" t="s">
        <v>1116</v>
      </c>
      <c r="D3531" s="21" t="s">
        <v>978</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996</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1074</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2005</v>
      </c>
      <c r="B3534" s="21" t="s">
        <v>1054</v>
      </c>
      <c r="C3534" s="21" t="s">
        <v>1116</v>
      </c>
      <c r="D3534" s="21" t="s">
        <v>978</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1002</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1000</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1497</v>
      </c>
      <c r="B3537" s="21" t="s">
        <v>1007</v>
      </c>
      <c r="C3537" s="21" t="s">
        <v>987</v>
      </c>
      <c r="D3537" s="21" t="s">
        <v>978</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2006</v>
      </c>
      <c r="B3538" s="21" t="s">
        <v>1066</v>
      </c>
      <c r="C3538" s="21" t="s">
        <v>990</v>
      </c>
      <c r="D3538" s="21" t="s">
        <v>978</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1478</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1002</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1018</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1358</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2007</v>
      </c>
      <c r="B3543" s="21" t="s">
        <v>986</v>
      </c>
      <c r="C3543" s="21" t="s">
        <v>1104</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1002</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1482</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1892</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1002</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1194</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1145</v>
      </c>
      <c r="B3549" s="21" t="s">
        <v>1066</v>
      </c>
      <c r="C3549" s="21" t="s">
        <v>1020</v>
      </c>
      <c r="D3549" s="21" t="s">
        <v>978</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1018</v>
      </c>
      <c r="B3550" s="21" t="s">
        <v>1054</v>
      </c>
      <c r="C3550" s="21" t="s">
        <v>1020</v>
      </c>
      <c r="D3550" s="21" t="s">
        <v>978</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1323</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1573</v>
      </c>
      <c r="B3552" s="21" t="s">
        <v>986</v>
      </c>
      <c r="C3552" s="21" t="s">
        <v>1020</v>
      </c>
      <c r="D3552" s="21" t="s">
        <v>978</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1142</v>
      </c>
      <c r="B3553" s="21" t="s">
        <v>1035</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2008</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1573</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2009</v>
      </c>
      <c r="B3556" s="21" t="s">
        <v>1036</v>
      </c>
      <c r="C3556" s="21" t="s">
        <v>1104</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1058</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172</v>
      </c>
      <c r="B3558" s="21" t="s">
        <v>1084</v>
      </c>
      <c r="C3558" s="21" t="s">
        <v>1008</v>
      </c>
      <c r="D3558" s="21" t="s">
        <v>978</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1038</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1865</v>
      </c>
      <c r="B3560" s="21" t="s">
        <v>1016</v>
      </c>
      <c r="C3560" s="21" t="s">
        <v>977</v>
      </c>
      <c r="D3560" s="21" t="s">
        <v>978</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2010</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1022</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row>
    <row r="3564" spans="1:12">
      <c r="A3564" s="20" t="s">
        <v>2011</v>
      </c>
    </row>
    <row r="3565" spans="1:12">
      <c r="A3565" s="20" t="s">
        <v>190</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992</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1154</v>
      </c>
      <c r="B3567" s="21" t="s">
        <v>976</v>
      </c>
      <c r="C3567" s="21" t="s">
        <v>977</v>
      </c>
      <c r="D3567" s="21" t="s">
        <v>978</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979</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1879</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2012</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2013</v>
      </c>
      <c r="B3571" s="21" t="s">
        <v>982</v>
      </c>
      <c r="C3571" s="21" t="s">
        <v>1116</v>
      </c>
      <c r="D3571" s="21" t="s">
        <v>978</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1434</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1022</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row>
    <row r="3575" spans="1:12">
      <c r="A3575" s="20" t="s">
        <v>2014</v>
      </c>
    </row>
    <row r="3576" spans="1:12">
      <c r="A3576" s="20" t="s">
        <v>190</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992</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1010</v>
      </c>
      <c r="B3578" s="21" t="s">
        <v>976</v>
      </c>
      <c r="C3578" s="21" t="s">
        <v>977</v>
      </c>
      <c r="D3578" s="21" t="s">
        <v>978</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1323</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1384</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1216</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1217</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1782</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1002</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1194</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1145</v>
      </c>
      <c r="B3586" s="21" t="s">
        <v>1095</v>
      </c>
      <c r="C3586" s="21" t="s">
        <v>1020</v>
      </c>
      <c r="D3586" s="21" t="s">
        <v>978</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1323</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1347</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1189</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1335</v>
      </c>
      <c r="B3590" s="21" t="s">
        <v>1052</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996</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2015</v>
      </c>
      <c r="B3592" s="21" t="s">
        <v>1054</v>
      </c>
      <c r="C3592" s="21" t="s">
        <v>1057</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1058</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996</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993</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2016</v>
      </c>
      <c r="B3596" s="21" t="s">
        <v>1007</v>
      </c>
      <c r="C3596" s="21" t="s">
        <v>995</v>
      </c>
      <c r="D3596" s="21" t="s">
        <v>978</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1018</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2017</v>
      </c>
      <c r="B3598" s="21" t="s">
        <v>1084</v>
      </c>
      <c r="C3598" s="21" t="s">
        <v>1057</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2018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2019</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1002</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2020</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1141</v>
      </c>
      <c r="B3603" s="21" t="s">
        <v>1084</v>
      </c>
      <c r="C3603" s="21" t="s">
        <v>1008</v>
      </c>
      <c r="D3603" s="21" t="s">
        <v>978</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1142</v>
      </c>
      <c r="B3604" s="21" t="s">
        <v>1016</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1478</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2021</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2022</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1167</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997</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2023</v>
      </c>
      <c r="B3610" s="21" t="s">
        <v>1317</v>
      </c>
      <c r="C3610" s="21" t="s">
        <v>995</v>
      </c>
      <c r="D3610" s="21" t="s">
        <v>978</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1022</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row>
    <row r="3613" spans="1:12">
      <c r="A3613" s="20" t="s">
        <v>2024</v>
      </c>
    </row>
    <row r="3614" spans="1:12">
      <c r="A3614" s="20" t="s">
        <v>190</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992</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1154</v>
      </c>
      <c r="B3616" s="21" t="s">
        <v>976</v>
      </c>
      <c r="C3616" s="21" t="s">
        <v>977</v>
      </c>
      <c r="D3616" s="21" t="s">
        <v>978</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979</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1804</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1216</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1217</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2025</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1274</v>
      </c>
      <c r="B3622" s="21" t="s">
        <v>982</v>
      </c>
      <c r="C3622" s="21" t="s">
        <v>1104</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996</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2015</v>
      </c>
      <c r="B3624" s="21" t="s">
        <v>986</v>
      </c>
      <c r="C3624" s="21" t="s">
        <v>1057</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1404</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row>
    <row r="3627" spans="1:12">
      <c r="A3627" s="20" t="s">
        <v>1451</v>
      </c>
    </row>
    <row r="3628" spans="1:12">
      <c r="A3628" s="20" t="s">
        <v>190</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row>
    <row r="3630" spans="1:12">
      <c r="A3630" s="20" t="s">
        <v>2026</v>
      </c>
    </row>
    <row r="3631" spans="1:12">
      <c r="A3631" s="20" t="s">
        <v>992</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1010</v>
      </c>
      <c r="B3632" s="21" t="s">
        <v>976</v>
      </c>
      <c r="C3632" s="21" t="s">
        <v>977</v>
      </c>
      <c r="D3632" s="21" t="s">
        <v>978</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1323</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1879</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1216</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1217</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1518</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1519</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1002</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1025</v>
      </c>
      <c r="B3640" s="21" t="s">
        <v>1066</v>
      </c>
      <c r="C3640" s="21" t="s">
        <v>977</v>
      </c>
      <c r="D3640" s="21" t="s">
        <v>978</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2027</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1397</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1239</v>
      </c>
      <c r="B3643" s="21" t="s">
        <v>1101</v>
      </c>
      <c r="C3643" s="21" t="s">
        <v>1063</v>
      </c>
      <c r="D3643" s="21" t="s">
        <v>978</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2028</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1022</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row>
    <row r="3647" spans="1:12">
      <c r="A3647" s="20" t="s">
        <v>2029</v>
      </c>
    </row>
    <row r="3648" spans="1:12">
      <c r="A3648" s="20" t="s">
        <v>1481</v>
      </c>
      <c r="B3648" s="21" t="s">
        <v>976</v>
      </c>
      <c r="C3648" s="21" t="s">
        <v>977</v>
      </c>
      <c r="D3648" s="21" t="s">
        <v>978</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1116</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2027</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1189</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868</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993</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750</v>
      </c>
      <c r="B3654" s="21" t="s">
        <v>1052</v>
      </c>
      <c r="C3654" s="21" t="s">
        <v>995</v>
      </c>
      <c r="D3654" s="21" t="s">
        <v>978</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1260</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997</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2030</v>
      </c>
      <c r="B3657" s="21" t="s">
        <v>986</v>
      </c>
      <c r="C3657" s="21" t="s">
        <v>995</v>
      </c>
      <c r="D3657" s="21" t="s">
        <v>978</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1002</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845</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2031</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1145</v>
      </c>
      <c r="B3661" s="21" t="s">
        <v>1066</v>
      </c>
      <c r="C3661" s="21" t="s">
        <v>1020</v>
      </c>
      <c r="D3661" s="21" t="s">
        <v>978</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1093</v>
      </c>
      <c r="B3662" s="21" t="s">
        <v>1101</v>
      </c>
      <c r="C3662" s="21" t="s">
        <v>977</v>
      </c>
      <c r="D3662" s="21" t="s">
        <v>978</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1543</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1439</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1022</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row>
    <row r="3667" spans="1:12">
      <c r="A3667" s="20" t="s">
        <v>2032</v>
      </c>
    </row>
    <row r="3668" spans="1:12">
      <c r="A3668" s="20" t="s">
        <v>1481</v>
      </c>
      <c r="B3668" s="21" t="s">
        <v>976</v>
      </c>
      <c r="C3668" s="21" t="s">
        <v>977</v>
      </c>
      <c r="D3668" s="21" t="s">
        <v>978</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1072</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1828</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1189</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2033</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993</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2034</v>
      </c>
      <c r="B3674" s="21" t="s">
        <v>982</v>
      </c>
      <c r="C3674" s="21" t="s">
        <v>995</v>
      </c>
      <c r="D3674" s="21" t="s">
        <v>978</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1310</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1092</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2035</v>
      </c>
      <c r="B3677" s="21" t="s">
        <v>986</v>
      </c>
      <c r="C3677" s="21" t="s">
        <v>995</v>
      </c>
      <c r="D3677" s="21" t="s">
        <v>978</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1002</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1235</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2036</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993</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750</v>
      </c>
      <c r="B3682" s="21" t="s">
        <v>1052</v>
      </c>
      <c r="C3682" s="21" t="s">
        <v>995</v>
      </c>
      <c r="D3682" s="21" t="s">
        <v>978</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1022</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row>
    <row r="3685" spans="1:12">
      <c r="A3685" s="20" t="s">
        <v>2037</v>
      </c>
    </row>
    <row r="3686" spans="1:12">
      <c r="A3686" s="20" t="s">
        <v>1481</v>
      </c>
      <c r="B3686" s="21" t="s">
        <v>976</v>
      </c>
      <c r="C3686" s="21" t="s">
        <v>977</v>
      </c>
      <c r="D3686" s="21" t="s">
        <v>978</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1072</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1828</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1189</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2038</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1092</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2039</v>
      </c>
      <c r="B3692" s="21" t="s">
        <v>982</v>
      </c>
      <c r="C3692" s="21" t="s">
        <v>995</v>
      </c>
      <c r="D3692" s="21" t="s">
        <v>978</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2040</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1022</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row>
    <row r="3696" spans="1:12">
      <c r="A3696" s="20" t="s">
        <v>2041</v>
      </c>
    </row>
    <row r="3697" spans="1:12">
      <c r="A3697" s="20" t="s">
        <v>1481</v>
      </c>
      <c r="B3697" s="21" t="s">
        <v>976</v>
      </c>
      <c r="C3697" s="21" t="s">
        <v>977</v>
      </c>
      <c r="D3697" s="21" t="s">
        <v>978</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1072</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1828</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1189</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2042</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1092</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1111</v>
      </c>
      <c r="B3703" s="21" t="s">
        <v>982</v>
      </c>
      <c r="C3703" s="21" t="s">
        <v>995</v>
      </c>
      <c r="D3703" s="21" t="s">
        <v>978</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1032</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609</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1041</v>
      </c>
      <c r="B3706" s="21" t="s">
        <v>989</v>
      </c>
      <c r="C3706" s="21" t="s">
        <v>983</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2043</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1022</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row>
    <row r="3710" spans="1:12">
      <c r="A3710" s="20" t="s">
        <v>2044</v>
      </c>
    </row>
    <row r="3711" spans="1:12">
      <c r="A3711" s="20" t="s">
        <v>1915</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1092</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2045</v>
      </c>
      <c r="B3713" s="21" t="s">
        <v>989</v>
      </c>
      <c r="C3713" s="21" t="s">
        <v>995</v>
      </c>
      <c r="D3713" s="21" t="s">
        <v>978</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1002</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1025</v>
      </c>
      <c r="B3715" s="21" t="s">
        <v>976</v>
      </c>
      <c r="C3715" s="21" t="s">
        <v>977</v>
      </c>
      <c r="D3715" s="21" t="s">
        <v>978</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2046</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993</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750</v>
      </c>
      <c r="B3718" s="21" t="s">
        <v>982</v>
      </c>
      <c r="C3718" s="21" t="s">
        <v>995</v>
      </c>
      <c r="D3718" s="21" t="s">
        <v>978</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609</v>
      </c>
      <c r="B3719" s="21" t="s">
        <v>986</v>
      </c>
      <c r="C3719" s="21" t="s">
        <v>1020</v>
      </c>
      <c r="D3719" s="21" t="s">
        <v>978</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1120</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609</v>
      </c>
      <c r="B3721" s="21" t="s">
        <v>1054</v>
      </c>
      <c r="C3721" s="21" t="s">
        <v>1020</v>
      </c>
      <c r="D3721" s="21" t="s">
        <v>978</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984</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996</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2047</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2048</v>
      </c>
      <c r="B3725" s="21" t="s">
        <v>1054</v>
      </c>
      <c r="C3725" s="21" t="s">
        <v>983</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2049</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1000</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993</v>
      </c>
      <c r="B3728" s="21" t="s">
        <v>1101</v>
      </c>
      <c r="C3728" s="21" t="s">
        <v>977</v>
      </c>
      <c r="D3728" s="21" t="s">
        <v>978</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2027</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2050</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1657</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1050</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1808</v>
      </c>
      <c r="B3733" s="21" t="s">
        <v>1054</v>
      </c>
      <c r="C3733" s="21" t="s">
        <v>983</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996</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993</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2051</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1184</v>
      </c>
      <c r="B3737" s="21" t="s">
        <v>1007</v>
      </c>
      <c r="C3737" s="21" t="s">
        <v>995</v>
      </c>
      <c r="D3737" s="21" t="s">
        <v>978</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1142</v>
      </c>
      <c r="B3738" s="21" t="s">
        <v>1311</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1757</v>
      </c>
      <c r="B3739" s="21" t="s">
        <v>1229</v>
      </c>
      <c r="C3739" s="21" t="s">
        <v>977</v>
      </c>
      <c r="D3739" s="21" t="s">
        <v>978</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1026</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2052</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1022</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row>
    <row r="3744" spans="1:12">
      <c r="A3744" s="20" t="s">
        <v>2053</v>
      </c>
    </row>
    <row r="3745" spans="1:12">
      <c r="A3745" s="20" t="s">
        <v>190</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1788</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543</v>
      </c>
      <c r="B3747" s="21" t="s">
        <v>989</v>
      </c>
      <c r="C3747" s="21" t="s">
        <v>1116</v>
      </c>
      <c r="D3747" s="21" t="s">
        <v>978</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1789</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1788</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2054</v>
      </c>
      <c r="B3750" s="21" t="s">
        <v>989</v>
      </c>
      <c r="C3750" s="21" t="s">
        <v>1057</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1789</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row>
    <row r="3753" spans="1:12">
      <c r="A3753" s="20" t="s">
        <v>2055</v>
      </c>
    </row>
    <row r="3754" spans="1:12">
      <c r="A3754" s="20" t="s">
        <v>1357</v>
      </c>
      <c r="B3754" s="21" t="s">
        <v>976</v>
      </c>
      <c r="C3754" s="21" t="s">
        <v>977</v>
      </c>
      <c r="D3754" s="21" t="s">
        <v>978</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1323</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1384</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1216</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1217</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1357</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2056</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1757</v>
      </c>
      <c r="B3761" s="21" t="s">
        <v>1101</v>
      </c>
      <c r="C3761" s="21" t="s">
        <v>977</v>
      </c>
      <c r="D3761" s="21" t="s">
        <v>978</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515</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996</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2057</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1022</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row>
    <row r="3767" spans="1:12">
      <c r="A3767" s="20" t="s">
        <v>2058</v>
      </c>
    </row>
    <row r="3768" spans="1:12">
      <c r="A3768" s="20" t="s">
        <v>190</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992</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1046</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1004</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1074</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1382</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1372</v>
      </c>
      <c r="B3774" s="21" t="s">
        <v>989</v>
      </c>
      <c r="C3774" s="21" t="s">
        <v>995</v>
      </c>
      <c r="D3774" s="21" t="s">
        <v>978</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996</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993</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1476</v>
      </c>
      <c r="B3777" s="21" t="s">
        <v>986</v>
      </c>
      <c r="C3777" s="21" t="s">
        <v>995</v>
      </c>
      <c r="D3777" s="21" t="s">
        <v>978</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1988</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1002</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2059</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2060</v>
      </c>
      <c r="B3781" s="21" t="s">
        <v>982</v>
      </c>
      <c r="C3781" s="21" t="s">
        <v>1020</v>
      </c>
      <c r="D3781" s="21" t="s">
        <v>978</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996</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1865</v>
      </c>
      <c r="B3783" s="21" t="s">
        <v>1052</v>
      </c>
      <c r="C3783" s="21" t="s">
        <v>977</v>
      </c>
      <c r="D3783" s="21" t="s">
        <v>978</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263</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996</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2061</v>
      </c>
      <c r="B3786" s="21" t="s">
        <v>986</v>
      </c>
      <c r="C3786" s="21" t="s">
        <v>1116</v>
      </c>
      <c r="D3786" s="21" t="s">
        <v>978</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2062</v>
      </c>
      <c r="B3787" s="21" t="s">
        <v>1054</v>
      </c>
      <c r="C3787" s="21" t="s">
        <v>1116</v>
      </c>
      <c r="D3787" s="21" t="s">
        <v>978</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1022</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row>
    <row r="3790" spans="1:12">
      <c r="A3790" s="20" t="s">
        <v>2063</v>
      </c>
    </row>
    <row r="3791" spans="1:12">
      <c r="A3791" s="20" t="s">
        <v>2061</v>
      </c>
      <c r="B3791" s="21" t="s">
        <v>976</v>
      </c>
      <c r="C3791" s="21" t="s">
        <v>1116</v>
      </c>
      <c r="D3791" s="21" t="s">
        <v>978</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2062</v>
      </c>
      <c r="B3792" s="21" t="s">
        <v>986</v>
      </c>
      <c r="C3792" s="21" t="s">
        <v>1116</v>
      </c>
      <c r="D3792" s="21" t="s">
        <v>978</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1323</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1155</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1092</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1668</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1111</v>
      </c>
      <c r="B3797" s="21" t="s">
        <v>982</v>
      </c>
      <c r="C3797" s="21" t="s">
        <v>995</v>
      </c>
      <c r="D3797" s="21" t="s">
        <v>978</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1038</v>
      </c>
      <c r="B3798" s="21" t="s">
        <v>1101</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1154</v>
      </c>
      <c r="B3799" s="21" t="s">
        <v>1066</v>
      </c>
      <c r="C3799" s="21" t="s">
        <v>977</v>
      </c>
      <c r="D3799" s="21" t="s">
        <v>978</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1669</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1670</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1671</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1022</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row>
    <row r="3805" spans="1:12">
      <c r="A3805" s="20" t="s">
        <v>2064</v>
      </c>
    </row>
    <row r="3806" spans="1:12">
      <c r="A3806" s="20" t="s">
        <v>1357</v>
      </c>
      <c r="B3806" s="21" t="s">
        <v>976</v>
      </c>
      <c r="C3806" s="21" t="s">
        <v>977</v>
      </c>
      <c r="D3806" s="21" t="s">
        <v>978</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1076</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1712</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2065</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1022</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row>
    <row r="3812" spans="1:12">
      <c r="A3812" s="20" t="s">
        <v>2066</v>
      </c>
    </row>
    <row r="3813" spans="1:12">
      <c r="A3813" s="20" t="s">
        <v>1915</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1074</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1655</v>
      </c>
      <c r="B3815" s="21" t="s">
        <v>989</v>
      </c>
      <c r="C3815" s="21" t="s">
        <v>995</v>
      </c>
      <c r="D3815" s="21" t="s">
        <v>978</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2031</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1047</v>
      </c>
      <c r="B3817" s="21" t="s">
        <v>1066</v>
      </c>
      <c r="C3817" s="21" t="s">
        <v>977</v>
      </c>
      <c r="D3817" s="21" t="s">
        <v>978</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1074</v>
      </c>
      <c r="B3818" s="21" t="s">
        <v>1101</v>
      </c>
      <c r="C3818" s="21" t="s">
        <v>977</v>
      </c>
      <c r="D3818" s="21" t="s">
        <v>978</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979</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2067</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1002</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1010</v>
      </c>
      <c r="B3822" s="21" t="s">
        <v>976</v>
      </c>
      <c r="C3822" s="21" t="s">
        <v>977</v>
      </c>
      <c r="D3822" s="21" t="s">
        <v>978</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2068</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57</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609</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2069</v>
      </c>
      <c r="B3826" s="21" t="s">
        <v>1052</v>
      </c>
      <c r="C3826" s="21" t="s">
        <v>983</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2070</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1102</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1284</v>
      </c>
      <c r="B3829" s="21" t="s">
        <v>986</v>
      </c>
      <c r="C3829" s="21" t="s">
        <v>1104</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1022</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row>
    <row r="3832" spans="1:12">
      <c r="A3832" s="20" t="s">
        <v>2071</v>
      </c>
    </row>
    <row r="3833" spans="1:12">
      <c r="A3833" s="20" t="s">
        <v>1370</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1002</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1657</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1050</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2072</v>
      </c>
      <c r="B3837" s="21" t="s">
        <v>989</v>
      </c>
      <c r="C3837" s="21" t="s">
        <v>983</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1002</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1010</v>
      </c>
      <c r="B3839" s="21" t="s">
        <v>976</v>
      </c>
      <c r="C3839" s="21" t="s">
        <v>977</v>
      </c>
      <c r="D3839" s="21" t="s">
        <v>978</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1093</v>
      </c>
      <c r="B3840" s="21" t="s">
        <v>982</v>
      </c>
      <c r="C3840" s="21" t="s">
        <v>977</v>
      </c>
      <c r="D3840" s="21" t="s">
        <v>978</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2073</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2074</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1022</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row>
    <row r="3845" spans="1:12">
      <c r="A3845" s="20" t="s">
        <v>2075</v>
      </c>
    </row>
    <row r="3846" spans="1:12">
      <c r="A3846" s="20" t="s">
        <v>1370</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1002</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1657</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1050</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2072</v>
      </c>
      <c r="B3850" s="21" t="s">
        <v>989</v>
      </c>
      <c r="C3850" s="21" t="s">
        <v>983</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1065</v>
      </c>
      <c r="B3851" s="21" t="s">
        <v>976</v>
      </c>
      <c r="C3851" s="21" t="s">
        <v>1020</v>
      </c>
      <c r="D3851" s="21" t="s">
        <v>978</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1021</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1519</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1022</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row>
    <row r="3856" spans="1:12">
      <c r="A3856" s="20" t="s">
        <v>2076</v>
      </c>
    </row>
    <row r="3857" spans="1:12">
      <c r="A3857" s="20" t="s">
        <v>1370</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1657</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1050</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2072</v>
      </c>
      <c r="B3860" s="21" t="s">
        <v>989</v>
      </c>
      <c r="C3860" s="21" t="s">
        <v>983</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1002</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1010</v>
      </c>
      <c r="B3862" s="21" t="s">
        <v>976</v>
      </c>
      <c r="C3862" s="21" t="s">
        <v>977</v>
      </c>
      <c r="D3862" s="21" t="s">
        <v>978</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2077</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996</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2078</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1022</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row>
    <row r="3868" spans="1:12">
      <c r="A3868" s="20" t="s">
        <v>2079</v>
      </c>
    </row>
    <row r="3869" spans="1:12">
      <c r="A3869" s="20" t="s">
        <v>992</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1167</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1002</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1010</v>
      </c>
      <c r="B3872" s="21" t="s">
        <v>976</v>
      </c>
      <c r="C3872" s="21" t="s">
        <v>977</v>
      </c>
      <c r="D3872" s="21" t="s">
        <v>978</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2080</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609</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1382</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2069</v>
      </c>
      <c r="B3876" s="21" t="s">
        <v>982</v>
      </c>
      <c r="C3876" s="21" t="s">
        <v>983</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2070</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1022</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row>
    <row r="3880" spans="1:12">
      <c r="A3880" s="20" t="s">
        <v>2081</v>
      </c>
    </row>
    <row r="3881" spans="1:12">
      <c r="A3881" s="20" t="s">
        <v>992</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1010</v>
      </c>
      <c r="B3882" s="21" t="s">
        <v>976</v>
      </c>
      <c r="C3882" s="21" t="s">
        <v>977</v>
      </c>
      <c r="D3882" s="21" t="s">
        <v>978</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1135</v>
      </c>
      <c r="B3883" s="21" t="s">
        <v>982</v>
      </c>
      <c r="C3883" s="21" t="s">
        <v>977</v>
      </c>
      <c r="D3883" s="21" t="s">
        <v>978</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1323</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2082</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1633</v>
      </c>
      <c r="B3886" s="21" t="s">
        <v>982</v>
      </c>
      <c r="C3886" s="21" t="s">
        <v>1020</v>
      </c>
      <c r="D3886" s="21" t="s">
        <v>978</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1024</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1047</v>
      </c>
      <c r="B3888" s="21" t="s">
        <v>1095</v>
      </c>
      <c r="C3888" s="21" t="s">
        <v>977</v>
      </c>
      <c r="D3888" s="21" t="s">
        <v>978</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1074</v>
      </c>
      <c r="B3889" s="21" t="s">
        <v>1052</v>
      </c>
      <c r="C3889" s="21" t="s">
        <v>977</v>
      </c>
      <c r="D3889" s="21" t="s">
        <v>978</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979</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2067</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1216</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1217</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2083</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993</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2084</v>
      </c>
      <c r="B3896" s="21" t="s">
        <v>1101</v>
      </c>
      <c r="C3896" s="21" t="s">
        <v>995</v>
      </c>
      <c r="D3896" s="21" t="s">
        <v>978</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2085</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1002</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1196</v>
      </c>
      <c r="B3899" s="21" t="s">
        <v>1035</v>
      </c>
      <c r="C3899" s="21" t="s">
        <v>1008</v>
      </c>
      <c r="D3899" s="21" t="s">
        <v>978</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1067</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1492</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2086</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row>
    <row r="3904" spans="1:12">
      <c r="A3904" s="20" t="s">
        <v>2087</v>
      </c>
    </row>
    <row r="3905" spans="1:12">
      <c r="A3905" s="20" t="s">
        <v>1182</v>
      </c>
      <c r="B3905" s="21" t="s">
        <v>976</v>
      </c>
      <c r="C3905" s="21" t="s">
        <v>977</v>
      </c>
      <c r="D3905" s="21" t="s">
        <v>978</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1116</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1293</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1189</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2088</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2085</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1002</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1000</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1047</v>
      </c>
      <c r="B3913" s="21" t="s">
        <v>1066</v>
      </c>
      <c r="C3913" s="21" t="s">
        <v>977</v>
      </c>
      <c r="D3913" s="21" t="s">
        <v>978</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1288</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1665</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1047</v>
      </c>
      <c r="B3916" s="21" t="s">
        <v>1035</v>
      </c>
      <c r="C3916" s="21" t="s">
        <v>977</v>
      </c>
      <c r="D3916" s="21" t="s">
        <v>978</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1414</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1294</v>
      </c>
      <c r="B3918" s="21" t="s">
        <v>1146</v>
      </c>
      <c r="C3918" s="21" t="s">
        <v>1020</v>
      </c>
      <c r="D3918" s="21" t="s">
        <v>978</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644</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1812</v>
      </c>
      <c r="B3920" s="21" t="s">
        <v>1146</v>
      </c>
      <c r="C3920" s="21" t="s">
        <v>1057</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1070</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1047</v>
      </c>
      <c r="B3922" s="21" t="s">
        <v>1311</v>
      </c>
      <c r="C3922" s="21" t="s">
        <v>977</v>
      </c>
      <c r="D3922" s="21" t="s">
        <v>978</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1072</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1547</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1189</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1004</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19</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1439</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1022</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row>
    <row r="3931" spans="1:12">
      <c r="A3931" s="20" t="s">
        <v>2089</v>
      </c>
    </row>
    <row r="3932" spans="1:12">
      <c r="A3932" s="20" t="s">
        <v>190</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1174</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1002</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1010</v>
      </c>
      <c r="B3935" s="21" t="s">
        <v>1095</v>
      </c>
      <c r="C3935" s="21" t="s">
        <v>977</v>
      </c>
      <c r="D3935" s="21" t="s">
        <v>978</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1135</v>
      </c>
      <c r="B3936" s="21" t="s">
        <v>1052</v>
      </c>
      <c r="C3936" s="21" t="s">
        <v>977</v>
      </c>
      <c r="D3936" s="21" t="s">
        <v>978</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1323</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1384</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1216</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1217</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975</v>
      </c>
      <c r="B3941" s="21" t="s">
        <v>976</v>
      </c>
      <c r="C3941" s="21" t="s">
        <v>977</v>
      </c>
      <c r="D3941" s="21" t="s">
        <v>978</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979</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2090</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263</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1081</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609</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2091</v>
      </c>
      <c r="B3947" s="21" t="s">
        <v>986</v>
      </c>
      <c r="C3947" s="21" t="s">
        <v>983</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1004</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2092</v>
      </c>
      <c r="B3949" s="21" t="s">
        <v>1054</v>
      </c>
      <c r="C3949" s="21" t="s">
        <v>1116</v>
      </c>
      <c r="D3949" s="21" t="s">
        <v>978</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2093</v>
      </c>
      <c r="B3950" s="21" t="s">
        <v>1007</v>
      </c>
      <c r="C3950" s="21" t="s">
        <v>1057</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2094</v>
      </c>
      <c r="B3951" s="21" t="s">
        <v>1054</v>
      </c>
      <c r="C3951" s="21" t="s">
        <v>1116</v>
      </c>
      <c r="D3951" s="21" t="s">
        <v>978</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2095</v>
      </c>
      <c r="B3952" s="21" t="s">
        <v>1007</v>
      </c>
      <c r="C3952" s="21" t="s">
        <v>1116</v>
      </c>
      <c r="D3952" s="21" t="s">
        <v>978</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1002</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1050</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2096</v>
      </c>
      <c r="B3955" s="21" t="s">
        <v>1007</v>
      </c>
      <c r="C3955" s="21" t="s">
        <v>983</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2097</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1050</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2098</v>
      </c>
      <c r="B3958" s="21" t="s">
        <v>1040</v>
      </c>
      <c r="C3958" s="21" t="s">
        <v>983</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1196</v>
      </c>
      <c r="B3959" s="21" t="s">
        <v>1095</v>
      </c>
      <c r="C3959" s="21" t="s">
        <v>1008</v>
      </c>
      <c r="D3959" s="21" t="s">
        <v>978</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1067</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1050</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2099</v>
      </c>
      <c r="B3962" s="21" t="s">
        <v>989</v>
      </c>
      <c r="C3962" s="21" t="s">
        <v>983</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996</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997</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1934</v>
      </c>
      <c r="B3965" s="21" t="s">
        <v>986</v>
      </c>
      <c r="C3965" s="21" t="s">
        <v>995</v>
      </c>
      <c r="D3965" s="21" t="s">
        <v>978</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1002</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1000</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1047</v>
      </c>
      <c r="B3968" s="21" t="s">
        <v>1066</v>
      </c>
      <c r="C3968" s="21" t="s">
        <v>977</v>
      </c>
      <c r="D3968" s="21" t="s">
        <v>978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1517</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1038</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1047</v>
      </c>
      <c r="B3971" s="21" t="s">
        <v>1035</v>
      </c>
      <c r="C3971" s="21" t="s">
        <v>977</v>
      </c>
      <c r="D3971" s="21" t="s">
        <v>978</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1414</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2100</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997</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1090</v>
      </c>
      <c r="B3975" s="21" t="s">
        <v>1036</v>
      </c>
      <c r="C3975" s="21" t="s">
        <v>995</v>
      </c>
      <c r="D3975" s="21" t="s">
        <v>978</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1022</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row>
    <row r="3978" spans="1:12">
      <c r="A3978" s="20" t="s">
        <v>2101</v>
      </c>
    </row>
    <row r="3979" spans="1:12">
      <c r="A3979" s="20" t="s">
        <v>190</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992</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1047</v>
      </c>
      <c r="B3981" s="21" t="s">
        <v>976</v>
      </c>
      <c r="C3981" s="21" t="s">
        <v>977</v>
      </c>
      <c r="D3981" s="21" t="s">
        <v>978</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1011</v>
      </c>
      <c r="B3982" s="21" t="s">
        <v>982</v>
      </c>
      <c r="C3982" s="21" t="s">
        <v>977</v>
      </c>
      <c r="D3982" s="21" t="s">
        <v>978</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2102</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1038</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1154</v>
      </c>
      <c r="B3985" s="21" t="s">
        <v>1095</v>
      </c>
      <c r="C3985" s="21" t="s">
        <v>977</v>
      </c>
      <c r="D3985" s="21" t="s">
        <v>978</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1136</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2103</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1009</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1050</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323</v>
      </c>
      <c r="B3990" s="21" t="s">
        <v>1066</v>
      </c>
      <c r="C3990" s="21" t="s">
        <v>983</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1142</v>
      </c>
      <c r="B3991" s="21" t="s">
        <v>1042</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1147</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1639</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1885</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996</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2051</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2104</v>
      </c>
      <c r="B3997" s="21" t="s">
        <v>1146</v>
      </c>
      <c r="C3997" s="21" t="s">
        <v>983</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1058</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1885</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996</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2105</v>
      </c>
      <c r="B4001" s="21" t="s">
        <v>1317</v>
      </c>
      <c r="C4001" s="21" t="s">
        <v>1057</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1892</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1147</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2106</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1358</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1860</v>
      </c>
      <c r="B4006" s="21" t="s">
        <v>1101</v>
      </c>
      <c r="C4006" s="21" t="s">
        <v>1104</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1004</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997</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1467</v>
      </c>
      <c r="B4009" s="21" t="s">
        <v>1007</v>
      </c>
      <c r="C4009" s="21" t="s">
        <v>990</v>
      </c>
      <c r="D4009" s="21" t="s">
        <v>978</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996</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1662</v>
      </c>
      <c r="B4011" s="21" t="s">
        <v>1084</v>
      </c>
      <c r="C4011" s="21" t="s">
        <v>977</v>
      </c>
      <c r="D4011" s="21" t="s">
        <v>978</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1455</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1081</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2107</v>
      </c>
      <c r="B4014" s="21" t="s">
        <v>1084</v>
      </c>
      <c r="C4014" s="21" t="s">
        <v>1057</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996</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2108</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1059</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609</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1382</v>
      </c>
      <c r="B4019" s="21" t="s">
        <v>1229</v>
      </c>
      <c r="C4019" s="21" t="s">
        <v>983</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1022</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row>
    <row r="4022" spans="1:12">
      <c r="A4022" s="20" t="s">
        <v>2109</v>
      </c>
    </row>
    <row r="4023" spans="1:12">
      <c r="A4023" s="20" t="s">
        <v>992</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1010</v>
      </c>
      <c r="B4024" s="21" t="s">
        <v>976</v>
      </c>
      <c r="C4024" s="21" t="s">
        <v>977</v>
      </c>
      <c r="D4024" s="21" t="s">
        <v>978</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1323</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1556</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1092</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2098</v>
      </c>
      <c r="B4028" s="21" t="s">
        <v>982</v>
      </c>
      <c r="C4028" s="21" t="s">
        <v>995</v>
      </c>
      <c r="D4028" s="21" t="s">
        <v>978</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1002</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1000</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1074</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2110</v>
      </c>
      <c r="B4032" s="21" t="s">
        <v>1095</v>
      </c>
      <c r="C4032" s="21" t="s">
        <v>995</v>
      </c>
      <c r="D4032" s="21" t="s">
        <v>978</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2111</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609</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2112</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2113</v>
      </c>
      <c r="B4036" s="21" t="s">
        <v>989</v>
      </c>
      <c r="C4036" s="21" t="s">
        <v>983</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1022</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row>
    <row r="4039" spans="1:12">
      <c r="A4039" s="20" t="s">
        <v>2114</v>
      </c>
    </row>
    <row r="4040" spans="1:12">
      <c r="A4040" s="20" t="s">
        <v>1849</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1002</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1196</v>
      </c>
      <c r="B4042" s="21" t="s">
        <v>976</v>
      </c>
      <c r="C4042" s="21" t="s">
        <v>1008</v>
      </c>
      <c r="D4042" s="21" t="s">
        <v>978</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1067</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609</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1847</v>
      </c>
      <c r="B4045" s="21" t="s">
        <v>989</v>
      </c>
      <c r="C4045" s="21" t="s">
        <v>983</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1022</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row>
    <row r="4048" spans="1:12">
      <c r="A4048" s="20" t="s">
        <v>2115</v>
      </c>
    </row>
    <row r="4049" spans="1:12">
      <c r="A4049" s="20" t="s">
        <v>1357</v>
      </c>
      <c r="B4049" s="21" t="s">
        <v>976</v>
      </c>
      <c r="C4049" s="21" t="s">
        <v>977</v>
      </c>
      <c r="D4049" s="21" t="s">
        <v>978</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1323</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1050</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2116</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2117</v>
      </c>
      <c r="B4053" s="21" t="s">
        <v>982</v>
      </c>
      <c r="C4053" s="21" t="s">
        <v>983</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1000</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1419</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2118</v>
      </c>
      <c r="B4056" s="21" t="s">
        <v>986</v>
      </c>
      <c r="C4056" s="21" t="s">
        <v>1178</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2119</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row>
    <row r="4059" spans="1:12">
      <c r="A4059" s="20" t="s">
        <v>2120</v>
      </c>
    </row>
    <row r="4060" spans="1:12">
      <c r="A4060" s="20" t="s">
        <v>1357</v>
      </c>
      <c r="B4060" s="21" t="s">
        <v>976</v>
      </c>
      <c r="C4060" s="21" t="s">
        <v>977</v>
      </c>
      <c r="D4060" s="21" t="s">
        <v>978</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1135</v>
      </c>
      <c r="B4061" s="21" t="s">
        <v>982</v>
      </c>
      <c r="C4061" s="21" t="s">
        <v>977</v>
      </c>
      <c r="D4061" s="21" t="s">
        <v>978</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1323</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1966</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1050</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2121</v>
      </c>
      <c r="B4065" s="21" t="s">
        <v>982</v>
      </c>
      <c r="C4065" s="21" t="s">
        <v>983</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997</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2122</v>
      </c>
      <c r="B4067" s="21" t="s">
        <v>986</v>
      </c>
      <c r="C4067" s="21" t="s">
        <v>1116</v>
      </c>
      <c r="D4067" s="21" t="s">
        <v>978</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1285</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1092</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2099</v>
      </c>
      <c r="B4070" s="21" t="s">
        <v>1101</v>
      </c>
      <c r="C4070" s="21" t="s">
        <v>995</v>
      </c>
      <c r="D4070" s="21" t="s">
        <v>978</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1002</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1000</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1010</v>
      </c>
      <c r="B4073" s="21" t="s">
        <v>1095</v>
      </c>
      <c r="C4073" s="21" t="s">
        <v>977</v>
      </c>
      <c r="D4073" s="21" t="s">
        <v>978</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1323</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1384</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1216</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1217</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2123</v>
      </c>
      <c r="B4078" s="21" t="s">
        <v>1007</v>
      </c>
      <c r="C4078" s="21" t="s">
        <v>987</v>
      </c>
      <c r="D4078" s="21" t="s">
        <v>978</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1383</v>
      </c>
      <c r="B4079" s="21" t="s">
        <v>1066</v>
      </c>
      <c r="C4079" s="21" t="s">
        <v>990</v>
      </c>
      <c r="D4079" s="21" t="s">
        <v>978</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1135</v>
      </c>
      <c r="B4080" s="21" t="s">
        <v>1101</v>
      </c>
      <c r="C4080" s="21" t="s">
        <v>977</v>
      </c>
      <c r="D4080" s="21" t="s">
        <v>978</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1323</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1148</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1419</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2124</v>
      </c>
      <c r="B4084" s="21" t="s">
        <v>1101</v>
      </c>
      <c r="C4084" s="21" t="s">
        <v>1178</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1397</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1643</v>
      </c>
      <c r="B4086" s="21" t="s">
        <v>1054</v>
      </c>
      <c r="C4086" s="21" t="s">
        <v>1063</v>
      </c>
      <c r="D4086" s="21" t="s">
        <v>978</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1022</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row>
    <row r="4089" spans="1:12">
      <c r="A4089" s="20" t="s">
        <v>2125</v>
      </c>
    </row>
    <row r="4090" spans="1:12">
      <c r="A4090" s="20" t="s">
        <v>1611</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609</v>
      </c>
      <c r="B4091" s="21" t="s">
        <v>989</v>
      </c>
      <c r="C4091" s="21" t="s">
        <v>1020</v>
      </c>
      <c r="D4091" s="21" t="s">
        <v>978</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1002</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609</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2126</v>
      </c>
      <c r="B4094" s="21" t="s">
        <v>989</v>
      </c>
      <c r="C4094" s="21" t="s">
        <v>983</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2127</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996</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1092</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2128</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2129</v>
      </c>
      <c r="B4099" s="21" t="s">
        <v>1146</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1047</v>
      </c>
      <c r="B4100" s="21" t="s">
        <v>1042</v>
      </c>
      <c r="C4100" s="21" t="s">
        <v>977</v>
      </c>
      <c r="D4100" s="21" t="s">
        <v>978</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1072</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1185</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1189</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1492</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2130</v>
      </c>
      <c r="B4105" s="21" t="s">
        <v>1146</v>
      </c>
      <c r="C4105" s="21" t="s">
        <v>1057</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1002</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1194</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1047</v>
      </c>
      <c r="B4108" s="21" t="s">
        <v>1095</v>
      </c>
      <c r="C4108" s="21" t="s">
        <v>977</v>
      </c>
      <c r="D4108" s="21" t="s">
        <v>978</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1288</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1009</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1010</v>
      </c>
      <c r="B4111" s="21" t="s">
        <v>1066</v>
      </c>
      <c r="C4111" s="21" t="s">
        <v>977</v>
      </c>
      <c r="D4111" s="21" t="s">
        <v>978</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1011</v>
      </c>
      <c r="B4112" s="21" t="s">
        <v>1101</v>
      </c>
      <c r="C4112" s="21" t="s">
        <v>977</v>
      </c>
      <c r="D4112" s="21" t="s">
        <v>978</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1074</v>
      </c>
      <c r="B4113" s="21" t="s">
        <v>1101</v>
      </c>
      <c r="C4113" s="21" t="s">
        <v>977</v>
      </c>
      <c r="D4113" s="21" t="s">
        <v>978</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1323</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2131</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1235</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2132</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997</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1219</v>
      </c>
      <c r="B4119" s="21" t="s">
        <v>1036</v>
      </c>
      <c r="C4119" s="21" t="s">
        <v>995</v>
      </c>
      <c r="D4119" s="21" t="s">
        <v>978</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1038</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1047</v>
      </c>
      <c r="B4121" s="21" t="s">
        <v>1311</v>
      </c>
      <c r="C4121" s="21" t="s">
        <v>977</v>
      </c>
      <c r="D4121" s="21" t="s">
        <v>978</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2133</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2134</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1000</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1038</v>
      </c>
      <c r="B4125" s="21" t="s">
        <v>1019</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1154</v>
      </c>
      <c r="B4126" s="21" t="s">
        <v>1016</v>
      </c>
      <c r="C4126" s="21" t="s">
        <v>977</v>
      </c>
      <c r="D4126" s="21" t="s">
        <v>978</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979</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609</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2135</v>
      </c>
      <c r="B4129" s="21" t="s">
        <v>1019</v>
      </c>
      <c r="C4129" s="21" t="s">
        <v>983</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1142</v>
      </c>
      <c r="B4130" s="21" t="s">
        <v>2136</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1012</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1011</v>
      </c>
      <c r="B4132" s="21" t="s">
        <v>2137</v>
      </c>
      <c r="C4132" s="21" t="s">
        <v>977</v>
      </c>
      <c r="D4132" s="21" t="s">
        <v>978</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2138</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1022</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row>
    <row r="4136" spans="1:12">
      <c r="A4136" s="20" t="s">
        <v>2139</v>
      </c>
    </row>
    <row r="4137" spans="1:12">
      <c r="A4137" s="20" t="s">
        <v>992</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1074</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1382</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2140</v>
      </c>
      <c r="B4140" s="21" t="s">
        <v>989</v>
      </c>
      <c r="C4140" s="21" t="s">
        <v>995</v>
      </c>
      <c r="D4140" s="21" t="s">
        <v>978</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1196</v>
      </c>
      <c r="B4141" s="21" t="s">
        <v>976</v>
      </c>
      <c r="C4141" s="21" t="s">
        <v>1008</v>
      </c>
      <c r="D4141" s="21" t="s">
        <v>978</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1076</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1050</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2141</v>
      </c>
      <c r="B4144" s="21" t="s">
        <v>989</v>
      </c>
      <c r="C4144" s="21" t="s">
        <v>990</v>
      </c>
      <c r="D4144" s="21" t="s">
        <v>978</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996</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985</v>
      </c>
      <c r="B4146" s="21" t="s">
        <v>986</v>
      </c>
      <c r="C4146" s="21" t="s">
        <v>987</v>
      </c>
      <c r="D4146" s="21" t="s">
        <v>978</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2142</v>
      </c>
      <c r="B4147" s="21" t="s">
        <v>989</v>
      </c>
      <c r="C4147" s="21" t="s">
        <v>990</v>
      </c>
      <c r="D4147" s="21" t="s">
        <v>978</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1142</v>
      </c>
      <c r="B4148" s="21" t="s">
        <v>1095</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1017</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1067</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2143</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1022</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row>
    <row r="4154" spans="1:12">
      <c r="A4154" s="20" t="s">
        <v>2144</v>
      </c>
    </row>
    <row r="4155" spans="1:12">
      <c r="A4155" s="20" t="s">
        <v>2145</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1106</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1038</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1047</v>
      </c>
      <c r="B4158" s="21" t="s">
        <v>1095</v>
      </c>
      <c r="C4158" s="21" t="s">
        <v>977</v>
      </c>
      <c r="D4158" s="21" t="s">
        <v>978</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1074</v>
      </c>
      <c r="B4159" s="21" t="s">
        <v>1052</v>
      </c>
      <c r="C4159" s="21" t="s">
        <v>977</v>
      </c>
      <c r="D4159" s="21" t="s">
        <v>978</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979</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2146</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1002</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1154</v>
      </c>
      <c r="B4163" s="21" t="s">
        <v>976</v>
      </c>
      <c r="C4163" s="21" t="s">
        <v>977</v>
      </c>
      <c r="D4163" s="21" t="s">
        <v>978</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979</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1332</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1004</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717</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1000</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985</v>
      </c>
      <c r="B4169" s="21" t="s">
        <v>1054</v>
      </c>
      <c r="C4169" s="21" t="s">
        <v>987</v>
      </c>
      <c r="D4169" s="21" t="s">
        <v>978</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1160</v>
      </c>
      <c r="B4170" s="21" t="s">
        <v>1095</v>
      </c>
      <c r="C4170" s="21" t="s">
        <v>990</v>
      </c>
      <c r="D4170" s="21" t="s">
        <v>978</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1017</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1067</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2147</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1000</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1468</v>
      </c>
      <c r="B4175" s="21" t="s">
        <v>1066</v>
      </c>
      <c r="C4175" s="21" t="s">
        <v>977</v>
      </c>
      <c r="D4175" s="21" t="s">
        <v>978</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1323</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1384</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1216</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1217</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1702</v>
      </c>
      <c r="B4180" s="21" t="s">
        <v>1035</v>
      </c>
      <c r="C4180" s="21" t="s">
        <v>977</v>
      </c>
      <c r="D4180" s="21" t="s">
        <v>978</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2148</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1235</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993</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2149</v>
      </c>
      <c r="B4184" s="21" t="s">
        <v>1007</v>
      </c>
      <c r="C4184" s="21" t="s">
        <v>995</v>
      </c>
      <c r="D4184" s="21" t="s">
        <v>978</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996</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1092</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2150</v>
      </c>
      <c r="B4187" s="21" t="s">
        <v>1084</v>
      </c>
      <c r="C4187" s="21" t="s">
        <v>995</v>
      </c>
      <c r="D4187" s="21" t="s">
        <v>978</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1038</v>
      </c>
      <c r="B4188" s="21" t="s">
        <v>1229</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1297</v>
      </c>
      <c r="B4189" s="21" t="s">
        <v>1311</v>
      </c>
      <c r="C4189" s="21" t="s">
        <v>977</v>
      </c>
      <c r="D4189" s="21" t="s">
        <v>978</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1072</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2151</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1670</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2152</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1404</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row>
    <row r="4196" spans="1:12">
      <c r="A4196" s="20" t="s">
        <v>1451</v>
      </c>
    </row>
    <row r="4197" spans="1:12">
      <c r="A4197" s="20" t="s">
        <v>190</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row>
    <row r="4199" spans="1:12">
      <c r="A4199" s="20" t="s">
        <v>2153</v>
      </c>
    </row>
    <row r="4200" spans="1:12">
      <c r="A4200" s="20" t="s">
        <v>992</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1154</v>
      </c>
      <c r="B4201" s="21" t="s">
        <v>976</v>
      </c>
      <c r="C4201" s="21" t="s">
        <v>977</v>
      </c>
      <c r="D4201" s="21" t="s">
        <v>978</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979</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1384</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1216</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1217</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1624</v>
      </c>
      <c r="B4206" s="21" t="s">
        <v>1095</v>
      </c>
      <c r="C4206" s="21" t="s">
        <v>977</v>
      </c>
      <c r="D4206" s="21" t="s">
        <v>978</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1076</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2154</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996</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1092</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1305</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1792</v>
      </c>
      <c r="B4212" s="21" t="s">
        <v>986</v>
      </c>
      <c r="C4212" s="21" t="s">
        <v>995</v>
      </c>
      <c r="D4212" s="21" t="s">
        <v>978</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1038</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1078</v>
      </c>
      <c r="B4214" s="21" t="s">
        <v>1054</v>
      </c>
      <c r="C4214" s="21" t="s">
        <v>1020</v>
      </c>
      <c r="D4214" s="21" t="s">
        <v>978</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1022</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row>
    <row r="4217" spans="1:12">
      <c r="A4217" s="20" t="s">
        <v>2155</v>
      </c>
    </row>
    <row r="4218" spans="1:12">
      <c r="A4218" s="20" t="s">
        <v>190</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992</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1047</v>
      </c>
      <c r="B4220" s="21" t="s">
        <v>976</v>
      </c>
      <c r="C4220" s="21" t="s">
        <v>977</v>
      </c>
      <c r="D4220" s="21" t="s">
        <v>978</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2156</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1465</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1018</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1759</v>
      </c>
      <c r="B4224" s="21" t="s">
        <v>1052</v>
      </c>
      <c r="C4224" s="21" t="s">
        <v>977</v>
      </c>
      <c r="D4224" s="21" t="s">
        <v>978</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2157</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1725</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1022</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row>
    <row r="4229" spans="1:12">
      <c r="A4229" s="20" t="s">
        <v>2158</v>
      </c>
    </row>
    <row r="4230" spans="1:12">
      <c r="A4230" s="20" t="s">
        <v>1781</v>
      </c>
      <c r="B4230" s="21" t="s">
        <v>976</v>
      </c>
      <c r="C4230" s="21" t="s">
        <v>1008</v>
      </c>
      <c r="D4230" s="21" t="s">
        <v>978</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1072</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1067</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1189</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1038</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1047</v>
      </c>
      <c r="B4235" s="21" t="s">
        <v>976</v>
      </c>
      <c r="C4235" s="21" t="s">
        <v>977</v>
      </c>
      <c r="D4235" s="21" t="s">
        <v>978</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1164</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1546</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1002</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1194</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1047</v>
      </c>
      <c r="B4240" s="21" t="s">
        <v>1095</v>
      </c>
      <c r="C4240" s="21" t="s">
        <v>977</v>
      </c>
      <c r="D4240" s="21" t="s">
        <v>978</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1164</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2159</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1002</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1927</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1002</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2160</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1038</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1154</v>
      </c>
      <c r="B4248" s="21" t="s">
        <v>1095</v>
      </c>
      <c r="C4248" s="21" t="s">
        <v>977</v>
      </c>
      <c r="D4248" s="21" t="s">
        <v>978</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2161</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2162</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1011</v>
      </c>
      <c r="B4251" s="21" t="s">
        <v>1101</v>
      </c>
      <c r="C4251" s="21" t="s">
        <v>977</v>
      </c>
      <c r="D4251" s="21" t="s">
        <v>978</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1337</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1002</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1194</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2163</v>
      </c>
      <c r="B4255" s="21" t="s">
        <v>1054</v>
      </c>
      <c r="C4255" s="21" t="s">
        <v>987</v>
      </c>
      <c r="D4255" s="21" t="s">
        <v>978</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1676</v>
      </c>
      <c r="B4256" s="21" t="s">
        <v>1095</v>
      </c>
      <c r="C4256" s="21" t="s">
        <v>990</v>
      </c>
      <c r="D4256" s="21" t="s">
        <v>978</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1135</v>
      </c>
      <c r="B4257" s="21" t="s">
        <v>1052</v>
      </c>
      <c r="C4257" s="21" t="s">
        <v>977</v>
      </c>
      <c r="D4257" s="21" t="s">
        <v>978</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1828</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2164</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1092</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2165</v>
      </c>
      <c r="B4261" s="21" t="s">
        <v>1052</v>
      </c>
      <c r="C4261" s="21" t="s">
        <v>995</v>
      </c>
      <c r="D4261" s="21" t="s">
        <v>978</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996</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2088</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2085</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1038</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993</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2166</v>
      </c>
      <c r="B4267" s="21" t="s">
        <v>1054</v>
      </c>
      <c r="C4267" s="21" t="s">
        <v>995</v>
      </c>
      <c r="D4267" s="21" t="s">
        <v>978</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1002</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1000</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1154</v>
      </c>
      <c r="B4270" s="21" t="s">
        <v>1095</v>
      </c>
      <c r="C4270" s="21" t="s">
        <v>977</v>
      </c>
      <c r="D4270" s="21" t="s">
        <v>978</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979</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1155</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1074</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2110</v>
      </c>
      <c r="B4274" s="21" t="s">
        <v>1052</v>
      </c>
      <c r="C4274" s="21" t="s">
        <v>995</v>
      </c>
      <c r="D4274" s="21" t="s">
        <v>978</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1022</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row>
    <row r="4277" spans="1:12">
      <c r="A4277" s="20" t="s">
        <v>2167</v>
      </c>
    </row>
    <row r="4278" spans="1:12">
      <c r="A4278" s="20" t="s">
        <v>1182</v>
      </c>
      <c r="B4278" s="21" t="s">
        <v>976</v>
      </c>
      <c r="C4278" s="21" t="s">
        <v>977</v>
      </c>
      <c r="D4278" s="21" t="s">
        <v>978</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1164</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2168</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1002</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1000</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2169</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1022</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row>
    <row r="4286" spans="1:12">
      <c r="A4286" s="20" t="s">
        <v>2170</v>
      </c>
    </row>
    <row r="4287" spans="1:12">
      <c r="A4287" s="20" t="s">
        <v>1273</v>
      </c>
      <c r="B4287" s="21" t="s">
        <v>976</v>
      </c>
      <c r="C4287" s="21" t="s">
        <v>1008</v>
      </c>
      <c r="D4287" s="21" t="s">
        <v>978</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1067</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997</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1434</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1199</v>
      </c>
      <c r="B4291" s="21" t="s">
        <v>989</v>
      </c>
      <c r="C4291" s="21" t="s">
        <v>995</v>
      </c>
      <c r="D4291" s="21" t="s">
        <v>978</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996</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1333</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1002</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2171</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1145</v>
      </c>
      <c r="B4296" s="21" t="s">
        <v>1095</v>
      </c>
      <c r="C4296" s="21" t="s">
        <v>1020</v>
      </c>
      <c r="D4296" s="21" t="s">
        <v>978</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1072</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1018</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1323</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1189</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1137</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1074</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2172</v>
      </c>
      <c r="B4303" s="21" t="s">
        <v>1052</v>
      </c>
      <c r="C4303" s="21" t="s">
        <v>995</v>
      </c>
      <c r="D4303" s="21" t="s">
        <v>978</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1022</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row>
    <row r="4306" spans="1:12">
      <c r="A4306" s="20" t="s">
        <v>2173</v>
      </c>
    </row>
    <row r="4307" spans="1:12">
      <c r="A4307" s="20" t="s">
        <v>190</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975</v>
      </c>
      <c r="B4308" s="21" t="s">
        <v>976</v>
      </c>
      <c r="C4308" s="21" t="s">
        <v>977</v>
      </c>
      <c r="D4308" s="21" t="s">
        <v>978</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979</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1401</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1902</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1120</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997</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1219</v>
      </c>
      <c r="B4314" s="21" t="s">
        <v>989</v>
      </c>
      <c r="C4314" s="21" t="s">
        <v>995</v>
      </c>
      <c r="D4314" s="21" t="s">
        <v>978</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1038</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1092</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1111</v>
      </c>
      <c r="B4317" s="21" t="s">
        <v>1066</v>
      </c>
      <c r="C4317" s="21" t="s">
        <v>995</v>
      </c>
      <c r="D4317" s="21" t="s">
        <v>978</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1067</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2174</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2175</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1032</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1358</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1239</v>
      </c>
      <c r="B4323" s="21" t="s">
        <v>1054</v>
      </c>
      <c r="C4323" s="21" t="s">
        <v>1104</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996</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2176</v>
      </c>
      <c r="B4325" s="21" t="s">
        <v>1007</v>
      </c>
      <c r="C4325" s="21" t="s">
        <v>1057</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1002</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1081</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2177</v>
      </c>
      <c r="B4328" s="21" t="s">
        <v>1084</v>
      </c>
      <c r="C4328" s="21" t="s">
        <v>1057</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1002</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996</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2178</v>
      </c>
      <c r="B4331" s="21" t="s">
        <v>1084</v>
      </c>
      <c r="C4331" s="21" t="s">
        <v>1057</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1106</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1047</v>
      </c>
      <c r="B4333" s="21" t="s">
        <v>1035</v>
      </c>
      <c r="C4333" s="21" t="s">
        <v>977</v>
      </c>
      <c r="D4333" s="21" t="s">
        <v>978</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1011</v>
      </c>
      <c r="B4334" s="21" t="s">
        <v>1036</v>
      </c>
      <c r="C4334" s="21" t="s">
        <v>977</v>
      </c>
      <c r="D4334" s="21" t="s">
        <v>978</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1164</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2179</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1004</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1074</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2180</v>
      </c>
      <c r="B4339" s="21" t="s">
        <v>1007</v>
      </c>
      <c r="C4339" s="21" t="s">
        <v>995</v>
      </c>
      <c r="D4339" s="21" t="s">
        <v>978</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996</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1665</v>
      </c>
      <c r="B4341" s="21" t="s">
        <v>1084</v>
      </c>
      <c r="C4341" s="21" t="s">
        <v>1057</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1289</v>
      </c>
      <c r="B4342" s="21" t="s">
        <v>1016</v>
      </c>
      <c r="C4342" s="21" t="s">
        <v>1008</v>
      </c>
      <c r="D4342" s="21" t="s">
        <v>978</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2181</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984</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1081</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1340</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2182</v>
      </c>
      <c r="B4347" s="21" t="s">
        <v>1317</v>
      </c>
      <c r="C4347" s="21" t="s">
        <v>983</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1000</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1074</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1050</v>
      </c>
      <c r="B4350" s="21" t="s">
        <v>1014</v>
      </c>
      <c r="C4350" s="21" t="s">
        <v>1020</v>
      </c>
      <c r="D4350" s="21" t="s">
        <v>978</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996</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993</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1184</v>
      </c>
      <c r="B4353" s="21" t="s">
        <v>1321</v>
      </c>
      <c r="C4353" s="21" t="s">
        <v>995</v>
      </c>
      <c r="D4353" s="21" t="s">
        <v>978</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1142</v>
      </c>
      <c r="B4354" s="21" t="s">
        <v>2183</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1135</v>
      </c>
      <c r="B4355" s="21" t="s">
        <v>2137</v>
      </c>
      <c r="C4355" s="21" t="s">
        <v>977</v>
      </c>
      <c r="D4355" s="21" t="s">
        <v>978</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2184</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2185</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1196</v>
      </c>
      <c r="B4358" s="21" t="s">
        <v>2186</v>
      </c>
      <c r="C4358" s="21" t="s">
        <v>1008</v>
      </c>
      <c r="D4358" s="21" t="s">
        <v>978</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1076</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1092</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1111</v>
      </c>
      <c r="B4361" s="21" t="s">
        <v>2187</v>
      </c>
      <c r="C4361" s="21" t="s">
        <v>995</v>
      </c>
      <c r="D4361" s="21" t="s">
        <v>978</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1140</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993</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2188</v>
      </c>
      <c r="B4364" s="21" t="s">
        <v>2189</v>
      </c>
      <c r="C4364" s="21" t="s">
        <v>995</v>
      </c>
      <c r="D4364" s="21" t="s">
        <v>978</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1022</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row>
    <row r="4367" spans="1:12">
      <c r="A4367" s="20" t="s">
        <v>2190</v>
      </c>
    </row>
    <row r="4368" spans="1:12">
      <c r="A4368" s="20" t="s">
        <v>1594</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1002</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1047</v>
      </c>
      <c r="B4370" s="21" t="s">
        <v>976</v>
      </c>
      <c r="C4370" s="21" t="s">
        <v>977</v>
      </c>
      <c r="D4370" s="21" t="s">
        <v>978</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1011</v>
      </c>
      <c r="B4371" s="21" t="s">
        <v>982</v>
      </c>
      <c r="C4371" s="21" t="s">
        <v>977</v>
      </c>
      <c r="D4371" s="21" t="s">
        <v>978</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1164</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1068</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1004</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2191</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172</v>
      </c>
      <c r="B4376" s="21" t="s">
        <v>982</v>
      </c>
      <c r="C4376" s="21" t="s">
        <v>1008</v>
      </c>
      <c r="D4376" s="21" t="s">
        <v>978</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1142</v>
      </c>
      <c r="B4377" s="21" t="s">
        <v>1066</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1093</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1219</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1235</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993</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2192</v>
      </c>
      <c r="B4382" s="21" t="s">
        <v>1054</v>
      </c>
      <c r="C4382" s="21" t="s">
        <v>995</v>
      </c>
      <c r="D4382" s="21" t="s">
        <v>978</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1142</v>
      </c>
      <c r="B4383" s="21" t="s">
        <v>1042</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1415</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1050</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1111</v>
      </c>
      <c r="B4386" s="21" t="s">
        <v>1146</v>
      </c>
      <c r="C4386" s="21" t="s">
        <v>983</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1022</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row>
    <row r="4389" spans="1:12">
      <c r="A4389" s="20" t="s">
        <v>2193</v>
      </c>
    </row>
    <row r="4390" spans="1:12">
      <c r="A4390" s="20" t="s">
        <v>992</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1154</v>
      </c>
      <c r="B4391" s="21" t="s">
        <v>976</v>
      </c>
      <c r="C4391" s="21" t="s">
        <v>977</v>
      </c>
      <c r="D4391" s="21" t="s">
        <v>978</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979</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1747</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1038</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1092</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1250</v>
      </c>
      <c r="B4396" s="21" t="s">
        <v>1054</v>
      </c>
      <c r="C4396" s="21" t="s">
        <v>1057</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996</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997</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1329</v>
      </c>
      <c r="B4399" s="21" t="s">
        <v>986</v>
      </c>
      <c r="C4399" s="21" t="s">
        <v>995</v>
      </c>
      <c r="D4399" s="21" t="s">
        <v>978</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993</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2192</v>
      </c>
      <c r="B4401" s="21" t="s">
        <v>1095</v>
      </c>
      <c r="C4401" s="21" t="s">
        <v>995</v>
      </c>
      <c r="D4401" s="21" t="s">
        <v>978</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1116</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2194</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1189</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996</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2069</v>
      </c>
      <c r="B4406" s="21" t="s">
        <v>1052</v>
      </c>
      <c r="C4406" s="21" t="s">
        <v>983</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1235</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1092</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1111</v>
      </c>
      <c r="B4409" s="21" t="s">
        <v>986</v>
      </c>
      <c r="C4409" s="21" t="s">
        <v>995</v>
      </c>
      <c r="D4409" s="21" t="s">
        <v>978</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1022</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row>
    <row r="4412" spans="1:12">
      <c r="A4412" s="20" t="s">
        <v>2195</v>
      </c>
    </row>
    <row r="4413" spans="1:12">
      <c r="A4413" s="20" t="s">
        <v>1512</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2196</v>
      </c>
      <c r="B4414" s="21" t="s">
        <v>976</v>
      </c>
      <c r="C4414" s="21" t="s">
        <v>995</v>
      </c>
      <c r="D4414" s="21" t="s">
        <v>978</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1067</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997</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2197</v>
      </c>
      <c r="B4417" s="21" t="s">
        <v>989</v>
      </c>
      <c r="C4417" s="21" t="s">
        <v>995</v>
      </c>
      <c r="D4417" s="21" t="s">
        <v>978</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1081</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1050</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2198</v>
      </c>
      <c r="B4420" s="21" t="s">
        <v>989</v>
      </c>
      <c r="C4420" s="21" t="s">
        <v>983</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2199</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1002</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1142</v>
      </c>
      <c r="B4423" s="21" t="s">
        <v>1066</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1067</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1002</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1550</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1002</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2200</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2201</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984</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1092</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2202</v>
      </c>
      <c r="B4432" s="21" t="s">
        <v>1054</v>
      </c>
      <c r="C4432" s="21" t="s">
        <v>995</v>
      </c>
      <c r="D4432" s="21" t="s">
        <v>978</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1002</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1000</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996</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993</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2203</v>
      </c>
      <c r="B4437" s="21" t="s">
        <v>1054</v>
      </c>
      <c r="C4437" s="21" t="s">
        <v>995</v>
      </c>
      <c r="D4437" s="21" t="s">
        <v>978</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2204</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1002</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1142</v>
      </c>
      <c r="B4440" s="21" t="s">
        <v>1042</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1478</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2205</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1081</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93</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1183</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2206</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1674</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993</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2192</v>
      </c>
      <c r="B4449" s="21" t="s">
        <v>1040</v>
      </c>
      <c r="C4449" s="21" t="s">
        <v>995</v>
      </c>
      <c r="D4449" s="21" t="s">
        <v>978</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1022</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row>
    <row r="4452" spans="1:12">
      <c r="A4452" s="20" t="s">
        <v>2207</v>
      </c>
    </row>
    <row r="4453" spans="1:12">
      <c r="A4453" s="20" t="s">
        <v>2208</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1002</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1010</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1017</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2209</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1038</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1070</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1865</v>
      </c>
      <c r="B4460" s="21" t="s">
        <v>1095</v>
      </c>
      <c r="C4460" s="21" t="s">
        <v>977</v>
      </c>
      <c r="D4460" s="21" t="s">
        <v>978</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2210</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1050</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2211</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1426</v>
      </c>
      <c r="B4464" s="21" t="s">
        <v>1052</v>
      </c>
      <c r="C4464" s="21" t="s">
        <v>983</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1194</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1865</v>
      </c>
      <c r="B4466" s="21" t="s">
        <v>1095</v>
      </c>
      <c r="C4466" s="21" t="s">
        <v>977</v>
      </c>
      <c r="D4466" s="21" t="s">
        <v>978</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1945</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1137</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1004</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997</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1183</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2212</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1002</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1865</v>
      </c>
      <c r="B4474" s="21" t="s">
        <v>1066</v>
      </c>
      <c r="C4474" s="21" t="s">
        <v>977</v>
      </c>
      <c r="D4474" s="21" t="s">
        <v>978</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1866</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1216</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1217</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2213</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1067</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1406</v>
      </c>
      <c r="B4480" s="21" t="s">
        <v>989</v>
      </c>
      <c r="C4480" s="21" t="s">
        <v>1008</v>
      </c>
      <c r="D4480" s="21" t="s">
        <v>978</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1038</v>
      </c>
      <c r="B4481" s="21" t="s">
        <v>1101</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1047</v>
      </c>
      <c r="B4482" s="21" t="s">
        <v>1066</v>
      </c>
      <c r="C4482" s="21" t="s">
        <v>977</v>
      </c>
      <c r="D4482" s="21" t="s">
        <v>978</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1011</v>
      </c>
      <c r="B4483" s="21" t="s">
        <v>1101</v>
      </c>
      <c r="C4483" s="21" t="s">
        <v>977</v>
      </c>
      <c r="D4483" s="21" t="s">
        <v>978</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1876</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2085</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1404</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row>
    <row r="4488" spans="1:12">
      <c r="A4488" s="20" t="s">
        <v>2214</v>
      </c>
    </row>
    <row r="4489" spans="1:12">
      <c r="A4489" s="20" t="s">
        <v>1182</v>
      </c>
      <c r="B4489" s="21" t="s">
        <v>976</v>
      </c>
      <c r="C4489" s="21" t="s">
        <v>977</v>
      </c>
      <c r="D4489" s="21" t="s">
        <v>978</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1298</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414</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1050</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1111</v>
      </c>
      <c r="B4493" s="21" t="s">
        <v>1052</v>
      </c>
      <c r="C4493" s="21" t="s">
        <v>983</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1022</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row>
    <row r="4496" spans="1:12">
      <c r="A4496" s="20" t="s">
        <v>2215</v>
      </c>
    </row>
    <row r="4497" spans="1:12">
      <c r="A4497" s="20" t="s">
        <v>190</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992</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1865</v>
      </c>
      <c r="B4499" s="21" t="s">
        <v>976</v>
      </c>
      <c r="C4499" s="21" t="s">
        <v>977</v>
      </c>
      <c r="D4499" s="21" t="s">
        <v>978</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2216</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996</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54</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609</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1435</v>
      </c>
      <c r="B4504" s="21" t="s">
        <v>1052</v>
      </c>
      <c r="C4504" s="21" t="s">
        <v>983</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1022</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row>
    <row r="4507" spans="1:12">
      <c r="A4507" s="20" t="s">
        <v>2217</v>
      </c>
    </row>
    <row r="4508" spans="1:12">
      <c r="A4508" s="20" t="s">
        <v>1174</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1070</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1865</v>
      </c>
      <c r="B4510" s="21" t="s">
        <v>1095</v>
      </c>
      <c r="C4510" s="21" t="s">
        <v>977</v>
      </c>
      <c r="D4510" s="21" t="s">
        <v>978</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2210</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1050</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1426</v>
      </c>
      <c r="B4513" s="21" t="s">
        <v>1052</v>
      </c>
      <c r="C4513" s="21" t="s">
        <v>983</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1492</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1258</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1002</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1000</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1865</v>
      </c>
      <c r="B4518" s="21" t="s">
        <v>1066</v>
      </c>
      <c r="C4518" s="21" t="s">
        <v>977</v>
      </c>
      <c r="D4518" s="21" t="s">
        <v>978</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1865</v>
      </c>
      <c r="B4519" s="21" t="s">
        <v>1101</v>
      </c>
      <c r="C4519" s="21" t="s">
        <v>977</v>
      </c>
      <c r="D4519" s="21" t="s">
        <v>978</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1943</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1137</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1544</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1002</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1092</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1264</v>
      </c>
      <c r="B4525" s="21" t="s">
        <v>976</v>
      </c>
      <c r="C4525" s="21" t="s">
        <v>995</v>
      </c>
      <c r="D4525" s="21" t="s">
        <v>978</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2129</v>
      </c>
      <c r="B4526" s="21" t="s">
        <v>982</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1865</v>
      </c>
      <c r="B4527" s="21" t="s">
        <v>1066</v>
      </c>
      <c r="C4527" s="21" t="s">
        <v>977</v>
      </c>
      <c r="D4527" s="21" t="s">
        <v>978</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1865</v>
      </c>
      <c r="B4528" s="21" t="s">
        <v>1101</v>
      </c>
      <c r="C4528" s="21" t="s">
        <v>977</v>
      </c>
      <c r="D4528" s="21" t="s">
        <v>978</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1943</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2218</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1004</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2219</v>
      </c>
      <c r="B4532" s="21" t="s">
        <v>986</v>
      </c>
      <c r="C4532" s="21" t="s">
        <v>987</v>
      </c>
      <c r="D4532" s="21" t="s">
        <v>978</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1426</v>
      </c>
      <c r="B4533" s="21" t="s">
        <v>989</v>
      </c>
      <c r="C4533" s="21" t="s">
        <v>990</v>
      </c>
      <c r="D4533" s="21" t="s">
        <v>978</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1002</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1000</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1074</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2220</v>
      </c>
      <c r="B4537" s="21" t="s">
        <v>1095</v>
      </c>
      <c r="C4537" s="21" t="s">
        <v>995</v>
      </c>
      <c r="D4537" s="21" t="s">
        <v>978</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1116</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1865</v>
      </c>
      <c r="B4539" s="21" t="s">
        <v>1052</v>
      </c>
      <c r="C4539" s="21" t="s">
        <v>977</v>
      </c>
      <c r="D4539" s="21" t="s">
        <v>978</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2221</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1305</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1189</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1216</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1217</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992</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1070</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1633</v>
      </c>
      <c r="B4547" s="21" t="s">
        <v>1066</v>
      </c>
      <c r="C4547" s="21" t="s">
        <v>1020</v>
      </c>
      <c r="D4547" s="21" t="s">
        <v>978</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1469</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93</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2222</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1404</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row>
    <row r="4553" spans="1:12">
      <c r="A4553" s="20" t="s">
        <v>1451</v>
      </c>
    </row>
    <row r="4554" spans="1:12">
      <c r="A4554" s="20" t="s">
        <v>190</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row>
    <row r="4556" spans="1:12">
      <c r="A4556" s="20" t="s">
        <v>2223</v>
      </c>
    </row>
    <row r="4557" spans="1:12">
      <c r="A4557" s="20" t="s">
        <v>992</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2224</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1002</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984</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172</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2225</v>
      </c>
      <c r="B4562" s="21" t="s">
        <v>989</v>
      </c>
      <c r="C4562" s="21" t="s">
        <v>1063</v>
      </c>
      <c r="D4562" s="21" t="s">
        <v>978</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1010</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2226</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1050</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2227</v>
      </c>
      <c r="B4566" s="21" t="s">
        <v>976</v>
      </c>
      <c r="C4566" s="21" t="s">
        <v>983</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996</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1111</v>
      </c>
      <c r="B4568" s="21" t="s">
        <v>986</v>
      </c>
      <c r="C4568" s="21" t="s">
        <v>1057</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1140</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993</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2228</v>
      </c>
      <c r="B4571" s="21" t="s">
        <v>986</v>
      </c>
      <c r="C4571" s="21" t="s">
        <v>995</v>
      </c>
      <c r="D4571" s="21" t="s">
        <v>978</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2129</v>
      </c>
      <c r="B4572" s="21" t="s">
        <v>1036</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323</v>
      </c>
      <c r="B4573" s="21" t="s">
        <v>1035</v>
      </c>
      <c r="C4573" s="21" t="s">
        <v>1020</v>
      </c>
      <c r="D4573" s="21" t="s">
        <v>978</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1093</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1597</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1268</v>
      </c>
      <c r="B4576" s="21" t="s">
        <v>1036</v>
      </c>
      <c r="C4576" s="21" t="s">
        <v>1057</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1002</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1142</v>
      </c>
      <c r="B4578" s="21" t="s">
        <v>1066</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1116</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1093</v>
      </c>
      <c r="B4580" s="21" t="s">
        <v>1101</v>
      </c>
      <c r="C4580" s="21" t="s">
        <v>977</v>
      </c>
      <c r="D4580" s="21" t="s">
        <v>978</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1219</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1189</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2229</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1142</v>
      </c>
      <c r="B4584" s="21" t="s">
        <v>1035</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1116</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1093</v>
      </c>
      <c r="B4586" s="21" t="s">
        <v>1036</v>
      </c>
      <c r="C4586" s="21" t="s">
        <v>977</v>
      </c>
      <c r="D4586" s="21" t="s">
        <v>978</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1219</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1189</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2230</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1002</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1000</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1196</v>
      </c>
      <c r="B4592" s="21" t="s">
        <v>1035</v>
      </c>
      <c r="C4592" s="21" t="s">
        <v>1008</v>
      </c>
      <c r="D4592" s="21" t="s">
        <v>978</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1067</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1492</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1092</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2231</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2232</v>
      </c>
      <c r="B4597" s="21" t="s">
        <v>1054</v>
      </c>
      <c r="C4597" s="21" t="s">
        <v>995</v>
      </c>
      <c r="D4597" s="21" t="s">
        <v>978</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1022</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row>
    <row r="4600" spans="1:12">
      <c r="A4600" s="20" t="s">
        <v>2233</v>
      </c>
    </row>
    <row r="4601" spans="1:12">
      <c r="A4601" s="20" t="s">
        <v>975</v>
      </c>
      <c r="B4601" s="21" t="s">
        <v>976</v>
      </c>
      <c r="C4601" s="21" t="s">
        <v>977</v>
      </c>
      <c r="D4601" s="21" t="s">
        <v>978</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979</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1465</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1138</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1050</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2234</v>
      </c>
      <c r="B4606" s="21" t="s">
        <v>982</v>
      </c>
      <c r="C4606" s="21" t="s">
        <v>983</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1142</v>
      </c>
      <c r="B4607" s="21" t="s">
        <v>1066</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2235</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609</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2000</v>
      </c>
      <c r="B4610" s="21" t="s">
        <v>1101</v>
      </c>
      <c r="C4610" s="21" t="s">
        <v>983</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996</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1987</v>
      </c>
      <c r="B4612" s="21" t="s">
        <v>1007</v>
      </c>
      <c r="C4612" s="21" t="s">
        <v>1057</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984</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993</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2212</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2236</v>
      </c>
      <c r="B4616" s="21" t="s">
        <v>1007</v>
      </c>
      <c r="C4616" s="21" t="s">
        <v>995</v>
      </c>
      <c r="D4616" s="21" t="s">
        <v>978</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1018</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2237</v>
      </c>
      <c r="B4618" s="21" t="s">
        <v>1007</v>
      </c>
      <c r="C4618" s="21" t="s">
        <v>990</v>
      </c>
      <c r="D4618" s="21" t="s">
        <v>978</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996</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2238</v>
      </c>
      <c r="B4620" s="21" t="s">
        <v>1084</v>
      </c>
      <c r="C4620" s="21" t="s">
        <v>1116</v>
      </c>
      <c r="D4620" s="21" t="s">
        <v>978</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1002</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2031</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1468</v>
      </c>
      <c r="B4623" s="21" t="s">
        <v>1042</v>
      </c>
      <c r="C4623" s="21" t="s">
        <v>977</v>
      </c>
      <c r="D4623" s="21" t="s">
        <v>978</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2239</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996</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993</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2240</v>
      </c>
      <c r="B4627" s="21" t="s">
        <v>1084</v>
      </c>
      <c r="C4627" s="21" t="s">
        <v>995</v>
      </c>
      <c r="D4627" s="21" t="s">
        <v>978</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2241</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1092</v>
      </c>
      <c r="B4629" s="21" t="s">
        <v>1052</v>
      </c>
      <c r="C4629" s="21" t="s">
        <v>977</v>
      </c>
      <c r="D4629" s="21" t="s">
        <v>978</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2242</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1235</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1081</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1340</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1386</v>
      </c>
      <c r="B4634" s="21" t="s">
        <v>986</v>
      </c>
      <c r="C4634" s="21" t="s">
        <v>983</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996</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2017</v>
      </c>
      <c r="B4636" s="21" t="s">
        <v>1054</v>
      </c>
      <c r="C4636" s="21" t="s">
        <v>1057</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1000</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993</v>
      </c>
      <c r="B4638" s="21" t="s">
        <v>1052</v>
      </c>
      <c r="C4638" s="21" t="s">
        <v>977</v>
      </c>
      <c r="D4638" s="21" t="s">
        <v>978</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2243</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1058</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1092</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1111</v>
      </c>
      <c r="B4642" s="21" t="s">
        <v>986</v>
      </c>
      <c r="C4642" s="21" t="s">
        <v>995</v>
      </c>
      <c r="D4642" s="21" t="s">
        <v>978</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1002</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1000</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1046</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993</v>
      </c>
      <c r="B4646" s="21" t="s">
        <v>1101</v>
      </c>
      <c r="C4646" s="21" t="s">
        <v>977</v>
      </c>
      <c r="D4646" s="21" t="s">
        <v>978</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2244</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1058</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1325</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1284</v>
      </c>
      <c r="B4650" s="21" t="s">
        <v>1054</v>
      </c>
      <c r="C4650" s="21" t="s">
        <v>1178</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996</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2091</v>
      </c>
      <c r="B4652" s="21" t="s">
        <v>1007</v>
      </c>
      <c r="C4652" s="21" t="s">
        <v>1057</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2245</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1022</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row>
    <row r="4656" spans="1:12">
      <c r="A4656" s="20" t="s">
        <v>2246</v>
      </c>
    </row>
    <row r="4657" spans="1:12">
      <c r="A4657" s="20" t="s">
        <v>1611</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1050</v>
      </c>
      <c r="B4658" s="21" t="s">
        <v>976</v>
      </c>
      <c r="C4658" s="21" t="s">
        <v>1020</v>
      </c>
      <c r="D4658" s="21" t="s">
        <v>978</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1081</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1468</v>
      </c>
      <c r="B4660" s="21" t="s">
        <v>986</v>
      </c>
      <c r="C4660" s="21" t="s">
        <v>977</v>
      </c>
      <c r="D4660" s="21" t="s">
        <v>978</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1002</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2247</v>
      </c>
      <c r="B4662" s="21" t="s">
        <v>986</v>
      </c>
      <c r="C4662" s="21" t="s">
        <v>1116</v>
      </c>
      <c r="D4662" s="21" t="s">
        <v>978</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1002</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1067</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2248</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1002</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1000</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861</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172</v>
      </c>
      <c r="B4669" s="21" t="s">
        <v>1052</v>
      </c>
      <c r="C4669" s="21" t="s">
        <v>1008</v>
      </c>
      <c r="D4669" s="21" t="s">
        <v>978</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1009</v>
      </c>
      <c r="B4670" s="21" t="s">
        <v>1036</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1468</v>
      </c>
      <c r="B4671" s="21" t="s">
        <v>1035</v>
      </c>
      <c r="C4671" s="21" t="s">
        <v>977</v>
      </c>
      <c r="D4671" s="21" t="s">
        <v>978</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1323</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1384</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997</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1344</v>
      </c>
      <c r="B4675" s="21" t="s">
        <v>1036</v>
      </c>
      <c r="C4675" s="21" t="s">
        <v>995</v>
      </c>
      <c r="D4675" s="21" t="s">
        <v>978</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2031</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1468</v>
      </c>
      <c r="B4677" s="21" t="s">
        <v>1311</v>
      </c>
      <c r="C4677" s="21" t="s">
        <v>977</v>
      </c>
      <c r="D4677" s="21" t="s">
        <v>978</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1067</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2248</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1022</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row>
    <row r="4682" spans="1:12">
      <c r="A4682" s="20" t="s">
        <v>2249</v>
      </c>
    </row>
    <row r="4683" spans="1:12">
      <c r="A4683" s="20" t="s">
        <v>1624</v>
      </c>
      <c r="B4683" s="21" t="s">
        <v>976</v>
      </c>
      <c r="C4683" s="21" t="s">
        <v>977</v>
      </c>
      <c r="D4683" s="21" t="s">
        <v>978</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1323</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1384</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1002</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1000</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1196</v>
      </c>
      <c r="B4688" s="21" t="s">
        <v>1095</v>
      </c>
      <c r="C4688" s="21" t="s">
        <v>1008</v>
      </c>
      <c r="D4688" s="21" t="s">
        <v>978</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1076</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1050</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1520</v>
      </c>
      <c r="B4691" s="21" t="s">
        <v>989</v>
      </c>
      <c r="C4691" s="21" t="s">
        <v>983</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1002</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1081</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2250</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1002</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1142</v>
      </c>
      <c r="B4696" s="21" t="s">
        <v>1066</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1147</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2251</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2118</v>
      </c>
      <c r="B4699" s="21" t="s">
        <v>1101</v>
      </c>
      <c r="C4699" s="21" t="s">
        <v>1178</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1022</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row>
    <row r="4702" spans="1:12">
      <c r="A4702" s="20" t="s">
        <v>2252</v>
      </c>
    </row>
    <row r="4703" spans="1:12">
      <c r="A4703" s="20" t="s">
        <v>1624</v>
      </c>
      <c r="B4703" s="21" t="s">
        <v>976</v>
      </c>
      <c r="C4703" s="21" t="s">
        <v>977</v>
      </c>
      <c r="D4703" s="21" t="s">
        <v>978</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1323</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1384</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1216</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1217</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2253</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1002</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1154</v>
      </c>
      <c r="B4710" s="21" t="s">
        <v>1095</v>
      </c>
      <c r="C4710" s="21" t="s">
        <v>977</v>
      </c>
      <c r="D4710" s="21" t="s">
        <v>978</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1185</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609</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2254</v>
      </c>
      <c r="B4713" s="21" t="s">
        <v>1052</v>
      </c>
      <c r="C4713" s="21" t="s">
        <v>983</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1002</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1194</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1154</v>
      </c>
      <c r="B4716" s="21" t="s">
        <v>1095</v>
      </c>
      <c r="C4716" s="21" t="s">
        <v>977</v>
      </c>
      <c r="D4716" s="21" t="s">
        <v>978</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979</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2255</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1294</v>
      </c>
      <c r="B4719" s="21" t="s">
        <v>1101</v>
      </c>
      <c r="C4719" s="21" t="s">
        <v>1020</v>
      </c>
      <c r="D4719" s="21" t="s">
        <v>978</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2256</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2160</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1038</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1047</v>
      </c>
      <c r="B4723" s="21" t="s">
        <v>1066</v>
      </c>
      <c r="C4723" s="21" t="s">
        <v>977</v>
      </c>
      <c r="D4723" s="21" t="s">
        <v>978</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1072</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1363</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1189</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1004</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868</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996</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1092</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1206</v>
      </c>
      <c r="B4731" s="21" t="s">
        <v>1007</v>
      </c>
      <c r="C4731" s="21" t="s">
        <v>995</v>
      </c>
      <c r="D4731" s="21" t="s">
        <v>978</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1022</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row>
    <row r="4734" spans="1:12">
      <c r="A4734" s="20" t="s">
        <v>2257</v>
      </c>
    </row>
    <row r="4735" spans="1:12">
      <c r="A4735" s="20" t="s">
        <v>1182</v>
      </c>
      <c r="B4735" s="21" t="s">
        <v>976</v>
      </c>
      <c r="C4735" s="21" t="s">
        <v>977</v>
      </c>
      <c r="D4735" s="21" t="s">
        <v>978</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1072</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979</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1501</v>
      </c>
      <c r="B4738" s="21" t="s">
        <v>982</v>
      </c>
      <c r="C4738" s="21" t="s">
        <v>1020</v>
      </c>
      <c r="D4738" s="21" t="s">
        <v>978</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1004</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183</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1004</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2163</v>
      </c>
      <c r="B4742" s="21" t="s">
        <v>1007</v>
      </c>
      <c r="C4742" s="21" t="s">
        <v>987</v>
      </c>
      <c r="D4742" s="21" t="s">
        <v>978</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2118</v>
      </c>
      <c r="B4743" s="21" t="s">
        <v>1054</v>
      </c>
      <c r="C4743" s="21" t="s">
        <v>990</v>
      </c>
      <c r="D4743" s="21" t="s">
        <v>978</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1022</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row>
    <row r="4746" spans="1:12">
      <c r="A4746" s="20" t="s">
        <v>2258</v>
      </c>
    </row>
    <row r="4747" spans="1:12">
      <c r="A4747" s="20" t="s">
        <v>1125</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1938</v>
      </c>
      <c r="B4748" s="21" t="s">
        <v>989</v>
      </c>
      <c r="C4748" s="21" t="s">
        <v>995</v>
      </c>
      <c r="D4748" s="21" t="s">
        <v>978</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1002</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1047</v>
      </c>
      <c r="B4750" s="21" t="s">
        <v>976</v>
      </c>
      <c r="C4750" s="21" t="s">
        <v>977</v>
      </c>
      <c r="D4750" s="21" t="s">
        <v>978</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1116</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1293</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1189</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2259</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1009</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1025</v>
      </c>
      <c r="B4756" s="21" t="s">
        <v>1066</v>
      </c>
      <c r="C4756" s="21" t="s">
        <v>977</v>
      </c>
      <c r="D4756" s="21" t="s">
        <v>978</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2260</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1002</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1000</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1046</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1047</v>
      </c>
      <c r="B4761" s="21" t="s">
        <v>1035</v>
      </c>
      <c r="C4761" s="21" t="s">
        <v>977</v>
      </c>
      <c r="D4761" s="21" t="s">
        <v>978</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1011</v>
      </c>
      <c r="B4762" s="21" t="s">
        <v>1036</v>
      </c>
      <c r="C4762" s="21" t="s">
        <v>977</v>
      </c>
      <c r="D4762" s="21" t="s">
        <v>978</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1312</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984</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1039</v>
      </c>
      <c r="B4765" s="21" t="s">
        <v>1084</v>
      </c>
      <c r="C4765" s="21" t="s">
        <v>987</v>
      </c>
      <c r="D4765" s="21" t="s">
        <v>978</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1352</v>
      </c>
      <c r="B4766" s="21" t="s">
        <v>1007</v>
      </c>
      <c r="C4766" s="21" t="s">
        <v>990</v>
      </c>
      <c r="D4766" s="21" t="s">
        <v>978</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1002</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2261</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993</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2262</v>
      </c>
      <c r="B4770" s="21" t="s">
        <v>1052</v>
      </c>
      <c r="C4770" s="21" t="s">
        <v>995</v>
      </c>
      <c r="D4770" s="21" t="s">
        <v>978</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2263</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996</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985</v>
      </c>
      <c r="B4773" s="21" t="s">
        <v>1007</v>
      </c>
      <c r="C4773" s="21" t="s">
        <v>987</v>
      </c>
      <c r="D4773" s="21" t="s">
        <v>978</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988</v>
      </c>
      <c r="B4774" s="21" t="s">
        <v>1054</v>
      </c>
      <c r="C4774" s="21" t="s">
        <v>990</v>
      </c>
      <c r="D4774" s="21" t="s">
        <v>978</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1002</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1000</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2264</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1374</v>
      </c>
      <c r="B4778" s="21" t="s">
        <v>986</v>
      </c>
      <c r="C4778" s="21" t="s">
        <v>1178</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1002</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1024</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1025</v>
      </c>
      <c r="B4781" s="21" t="s">
        <v>1066</v>
      </c>
      <c r="C4781" s="21" t="s">
        <v>977</v>
      </c>
      <c r="D4781" s="21" t="s">
        <v>978</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2265</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1002</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1289</v>
      </c>
      <c r="B4784" s="21" t="s">
        <v>1066</v>
      </c>
      <c r="C4784" s="21" t="s">
        <v>1008</v>
      </c>
      <c r="D4784" s="21" t="s">
        <v>978</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1547</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1203</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2266</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1022</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row>
    <row r="4790" spans="1:12">
      <c r="A4790" s="20" t="s">
        <v>2267</v>
      </c>
    </row>
    <row r="4791" spans="1:12">
      <c r="A4791" s="20" t="s">
        <v>190</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1217</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1182</v>
      </c>
      <c r="B4793" s="21" t="s">
        <v>1095</v>
      </c>
      <c r="C4793" s="21" t="s">
        <v>977</v>
      </c>
      <c r="D4793" s="21" t="s">
        <v>978</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1864</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1220</v>
      </c>
      <c r="B4795" s="21" t="s">
        <v>1052</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996</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2268</v>
      </c>
      <c r="B4797" s="21" t="s">
        <v>1054</v>
      </c>
      <c r="C4797" s="21" t="s">
        <v>1116</v>
      </c>
      <c r="D4797" s="21" t="s">
        <v>978</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1002</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1047</v>
      </c>
      <c r="B4799" s="21" t="s">
        <v>976</v>
      </c>
      <c r="C4799" s="21" t="s">
        <v>977</v>
      </c>
      <c r="D4799" s="21" t="s">
        <v>978</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1864</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1072</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1929</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1330</v>
      </c>
      <c r="B4803" s="21" t="s">
        <v>982</v>
      </c>
      <c r="C4803" s="21" t="s">
        <v>1020</v>
      </c>
      <c r="D4803" s="21" t="s">
        <v>978</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1142</v>
      </c>
      <c r="B4804" s="21" t="s">
        <v>1066</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2269</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1135</v>
      </c>
      <c r="B4806" s="21" t="s">
        <v>1036</v>
      </c>
      <c r="C4806" s="21" t="s">
        <v>977</v>
      </c>
      <c r="D4806" s="21" t="s">
        <v>978</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1729</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1004</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2270</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1183</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1022</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row>
    <row r="4813" spans="1:12">
      <c r="A4813" s="20" t="s">
        <v>2271</v>
      </c>
    </row>
    <row r="4814" spans="1:12">
      <c r="A4814" s="20" t="s">
        <v>2272</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1002</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1039</v>
      </c>
      <c r="B4816" s="21" t="s">
        <v>986</v>
      </c>
      <c r="C4816" s="21" t="s">
        <v>987</v>
      </c>
      <c r="D4816" s="21" t="s">
        <v>978</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1873</v>
      </c>
      <c r="B4817" s="21" t="s">
        <v>976</v>
      </c>
      <c r="C4817" s="21" t="s">
        <v>990</v>
      </c>
      <c r="D4817" s="21" t="s">
        <v>978</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1011</v>
      </c>
      <c r="B4818" s="21" t="s">
        <v>982</v>
      </c>
      <c r="C4818" s="21" t="s">
        <v>977</v>
      </c>
      <c r="D4818" s="21" t="s">
        <v>978</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1384</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1038</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1047</v>
      </c>
      <c r="B4821" s="21" t="s">
        <v>1095</v>
      </c>
      <c r="C4821" s="21" t="s">
        <v>977</v>
      </c>
      <c r="D4821" s="21" t="s">
        <v>978</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1164</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2273</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1002</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2274</v>
      </c>
      <c r="B4825" s="21" t="s">
        <v>986</v>
      </c>
      <c r="C4825" s="21" t="s">
        <v>1057</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1022</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row>
    <row r="4828" spans="1:12">
      <c r="A4828" s="20" t="s">
        <v>2275</v>
      </c>
    </row>
    <row r="4829" spans="1:12">
      <c r="A4829" s="20" t="s">
        <v>975</v>
      </c>
      <c r="B4829" s="21" t="s">
        <v>976</v>
      </c>
      <c r="C4829" s="21" t="s">
        <v>977</v>
      </c>
      <c r="D4829" s="21" t="s">
        <v>978</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979</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1495</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2276</v>
      </c>
      <c r="B4832" s="21" t="s">
        <v>982</v>
      </c>
      <c r="C4832" s="21" t="s">
        <v>1057</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1081</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2277</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997</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2278</v>
      </c>
      <c r="B4836" s="21" t="s">
        <v>1101</v>
      </c>
      <c r="C4836" s="21" t="s">
        <v>995</v>
      </c>
      <c r="D4836" s="21" t="s">
        <v>978</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1022</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row>
    <row r="4839" spans="1:12">
      <c r="A4839" s="20" t="s">
        <v>2279</v>
      </c>
    </row>
    <row r="4840" spans="1:12">
      <c r="A4840" s="20" t="s">
        <v>190</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1518</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1519</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1002</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1468</v>
      </c>
      <c r="B4844" s="21" t="s">
        <v>1095</v>
      </c>
      <c r="C4844" s="21" t="s">
        <v>977</v>
      </c>
      <c r="D4844" s="21" t="s">
        <v>978</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1323</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1401</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2280</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984</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172</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2091</v>
      </c>
      <c r="B4850" s="21" t="s">
        <v>986</v>
      </c>
      <c r="C4850" s="21" t="s">
        <v>1063</v>
      </c>
      <c r="D4850" s="21" t="s">
        <v>978</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2245</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1002</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1000</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2281</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996</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1471</v>
      </c>
      <c r="B4856" s="21" t="s">
        <v>1007</v>
      </c>
      <c r="C4856" s="21" t="s">
        <v>987</v>
      </c>
      <c r="D4856" s="21" t="s">
        <v>978</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1690</v>
      </c>
      <c r="B4857" s="21" t="s">
        <v>1054</v>
      </c>
      <c r="C4857" s="21" t="s">
        <v>990</v>
      </c>
      <c r="D4857" s="21" t="s">
        <v>978</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1325</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1284</v>
      </c>
      <c r="B4859" s="21" t="s">
        <v>1007</v>
      </c>
      <c r="C4859" s="21" t="s">
        <v>1178</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1183</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1998</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1002</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1468</v>
      </c>
      <c r="B4863" s="21" t="s">
        <v>976</v>
      </c>
      <c r="C4863" s="21" t="s">
        <v>977</v>
      </c>
      <c r="D4863" s="21" t="s">
        <v>978</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1147</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2282</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609</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2135</v>
      </c>
      <c r="B4867" s="21" t="s">
        <v>982</v>
      </c>
      <c r="C4867" s="21" t="s">
        <v>983</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984</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1092</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1854</v>
      </c>
      <c r="B4870" s="21" t="s">
        <v>989</v>
      </c>
      <c r="C4870" s="21" t="s">
        <v>995</v>
      </c>
      <c r="D4870" s="21" t="s">
        <v>978</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1081</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2118</v>
      </c>
      <c r="B4872" s="21" t="s">
        <v>986</v>
      </c>
      <c r="C4872" s="21" t="s">
        <v>1057</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1235</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997</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2283</v>
      </c>
      <c r="B4875" s="21" t="s">
        <v>986</v>
      </c>
      <c r="C4875" s="21" t="s">
        <v>1116</v>
      </c>
      <c r="D4875" s="21" t="s">
        <v>978</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2284</v>
      </c>
      <c r="B4876" s="21" t="s">
        <v>1054</v>
      </c>
      <c r="C4876" s="21" t="s">
        <v>1116</v>
      </c>
      <c r="D4876" s="21" t="s">
        <v>978</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1002</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1468</v>
      </c>
      <c r="B4878" s="21" t="s">
        <v>1095</v>
      </c>
      <c r="C4878" s="21" t="s">
        <v>977</v>
      </c>
      <c r="D4878" s="21" t="s">
        <v>978</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1147</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2285</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1261</v>
      </c>
      <c r="B4881" s="21" t="s">
        <v>1054</v>
      </c>
      <c r="C4881" s="21" t="s">
        <v>987</v>
      </c>
      <c r="D4881" s="21" t="s">
        <v>978</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1873</v>
      </c>
      <c r="B4882" s="21" t="s">
        <v>1052</v>
      </c>
      <c r="C4882" s="21" t="s">
        <v>990</v>
      </c>
      <c r="D4882" s="21" t="s">
        <v>978</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2286</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1002</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1217</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2287</v>
      </c>
      <c r="B4886" s="21" t="s">
        <v>1007</v>
      </c>
      <c r="C4886" s="21" t="s">
        <v>987</v>
      </c>
      <c r="D4886" s="21" t="s">
        <v>978</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2118</v>
      </c>
      <c r="B4887" s="21" t="s">
        <v>1066</v>
      </c>
      <c r="C4887" s="21" t="s">
        <v>990</v>
      </c>
      <c r="D4887" s="21" t="s">
        <v>978</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1478</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1220</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1183</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2288</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1022</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row>
    <row r="4894" spans="1:12">
      <c r="A4894" s="20" t="s">
        <v>2289</v>
      </c>
    </row>
    <row r="4895" spans="1:12">
      <c r="A4895" s="20" t="s">
        <v>190</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1624</v>
      </c>
      <c r="B4896" s="21" t="s">
        <v>976</v>
      </c>
      <c r="C4896" s="21" t="s">
        <v>977</v>
      </c>
      <c r="D4896" s="21" t="s">
        <v>978</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1323</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1384</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1216</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1217</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2290</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1039</v>
      </c>
      <c r="B4902" s="21" t="s">
        <v>1054</v>
      </c>
      <c r="C4902" s="21" t="s">
        <v>987</v>
      </c>
      <c r="D4902" s="21" t="s">
        <v>978</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2078</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1674</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1078</v>
      </c>
      <c r="B4905" s="21" t="s">
        <v>1054</v>
      </c>
      <c r="C4905" s="21" t="s">
        <v>1020</v>
      </c>
      <c r="D4905" s="21" t="s">
        <v>978</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1010</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1294</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1323</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1050</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1894</v>
      </c>
      <c r="B4910" s="21" t="s">
        <v>1052</v>
      </c>
      <c r="C4910" s="21" t="s">
        <v>983</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1235</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993</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2291</v>
      </c>
      <c r="B4913" s="21" t="s">
        <v>986</v>
      </c>
      <c r="C4913" s="21" t="s">
        <v>995</v>
      </c>
      <c r="D4913" s="21" t="s">
        <v>978</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1000</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1050</v>
      </c>
      <c r="B4915" s="21" t="s">
        <v>1054</v>
      </c>
      <c r="C4915" s="21" t="s">
        <v>1020</v>
      </c>
      <c r="D4915" s="21" t="s">
        <v>978</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1235</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993</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2292</v>
      </c>
      <c r="B4918" s="21" t="s">
        <v>1007</v>
      </c>
      <c r="C4918" s="21" t="s">
        <v>995</v>
      </c>
      <c r="D4918" s="21" t="s">
        <v>978</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1002</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1194</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997</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2293</v>
      </c>
      <c r="B4922" s="21" t="s">
        <v>1054</v>
      </c>
      <c r="C4922" s="21" t="s">
        <v>995</v>
      </c>
      <c r="D4922" s="21" t="s">
        <v>978</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1002</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1025</v>
      </c>
      <c r="B4924" s="21" t="s">
        <v>1066</v>
      </c>
      <c r="C4924" s="21" t="s">
        <v>977</v>
      </c>
      <c r="D4924" s="21" t="s">
        <v>978</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2294</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1027</v>
      </c>
      <c r="B4926" s="21" t="s">
        <v>1101</v>
      </c>
      <c r="C4926" s="21" t="s">
        <v>1020</v>
      </c>
      <c r="D4926" s="21" t="s">
        <v>978</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1230</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1039</v>
      </c>
      <c r="B4928" s="21" t="s">
        <v>1007</v>
      </c>
      <c r="C4928" s="21" t="s">
        <v>987</v>
      </c>
      <c r="D4928" s="21" t="s">
        <v>978</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1352</v>
      </c>
      <c r="B4929" s="21" t="s">
        <v>1054</v>
      </c>
      <c r="C4929" s="21" t="s">
        <v>990</v>
      </c>
      <c r="D4929" s="21" t="s">
        <v>978</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1002</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1000</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1145</v>
      </c>
      <c r="B4932" s="21" t="s">
        <v>1066</v>
      </c>
      <c r="C4932" s="21" t="s">
        <v>1020</v>
      </c>
      <c r="D4932" s="21" t="s">
        <v>978</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1219</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993</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2295</v>
      </c>
      <c r="B4935" s="21" t="s">
        <v>1101</v>
      </c>
      <c r="C4935" s="21" t="s">
        <v>995</v>
      </c>
      <c r="D4935" s="21" t="s">
        <v>978</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2296</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1000</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1065</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1022</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row>
    <row r="4941" spans="1:12">
      <c r="A4941" s="20" t="s">
        <v>2297</v>
      </c>
    </row>
    <row r="4942" spans="1:12">
      <c r="A4942" s="20" t="s">
        <v>1611</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609</v>
      </c>
      <c r="B4943" s="21" t="s">
        <v>976</v>
      </c>
      <c r="C4943" s="21" t="s">
        <v>1020</v>
      </c>
      <c r="D4943" s="21" t="s">
        <v>978</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2298</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351</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2299</v>
      </c>
      <c r="B4946" s="21" t="s">
        <v>986</v>
      </c>
      <c r="C4946" s="21" t="s">
        <v>1057</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1002</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609</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1382</v>
      </c>
      <c r="B4949" s="21" t="s">
        <v>1095</v>
      </c>
      <c r="C4949" s="21" t="s">
        <v>1020</v>
      </c>
      <c r="D4949" s="21" t="s">
        <v>978</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2298</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351</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2300</v>
      </c>
      <c r="B4952" s="21" t="s">
        <v>1054</v>
      </c>
      <c r="C4952" s="21" t="s">
        <v>1057</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1002</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1000</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1050</v>
      </c>
      <c r="B4955" s="21" t="s">
        <v>986</v>
      </c>
      <c r="C4955" s="21" t="s">
        <v>1020</v>
      </c>
      <c r="D4955" s="21" t="s">
        <v>978</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996</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993</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2292</v>
      </c>
      <c r="B4958" s="21" t="s">
        <v>1054</v>
      </c>
      <c r="C4958" s="21" t="s">
        <v>995</v>
      </c>
      <c r="D4958" s="21" t="s">
        <v>978</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1384</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1009</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1468</v>
      </c>
      <c r="B4961" s="21" t="s">
        <v>1035</v>
      </c>
      <c r="C4961" s="21" t="s">
        <v>977</v>
      </c>
      <c r="D4961" s="21" t="s">
        <v>978</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1768</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351</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2301</v>
      </c>
      <c r="B4964" s="21" t="s">
        <v>1084</v>
      </c>
      <c r="C4964" s="21" t="s">
        <v>1057</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1022</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row>
    <row r="4967" spans="1:12">
      <c r="A4967" s="20" t="s">
        <v>2302</v>
      </c>
    </row>
    <row r="4968" spans="1:12">
      <c r="A4968" s="20" t="s">
        <v>1481</v>
      </c>
      <c r="B4968" s="21" t="s">
        <v>976</v>
      </c>
      <c r="C4968" s="21" t="s">
        <v>977</v>
      </c>
      <c r="D4968" s="21" t="s">
        <v>978</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1116</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2303</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1189</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1032</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1645</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1002</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1000</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1025</v>
      </c>
      <c r="B4976" s="21" t="s">
        <v>1095</v>
      </c>
      <c r="C4976" s="21" t="s">
        <v>977</v>
      </c>
      <c r="D4976" s="21" t="s">
        <v>978</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1116</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1093</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2304</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1183</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1032</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1645</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1022</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row>
    <row r="4985" spans="1:12">
      <c r="A4985" s="20" t="s">
        <v>2305</v>
      </c>
    </row>
    <row r="4986" spans="1:12">
      <c r="A4986" s="20" t="s">
        <v>1273</v>
      </c>
      <c r="B4986" s="21" t="s">
        <v>976</v>
      </c>
      <c r="C4986" s="21" t="s">
        <v>1008</v>
      </c>
      <c r="D4986" s="21" t="s">
        <v>978</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1067</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1065</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172</v>
      </c>
      <c r="B4989" s="21" t="s">
        <v>989</v>
      </c>
      <c r="C4989" s="21" t="s">
        <v>1008</v>
      </c>
      <c r="D4989" s="21" t="s">
        <v>978</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2129</v>
      </c>
      <c r="B4990" s="21" t="s">
        <v>1052</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1154</v>
      </c>
      <c r="B4991" s="21" t="s">
        <v>1095</v>
      </c>
      <c r="C4991" s="21" t="s">
        <v>977</v>
      </c>
      <c r="D4991" s="21" t="s">
        <v>978</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979</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2130</v>
      </c>
      <c r="B4993" s="21" t="s">
        <v>1052</v>
      </c>
      <c r="C4993" s="21" t="s">
        <v>1057</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1235</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2163</v>
      </c>
      <c r="B4995" s="21" t="s">
        <v>1054</v>
      </c>
      <c r="C4995" s="21" t="s">
        <v>987</v>
      </c>
      <c r="D4995" s="21" t="s">
        <v>978</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2306</v>
      </c>
      <c r="B4996" s="21" t="s">
        <v>986</v>
      </c>
      <c r="C4996" s="21" t="s">
        <v>990</v>
      </c>
      <c r="D4996" s="21" t="s">
        <v>978</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1022</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row>
    <row r="4999" spans="1:12">
      <c r="A4999" s="20" t="s">
        <v>2307</v>
      </c>
    </row>
    <row r="5000" spans="1:12">
      <c r="A5000" s="20" t="s">
        <v>1752</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2308</v>
      </c>
      <c r="B5001" s="21" t="s">
        <v>976</v>
      </c>
      <c r="C5001" s="21" t="s">
        <v>995</v>
      </c>
      <c r="D5001" s="21" t="s">
        <v>978</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1116</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2309</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1189</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1002</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1665</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1047</v>
      </c>
      <c r="B5007" s="21" t="s">
        <v>1095</v>
      </c>
      <c r="C5007" s="21" t="s">
        <v>977</v>
      </c>
      <c r="D5007" s="21" t="s">
        <v>978</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1135</v>
      </c>
      <c r="B5008" s="21" t="s">
        <v>1052</v>
      </c>
      <c r="C5008" s="21" t="s">
        <v>977</v>
      </c>
      <c r="D5008" s="21" t="s">
        <v>978</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2310</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1002</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1047</v>
      </c>
      <c r="B5011" s="21" t="s">
        <v>1095</v>
      </c>
      <c r="C5011" s="21" t="s">
        <v>977</v>
      </c>
      <c r="D5011" s="21" t="s">
        <v>978</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1011</v>
      </c>
      <c r="B5012" s="21" t="s">
        <v>1052</v>
      </c>
      <c r="C5012" s="21" t="s">
        <v>977</v>
      </c>
      <c r="D5012" s="21" t="s">
        <v>978</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1876</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1002</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1047</v>
      </c>
      <c r="B5015" s="21" t="s">
        <v>1095</v>
      </c>
      <c r="C5015" s="21" t="s">
        <v>977</v>
      </c>
      <c r="D5015" s="21" t="s">
        <v>978</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1011</v>
      </c>
      <c r="B5016" s="21" t="s">
        <v>1052</v>
      </c>
      <c r="C5016" s="21" t="s">
        <v>977</v>
      </c>
      <c r="D5016" s="21" t="s">
        <v>978</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2311</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1022</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row>
    <row r="5020" spans="1:12">
      <c r="A5020" s="20" t="s">
        <v>2312</v>
      </c>
    </row>
    <row r="5021" spans="1:12">
      <c r="A5021" s="20" t="s">
        <v>1182</v>
      </c>
      <c r="B5021" s="21" t="s">
        <v>976</v>
      </c>
      <c r="C5021" s="21" t="s">
        <v>977</v>
      </c>
      <c r="D5021" s="21" t="s">
        <v>978</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1293</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868</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1000</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1116</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1183</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168</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1328</v>
      </c>
      <c r="B5028" s="21" t="s">
        <v>1101</v>
      </c>
      <c r="C5028" s="21" t="s">
        <v>1057</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1002</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1000</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1047</v>
      </c>
      <c r="B5031" s="21" t="s">
        <v>1095</v>
      </c>
      <c r="C5031" s="21" t="s">
        <v>977</v>
      </c>
      <c r="D5031" s="21" t="s">
        <v>978</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1116</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2313</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1189</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1038</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1060</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2314</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2315</v>
      </c>
      <c r="B5038" s="21" t="s">
        <v>1066</v>
      </c>
      <c r="C5038" s="21" t="s">
        <v>1063</v>
      </c>
      <c r="D5038" s="21" t="s">
        <v>978</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2265</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1002</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1000</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1017</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1010</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1072</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1294</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1147</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1189</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1347</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997</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2316</v>
      </c>
      <c r="B5050" s="21" t="s">
        <v>1036</v>
      </c>
      <c r="C5050" s="21" t="s">
        <v>995</v>
      </c>
      <c r="D5050" s="21" t="s">
        <v>978</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2317</v>
      </c>
      <c r="B5051" s="21" t="s">
        <v>1084</v>
      </c>
      <c r="C5051" s="21" t="s">
        <v>1116</v>
      </c>
      <c r="D5051" s="21" t="s">
        <v>978</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1000</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1065</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1289</v>
      </c>
      <c r="B5054" s="21" t="s">
        <v>1084</v>
      </c>
      <c r="C5054" s="21" t="s">
        <v>1008</v>
      </c>
      <c r="D5054" s="21" t="s">
        <v>978</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1002</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1047</v>
      </c>
      <c r="B5056" s="21" t="s">
        <v>1095</v>
      </c>
      <c r="C5056" s="21" t="s">
        <v>977</v>
      </c>
      <c r="D5056" s="21" t="s">
        <v>978</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2318</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1137</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1004</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1092</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1206</v>
      </c>
      <c r="B5061" s="21" t="s">
        <v>989</v>
      </c>
      <c r="C5061" s="21" t="s">
        <v>995</v>
      </c>
      <c r="D5061" s="21" t="s">
        <v>978</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1002</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993</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2262</v>
      </c>
      <c r="B5064" s="21" t="s">
        <v>989</v>
      </c>
      <c r="C5064" s="21" t="s">
        <v>995</v>
      </c>
      <c r="D5064" s="21" t="s">
        <v>978</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2263</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996</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985</v>
      </c>
      <c r="B5067" s="21" t="s">
        <v>1007</v>
      </c>
      <c r="C5067" s="21" t="s">
        <v>987</v>
      </c>
      <c r="D5067" s="21" t="s">
        <v>978</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988</v>
      </c>
      <c r="B5068" s="21" t="s">
        <v>1054</v>
      </c>
      <c r="C5068" s="21" t="s">
        <v>990</v>
      </c>
      <c r="D5068" s="21" t="s">
        <v>978</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1002</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1070</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1154</v>
      </c>
      <c r="B5071" s="21" t="s">
        <v>1095</v>
      </c>
      <c r="C5071" s="21" t="s">
        <v>977</v>
      </c>
      <c r="D5071" s="21" t="s">
        <v>978</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1136</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1305</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2319</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1022</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row>
    <row r="5077" spans="1:12">
      <c r="A5077" s="20" t="s">
        <v>2320</v>
      </c>
    </row>
    <row r="5078" spans="1:12">
      <c r="A5078" s="20" t="s">
        <v>975</v>
      </c>
      <c r="B5078" s="21" t="s">
        <v>976</v>
      </c>
      <c r="C5078" s="21" t="s">
        <v>977</v>
      </c>
      <c r="D5078" s="21" t="s">
        <v>978</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979</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1804</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1004</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997</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2321</v>
      </c>
      <c r="B5083" s="21" t="s">
        <v>989</v>
      </c>
      <c r="C5083" s="21" t="s">
        <v>995</v>
      </c>
      <c r="D5083" s="21" t="s">
        <v>978</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996</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1135</v>
      </c>
      <c r="B5085" s="21" t="s">
        <v>1101</v>
      </c>
      <c r="C5085" s="21" t="s">
        <v>977</v>
      </c>
      <c r="D5085" s="21" t="s">
        <v>978</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489</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609</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2322</v>
      </c>
      <c r="B5088" s="21" t="s">
        <v>1101</v>
      </c>
      <c r="C5088" s="21" t="s">
        <v>983</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1002</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1000</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1010</v>
      </c>
      <c r="B5091" s="21" t="s">
        <v>1095</v>
      </c>
      <c r="C5091" s="21" t="s">
        <v>977</v>
      </c>
      <c r="D5091" s="21" t="s">
        <v>978</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1323</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2323</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2163</v>
      </c>
      <c r="B5094" s="21" t="s">
        <v>1054</v>
      </c>
      <c r="C5094" s="21" t="s">
        <v>987</v>
      </c>
      <c r="D5094" s="21" t="s">
        <v>978</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2324</v>
      </c>
      <c r="B5095" s="21" t="s">
        <v>1052</v>
      </c>
      <c r="C5095" s="21" t="s">
        <v>990</v>
      </c>
      <c r="D5095" s="21" t="s">
        <v>978</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1022</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row>
    <row r="5098" spans="1:12">
      <c r="A5098" s="20" t="s">
        <v>2325</v>
      </c>
    </row>
    <row r="5099" spans="1:12">
      <c r="A5099" s="20" t="s">
        <v>190</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2326</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2104</v>
      </c>
      <c r="B5101" s="21" t="s">
        <v>976</v>
      </c>
      <c r="C5101" s="21" t="s">
        <v>1063</v>
      </c>
      <c r="D5101" s="21" t="s">
        <v>978</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1135</v>
      </c>
      <c r="B5102" s="21" t="s">
        <v>982</v>
      </c>
      <c r="C5102" s="21" t="s">
        <v>977</v>
      </c>
      <c r="D5102" s="21" t="s">
        <v>978</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1828</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1220</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2327</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1002</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1000</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1154</v>
      </c>
      <c r="B5108" s="21" t="s">
        <v>1095</v>
      </c>
      <c r="C5108" s="21" t="s">
        <v>977</v>
      </c>
      <c r="D5108" s="21" t="s">
        <v>978</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979</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2328</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1038</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1047</v>
      </c>
      <c r="B5112" s="21" t="s">
        <v>1066</v>
      </c>
      <c r="C5112" s="21" t="s">
        <v>977</v>
      </c>
      <c r="D5112" s="21" t="s">
        <v>978</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71</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1830</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1004</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997</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2329</v>
      </c>
      <c r="B5117" s="21" t="s">
        <v>1084</v>
      </c>
      <c r="C5117" s="21" t="s">
        <v>1057</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1081</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1799</v>
      </c>
      <c r="B5119" s="21" t="s">
        <v>1084</v>
      </c>
      <c r="C5119" s="21" t="s">
        <v>977</v>
      </c>
      <c r="D5119" s="21" t="s">
        <v>978</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2330</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2331</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984</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609</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2332</v>
      </c>
      <c r="B5124" s="21" t="s">
        <v>1040</v>
      </c>
      <c r="C5124" s="21" t="s">
        <v>983</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1230</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2333</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1047</v>
      </c>
      <c r="B5127" s="21" t="s">
        <v>1833</v>
      </c>
      <c r="C5127" s="21" t="s">
        <v>977</v>
      </c>
      <c r="D5127" s="21" t="s">
        <v>978</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1999</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1002</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1194</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1465</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984</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609</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2334</v>
      </c>
      <c r="B5134" s="21" t="s">
        <v>1014</v>
      </c>
      <c r="C5134" s="21" t="s">
        <v>983</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1002</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1000</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2224</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1002</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1154</v>
      </c>
      <c r="B5139" s="21" t="s">
        <v>2183</v>
      </c>
      <c r="C5139" s="21" t="s">
        <v>977</v>
      </c>
      <c r="D5139" s="21" t="s">
        <v>978</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979</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2335</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1050</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2336</v>
      </c>
      <c r="B5143" s="21" t="s">
        <v>2137</v>
      </c>
      <c r="C5143" s="21" t="s">
        <v>990</v>
      </c>
      <c r="D5143" s="21" t="s">
        <v>978</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996</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997</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2337</v>
      </c>
      <c r="B5146" s="21" t="s">
        <v>2189</v>
      </c>
      <c r="C5146" s="21" t="s">
        <v>1116</v>
      </c>
      <c r="D5146" s="21" t="s">
        <v>978</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2338</v>
      </c>
      <c r="B5147" s="21" t="s">
        <v>2339</v>
      </c>
      <c r="C5147" s="21" t="s">
        <v>1116</v>
      </c>
      <c r="D5147" s="21" t="s">
        <v>978</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2340</v>
      </c>
      <c r="B5148" s="21" t="s">
        <v>2339</v>
      </c>
      <c r="C5148" s="21" t="s">
        <v>1116</v>
      </c>
      <c r="D5148" s="21" t="s">
        <v>978</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2341</v>
      </c>
      <c r="B5149" s="21" t="s">
        <v>2339</v>
      </c>
      <c r="C5149" s="21" t="s">
        <v>1116</v>
      </c>
      <c r="D5149" s="21" t="s">
        <v>978</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1081</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1830</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1004</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997</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2329</v>
      </c>
      <c r="B5154" s="21" t="s">
        <v>2189</v>
      </c>
      <c r="C5154" s="21" t="s">
        <v>995</v>
      </c>
      <c r="D5154" s="21" t="s">
        <v>978</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996</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1092</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1111</v>
      </c>
      <c r="B5157" s="21" t="s">
        <v>2339</v>
      </c>
      <c r="C5157" s="21" t="s">
        <v>995</v>
      </c>
      <c r="D5157" s="21" t="s">
        <v>978</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1674</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993</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1599</v>
      </c>
      <c r="B5160" s="21" t="s">
        <v>2189</v>
      </c>
      <c r="C5160" s="21" t="s">
        <v>995</v>
      </c>
      <c r="D5160" s="21" t="s">
        <v>978</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2342</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1022</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row>
    <row r="5164" spans="1:12">
      <c r="A5164" s="20" t="s">
        <v>2343</v>
      </c>
    </row>
    <row r="5165" spans="1:12">
      <c r="A5165" s="20" t="s">
        <v>992</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1154</v>
      </c>
      <c r="B5166" s="21" t="s">
        <v>976</v>
      </c>
      <c r="C5166" s="21" t="s">
        <v>977</v>
      </c>
      <c r="D5166" s="21" t="s">
        <v>978</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979</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1267</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1039</v>
      </c>
      <c r="B5169" s="21" t="s">
        <v>986</v>
      </c>
      <c r="C5169" s="21" t="s">
        <v>987</v>
      </c>
      <c r="D5169" s="21" t="s">
        <v>978</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2344</v>
      </c>
      <c r="B5170" s="21" t="s">
        <v>982</v>
      </c>
      <c r="C5170" s="21" t="s">
        <v>990</v>
      </c>
      <c r="D5170" s="21" t="s">
        <v>978</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1002</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1000</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1092</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2345</v>
      </c>
      <c r="B5174" s="21" t="s">
        <v>1095</v>
      </c>
      <c r="C5174" s="21" t="s">
        <v>995</v>
      </c>
      <c r="D5174" s="21" t="s">
        <v>978</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1018</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2346</v>
      </c>
      <c r="B5176" s="21" t="s">
        <v>1054</v>
      </c>
      <c r="C5176" s="21" t="s">
        <v>1057</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1135</v>
      </c>
      <c r="B5177" s="21" t="s">
        <v>1052</v>
      </c>
      <c r="C5177" s="21" t="s">
        <v>977</v>
      </c>
      <c r="D5177" s="21" t="s">
        <v>978</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1323</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2347</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1002</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1000</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1323</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1384</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1216</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1217</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1247</v>
      </c>
      <c r="B5186" s="21" t="s">
        <v>1095</v>
      </c>
      <c r="C5186" s="21" t="s">
        <v>1020</v>
      </c>
      <c r="D5186" s="21" t="s">
        <v>978</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1116</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1469</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1492</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1189</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2348</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1633</v>
      </c>
      <c r="B5192" s="21" t="s">
        <v>1101</v>
      </c>
      <c r="C5192" s="21" t="s">
        <v>1020</v>
      </c>
      <c r="D5192" s="21" t="s">
        <v>978</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1022</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row>
    <row r="5195" spans="1:12">
      <c r="A5195" s="20" t="s">
        <v>2349</v>
      </c>
    </row>
    <row r="5196" spans="1:12">
      <c r="A5196" s="20" t="s">
        <v>190</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1217</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743</v>
      </c>
      <c r="B5198" s="21" t="s">
        <v>989</v>
      </c>
      <c r="C5198" s="21" t="s">
        <v>1116</v>
      </c>
      <c r="D5198" s="21" t="s">
        <v>978</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1002</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1190</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1189</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1404</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row>
    <row r="5204" spans="1:12">
      <c r="A5204" s="20" t="s">
        <v>2350</v>
      </c>
    </row>
    <row r="5205" spans="1:12">
      <c r="A5205" s="20" t="s">
        <v>190</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992</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1468</v>
      </c>
      <c r="B5207" s="21" t="s">
        <v>976</v>
      </c>
      <c r="C5207" s="21" t="s">
        <v>977</v>
      </c>
      <c r="D5207" s="21" t="s">
        <v>978</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1323</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2351</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1217</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1273</v>
      </c>
      <c r="B5211" s="21" t="s">
        <v>1095</v>
      </c>
      <c r="C5211" s="21" t="s">
        <v>1008</v>
      </c>
      <c r="D5211" s="21" t="s">
        <v>978</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1067</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1203</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2352</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1002</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1065</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2353</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1022</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row>
    <row r="5220" spans="1:12">
      <c r="A5220" s="20" t="s">
        <v>2354</v>
      </c>
    </row>
    <row r="5221" spans="1:12">
      <c r="A5221" s="20" t="s">
        <v>2326</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750</v>
      </c>
      <c r="B5222" s="21" t="s">
        <v>989</v>
      </c>
      <c r="C5222" s="21" t="s">
        <v>1063</v>
      </c>
      <c r="D5222" s="21" t="s">
        <v>978</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1142</v>
      </c>
      <c r="B5223" s="21" t="s">
        <v>1095</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1478</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1183</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1310</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1270</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1004</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997</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2212</v>
      </c>
      <c r="B5230" s="21" t="s">
        <v>989</v>
      </c>
      <c r="C5230" s="21" t="s">
        <v>995</v>
      </c>
      <c r="D5230" s="21" t="s">
        <v>978</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996</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1074</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2355</v>
      </c>
      <c r="B5233" s="21" t="s">
        <v>986</v>
      </c>
      <c r="C5233" s="21" t="s">
        <v>995</v>
      </c>
      <c r="D5233" s="21" t="s">
        <v>978</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996</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1092</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2356</v>
      </c>
      <c r="B5236" s="21" t="s">
        <v>1054</v>
      </c>
      <c r="C5236" s="21" t="s">
        <v>995</v>
      </c>
      <c r="D5236" s="21" t="s">
        <v>978</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1000</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1046</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1025</v>
      </c>
      <c r="B5239" s="21" t="s">
        <v>1095</v>
      </c>
      <c r="C5239" s="21" t="s">
        <v>977</v>
      </c>
      <c r="D5239" s="21" t="s">
        <v>978</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2194</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1168</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1284</v>
      </c>
      <c r="B5242" s="21" t="s">
        <v>1052</v>
      </c>
      <c r="C5242" s="21" t="s">
        <v>1104</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996</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2069</v>
      </c>
      <c r="B5244" s="21" t="s">
        <v>1054</v>
      </c>
      <c r="C5244" s="21" t="s">
        <v>1057</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1000</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1025</v>
      </c>
      <c r="B5246" s="21" t="s">
        <v>1066</v>
      </c>
      <c r="C5246" s="21" t="s">
        <v>977</v>
      </c>
      <c r="D5246" s="21" t="s">
        <v>978</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1478</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1004</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1862</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1968</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2357</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1004</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2358</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2359</v>
      </c>
      <c r="B5254" s="21" t="s">
        <v>1036</v>
      </c>
      <c r="C5254" s="21" t="s">
        <v>1116</v>
      </c>
      <c r="D5254" s="21" t="s">
        <v>978</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2360</v>
      </c>
      <c r="B5255" s="21" t="s">
        <v>1084</v>
      </c>
      <c r="C5255" s="21" t="s">
        <v>1116</v>
      </c>
      <c r="D5255" s="21" t="s">
        <v>978</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1404</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row>
    <row r="5258" spans="1:12">
      <c r="A5258" s="20" t="s">
        <v>2361</v>
      </c>
    </row>
    <row r="5259" spans="1:12">
      <c r="A5259" s="20" t="s">
        <v>1273</v>
      </c>
      <c r="B5259" s="21" t="s">
        <v>976</v>
      </c>
      <c r="C5259" s="21" t="s">
        <v>1008</v>
      </c>
      <c r="D5259" s="21" t="s">
        <v>978</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1067</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1203</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t="s">
        <v>2362</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1002</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1065</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2353</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1022</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row>
    <row r="5268" spans="1:12">
      <c r="A5268" s="20" t="s">
        <v>2363</v>
      </c>
    </row>
    <row r="5269" spans="1:12">
      <c r="A5269" s="20" t="s">
        <v>190</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1624</v>
      </c>
      <c r="B5270" s="21" t="s">
        <v>976</v>
      </c>
      <c r="C5270" s="21" t="s">
        <v>977</v>
      </c>
      <c r="D5270" s="21" t="s">
        <v>978</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1323</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1384</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1216</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1217</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1273</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1067</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1305</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1092</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1642</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1825</v>
      </c>
      <c r="B5280" s="21" t="s">
        <v>989</v>
      </c>
      <c r="C5280" s="21" t="s">
        <v>995</v>
      </c>
      <c r="D5280" s="21" t="s">
        <v>978</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1038</v>
      </c>
      <c r="B5281" s="21" t="s">
        <v>1101</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1154</v>
      </c>
      <c r="B5282" s="21" t="s">
        <v>1066</v>
      </c>
      <c r="C5282" s="21" t="s">
        <v>977</v>
      </c>
      <c r="D5282" s="21" t="s">
        <v>978</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2364</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1050</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2365</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2344</v>
      </c>
      <c r="B5286" s="21" t="s">
        <v>1054</v>
      </c>
      <c r="C5286" s="21" t="s">
        <v>983</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1022</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row>
    <row r="5289" spans="1:12">
      <c r="A5289" s="20" t="s">
        <v>2366</v>
      </c>
    </row>
    <row r="5290" spans="1:12">
      <c r="A5290" s="20" t="s">
        <v>190</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992</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1154</v>
      </c>
      <c r="B5292" s="21" t="s">
        <v>976</v>
      </c>
      <c r="C5292" s="21" t="s">
        <v>977</v>
      </c>
      <c r="D5292" s="21" t="s">
        <v>978</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979</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1384</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1216</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1217</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1125</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1219</v>
      </c>
      <c r="B5298" s="21" t="s">
        <v>1095</v>
      </c>
      <c r="C5298" s="21" t="s">
        <v>995</v>
      </c>
      <c r="D5298" s="21" t="s">
        <v>978</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1038</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1297</v>
      </c>
      <c r="B5300" s="21" t="s">
        <v>1035</v>
      </c>
      <c r="C5300" s="21" t="s">
        <v>977</v>
      </c>
      <c r="D5300" s="21" t="s">
        <v>978</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1072</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1018</v>
      </c>
      <c r="B5302" s="21" t="s">
        <v>1146</v>
      </c>
      <c r="C5302" s="21" t="s">
        <v>1020</v>
      </c>
      <c r="D5302" s="21" t="s">
        <v>978</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2151</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1670</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2090</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263</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2367</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1519</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1009</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1010</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1017</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1549</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996</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993</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1214</v>
      </c>
      <c r="B5315" s="21" t="s">
        <v>986</v>
      </c>
      <c r="C5315" s="21" t="s">
        <v>995</v>
      </c>
      <c r="D5315" s="21" t="s">
        <v>978</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1022</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row>
    <row r="5318" spans="1:12">
      <c r="A5318" s="20" t="s">
        <v>2368</v>
      </c>
    </row>
    <row r="5319" spans="1:12">
      <c r="A5319" s="20" t="s">
        <v>190</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1217</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992</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1865</v>
      </c>
      <c r="B5322" s="21" t="s">
        <v>976</v>
      </c>
      <c r="C5322" s="21" t="s">
        <v>977</v>
      </c>
      <c r="D5322" s="21" t="s">
        <v>978</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1945</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1519</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609</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2369</v>
      </c>
      <c r="B5326" s="21" t="s">
        <v>989</v>
      </c>
      <c r="C5326" s="21" t="s">
        <v>983</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1022</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row>
    <row r="5329" spans="1:12">
      <c r="A5329" s="20" t="s">
        <v>2370</v>
      </c>
    </row>
    <row r="5330" spans="1:12">
      <c r="A5330" s="20" t="s">
        <v>190</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1594</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1167</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t="s">
        <v>609</v>
      </c>
      <c r="E5333" s="22">
        <f>IF(D5333="?OLD","!!!","")</f>
        <v/>
      </c>
      <c r="F5333" s="23" t="str">
        <f>IF(OR(E5333="",E5333="!!!"),"",IF(NOT(ISNA(VLOOKUP(E5333,E$1:E5332,1,FALSE()))),"OLD",IF(AND(E5333&lt;&gt;"",E5333&lt;&gt;"!!!"),"NEW","")))</f>
        <v> </v>
      </c>
      <c r="G5333" s="24" t="str">
        <f>IF(OR(E5333="",E5333="!!!"),"",IF(OR(J5333=0,AND(J5333=1,K5333=1),AND(J5333=1,I5333="SBJ"),AND(J5333=1,I5333=0)),"?IN_FOCUS",IF(J5333&lt;=2,"?ACTIVATED",IF(J5333&lt;&gt;"","?FAMILIAR",IF(F5333="NEW",IF(ISNA(VLOOKUP(E5333,#REF!,1,FALSE())),"?TYPE_IDENTIFIABLE","?REFERENTIAL"),"_")))))</f>
        <v> </v>
      </c>
      <c r="H5333" s="25" t="str">
        <f>IF(J5333&lt;&gt;1,"",IF(I5333="SBJ","CB","?"))</f>
        <v> </v>
      </c>
      <c r="I5333" s="26" t="str">
        <f>IF(OR(E5333="",E5333="!!!",F5333="NEW"),"",INDEX(B5332:B$2,-1+SUMPRODUCT(MAX(ROW(E5332:E$2)*(E5333=E5332:E$2)))))</f>
        <v> </v>
      </c>
      <c r="J5333" s="26" t="str">
        <f>IF(OR(E5333="",E5333="!!!",F5333="NEW"),"",COUNTBLANK(OFFSET(A$1,,,SUMPRODUCT(MAX(ROW(E$2:E5333)*(E5333=E$2:E5333)))))-COUNTBLANK(OFFSET(A$1,,,SUMPRODUCT(MAX(ROW(E$1:E5332)*(E2=E$1:E5332))))))</f>
        <v> </v>
      </c>
      <c r="K5333" s="26" t="str">
        <f>IF(OR(E5333="",E5333="!!!",F5333="NEW"),"",INDEX(J$1:J5332,SUMPRODUCT(MAX(ROW(E$1:E5332)*(E5333=E$1:E5332)))))</f>
        <v> </v>
      </c>
      <c r="L5333" s="27"/>
    </row>
    <row r="5334" spans="1:12">
      <c r="A5334" s="20" t="s">
        <v>1862</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996</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2371</v>
      </c>
      <c r="B5336" s="21" t="s">
        <v>986</v>
      </c>
      <c r="C5336" s="21" t="s">
        <v>1057</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1002</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1025</v>
      </c>
      <c r="B5338" s="21" t="s">
        <v>976</v>
      </c>
      <c r="C5338" s="21" t="s">
        <v>977</v>
      </c>
      <c r="D5338" s="21" t="s">
        <v>978</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1828</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2282</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996</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997</v>
      </c>
      <c r="B5342" s="21" t="s">
        <v>1052</v>
      </c>
      <c r="C5342" s="21" t="s">
        <v>977</v>
      </c>
      <c r="D5342" s="21" t="s">
        <v>978</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414</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1022</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row>
    <row r="5346" spans="1:12">
      <c r="A5346" s="20" t="s">
        <v>2372</v>
      </c>
    </row>
    <row r="5347" spans="1:12">
      <c r="A5347" s="20" t="s">
        <v>1174</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1154</v>
      </c>
      <c r="B5348" s="21" t="s">
        <v>976</v>
      </c>
      <c r="C5348" s="21" t="s">
        <v>977</v>
      </c>
      <c r="D5348" s="21" t="s">
        <v>978</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979</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1074</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2172</v>
      </c>
      <c r="B5351" s="21" t="s">
        <v>982</v>
      </c>
      <c r="C5351" s="21" t="s">
        <v>995</v>
      </c>
      <c r="D5351" s="21" t="s">
        <v>978</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1038</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1220</v>
      </c>
      <c r="B5353" s="21" t="s">
        <v>1066</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996</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1253</v>
      </c>
      <c r="B5355" s="21" t="s">
        <v>1084</v>
      </c>
      <c r="C5355" s="21" t="s">
        <v>987</v>
      </c>
      <c r="D5355" s="21" t="s">
        <v>978</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2373</v>
      </c>
      <c r="B5356" s="21" t="s">
        <v>1007</v>
      </c>
      <c r="C5356" s="21" t="s">
        <v>990</v>
      </c>
      <c r="D5356" s="21" t="s">
        <v>978</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1026</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2374</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1081</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1050</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1381</v>
      </c>
      <c r="B5361" s="21" t="s">
        <v>1054</v>
      </c>
      <c r="C5361" s="21" t="s">
        <v>983</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2375</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1004</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1074</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2376</v>
      </c>
      <c r="B5365" s="21" t="s">
        <v>1007</v>
      </c>
      <c r="C5365" s="21" t="s">
        <v>995</v>
      </c>
      <c r="D5365" s="21" t="s">
        <v>978</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1038</v>
      </c>
      <c r="B5366" s="21" t="s">
        <v>1229</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993</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750</v>
      </c>
      <c r="B5368" s="21" t="s">
        <v>1311</v>
      </c>
      <c r="C5368" s="21" t="s">
        <v>995</v>
      </c>
      <c r="D5368" s="21" t="s">
        <v>978</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1828</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1137</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1235</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1074</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2220</v>
      </c>
      <c r="B5373" s="21" t="s">
        <v>1040</v>
      </c>
      <c r="C5373" s="21" t="s">
        <v>995</v>
      </c>
      <c r="D5373" s="21" t="s">
        <v>978</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996</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997</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2069</v>
      </c>
      <c r="B5376" s="21" t="s">
        <v>1317</v>
      </c>
      <c r="C5376" s="21" t="s">
        <v>995</v>
      </c>
      <c r="D5376" s="21" t="s">
        <v>978</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1002</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1038</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1070</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1670</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1145</v>
      </c>
      <c r="B5381" s="21" t="s">
        <v>1066</v>
      </c>
      <c r="C5381" s="21" t="s">
        <v>1020</v>
      </c>
      <c r="D5381" s="21" t="s">
        <v>978</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1093</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2377</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1004</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2378</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1220</v>
      </c>
      <c r="B5386" s="21" t="s">
        <v>1036</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996</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750</v>
      </c>
      <c r="B5388" s="21" t="s">
        <v>1084</v>
      </c>
      <c r="C5388" s="21" t="s">
        <v>1057</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t="s">
        <v>996</v>
      </c>
      <c r="E5389" s="22">
        <f>IF(D5389="?OLD","!!!","")</f>
        <v/>
      </c>
      <c r="F5389" s="23" t="str">
        <f>IF(OR(E5389="",E5389="!!!"),"",IF(NOT(ISNA(VLOOKUP(E5389,E$1:E5388,1,FALSE()))),"OLD",IF(AND(E5389&lt;&gt;"",E5389&lt;&gt;"!!!"),"NEW","")))</f>
        <v> </v>
      </c>
      <c r="G5389" s="24" t="str">
        <f>IF(OR(E5389="",E5389="!!!"),"",IF(OR(J5389=0,AND(J5389=1,K5389=1),AND(J5389=1,I5389="SBJ"),AND(J5389=1,I5389=0)),"?IN_FOCUS",IF(J5389&lt;=2,"?ACTIVATED",IF(J5389&lt;&gt;"","?FAMILIAR",IF(F5389="NEW",IF(ISNA(VLOOKUP(E5389,#REF!,1,FALSE())),"?TYPE_IDENTIFIABLE","?REFERENTIAL"),"_")))))</f>
        <v> </v>
      </c>
      <c r="H5389" s="25" t="str">
        <f>IF(J5389&lt;&gt;1,"",IF(I5389="SBJ","CB","?"))</f>
        <v> </v>
      </c>
      <c r="I5389" s="26" t="str">
        <f>IF(OR(E5389="",E5389="!!!",F5389="NEW"),"",INDEX(B5388:B$2,-1+SUMPRODUCT(MAX(ROW(E5388:E$2)*(E5389=E5388:E$2)))))</f>
        <v> </v>
      </c>
      <c r="J5389" s="26" t="str">
        <f>IF(OR(E5389="",E5389="!!!",F5389="NEW"),"",COUNTBLANK(OFFSET(A$1,,,SUMPRODUCT(MAX(ROW(E$2:E5389)*(E5389=E$2:E5389)))))-COUNTBLANK(OFFSET(A$1,,,SUMPRODUCT(MAX(ROW(E$1:E5388)*(E2=E$1:E5388))))))</f>
        <v> </v>
      </c>
      <c r="K5389" s="26" t="str">
        <f>IF(OR(E5389="",E5389="!!!",F5389="NEW"),"",INDEX(J$1:J5388,SUMPRODUCT(MAX(ROW(E$1:E5388)*(E5389=E$1:E5388)))))</f>
        <v> </v>
      </c>
      <c r="L5389" s="27"/>
    </row>
    <row r="5390" spans="1:12">
      <c r="A5390" s="20" t="s">
        <v>993</v>
      </c>
      <c r="E5390" s="22">
        <f>IF(D5390="?OLD","!!!","")</f>
        <v/>
      </c>
      <c r="F5390" s="23" t="str">
        <f>IF(OR(E5390="",E5390="!!!"),"",IF(NOT(ISNA(VLOOKUP(E5390,E$1:E5389,1,FALSE()))),"OLD",IF(AND(E5390&lt;&gt;"",E5390&lt;&gt;"!!!"),"NEW","")))</f>
        <v> </v>
      </c>
      <c r="G5390" s="24" t="str">
        <f>IF(OR(E5390="",E5390="!!!"),"",IF(OR(J5390=0,AND(J5390=1,K5390=1),AND(J5390=1,I5390="SBJ"),AND(J5390=1,I5390=0)),"?IN_FOCUS",IF(J5390&lt;=2,"?ACTIVATED",IF(J5390&lt;&gt;"","?FAMILIAR",IF(F5390="NEW",IF(ISNA(VLOOKUP(E5390,#REF!,1,FALSE())),"?TYPE_IDENTIFIABLE","?REFERENTIAL"),"_")))))</f>
        <v> </v>
      </c>
      <c r="H5390" s="25" t="str">
        <f>IF(J5390&lt;&gt;1,"",IF(I5390="SBJ","CB","?"))</f>
        <v> </v>
      </c>
      <c r="I5390" s="26" t="str">
        <f>IF(OR(E5390="",E5390="!!!",F5390="NEW"),"",INDEX(B5389:B$2,-1+SUMPRODUCT(MAX(ROW(E5389:E$2)*(E5390=E5389:E$2)))))</f>
        <v> </v>
      </c>
      <c r="J5390" s="26" t="str">
        <f>IF(OR(E5390="",E5390="!!!",F5390="NEW"),"",COUNTBLANK(OFFSET(A$1,,,SUMPRODUCT(MAX(ROW(E$2:E5390)*(E5390=E$2:E5390)))))-COUNTBLANK(OFFSET(A$1,,,SUMPRODUCT(MAX(ROW(E$1:E5389)*(E2=E$1:E5389))))))</f>
        <v> </v>
      </c>
      <c r="K5390" s="26" t="str">
        <f>IF(OR(E5390="",E5390="!!!",F5390="NEW"),"",INDEX(J$1:J5389,SUMPRODUCT(MAX(ROW(E$1:E5389)*(E5390=E$1:E5389)))))</f>
        <v> </v>
      </c>
      <c r="L5390" s="27"/>
    </row>
    <row r="5391" spans="1:12">
      <c r="A5391" s="20" t="s">
        <v>2379</v>
      </c>
      <c r="B5391" s="21" t="s">
        <v>1040</v>
      </c>
      <c r="C5391" s="21" t="s">
        <v>995</v>
      </c>
      <c r="D5391" s="21" t="s">
        <v>978</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2342</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1002</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1877</v>
      </c>
      <c r="B5394" s="21" t="s">
        <v>1095</v>
      </c>
      <c r="C5394" s="21" t="s">
        <v>1008</v>
      </c>
      <c r="D5394" s="21" t="s">
        <v>978</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2380</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996</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1074</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2381</v>
      </c>
      <c r="B5398" s="21" t="s">
        <v>986</v>
      </c>
      <c r="C5398" s="21" t="s">
        <v>995</v>
      </c>
      <c r="D5398" s="21" t="s">
        <v>978</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1002</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t="s">
        <v>2160</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1009</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1145</v>
      </c>
      <c r="B5402" s="21" t="s">
        <v>1066</v>
      </c>
      <c r="C5402" s="21" t="s">
        <v>1020</v>
      </c>
      <c r="D5402" s="21" t="s">
        <v>978</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993</v>
      </c>
      <c r="B5403" s="21" t="s">
        <v>1101</v>
      </c>
      <c r="C5403" s="21" t="s">
        <v>977</v>
      </c>
      <c r="D5403" s="21" t="s">
        <v>978</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2382</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1022</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row>
    <row r="5407" spans="1:12">
      <c r="A5407" s="20" t="s">
        <v>2383</v>
      </c>
    </row>
    <row r="5408" spans="1:12">
      <c r="A5408" s="20" t="s">
        <v>1357</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2226</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1689</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2384</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2385</v>
      </c>
      <c r="B5412" s="21" t="s">
        <v>976</v>
      </c>
      <c r="C5412" s="21" t="s">
        <v>1063</v>
      </c>
      <c r="D5412" s="21" t="s">
        <v>978</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2386</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1142</v>
      </c>
      <c r="B5414" s="21" t="s">
        <v>1066</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1012</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93</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2387</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1038</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997</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1435</v>
      </c>
      <c r="B5420" s="21" t="s">
        <v>1007</v>
      </c>
      <c r="C5420" s="21" t="s">
        <v>995</v>
      </c>
      <c r="D5420" s="21" t="s">
        <v>978</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996</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t="s">
        <v>1092</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1111</v>
      </c>
      <c r="B5423" s="21" t="s">
        <v>1084</v>
      </c>
      <c r="C5423" s="21" t="s">
        <v>995</v>
      </c>
      <c r="D5423" s="21" t="s">
        <v>978</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1002</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993</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1392</v>
      </c>
      <c r="B5426" s="21" t="s">
        <v>1084</v>
      </c>
      <c r="C5426" s="21" t="s">
        <v>995</v>
      </c>
      <c r="D5426" s="21" t="s">
        <v>978</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1000</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2085</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996</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2388</v>
      </c>
      <c r="B5430" s="21" t="s">
        <v>1014</v>
      </c>
      <c r="C5430" s="21" t="s">
        <v>1057</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1002</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2389</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1018</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2390</v>
      </c>
      <c r="B5434" s="21" t="s">
        <v>1040</v>
      </c>
      <c r="C5434" s="21" t="s">
        <v>1057</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1002</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1000</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1038</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172</v>
      </c>
      <c r="B5438" s="21" t="s">
        <v>1095</v>
      </c>
      <c r="C5438" s="21" t="s">
        <v>1008</v>
      </c>
      <c r="D5438" s="21" t="s">
        <v>978</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1072</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1067</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1189</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2391</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1022</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row>
    <row r="5445" spans="1:12">
      <c r="A5445" s="20" t="s">
        <v>2392</v>
      </c>
    </row>
    <row r="5446" spans="1:12">
      <c r="A5446" s="20" t="s">
        <v>992</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1047</v>
      </c>
      <c r="B5447" s="21" t="s">
        <v>976</v>
      </c>
      <c r="C5447" s="21" t="s">
        <v>977</v>
      </c>
      <c r="D5447" s="21" t="s">
        <v>978</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2393</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1877</v>
      </c>
      <c r="B5449" s="21" t="s">
        <v>982</v>
      </c>
      <c r="C5449" s="21" t="s">
        <v>1008</v>
      </c>
      <c r="D5449" s="21" t="s">
        <v>978</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1482</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2394</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1022</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row>
    <row r="5454" spans="1:12">
      <c r="A5454" s="20" t="s">
        <v>2395</v>
      </c>
    </row>
    <row r="5455" spans="1:12">
      <c r="A5455" s="20" t="s">
        <v>1357</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1524</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2391</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1038</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1497</v>
      </c>
      <c r="B5459" s="21" t="s">
        <v>1054</v>
      </c>
      <c r="C5459" s="21" t="s">
        <v>987</v>
      </c>
      <c r="D5459" s="21" t="s">
        <v>978</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2396</v>
      </c>
      <c r="B5460" s="21" t="s">
        <v>1095</v>
      </c>
      <c r="C5460" s="21" t="s">
        <v>990</v>
      </c>
      <c r="D5460" s="21" t="s">
        <v>978</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2397</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1002</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1194</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323</v>
      </c>
      <c r="B5464" s="21" t="s">
        <v>1066</v>
      </c>
      <c r="C5464" s="21" t="s">
        <v>1057</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t="s">
        <v>1116</v>
      </c>
      <c r="E5465" s="22">
        <f>IF(D5465="?OLD","!!!","")</f>
        <v/>
      </c>
      <c r="F5465" s="23" t="str">
        <f>IF(OR(E5465="",E5465="!!!"),"",IF(NOT(ISNA(VLOOKUP(E5465,E$1:E5464,1,FALSE()))),"OLD",IF(AND(E5465&lt;&gt;"",E5465&lt;&gt;"!!!"),"NEW","")))</f>
        <v> </v>
      </c>
      <c r="G5465" s="24" t="str">
        <f>IF(OR(E5465="",E5465="!!!"),"",IF(OR(J5465=0,AND(J5465=1,K5465=1),AND(J5465=1,I5465="SBJ"),AND(J5465=1,I5465=0)),"?IN_FOCUS",IF(J5465&lt;=2,"?ACTIVATED",IF(J5465&lt;&gt;"","?FAMILIAR",IF(F5465="NEW",IF(ISNA(VLOOKUP(E5465,#REF!,1,FALSE())),"?TYPE_IDENTIFIABLE","?REFERENTIAL"),"_")))))</f>
        <v> </v>
      </c>
      <c r="H5465" s="25" t="str">
        <f>IF(J5465&lt;&gt;1,"",IF(I5465="SBJ","CB","?"))</f>
        <v> </v>
      </c>
      <c r="I5465" s="26" t="str">
        <f>IF(OR(E5465="",E5465="!!!",F5465="NEW"),"",INDEX(B5464:B$2,-1+SUMPRODUCT(MAX(ROW(E5464:E$2)*(E5465=E5464:E$2)))))</f>
        <v> </v>
      </c>
      <c r="J5465" s="26" t="str">
        <f>IF(OR(E5465="",E5465="!!!",F5465="NEW"),"",COUNTBLANK(OFFSET(A$1,,,SUMPRODUCT(MAX(ROW(E$2:E5465)*(E5465=E$2:E5465)))))-COUNTBLANK(OFFSET(A$1,,,SUMPRODUCT(MAX(ROW(E$1:E5464)*(E2=E$1:E5464))))))</f>
        <v> </v>
      </c>
      <c r="K5465" s="26" t="str">
        <f>IF(OR(E5465="",E5465="!!!",F5465="NEW"),"",INDEX(J$1:J5464,SUMPRODUCT(MAX(ROW(E$1:E5464)*(E5465=E$1:E5464)))))</f>
        <v> </v>
      </c>
      <c r="L5465" s="27"/>
    </row>
    <row r="5466" spans="1:12">
      <c r="A5466" s="20" t="s">
        <v>2398</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2399</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997</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2400</v>
      </c>
      <c r="B5469" s="21" t="s">
        <v>1054</v>
      </c>
      <c r="C5469" s="21" t="s">
        <v>995</v>
      </c>
      <c r="D5469" s="21" t="s">
        <v>978</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1002</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1004</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997</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1270</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1189</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984</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1039</v>
      </c>
      <c r="B5476" s="21" t="s">
        <v>1084</v>
      </c>
      <c r="C5476" s="21" t="s">
        <v>987</v>
      </c>
      <c r="D5476" s="21" t="s">
        <v>978</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2401</v>
      </c>
      <c r="B5477" s="21" t="s">
        <v>1007</v>
      </c>
      <c r="C5477" s="21" t="s">
        <v>990</v>
      </c>
      <c r="D5477" s="21" t="s">
        <v>978</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1022</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row>
    <row r="5480" spans="1:12">
      <c r="A5480" s="20" t="s">
        <v>2402</v>
      </c>
    </row>
    <row r="5481" spans="1:12">
      <c r="A5481" s="20" t="s">
        <v>992</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1046</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993</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750</v>
      </c>
      <c r="B5484" s="21" t="s">
        <v>976</v>
      </c>
      <c r="C5484" s="21" t="s">
        <v>995</v>
      </c>
      <c r="D5484" s="21" t="s">
        <v>978</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1753</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1216</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1217</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2403</v>
      </c>
      <c r="B5488" s="21" t="s">
        <v>989</v>
      </c>
      <c r="C5488" s="21" t="s">
        <v>1116</v>
      </c>
      <c r="D5488" s="21" t="s">
        <v>978</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1002</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1194</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1371</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1002</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t="s">
        <v>1092</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1111</v>
      </c>
      <c r="B5494" s="21" t="s">
        <v>1066</v>
      </c>
      <c r="C5494" s="21" t="s">
        <v>995</v>
      </c>
      <c r="D5494" s="21" t="s">
        <v>978</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1219</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1128</v>
      </c>
      <c r="B5496" s="21" t="s">
        <v>1101</v>
      </c>
      <c r="C5496" s="21" t="s">
        <v>990</v>
      </c>
      <c r="D5496" s="21" t="s">
        <v>978</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996</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172</v>
      </c>
      <c r="B5498" s="21" t="s">
        <v>1007</v>
      </c>
      <c r="C5498" s="21" t="s">
        <v>1008</v>
      </c>
      <c r="D5498" s="21" t="s">
        <v>978</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1009</v>
      </c>
      <c r="B5499" s="21" t="s">
        <v>1229</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1145</v>
      </c>
      <c r="B5500" s="21" t="s">
        <v>1311</v>
      </c>
      <c r="C5500" s="21" t="s">
        <v>1020</v>
      </c>
      <c r="D5500" s="21" t="s">
        <v>978</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1067</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2404</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2405</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1404</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row>
    <row r="5506" spans="1:12">
      <c r="A5506" s="20" t="s">
        <v>2406</v>
      </c>
    </row>
    <row r="5507" spans="1:12">
      <c r="A5507" s="20" t="s">
        <v>1512</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1111</v>
      </c>
      <c r="B5508" s="21" t="s">
        <v>989</v>
      </c>
      <c r="C5508" s="21" t="s">
        <v>995</v>
      </c>
      <c r="D5508" s="21" t="s">
        <v>978</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1002</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1289</v>
      </c>
      <c r="B5510" s="21" t="s">
        <v>976</v>
      </c>
      <c r="C5510" s="21" t="s">
        <v>1008</v>
      </c>
      <c r="D5510" s="21" t="s">
        <v>978</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1219</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1128</v>
      </c>
      <c r="B5512" s="21" t="s">
        <v>982</v>
      </c>
      <c r="C5512" s="21" t="s">
        <v>990</v>
      </c>
      <c r="D5512" s="21" t="s">
        <v>978</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996</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1471</v>
      </c>
      <c r="B5514" s="21" t="s">
        <v>1054</v>
      </c>
      <c r="C5514" s="21" t="s">
        <v>987</v>
      </c>
      <c r="D5514" s="21" t="s">
        <v>978</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t="s">
        <v>2407</v>
      </c>
      <c r="B5515" s="21" t="s">
        <v>986</v>
      </c>
      <c r="C5515" s="21" t="s">
        <v>990</v>
      </c>
      <c r="D5515" s="21" t="s">
        <v>978</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t="s">
        <v>1002</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2330</v>
      </c>
      <c r="E5517" s="22">
        <f>IF(D5517="?OLD","!!!","")</f>
        <v/>
      </c>
      <c r="F5517" s="23" t="str">
        <f>IF(OR(E5517="",E5517="!!!"),"",IF(NOT(ISNA(VLOOKUP(E5517,E$1:E5516,1,FALSE()))),"OLD",IF(AND(E5517&lt;&gt;"",E5517&lt;&gt;"!!!"),"NEW","")))</f>
        <v> </v>
      </c>
      <c r="G5517" s="24" t="str">
        <f>IF(OR(E5517="",E5517="!!!"),"",IF(OR(J5517=0,AND(J5517=1,K5517=1),AND(J5517=1,I5517="SBJ"),AND(J5517=1,I5517=0)),"?IN_FOCUS",IF(J5517&lt;=2,"?ACTIVATED",IF(J5517&lt;&gt;"","?FAMILIAR",IF(F5517="NEW",IF(ISNA(VLOOKUP(E5517,#REF!,1,FALSE())),"?TYPE_IDENTIFIABLE","?REFERENTIAL"),"_")))))</f>
        <v> </v>
      </c>
      <c r="H5517" s="25" t="str">
        <f>IF(J5517&lt;&gt;1,"",IF(I5517="SBJ","CB","?"))</f>
        <v> </v>
      </c>
      <c r="I5517" s="26" t="str">
        <f>IF(OR(E5517="",E5517="!!!",F5517="NEW"),"",INDEX(B5516:B$2,-1+SUMPRODUCT(MAX(ROW(E5516:E$2)*(E5517=E5516:E$2)))))</f>
        <v> </v>
      </c>
      <c r="J5517" s="26" t="str">
        <f>IF(OR(E5517="",E5517="!!!",F5517="NEW"),"",COUNTBLANK(OFFSET(A$1,,,SUMPRODUCT(MAX(ROW(E$2:E5517)*(E5517=E$2:E5517)))))-COUNTBLANK(OFFSET(A$1,,,SUMPRODUCT(MAX(ROW(E$1:E5516)*(E2=E$1:E5516))))))</f>
        <v> </v>
      </c>
      <c r="K5517" s="26" t="str">
        <f>IF(OR(E5517="",E5517="!!!",F5517="NEW"),"",INDEX(J$1:J5516,SUMPRODUCT(MAX(ROW(E$1:E5516)*(E5517=E$1:E5516)))))</f>
        <v> </v>
      </c>
      <c r="L5517" s="27"/>
    </row>
    <row r="5518" spans="1:12">
      <c r="A5518" s="20" t="s">
        <v>1404</v>
      </c>
      <c r="E5518" s="22">
        <f>IF(D5518="?OLD","!!!","")</f>
        <v/>
      </c>
      <c r="F5518" s="23" t="str">
        <f>IF(OR(E5518="",E5518="!!!"),"",IF(NOT(ISNA(VLOOKUP(E5518,E$1:E5517,1,FALSE()))),"OLD",IF(AND(E5518&lt;&gt;"",E5518&lt;&gt;"!!!"),"NEW","")))</f>
        <v> </v>
      </c>
      <c r="G5518" s="24" t="str">
        <f>IF(OR(E5518="",E5518="!!!"),"",IF(OR(J5518=0,AND(J5518=1,K5518=1),AND(J5518=1,I5518="SBJ"),AND(J5518=1,I5518=0)),"?IN_FOCUS",IF(J5518&lt;=2,"?ACTIVATED",IF(J5518&lt;&gt;"","?FAMILIAR",IF(F5518="NEW",IF(ISNA(VLOOKUP(E5518,#REF!,1,FALSE())),"?TYPE_IDENTIFIABLE","?REFERENTIAL"),"_")))))</f>
        <v> </v>
      </c>
      <c r="H5518" s="25" t="str">
        <f>IF(J5518&lt;&gt;1,"",IF(I5518="SBJ","CB","?"))</f>
        <v> </v>
      </c>
      <c r="I5518" s="26" t="str">
        <f>IF(OR(E5518="",E5518="!!!",F5518="NEW"),"",INDEX(B5517:B$2,-1+SUMPRODUCT(MAX(ROW(E5517:E$2)*(E5518=E5517:E$2)))))</f>
        <v> </v>
      </c>
      <c r="J5518" s="26" t="str">
        <f>IF(OR(E5518="",E5518="!!!",F5518="NEW"),"",COUNTBLANK(OFFSET(A$1,,,SUMPRODUCT(MAX(ROW(E$2:E5518)*(E5518=E$2:E5518)))))-COUNTBLANK(OFFSET(A$1,,,SUMPRODUCT(MAX(ROW(E$1:E5517)*(E2=E$1:E5517))))))</f>
        <v> </v>
      </c>
      <c r="K5518" s="26" t="str">
        <f>IF(OR(E5518="",E5518="!!!",F5518="NEW"),"",INDEX(J$1:J5517,SUMPRODUCT(MAX(ROW(E$1:E5517)*(E5518=E$1:E5517)))))</f>
        <v> </v>
      </c>
      <c r="L5518" s="27"/>
    </row>
    <row r="5519" spans="1:12">
      <c r="A5519" s="20"/>
    </row>
    <row r="5520" spans="1:12">
      <c r="A5520" s="20" t="s">
        <v>2408</v>
      </c>
    </row>
    <row r="5521" spans="1:12">
      <c r="A5521" s="20" t="s">
        <v>1218</v>
      </c>
      <c r="B5521" s="21" t="s">
        <v>976</v>
      </c>
      <c r="C5521" s="21" t="s">
        <v>1008</v>
      </c>
      <c r="D5521" s="21" t="s">
        <v>978</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1219</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1128</v>
      </c>
      <c r="B5523" s="21" t="s">
        <v>982</v>
      </c>
      <c r="C5523" s="21" t="s">
        <v>990</v>
      </c>
      <c r="D5523" s="21" t="s">
        <v>978</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996</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2409</v>
      </c>
      <c r="B5525" s="21" t="s">
        <v>1054</v>
      </c>
      <c r="C5525" s="21" t="s">
        <v>987</v>
      </c>
      <c r="D5525" s="21" t="s">
        <v>978</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2410</v>
      </c>
      <c r="B5526" s="21" t="s">
        <v>986</v>
      </c>
      <c r="C5526" s="21" t="s">
        <v>990</v>
      </c>
      <c r="D5526" s="21" t="s">
        <v>978</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1002</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2330</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1404</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row>
    <row r="5531" spans="1:12">
      <c r="A5531" s="20" t="s">
        <v>1451</v>
      </c>
    </row>
    <row r="5532" spans="1:12">
      <c r="A5532" s="20" t="s">
        <v>190</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row>
    <row r="5534" spans="1:12">
      <c r="A5534" s="20" t="s">
        <v>2411</v>
      </c>
    </row>
    <row r="5535" spans="1:12">
      <c r="A5535" s="20" t="s">
        <v>992</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1047</v>
      </c>
      <c r="B5536" s="21" t="s">
        <v>976</v>
      </c>
      <c r="C5536" s="21" t="s">
        <v>977</v>
      </c>
      <c r="D5536" s="21" t="s">
        <v>978</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1839</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t="s">
        <v>1106</v>
      </c>
      <c r="E5538" s="22">
        <f>IF(D5538="?OLD","!!!","")</f>
        <v/>
      </c>
      <c r="F5538" s="23" t="str">
        <f>IF(OR(E5538="",E5538="!!!"),"",IF(NOT(ISNA(VLOOKUP(E5538,E$1:E5537,1,FALSE()))),"OLD",IF(AND(E5538&lt;&gt;"",E5538&lt;&gt;"!!!"),"NEW","")))</f>
        <v> </v>
      </c>
      <c r="G5538" s="24" t="str">
        <f>IF(OR(E5538="",E5538="!!!"),"",IF(OR(J5538=0,AND(J5538=1,K5538=1),AND(J5538=1,I5538="SBJ"),AND(J5538=1,I5538=0)),"?IN_FOCUS",IF(J5538&lt;=2,"?ACTIVATED",IF(J5538&lt;&gt;"","?FAMILIAR",IF(F5538="NEW",IF(ISNA(VLOOKUP(E5538,#REF!,1,FALSE())),"?TYPE_IDENTIFIABLE","?REFERENTIAL"),"_")))))</f>
        <v> </v>
      </c>
      <c r="H5538" s="25" t="str">
        <f>IF(J5538&lt;&gt;1,"",IF(I5538="SBJ","CB","?"))</f>
        <v> </v>
      </c>
      <c r="I5538" s="26" t="str">
        <f>IF(OR(E5538="",E5538="!!!",F5538="NEW"),"",INDEX(B5537:B$2,-1+SUMPRODUCT(MAX(ROW(E5537:E$2)*(E5538=E5537:E$2)))))</f>
        <v> </v>
      </c>
      <c r="J5538" s="26" t="str">
        <f>IF(OR(E5538="",E5538="!!!",F5538="NEW"),"",COUNTBLANK(OFFSET(A$1,,,SUMPRODUCT(MAX(ROW(E$2:E5538)*(E5538=E$2:E5538)))))-COUNTBLANK(OFFSET(A$1,,,SUMPRODUCT(MAX(ROW(E$1:E5537)*(E2=E$1:E5537))))))</f>
        <v> </v>
      </c>
      <c r="K5538" s="26" t="str">
        <f>IF(OR(E5538="",E5538="!!!",F5538="NEW"),"",INDEX(J$1:J5537,SUMPRODUCT(MAX(ROW(E$1:E5537)*(E5538=E$1:E5537)))))</f>
        <v> </v>
      </c>
      <c r="L5538" s="27"/>
    </row>
    <row r="5539" spans="1:12">
      <c r="A5539" s="20" t="s">
        <v>1002</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1038</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1074</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1677</v>
      </c>
      <c r="B5542" s="21" t="s">
        <v>1095</v>
      </c>
      <c r="C5542" s="21" t="s">
        <v>995</v>
      </c>
      <c r="D5542" s="21" t="s">
        <v>978</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t="s">
        <v>1081</v>
      </c>
      <c r="E5543" s="22">
        <f>IF(D5543="?OLD","!!!","")</f>
        <v/>
      </c>
      <c r="F5543" s="23" t="str">
        <f>IF(OR(E5543="",E5543="!!!"),"",IF(NOT(ISNA(VLOOKUP(E5543,E$1:E5542,1,FALSE()))),"OLD",IF(AND(E5543&lt;&gt;"",E5543&lt;&gt;"!!!"),"NEW","")))</f>
        <v> </v>
      </c>
      <c r="G5543" s="24" t="str">
        <f>IF(OR(E5543="",E5543="!!!"),"",IF(OR(J5543=0,AND(J5543=1,K5543=1),AND(J5543=1,I5543="SBJ"),AND(J5543=1,I5543=0)),"?IN_FOCUS",IF(J5543&lt;=2,"?ACTIVATED",IF(J5543&lt;&gt;"","?FAMILIAR",IF(F5543="NEW",IF(ISNA(VLOOKUP(E5543,#REF!,1,FALSE())),"?TYPE_IDENTIFIABLE","?REFERENTIAL"),"_")))))</f>
        <v> </v>
      </c>
      <c r="H5543" s="25" t="str">
        <f>IF(J5543&lt;&gt;1,"",IF(I5543="SBJ","CB","?"))</f>
        <v> </v>
      </c>
      <c r="I5543" s="26" t="str">
        <f>IF(OR(E5543="",E5543="!!!",F5543="NEW"),"",INDEX(B5542:B$2,-1+SUMPRODUCT(MAX(ROW(E5542:E$2)*(E5543=E5542:E$2)))))</f>
        <v> </v>
      </c>
      <c r="J5543" s="26" t="str">
        <f>IF(OR(E5543="",E5543="!!!",F5543="NEW"),"",COUNTBLANK(OFFSET(A$1,,,SUMPRODUCT(MAX(ROW(E$2:E5543)*(E5543=E$2:E5543)))))-COUNTBLANK(OFFSET(A$1,,,SUMPRODUCT(MAX(ROW(E$1:E5542)*(E2=E$1:E5542))))))</f>
        <v> </v>
      </c>
      <c r="K5543" s="26" t="str">
        <f>IF(OR(E5543="",E5543="!!!",F5543="NEW"),"",INDEX(J$1:J5542,SUMPRODUCT(MAX(ROW(E$1:E5542)*(E5543=E$1:E5542)))))</f>
        <v> </v>
      </c>
      <c r="L5543" s="27"/>
    </row>
    <row r="5544" spans="1:12">
      <c r="A5544" s="20" t="s">
        <v>1041</v>
      </c>
      <c r="B5544" s="21" t="s">
        <v>1054</v>
      </c>
      <c r="C5544" s="21" t="s">
        <v>1057</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1017</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2412</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1022</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row>
    <row r="5549" spans="1:12">
      <c r="A5549" s="20" t="s">
        <v>2413</v>
      </c>
    </row>
    <row r="5550" spans="1:12">
      <c r="A5550" s="20" t="s">
        <v>2414</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1402</v>
      </c>
      <c r="B5551" s="21" t="s">
        <v>976</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996</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853</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1092</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1538</v>
      </c>
      <c r="B5555" s="21" t="s">
        <v>1101</v>
      </c>
      <c r="C5555" s="21" t="s">
        <v>995</v>
      </c>
      <c r="D5555" s="21" t="s">
        <v>978</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1000</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1092</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1328</v>
      </c>
      <c r="B5558" s="21" t="s">
        <v>1007</v>
      </c>
      <c r="C5558" s="21" t="s">
        <v>995</v>
      </c>
      <c r="D5558" s="21" t="s">
        <v>978</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1000</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1092</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2415</v>
      </c>
      <c r="B5561" s="21" t="s">
        <v>1007</v>
      </c>
      <c r="C5561" s="21" t="s">
        <v>995</v>
      </c>
      <c r="D5561" s="21" t="s">
        <v>978</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t="s">
        <v>1000</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997</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2416</v>
      </c>
      <c r="B5564" s="21" t="s">
        <v>1007</v>
      </c>
      <c r="C5564" s="21" t="s">
        <v>995</v>
      </c>
      <c r="D5564" s="21" t="s">
        <v>978</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1000</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1608</v>
      </c>
      <c r="B5566" s="21" t="s">
        <v>1007</v>
      </c>
      <c r="C5566" s="21" t="s">
        <v>1020</v>
      </c>
      <c r="D5566" s="21" t="s">
        <v>978</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1497</v>
      </c>
      <c r="B5567" s="21" t="s">
        <v>1040</v>
      </c>
      <c r="C5567" s="21" t="s">
        <v>987</v>
      </c>
      <c r="D5567" s="21" t="s">
        <v>978</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1340</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2417</v>
      </c>
      <c r="B5569" s="21" t="s">
        <v>1084</v>
      </c>
      <c r="C5569" s="21" t="s">
        <v>990</v>
      </c>
      <c r="D5569" s="21" t="s">
        <v>978</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1002</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1067</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1081</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1050</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2418</v>
      </c>
      <c r="B5574" s="21" t="s">
        <v>989</v>
      </c>
      <c r="C5574" s="21" t="s">
        <v>983</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1557</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1022</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row>
    <row r="5578" spans="1:12">
      <c r="A5578" s="20" t="s">
        <v>2419</v>
      </c>
    </row>
    <row r="5579" spans="1:12">
      <c r="A5579" s="20" t="s">
        <v>992</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1092</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2231</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t="s">
        <v>1111</v>
      </c>
      <c r="B5582" s="21" t="s">
        <v>976</v>
      </c>
      <c r="C5582" s="21" t="s">
        <v>995</v>
      </c>
      <c r="D5582" s="21" t="s">
        <v>978</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1067</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172</v>
      </c>
      <c r="B5584" s="21" t="s">
        <v>989</v>
      </c>
      <c r="C5584" s="21" t="s">
        <v>1008</v>
      </c>
      <c r="D5584" s="21" t="s">
        <v>978</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1142</v>
      </c>
      <c r="B5585" s="21" t="s">
        <v>1095</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2420</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1024</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172</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2421</v>
      </c>
      <c r="B5589" s="21" t="s">
        <v>1066</v>
      </c>
      <c r="C5589" s="21" t="s">
        <v>1063</v>
      </c>
      <c r="D5589" s="21" t="s">
        <v>978</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1116</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2422</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1183</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1022</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row>
    <row r="5595" spans="1:12">
      <c r="A5595" s="20" t="s">
        <v>2423</v>
      </c>
    </row>
    <row r="5596" spans="1:12">
      <c r="A5596" s="20" t="s">
        <v>1416</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t="s">
        <v>1010</v>
      </c>
      <c r="B5597" s="21" t="s">
        <v>976</v>
      </c>
      <c r="C5597" s="21" t="s">
        <v>977</v>
      </c>
      <c r="D5597" s="21" t="s">
        <v>978</v>
      </c>
      <c r="E5597" s="22">
        <f>IF(D5597="?OLD","!!!","")</f>
        <v/>
      </c>
      <c r="F5597" s="23" t="str">
        <f>IF(OR(E5597="",E5597="!!!"),"",IF(NOT(ISNA(VLOOKUP(E5597,E$1:E5596,1,FALSE()))),"OLD",IF(AND(E5597&lt;&gt;"",E5597&lt;&gt;"!!!"),"NEW","")))</f>
        <v> </v>
      </c>
      <c r="G5597" s="24" t="str">
        <f>IF(OR(E5597="",E5597="!!!"),"",IF(OR(J5597=0,AND(J5597=1,K5597=1),AND(J5597=1,I5597="SBJ"),AND(J5597=1,I5597=0)),"?IN_FOCUS",IF(J5597&lt;=2,"?ACTIVATED",IF(J5597&lt;&gt;"","?FAMILIAR",IF(F5597="NEW",IF(ISNA(VLOOKUP(E5597,#REF!,1,FALSE())),"?TYPE_IDENTIFIABLE","?REFERENTIAL"),"_")))))</f>
        <v> </v>
      </c>
      <c r="H5597" s="25" t="str">
        <f>IF(J5597&lt;&gt;1,"",IF(I5597="SBJ","CB","?"))</f>
        <v> </v>
      </c>
      <c r="I5597" s="26" t="str">
        <f>IF(OR(E5597="",E5597="!!!",F5597="NEW"),"",INDEX(B5596:B$2,-1+SUMPRODUCT(MAX(ROW(E5596:E$2)*(E5597=E5596:E$2)))))</f>
        <v> </v>
      </c>
      <c r="J5597" s="26" t="str">
        <f>IF(OR(E5597="",E5597="!!!",F5597="NEW"),"",COUNTBLANK(OFFSET(A$1,,,SUMPRODUCT(MAX(ROW(E$2:E5597)*(E5597=E$2:E5597)))))-COUNTBLANK(OFFSET(A$1,,,SUMPRODUCT(MAX(ROW(E$1:E5596)*(E2=E$1:E5596))))))</f>
        <v> </v>
      </c>
      <c r="K5597" s="26" t="str">
        <f>IF(OR(E5597="",E5597="!!!",F5597="NEW"),"",INDEX(J$1:J5596,SUMPRODUCT(MAX(ROW(E$1:E5596)*(E5597=E$1:E5596)))))</f>
        <v> </v>
      </c>
      <c r="L5597" s="27"/>
    </row>
    <row r="5598" spans="1:12">
      <c r="A5598" s="20" t="s">
        <v>1116</v>
      </c>
      <c r="E5598" s="22">
        <f>IF(D5598="?OLD","!!!","")</f>
        <v/>
      </c>
      <c r="F5598" s="23" t="str">
        <f>IF(OR(E5598="",E5598="!!!"),"",IF(NOT(ISNA(VLOOKUP(E5598,E$1:E5597,1,FALSE()))),"OLD",IF(AND(E5598&lt;&gt;"",E5598&lt;&gt;"!!!"),"NEW","")))</f>
        <v> </v>
      </c>
      <c r="G5598" s="24" t="str">
        <f>IF(OR(E5598="",E5598="!!!"),"",IF(OR(J5598=0,AND(J5598=1,K5598=1),AND(J5598=1,I5598="SBJ"),AND(J5598=1,I5598=0)),"?IN_FOCUS",IF(J5598&lt;=2,"?ACTIVATED",IF(J5598&lt;&gt;"","?FAMILIAR",IF(F5598="NEW",IF(ISNA(VLOOKUP(E5598,#REF!,1,FALSE())),"?TYPE_IDENTIFIABLE","?REFERENTIAL"),"_")))))</f>
        <v> </v>
      </c>
      <c r="H5598" s="25" t="str">
        <f>IF(J5598&lt;&gt;1,"",IF(I5598="SBJ","CB","?"))</f>
        <v> </v>
      </c>
      <c r="I5598" s="26" t="str">
        <f>IF(OR(E5598="",E5598="!!!",F5598="NEW"),"",INDEX(B5597:B$2,-1+SUMPRODUCT(MAX(ROW(E5597:E$2)*(E5598=E5597:E$2)))))</f>
        <v> </v>
      </c>
      <c r="J5598" s="26" t="str">
        <f>IF(OR(E5598="",E5598="!!!",F5598="NEW"),"",COUNTBLANK(OFFSET(A$1,,,SUMPRODUCT(MAX(ROW(E$2:E5598)*(E5598=E$2:E5598)))))-COUNTBLANK(OFFSET(A$1,,,SUMPRODUCT(MAX(ROW(E$1:E5597)*(E2=E$1:E5597))))))</f>
        <v> </v>
      </c>
      <c r="K5598" s="26" t="str">
        <f>IF(OR(E5598="",E5598="!!!",F5598="NEW"),"",INDEX(J$1:J5597,SUMPRODUCT(MAX(ROW(E$1:E5597)*(E5598=E$1:E5597)))))</f>
        <v> </v>
      </c>
      <c r="L5598" s="27"/>
    </row>
    <row r="5599" spans="1:12">
      <c r="A5599" s="20" t="s">
        <v>1017</v>
      </c>
      <c r="E5599" s="22">
        <f>IF(D5599="?OLD","!!!","")</f>
        <v/>
      </c>
      <c r="F5599" s="23" t="str">
        <f>IF(OR(E5599="",E5599="!!!"),"",IF(NOT(ISNA(VLOOKUP(E5599,E$1:E5598,1,FALSE()))),"OLD",IF(AND(E5599&lt;&gt;"",E5599&lt;&gt;"!!!"),"NEW","")))</f>
        <v> </v>
      </c>
      <c r="G5599" s="24" t="str">
        <f>IF(OR(E5599="",E5599="!!!"),"",IF(OR(J5599=0,AND(J5599=1,K5599=1),AND(J5599=1,I5599="SBJ"),AND(J5599=1,I5599=0)),"?IN_FOCUS",IF(J5599&lt;=2,"?ACTIVATED",IF(J5599&lt;&gt;"","?FAMILIAR",IF(F5599="NEW",IF(ISNA(VLOOKUP(E5599,#REF!,1,FALSE())),"?TYPE_IDENTIFIABLE","?REFERENTIAL"),"_")))))</f>
        <v> </v>
      </c>
      <c r="H5599" s="25" t="str">
        <f>IF(J5599&lt;&gt;1,"",IF(I5599="SBJ","CB","?"))</f>
        <v> </v>
      </c>
      <c r="I5599" s="26" t="str">
        <f>IF(OR(E5599="",E5599="!!!",F5599="NEW"),"",INDEX(B5598:B$2,-1+SUMPRODUCT(MAX(ROW(E5598:E$2)*(E5599=E5598:E$2)))))</f>
        <v> </v>
      </c>
      <c r="J5599" s="26" t="str">
        <f>IF(OR(E5599="",E5599="!!!",F5599="NEW"),"",COUNTBLANK(OFFSET(A$1,,,SUMPRODUCT(MAX(ROW(E$2:E5599)*(E5599=E$2:E5599)))))-COUNTBLANK(OFFSET(A$1,,,SUMPRODUCT(MAX(ROW(E$1:E5598)*(E2=E$1:E5598))))))</f>
        <v> </v>
      </c>
      <c r="K5599" s="26" t="str">
        <f>IF(OR(E5599="",E5599="!!!",F5599="NEW"),"",INDEX(J$1:J5598,SUMPRODUCT(MAX(ROW(E$1:E5598)*(E5599=E$1:E5598)))))</f>
        <v> </v>
      </c>
      <c r="L5599" s="27"/>
    </row>
    <row r="5600" spans="1:12">
      <c r="A5600" s="20" t="s">
        <v>2412</v>
      </c>
      <c r="E5600" s="22">
        <f>IF(D5600="?OLD","!!!","")</f>
        <v/>
      </c>
      <c r="F5600" s="23" t="str">
        <f>IF(OR(E5600="",E5600="!!!"),"",IF(NOT(ISNA(VLOOKUP(E5600,E$1:E5599,1,FALSE()))),"OLD",IF(AND(E5600&lt;&gt;"",E5600&lt;&gt;"!!!"),"NEW","")))</f>
        <v> </v>
      </c>
      <c r="G5600" s="24" t="str">
        <f>IF(OR(E5600="",E5600="!!!"),"",IF(OR(J5600=0,AND(J5600=1,K5600=1),AND(J5600=1,I5600="SBJ"),AND(J5600=1,I5600=0)),"?IN_FOCUS",IF(J5600&lt;=2,"?ACTIVATED",IF(J5600&lt;&gt;"","?FAMILIAR",IF(F5600="NEW",IF(ISNA(VLOOKUP(E5600,#REF!,1,FALSE())),"?TYPE_IDENTIFIABLE","?REFERENTIAL"),"_")))))</f>
        <v> </v>
      </c>
      <c r="H5600" s="25" t="str">
        <f>IF(J5600&lt;&gt;1,"",IF(I5600="SBJ","CB","?"))</f>
        <v> </v>
      </c>
      <c r="I5600" s="26" t="str">
        <f>IF(OR(E5600="",E5600="!!!",F5600="NEW"),"",INDEX(B5599:B$2,-1+SUMPRODUCT(MAX(ROW(E5599:E$2)*(E5600=E5599:E$2)))))</f>
        <v> </v>
      </c>
      <c r="J5600" s="26" t="str">
        <f>IF(OR(E5600="",E5600="!!!",F5600="NEW"),"",COUNTBLANK(OFFSET(A$1,,,SUMPRODUCT(MAX(ROW(E$2:E5600)*(E5600=E$2:E5600)))))-COUNTBLANK(OFFSET(A$1,,,SUMPRODUCT(MAX(ROW(E$1:E5599)*(E2=E$1:E5599))))))</f>
        <v> </v>
      </c>
      <c r="K5600" s="26" t="str">
        <f>IF(OR(E5600="",E5600="!!!",F5600="NEW"),"",INDEX(J$1:J5599,SUMPRODUCT(MAX(ROW(E$1:E5599)*(E5600=E$1:E5599)))))</f>
        <v> </v>
      </c>
      <c r="L5600" s="27"/>
    </row>
    <row r="5601" spans="1:12">
      <c r="A5601" s="20" t="s">
        <v>1183</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1022</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row>
    <row r="5604" spans="1:12">
      <c r="A5604" s="20" t="s">
        <v>2424</v>
      </c>
    </row>
    <row r="5605" spans="1:12">
      <c r="A5605" s="20" t="s">
        <v>1752</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750</v>
      </c>
      <c r="B5606" s="21" t="s">
        <v>976</v>
      </c>
      <c r="C5606" s="21" t="s">
        <v>995</v>
      </c>
      <c r="D5606" s="21" t="s">
        <v>978</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1135</v>
      </c>
      <c r="B5607" s="21" t="s">
        <v>982</v>
      </c>
      <c r="C5607" s="21" t="s">
        <v>977</v>
      </c>
      <c r="D5607" s="21" t="s">
        <v>978</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t="s">
        <v>2425</v>
      </c>
      <c r="E5608" s="22">
        <f>IF(D5608="?OLD","!!!","")</f>
        <v/>
      </c>
      <c r="F5608" s="23" t="str">
        <f>IF(OR(E5608="",E5608="!!!"),"",IF(NOT(ISNA(VLOOKUP(E5608,E$1:E5607,1,FALSE()))),"OLD",IF(AND(E5608&lt;&gt;"",E5608&lt;&gt;"!!!"),"NEW","")))</f>
        <v> </v>
      </c>
      <c r="G5608" s="24" t="str">
        <f>IF(OR(E5608="",E5608="!!!"),"",IF(OR(J5608=0,AND(J5608=1,K5608=1),AND(J5608=1,I5608="SBJ"),AND(J5608=1,I5608=0)),"?IN_FOCUS",IF(J5608&lt;=2,"?ACTIVATED",IF(J5608&lt;&gt;"","?FAMILIAR",IF(F5608="NEW",IF(ISNA(VLOOKUP(E5608,#REF!,1,FALSE())),"?TYPE_IDENTIFIABLE","?REFERENTIAL"),"_")))))</f>
        <v> </v>
      </c>
      <c r="H5608" s="25" t="str">
        <f>IF(J5608&lt;&gt;1,"",IF(I5608="SBJ","CB","?"))</f>
        <v> </v>
      </c>
      <c r="I5608" s="26" t="str">
        <f>IF(OR(E5608="",E5608="!!!",F5608="NEW"),"",INDEX(B5607:B$2,-1+SUMPRODUCT(MAX(ROW(E5607:E$2)*(E5608=E5607:E$2)))))</f>
        <v> </v>
      </c>
      <c r="J5608" s="26" t="str">
        <f>IF(OR(E5608="",E5608="!!!",F5608="NEW"),"",COUNTBLANK(OFFSET(A$1,,,SUMPRODUCT(MAX(ROW(E$2:E5608)*(E5608=E$2:E5608)))))-COUNTBLANK(OFFSET(A$1,,,SUMPRODUCT(MAX(ROW(E$1:E5607)*(E2=E$1:E5607))))))</f>
        <v> </v>
      </c>
      <c r="K5608" s="26" t="str">
        <f>IF(OR(E5608="",E5608="!!!",F5608="NEW"),"",INDEX(J$1:J5607,SUMPRODUCT(MAX(ROW(E$1:E5607)*(E5608=E$1:E5607)))))</f>
        <v> </v>
      </c>
      <c r="L5608" s="27"/>
    </row>
    <row r="5609" spans="1:12">
      <c r="A5609" s="20" t="s">
        <v>1000</v>
      </c>
      <c r="E5609" s="22">
        <f>IF(D5609="?OLD","!!!","")</f>
        <v/>
      </c>
      <c r="F5609" s="23" t="str">
        <f>IF(OR(E5609="",E5609="!!!"),"",IF(NOT(ISNA(VLOOKUP(E5609,E$1:E5608,1,FALSE()))),"OLD",IF(AND(E5609&lt;&gt;"",E5609&lt;&gt;"!!!"),"NEW","")))</f>
        <v> </v>
      </c>
      <c r="G5609" s="24" t="str">
        <f>IF(OR(E5609="",E5609="!!!"),"",IF(OR(J5609=0,AND(J5609=1,K5609=1),AND(J5609=1,I5609="SBJ"),AND(J5609=1,I5609=0)),"?IN_FOCUS",IF(J5609&lt;=2,"?ACTIVATED",IF(J5609&lt;&gt;"","?FAMILIAR",IF(F5609="NEW",IF(ISNA(VLOOKUP(E5609,#REF!,1,FALSE())),"?TYPE_IDENTIFIABLE","?REFERENTIAL"),"_")))))</f>
        <v> </v>
      </c>
      <c r="H5609" s="25" t="str">
        <f>IF(J5609&lt;&gt;1,"",IF(I5609="SBJ","CB","?"))</f>
        <v> </v>
      </c>
      <c r="I5609" s="26" t="str">
        <f>IF(OR(E5609="",E5609="!!!",F5609="NEW"),"",INDEX(B5608:B$2,-1+SUMPRODUCT(MAX(ROW(E5608:E$2)*(E5609=E5608:E$2)))))</f>
        <v> </v>
      </c>
      <c r="J5609" s="26" t="str">
        <f>IF(OR(E5609="",E5609="!!!",F5609="NEW"),"",COUNTBLANK(OFFSET(A$1,,,SUMPRODUCT(MAX(ROW(E$2:E5609)*(E5609=E$2:E5609)))))-COUNTBLANK(OFFSET(A$1,,,SUMPRODUCT(MAX(ROW(E$1:E5608)*(E2=E$1:E5608))))))</f>
        <v> </v>
      </c>
      <c r="K5609" s="26" t="str">
        <f>IF(OR(E5609="",E5609="!!!",F5609="NEW"),"",INDEX(J$1:J5608,SUMPRODUCT(MAX(ROW(E$1:E5608)*(E5609=E$1:E5608)))))</f>
        <v> </v>
      </c>
      <c r="L5609" s="27"/>
    </row>
    <row r="5610" spans="1:12">
      <c r="A5610" s="20" t="s">
        <v>1753</v>
      </c>
      <c r="E5610" s="22">
        <f>IF(D5610="?OLD","!!!","")</f>
        <v/>
      </c>
      <c r="F5610" s="23" t="str">
        <f>IF(OR(E5610="",E5610="!!!"),"",IF(NOT(ISNA(VLOOKUP(E5610,E$1:E5609,1,FALSE()))),"OLD",IF(AND(E5610&lt;&gt;"",E5610&lt;&gt;"!!!"),"NEW","")))</f>
        <v> </v>
      </c>
      <c r="G5610" s="24" t="str">
        <f>IF(OR(E5610="",E5610="!!!"),"",IF(OR(J5610=0,AND(J5610=1,K5610=1),AND(J5610=1,I5610="SBJ"),AND(J5610=1,I5610=0)),"?IN_FOCUS",IF(J5610&lt;=2,"?ACTIVATED",IF(J5610&lt;&gt;"","?FAMILIAR",IF(F5610="NEW",IF(ISNA(VLOOKUP(E5610,#REF!,1,FALSE())),"?TYPE_IDENTIFIABLE","?REFERENTIAL"),"_")))))</f>
        <v> </v>
      </c>
      <c r="H5610" s="25" t="str">
        <f>IF(J5610&lt;&gt;1,"",IF(I5610="SBJ","CB","?"))</f>
        <v> </v>
      </c>
      <c r="I5610" s="26" t="str">
        <f>IF(OR(E5610="",E5610="!!!",F5610="NEW"),"",INDEX(B5609:B$2,-1+SUMPRODUCT(MAX(ROW(E5609:E$2)*(E5610=E5609:E$2)))))</f>
        <v> </v>
      </c>
      <c r="J5610" s="26" t="str">
        <f>IF(OR(E5610="",E5610="!!!",F5610="NEW"),"",COUNTBLANK(OFFSET(A$1,,,SUMPRODUCT(MAX(ROW(E$2:E5610)*(E5610=E$2:E5610)))))-COUNTBLANK(OFFSET(A$1,,,SUMPRODUCT(MAX(ROW(E$1:E5609)*(E2=E$1:E5609))))))</f>
        <v> </v>
      </c>
      <c r="K5610" s="26" t="str">
        <f>IF(OR(E5610="",E5610="!!!",F5610="NEW"),"",INDEX(J$1:J5609,SUMPRODUCT(MAX(ROW(E$1:E5609)*(E5610=E$1:E5609)))))</f>
        <v> </v>
      </c>
      <c r="L5610" s="27"/>
    </row>
    <row r="5611" spans="1:12">
      <c r="A5611" s="20" t="s">
        <v>1216</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1217</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t="s">
        <v>2208</v>
      </c>
      <c r="E5613" s="22">
        <f>IF(D5613="?OLD","!!!","")</f>
        <v/>
      </c>
      <c r="F5613" s="23" t="str">
        <f>IF(OR(E5613="",E5613="!!!"),"",IF(NOT(ISNA(VLOOKUP(E5613,E$1:E5612,1,FALSE()))),"OLD",IF(AND(E5613&lt;&gt;"",E5613&lt;&gt;"!!!"),"NEW","")))</f>
        <v> </v>
      </c>
      <c r="G5613" s="24" t="str">
        <f>IF(OR(E5613="",E5613="!!!"),"",IF(OR(J5613=0,AND(J5613=1,K5613=1),AND(J5613=1,I5613="SBJ"),AND(J5613=1,I5613=0)),"?IN_FOCUS",IF(J5613&lt;=2,"?ACTIVATED",IF(J5613&lt;&gt;"","?FAMILIAR",IF(F5613="NEW",IF(ISNA(VLOOKUP(E5613,#REF!,1,FALSE())),"?TYPE_IDENTIFIABLE","?REFERENTIAL"),"_")))))</f>
        <v> </v>
      </c>
      <c r="H5613" s="25" t="str">
        <f>IF(J5613&lt;&gt;1,"",IF(I5613="SBJ","CB","?"))</f>
        <v> </v>
      </c>
      <c r="I5613" s="26" t="str">
        <f>IF(OR(E5613="",E5613="!!!",F5613="NEW"),"",INDEX(B5612:B$2,-1+SUMPRODUCT(MAX(ROW(E5612:E$2)*(E5613=E5612:E$2)))))</f>
        <v> </v>
      </c>
      <c r="J5613" s="26" t="str">
        <f>IF(OR(E5613="",E5613="!!!",F5613="NEW"),"",COUNTBLANK(OFFSET(A$1,,,SUMPRODUCT(MAX(ROW(E$2:E5613)*(E5613=E$2:E5613)))))-COUNTBLANK(OFFSET(A$1,,,SUMPRODUCT(MAX(ROW(E$1:E5612)*(E2=E$1:E5612))))))</f>
        <v> </v>
      </c>
      <c r="K5613" s="26" t="str">
        <f>IF(OR(E5613="",E5613="!!!",F5613="NEW"),"",INDEX(J$1:J5612,SUMPRODUCT(MAX(ROW(E$1:E5612)*(E5613=E$1:E5612)))))</f>
        <v> </v>
      </c>
      <c r="L5613" s="27"/>
    </row>
    <row r="5614" spans="1:12">
      <c r="A5614" s="20" t="s">
        <v>1002</v>
      </c>
      <c r="E5614" s="22">
        <f>IF(D5614="?OLD","!!!","")</f>
        <v/>
      </c>
      <c r="F5614" s="23" t="str">
        <f>IF(OR(E5614="",E5614="!!!"),"",IF(NOT(ISNA(VLOOKUP(E5614,E$1:E5613,1,FALSE()))),"OLD",IF(AND(E5614&lt;&gt;"",E5614&lt;&gt;"!!!"),"NEW","")))</f>
        <v> </v>
      </c>
      <c r="G5614" s="24" t="str">
        <f>IF(OR(E5614="",E5614="!!!"),"",IF(OR(J5614=0,AND(J5614=1,K5614=1),AND(J5614=1,I5614="SBJ"),AND(J5614=1,I5614=0)),"?IN_FOCUS",IF(J5614&lt;=2,"?ACTIVATED",IF(J5614&lt;&gt;"","?FAMILIAR",IF(F5614="NEW",IF(ISNA(VLOOKUP(E5614,#REF!,1,FALSE())),"?TYPE_IDENTIFIABLE","?REFERENTIAL"),"_")))))</f>
        <v> </v>
      </c>
      <c r="H5614" s="25" t="str">
        <f>IF(J5614&lt;&gt;1,"",IF(I5614="SBJ","CB","?"))</f>
        <v> </v>
      </c>
      <c r="I5614" s="26" t="str">
        <f>IF(OR(E5614="",E5614="!!!",F5614="NEW"),"",INDEX(B5613:B$2,-1+SUMPRODUCT(MAX(ROW(E5613:E$2)*(E5614=E5613:E$2)))))</f>
        <v> </v>
      </c>
      <c r="J5614" s="26" t="str">
        <f>IF(OR(E5614="",E5614="!!!",F5614="NEW"),"",COUNTBLANK(OFFSET(A$1,,,SUMPRODUCT(MAX(ROW(E$2:E5614)*(E5614=E$2:E5614)))))-COUNTBLANK(OFFSET(A$1,,,SUMPRODUCT(MAX(ROW(E$1:E5613)*(E2=E$1:E5613))))))</f>
        <v> </v>
      </c>
      <c r="K5614" s="26" t="str">
        <f>IF(OR(E5614="",E5614="!!!",F5614="NEW"),"",INDEX(J$1:J5613,SUMPRODUCT(MAX(ROW(E$1:E5613)*(E5614=E$1:E5613)))))</f>
        <v> </v>
      </c>
      <c r="L5614" s="27"/>
    </row>
    <row r="5615" spans="1:12">
      <c r="A5615" s="20" t="s">
        <v>1047</v>
      </c>
      <c r="B5615" s="21" t="s">
        <v>1095</v>
      </c>
      <c r="C5615" s="21" t="s">
        <v>977</v>
      </c>
      <c r="D5615" s="21" t="s">
        <v>978</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2313</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1038</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t="s">
        <v>1070</v>
      </c>
      <c r="E5618" s="22">
        <f>IF(D5618="?OLD","!!!","")</f>
        <v/>
      </c>
      <c r="F5618" s="23" t="str">
        <f>IF(OR(E5618="",E5618="!!!"),"",IF(NOT(ISNA(VLOOKUP(E5618,E$1:E5617,1,FALSE()))),"OLD",IF(AND(E5618&lt;&gt;"",E5618&lt;&gt;"!!!"),"NEW","")))</f>
        <v> </v>
      </c>
      <c r="G5618" s="24" t="str">
        <f>IF(OR(E5618="",E5618="!!!"),"",IF(OR(J5618=0,AND(J5618=1,K5618=1),AND(J5618=1,I5618="SBJ"),AND(J5618=1,I5618=0)),"?IN_FOCUS",IF(J5618&lt;=2,"?ACTIVATED",IF(J5618&lt;&gt;"","?FAMILIAR",IF(F5618="NEW",IF(ISNA(VLOOKUP(E5618,#REF!,1,FALSE())),"?TYPE_IDENTIFIABLE","?REFERENTIAL"),"_")))))</f>
        <v> </v>
      </c>
      <c r="H5618" s="25" t="str">
        <f>IF(J5618&lt;&gt;1,"",IF(I5618="SBJ","CB","?"))</f>
        <v> </v>
      </c>
      <c r="I5618" s="26" t="str">
        <f>IF(OR(E5618="",E5618="!!!",F5618="NEW"),"",INDEX(B5617:B$2,-1+SUMPRODUCT(MAX(ROW(E5617:E$2)*(E5618=E5617:E$2)))))</f>
        <v> </v>
      </c>
      <c r="J5618" s="26" t="str">
        <f>IF(OR(E5618="",E5618="!!!",F5618="NEW"),"",COUNTBLANK(OFFSET(A$1,,,SUMPRODUCT(MAX(ROW(E$2:E5618)*(E5618=E$2:E5618)))))-COUNTBLANK(OFFSET(A$1,,,SUMPRODUCT(MAX(ROW(E$1:E5617)*(E2=E$1:E5617))))))</f>
        <v> </v>
      </c>
      <c r="K5618" s="26" t="str">
        <f>IF(OR(E5618="",E5618="!!!",F5618="NEW"),"",INDEX(J$1:J5617,SUMPRODUCT(MAX(ROW(E$1:E5617)*(E5618=E$1:E5617)))))</f>
        <v> </v>
      </c>
      <c r="L5618" s="27"/>
    </row>
    <row r="5619" spans="1:12">
      <c r="A5619" s="20" t="s">
        <v>1047</v>
      </c>
      <c r="B5619" s="21" t="s">
        <v>1035</v>
      </c>
      <c r="C5619" s="21" t="s">
        <v>977</v>
      </c>
      <c r="D5619" s="21" t="s">
        <v>978</v>
      </c>
      <c r="E5619" s="22">
        <f>IF(D5619="?OLD","!!!","")</f>
        <v/>
      </c>
      <c r="F5619" s="23" t="str">
        <f>IF(OR(E5619="",E5619="!!!"),"",IF(NOT(ISNA(VLOOKUP(E5619,E$1:E5618,1,FALSE()))),"OLD",IF(AND(E5619&lt;&gt;"",E5619&lt;&gt;"!!!"),"NEW","")))</f>
        <v> </v>
      </c>
      <c r="G5619" s="24" t="str">
        <f>IF(OR(E5619="",E5619="!!!"),"",IF(OR(J5619=0,AND(J5619=1,K5619=1),AND(J5619=1,I5619="SBJ"),AND(J5619=1,I5619=0)),"?IN_FOCUS",IF(J5619&lt;=2,"?ACTIVATED",IF(J5619&lt;&gt;"","?FAMILIAR",IF(F5619="NEW",IF(ISNA(VLOOKUP(E5619,#REF!,1,FALSE())),"?TYPE_IDENTIFIABLE","?REFERENTIAL"),"_")))))</f>
        <v> </v>
      </c>
      <c r="H5619" s="25" t="str">
        <f>IF(J5619&lt;&gt;1,"",IF(I5619="SBJ","CB","?"))</f>
        <v> </v>
      </c>
      <c r="I5619" s="26" t="str">
        <f>IF(OR(E5619="",E5619="!!!",F5619="NEW"),"",INDEX(B5618:B$2,-1+SUMPRODUCT(MAX(ROW(E5618:E$2)*(E5619=E5618:E$2)))))</f>
        <v> </v>
      </c>
      <c r="J5619" s="26" t="str">
        <f>IF(OR(E5619="",E5619="!!!",F5619="NEW"),"",COUNTBLANK(OFFSET(A$1,,,SUMPRODUCT(MAX(ROW(E$2:E5619)*(E5619=E$2:E5619)))))-COUNTBLANK(OFFSET(A$1,,,SUMPRODUCT(MAX(ROW(E$1:E5618)*(E2=E$1:E5618))))))</f>
        <v> </v>
      </c>
      <c r="K5619" s="26" t="str">
        <f>IF(OR(E5619="",E5619="!!!",F5619="NEW"),"",INDEX(J$1:J5618,SUMPRODUCT(MAX(ROW(E$1:E5618)*(E5619=E$1:E5618)))))</f>
        <v> </v>
      </c>
      <c r="L5619" s="27"/>
    </row>
    <row r="5620" spans="1:12">
      <c r="A5620" s="20" t="s">
        <v>2426</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997</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1090</v>
      </c>
      <c r="B5622" s="21" t="s">
        <v>1036</v>
      </c>
      <c r="C5622" s="21" t="s">
        <v>995</v>
      </c>
      <c r="D5622" s="21" t="s">
        <v>978</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1059</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609</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2427</v>
      </c>
      <c r="B5625" s="21" t="s">
        <v>1007</v>
      </c>
      <c r="C5625" s="21" t="s">
        <v>983</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1002</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1047</v>
      </c>
      <c r="B5627" s="21" t="s">
        <v>1066</v>
      </c>
      <c r="C5627" s="21" t="s">
        <v>977</v>
      </c>
      <c r="D5627" s="21" t="s">
        <v>978</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2313</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t="s">
        <v>1038</v>
      </c>
      <c r="E5629" s="22">
        <f>IF(D5629="?OLD","!!!","")</f>
        <v/>
      </c>
      <c r="F5629" s="23" t="str">
        <f>IF(OR(E5629="",E5629="!!!"),"",IF(NOT(ISNA(VLOOKUP(E5629,E$1:E5628,1,FALSE()))),"OLD",IF(AND(E5629&lt;&gt;"",E5629&lt;&gt;"!!!"),"NEW","")))</f>
        <v> </v>
      </c>
      <c r="G5629" s="24" t="str">
        <f>IF(OR(E5629="",E5629="!!!"),"",IF(OR(J5629=0,AND(J5629=1,K5629=1),AND(J5629=1,I5629="SBJ"),AND(J5629=1,I5629=0)),"?IN_FOCUS",IF(J5629&lt;=2,"?ACTIVATED",IF(J5629&lt;&gt;"","?FAMILIAR",IF(F5629="NEW",IF(ISNA(VLOOKUP(E5629,#REF!,1,FALSE())),"?TYPE_IDENTIFIABLE","?REFERENTIAL"),"_")))))</f>
        <v> </v>
      </c>
      <c r="H5629" s="25" t="str">
        <f>IF(J5629&lt;&gt;1,"",IF(I5629="SBJ","CB","?"))</f>
        <v> </v>
      </c>
      <c r="I5629" s="26" t="str">
        <f>IF(OR(E5629="",E5629="!!!",F5629="NEW"),"",INDEX(B5628:B$2,-1+SUMPRODUCT(MAX(ROW(E5628:E$2)*(E5629=E5628:E$2)))))</f>
        <v> </v>
      </c>
      <c r="J5629" s="26" t="str">
        <f>IF(OR(E5629="",E5629="!!!",F5629="NEW"),"",COUNTBLANK(OFFSET(A$1,,,SUMPRODUCT(MAX(ROW(E$2:E5629)*(E5629=E$2:E5629)))))-COUNTBLANK(OFFSET(A$1,,,SUMPRODUCT(MAX(ROW(E$1:E5628)*(E2=E$1:E5628))))))</f>
        <v> </v>
      </c>
      <c r="K5629" s="26" t="str">
        <f>IF(OR(E5629="",E5629="!!!",F5629="NEW"),"",INDEX(J$1:J5628,SUMPRODUCT(MAX(ROW(E$1:E5628)*(E5629=E$1:E5628)))))</f>
        <v> </v>
      </c>
      <c r="L5629" s="27"/>
    </row>
    <row r="5630" spans="1:12">
      <c r="A5630" s="20" t="s">
        <v>1047</v>
      </c>
      <c r="B5630" s="21" t="s">
        <v>1035</v>
      </c>
      <c r="C5630" s="21" t="s">
        <v>977</v>
      </c>
      <c r="D5630" s="21" t="s">
        <v>978</v>
      </c>
      <c r="E5630" s="22">
        <f>IF(D5630="?OLD","!!!","")</f>
        <v/>
      </c>
      <c r="F5630" s="23" t="str">
        <f>IF(OR(E5630="",E5630="!!!"),"",IF(NOT(ISNA(VLOOKUP(E5630,E$1:E5629,1,FALSE()))),"OLD",IF(AND(E5630&lt;&gt;"",E5630&lt;&gt;"!!!"),"NEW","")))</f>
        <v> </v>
      </c>
      <c r="G5630" s="24" t="str">
        <f>IF(OR(E5630="",E5630="!!!"),"",IF(OR(J5630=0,AND(J5630=1,K5630=1),AND(J5630=1,I5630="SBJ"),AND(J5630=1,I5630=0)),"?IN_FOCUS",IF(J5630&lt;=2,"?ACTIVATED",IF(J5630&lt;&gt;"","?FAMILIAR",IF(F5630="NEW",IF(ISNA(VLOOKUP(E5630,#REF!,1,FALSE())),"?TYPE_IDENTIFIABLE","?REFERENTIAL"),"_")))))</f>
        <v> </v>
      </c>
      <c r="H5630" s="25" t="str">
        <f>IF(J5630&lt;&gt;1,"",IF(I5630="SBJ","CB","?"))</f>
        <v> </v>
      </c>
      <c r="I5630" s="26" t="str">
        <f>IF(OR(E5630="",E5630="!!!",F5630="NEW"),"",INDEX(B5629:B$2,-1+SUMPRODUCT(MAX(ROW(E5629:E$2)*(E5630=E5629:E$2)))))</f>
        <v> </v>
      </c>
      <c r="J5630" s="26" t="str">
        <f>IF(OR(E5630="",E5630="!!!",F5630="NEW"),"",COUNTBLANK(OFFSET(A$1,,,SUMPRODUCT(MAX(ROW(E$2:E5630)*(E5630=E$2:E5630)))))-COUNTBLANK(OFFSET(A$1,,,SUMPRODUCT(MAX(ROW(E$1:E5629)*(E2=E$1:E5629))))))</f>
        <v> </v>
      </c>
      <c r="K5630" s="26" t="str">
        <f>IF(OR(E5630="",E5630="!!!",F5630="NEW"),"",INDEX(J$1:J5629,SUMPRODUCT(MAX(ROW(E$1:E5629)*(E5630=E$1:E5629)))))</f>
        <v> </v>
      </c>
      <c r="L5630" s="27"/>
    </row>
    <row r="5631" spans="1:12">
      <c r="A5631" s="20" t="s">
        <v>2428</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1135</v>
      </c>
      <c r="B5632" s="21" t="s">
        <v>1146</v>
      </c>
      <c r="C5632" s="21" t="s">
        <v>977</v>
      </c>
      <c r="D5632" s="21" t="s">
        <v>978</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1018</v>
      </c>
      <c r="B5633" s="21" t="s">
        <v>1146</v>
      </c>
      <c r="C5633" s="21" t="s">
        <v>1020</v>
      </c>
      <c r="D5633" s="21" t="s">
        <v>978</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868</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1022</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row>
    <row r="5637" spans="1:12">
      <c r="A5637" s="20" t="s">
        <v>2429</v>
      </c>
    </row>
    <row r="5638" spans="1:12">
      <c r="A5638" s="20" t="s">
        <v>190</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992</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1047</v>
      </c>
      <c r="B5640" s="21" t="s">
        <v>976</v>
      </c>
      <c r="C5640" s="21" t="s">
        <v>977</v>
      </c>
      <c r="D5640" s="21" t="s">
        <v>978</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t="s">
        <v>1757</v>
      </c>
      <c r="B5641" s="21" t="s">
        <v>982</v>
      </c>
      <c r="C5641" s="21" t="s">
        <v>977</v>
      </c>
      <c r="D5641" s="21" t="s">
        <v>978</v>
      </c>
      <c r="E5641" s="22">
        <f>IF(D5641="?OLD","!!!","")</f>
        <v/>
      </c>
      <c r="F5641" s="23" t="str">
        <f>IF(OR(E5641="",E5641="!!!"),"",IF(NOT(ISNA(VLOOKUP(E5641,E$1:E5640,1,FALSE()))),"OLD",IF(AND(E5641&lt;&gt;"",E5641&lt;&gt;"!!!"),"NEW","")))</f>
        <v> </v>
      </c>
      <c r="G5641" s="24" t="str">
        <f>IF(OR(E5641="",E5641="!!!"),"",IF(OR(J5641=0,AND(J5641=1,K5641=1),AND(J5641=1,I5641="SBJ"),AND(J5641=1,I5641=0)),"?IN_FOCUS",IF(J5641&lt;=2,"?ACTIVATED",IF(J5641&lt;&gt;"","?FAMILIAR",IF(F5641="NEW",IF(ISNA(VLOOKUP(E5641,#REF!,1,FALSE())),"?TYPE_IDENTIFIABLE","?REFERENTIAL"),"_")))))</f>
        <v> </v>
      </c>
      <c r="H5641" s="25" t="str">
        <f>IF(J5641&lt;&gt;1,"",IF(I5641="SBJ","CB","?"))</f>
        <v> </v>
      </c>
      <c r="I5641" s="26" t="str">
        <f>IF(OR(E5641="",E5641="!!!",F5641="NEW"),"",INDEX(B5640:B$2,-1+SUMPRODUCT(MAX(ROW(E5640:E$2)*(E5641=E5640:E$2)))))</f>
        <v> </v>
      </c>
      <c r="J5641" s="26" t="str">
        <f>IF(OR(E5641="",E5641="!!!",F5641="NEW"),"",COUNTBLANK(OFFSET(A$1,,,SUMPRODUCT(MAX(ROW(E$2:E5641)*(E5641=E$2:E5641)))))-COUNTBLANK(OFFSET(A$1,,,SUMPRODUCT(MAX(ROW(E$1:E5640)*(E2=E$1:E5640))))))</f>
        <v> </v>
      </c>
      <c r="K5641" s="26" t="str">
        <f>IF(OR(E5641="",E5641="!!!",F5641="NEW"),"",INDEX(J$1:J5640,SUMPRODUCT(MAX(ROW(E$1:E5640)*(E5641=E$1:E5640)))))</f>
        <v> </v>
      </c>
      <c r="L5641" s="27"/>
    </row>
    <row r="5642" spans="1:12">
      <c r="A5642" s="20" t="s">
        <v>2430</v>
      </c>
      <c r="E5642" s="22">
        <f>IF(D5642="?OLD","!!!","")</f>
        <v/>
      </c>
      <c r="F5642" s="23" t="str">
        <f>IF(OR(E5642="",E5642="!!!"),"",IF(NOT(ISNA(VLOOKUP(E5642,E$1:E5641,1,FALSE()))),"OLD",IF(AND(E5642&lt;&gt;"",E5642&lt;&gt;"!!!"),"NEW","")))</f>
        <v> </v>
      </c>
      <c r="G5642" s="24" t="str">
        <f>IF(OR(E5642="",E5642="!!!"),"",IF(OR(J5642=0,AND(J5642=1,K5642=1),AND(J5642=1,I5642="SBJ"),AND(J5642=1,I5642=0)),"?IN_FOCUS",IF(J5642&lt;=2,"?ACTIVATED",IF(J5642&lt;&gt;"","?FAMILIAR",IF(F5642="NEW",IF(ISNA(VLOOKUP(E5642,#REF!,1,FALSE())),"?TYPE_IDENTIFIABLE","?REFERENTIAL"),"_")))))</f>
        <v> </v>
      </c>
      <c r="H5642" s="25" t="str">
        <f>IF(J5642&lt;&gt;1,"",IF(I5642="SBJ","CB","?"))</f>
        <v> </v>
      </c>
      <c r="I5642" s="26" t="str">
        <f>IF(OR(E5642="",E5642="!!!",F5642="NEW"),"",INDEX(B5641:B$2,-1+SUMPRODUCT(MAX(ROW(E5641:E$2)*(E5642=E5641:E$2)))))</f>
        <v> </v>
      </c>
      <c r="J5642" s="26" t="str">
        <f>IF(OR(E5642="",E5642="!!!",F5642="NEW"),"",COUNTBLANK(OFFSET(A$1,,,SUMPRODUCT(MAX(ROW(E$2:E5642)*(E5642=E$2:E5642)))))-COUNTBLANK(OFFSET(A$1,,,SUMPRODUCT(MAX(ROW(E$1:E5641)*(E2=E$1:E5641))))))</f>
        <v> </v>
      </c>
      <c r="K5642" s="26" t="str">
        <f>IF(OR(E5642="",E5642="!!!",F5642="NEW"),"",INDEX(J$1:J5641,SUMPRODUCT(MAX(ROW(E$1:E5641)*(E5642=E$1:E5641)))))</f>
        <v> </v>
      </c>
      <c r="L5642" s="27"/>
    </row>
    <row r="5643" spans="1:12">
      <c r="A5643" s="20" t="s">
        <v>1137</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t="s">
        <v>1216</v>
      </c>
      <c r="E5644" s="22">
        <f>IF(D5644="?OLD","!!!","")</f>
        <v/>
      </c>
      <c r="F5644" s="23" t="str">
        <f>IF(OR(E5644="",E5644="!!!"),"",IF(NOT(ISNA(VLOOKUP(E5644,E$1:E5643,1,FALSE()))),"OLD",IF(AND(E5644&lt;&gt;"",E5644&lt;&gt;"!!!"),"NEW","")))</f>
        <v> </v>
      </c>
      <c r="G5644" s="24" t="str">
        <f>IF(OR(E5644="",E5644="!!!"),"",IF(OR(J5644=0,AND(J5644=1,K5644=1),AND(J5644=1,I5644="SBJ"),AND(J5644=1,I5644=0)),"?IN_FOCUS",IF(J5644&lt;=2,"?ACTIVATED",IF(J5644&lt;&gt;"","?FAMILIAR",IF(F5644="NEW",IF(ISNA(VLOOKUP(E5644,#REF!,1,FALSE())),"?TYPE_IDENTIFIABLE","?REFERENTIAL"),"_")))))</f>
        <v> </v>
      </c>
      <c r="H5644" s="25" t="str">
        <f>IF(J5644&lt;&gt;1,"",IF(I5644="SBJ","CB","?"))</f>
        <v> </v>
      </c>
      <c r="I5644" s="26" t="str">
        <f>IF(OR(E5644="",E5644="!!!",F5644="NEW"),"",INDEX(B5643:B$2,-1+SUMPRODUCT(MAX(ROW(E5643:E$2)*(E5644=E5643:E$2)))))</f>
        <v> </v>
      </c>
      <c r="J5644" s="26" t="str">
        <f>IF(OR(E5644="",E5644="!!!",F5644="NEW"),"",COUNTBLANK(OFFSET(A$1,,,SUMPRODUCT(MAX(ROW(E$2:E5644)*(E5644=E$2:E5644)))))-COUNTBLANK(OFFSET(A$1,,,SUMPRODUCT(MAX(ROW(E$1:E5643)*(E2=E$1:E5643))))))</f>
        <v> </v>
      </c>
      <c r="K5644" s="26" t="str">
        <f>IF(OR(E5644="",E5644="!!!",F5644="NEW"),"",INDEX(J$1:J5643,SUMPRODUCT(MAX(ROW(E$1:E5643)*(E5644=E$1:E5643)))))</f>
        <v> </v>
      </c>
      <c r="L5644" s="27"/>
    </row>
    <row r="5645" spans="1:12">
      <c r="A5645" s="20" t="s">
        <v>1217</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1782</v>
      </c>
      <c r="B5646" s="21" t="s">
        <v>1095</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1865</v>
      </c>
      <c r="B5647" s="21" t="s">
        <v>1052</v>
      </c>
      <c r="C5647" s="21" t="s">
        <v>977</v>
      </c>
      <c r="D5647" s="21" t="s">
        <v>978</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2431</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2432</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t="s">
        <v>1865</v>
      </c>
      <c r="B5650" s="21" t="s">
        <v>1095</v>
      </c>
      <c r="C5650" s="21" t="s">
        <v>977</v>
      </c>
      <c r="D5650" s="21" t="s">
        <v>978</v>
      </c>
      <c r="E5650" s="22">
        <f>IF(D5650="?OLD","!!!","")</f>
        <v/>
      </c>
      <c r="F5650" s="23" t="str">
        <f>IF(OR(E5650="",E5650="!!!"),"",IF(NOT(ISNA(VLOOKUP(E5650,E$1:E5649,1,FALSE()))),"OLD",IF(AND(E5650&lt;&gt;"",E5650&lt;&gt;"!!!"),"NEW","")))</f>
        <v> </v>
      </c>
      <c r="G5650" s="24" t="str">
        <f>IF(OR(E5650="",E5650="!!!"),"",IF(OR(J5650=0,AND(J5650=1,K5650=1),AND(J5650=1,I5650="SBJ"),AND(J5650=1,I5650=0)),"?IN_FOCUS",IF(J5650&lt;=2,"?ACTIVATED",IF(J5650&lt;&gt;"","?FAMILIAR",IF(F5650="NEW",IF(ISNA(VLOOKUP(E5650,#REF!,1,FALSE())),"?TYPE_IDENTIFIABLE","?REFERENTIAL"),"_")))))</f>
        <v> </v>
      </c>
      <c r="H5650" s="25" t="str">
        <f>IF(J5650&lt;&gt;1,"",IF(I5650="SBJ","CB","?"))</f>
        <v> </v>
      </c>
      <c r="I5650" s="26" t="str">
        <f>IF(OR(E5650="",E5650="!!!",F5650="NEW"),"",INDEX(B5649:B$2,-1+SUMPRODUCT(MAX(ROW(E5649:E$2)*(E5650=E5649:E$2)))))</f>
        <v> </v>
      </c>
      <c r="J5650" s="26" t="str">
        <f>IF(OR(E5650="",E5650="!!!",F5650="NEW"),"",COUNTBLANK(OFFSET(A$1,,,SUMPRODUCT(MAX(ROW(E$2:E5650)*(E5650=E$2:E5650)))))-COUNTBLANK(OFFSET(A$1,,,SUMPRODUCT(MAX(ROW(E$1:E5649)*(E2=E$1:E5649))))))</f>
        <v> </v>
      </c>
      <c r="K5650" s="26" t="str">
        <f>IF(OR(E5650="",E5650="!!!",F5650="NEW"),"",INDEX(J$1:J5649,SUMPRODUCT(MAX(ROW(E$1:E5649)*(E5650=E$1:E5649)))))</f>
        <v> </v>
      </c>
      <c r="L5650" s="27"/>
    </row>
    <row r="5651" spans="1:12">
      <c r="A5651" s="20" t="s">
        <v>1018</v>
      </c>
      <c r="E5651" s="22">
        <f>IF(D5651="?OLD","!!!","")</f>
        <v/>
      </c>
      <c r="F5651" s="23" t="str">
        <f>IF(OR(E5651="",E5651="!!!"),"",IF(NOT(ISNA(VLOOKUP(E5651,E$1:E5650,1,FALSE()))),"OLD",IF(AND(E5651&lt;&gt;"",E5651&lt;&gt;"!!!"),"NEW","")))</f>
        <v> </v>
      </c>
      <c r="G5651" s="24" t="str">
        <f>IF(OR(E5651="",E5651="!!!"),"",IF(OR(J5651=0,AND(J5651=1,K5651=1),AND(J5651=1,I5651="SBJ"),AND(J5651=1,I5651=0)),"?IN_FOCUS",IF(J5651&lt;=2,"?ACTIVATED",IF(J5651&lt;&gt;"","?FAMILIAR",IF(F5651="NEW",IF(ISNA(VLOOKUP(E5651,#REF!,1,FALSE())),"?TYPE_IDENTIFIABLE","?REFERENTIAL"),"_")))))</f>
        <v> </v>
      </c>
      <c r="H5651" s="25" t="str">
        <f>IF(J5651&lt;&gt;1,"",IF(I5651="SBJ","CB","?"))</f>
        <v> </v>
      </c>
      <c r="I5651" s="26" t="str">
        <f>IF(OR(E5651="",E5651="!!!",F5651="NEW"),"",INDEX(B5650:B$2,-1+SUMPRODUCT(MAX(ROW(E5650:E$2)*(E5651=E5650:E$2)))))</f>
        <v> </v>
      </c>
      <c r="J5651" s="26" t="str">
        <f>IF(OR(E5651="",E5651="!!!",F5651="NEW"),"",COUNTBLANK(OFFSET(A$1,,,SUMPRODUCT(MAX(ROW(E$2:E5651)*(E5651=E$2:E5651)))))-COUNTBLANK(OFFSET(A$1,,,SUMPRODUCT(MAX(ROW(E$1:E5650)*(E2=E$1:E5650))))))</f>
        <v> </v>
      </c>
      <c r="K5651" s="26" t="str">
        <f>IF(OR(E5651="",E5651="!!!",F5651="NEW"),"",INDEX(J$1:J5650,SUMPRODUCT(MAX(ROW(E$1:E5650)*(E5651=E$1:E5650)))))</f>
        <v> </v>
      </c>
      <c r="L5651" s="27"/>
    </row>
    <row r="5652" spans="1:12">
      <c r="A5652" s="20" t="s">
        <v>868</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1194</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1865</v>
      </c>
      <c r="B5654" s="21" t="s">
        <v>1066</v>
      </c>
      <c r="C5654" s="21" t="s">
        <v>977</v>
      </c>
      <c r="D5654" s="21" t="s">
        <v>978</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t="s">
        <v>1072</v>
      </c>
      <c r="E5655" s="22">
        <f>IF(D5655="?OLD","!!!","")</f>
        <v/>
      </c>
      <c r="F5655" s="23" t="str">
        <f>IF(OR(E5655="",E5655="!!!"),"",IF(NOT(ISNA(VLOOKUP(E5655,E$1:E5654,1,FALSE()))),"OLD",IF(AND(E5655&lt;&gt;"",E5655&lt;&gt;"!!!"),"NEW","")))</f>
        <v> </v>
      </c>
      <c r="G5655" s="24" t="str">
        <f>IF(OR(E5655="",E5655="!!!"),"",IF(OR(J5655=0,AND(J5655=1,K5655=1),AND(J5655=1,I5655="SBJ"),AND(J5655=1,I5655=0)),"?IN_FOCUS",IF(J5655&lt;=2,"?ACTIVATED",IF(J5655&lt;&gt;"","?FAMILIAR",IF(F5655="NEW",IF(ISNA(VLOOKUP(E5655,#REF!,1,FALSE())),"?TYPE_IDENTIFIABLE","?REFERENTIAL"),"_")))))</f>
        <v> </v>
      </c>
      <c r="H5655" s="25" t="str">
        <f>IF(J5655&lt;&gt;1,"",IF(I5655="SBJ","CB","?"))</f>
        <v> </v>
      </c>
      <c r="I5655" s="26" t="str">
        <f>IF(OR(E5655="",E5655="!!!",F5655="NEW"),"",INDEX(B5654:B$2,-1+SUMPRODUCT(MAX(ROW(E5654:E$2)*(E5655=E5654:E$2)))))</f>
        <v> </v>
      </c>
      <c r="J5655" s="26" t="str">
        <f>IF(OR(E5655="",E5655="!!!",F5655="NEW"),"",COUNTBLANK(OFFSET(A$1,,,SUMPRODUCT(MAX(ROW(E$2:E5655)*(E5655=E$2:E5655)))))-COUNTBLANK(OFFSET(A$1,,,SUMPRODUCT(MAX(ROW(E$1:E5654)*(E2=E$1:E5654))))))</f>
        <v> </v>
      </c>
      <c r="K5655" s="26" t="str">
        <f>IF(OR(E5655="",E5655="!!!",F5655="NEW"),"",INDEX(J$1:J5654,SUMPRODUCT(MAX(ROW(E$1:E5654)*(E5655=E$1:E5654)))))</f>
        <v> </v>
      </c>
      <c r="L5655" s="27"/>
    </row>
    <row r="5656" spans="1:12">
      <c r="A5656" s="20" t="s">
        <v>2433</v>
      </c>
      <c r="E5656" s="22">
        <f>IF(D5656="?OLD","!!!","")</f>
        <v/>
      </c>
      <c r="F5656" s="23" t="str">
        <f>IF(OR(E5656="",E5656="!!!"),"",IF(NOT(ISNA(VLOOKUP(E5656,E$1:E5655,1,FALSE()))),"OLD",IF(AND(E5656&lt;&gt;"",E5656&lt;&gt;"!!!"),"NEW","")))</f>
        <v> </v>
      </c>
      <c r="G5656" s="24" t="str">
        <f>IF(OR(E5656="",E5656="!!!"),"",IF(OR(J5656=0,AND(J5656=1,K5656=1),AND(J5656=1,I5656="SBJ"),AND(J5656=1,I5656=0)),"?IN_FOCUS",IF(J5656&lt;=2,"?ACTIVATED",IF(J5656&lt;&gt;"","?FAMILIAR",IF(F5656="NEW",IF(ISNA(VLOOKUP(E5656,#REF!,1,FALSE())),"?TYPE_IDENTIFIABLE","?REFERENTIAL"),"_")))))</f>
        <v> </v>
      </c>
      <c r="H5656" s="25" t="str">
        <f>IF(J5656&lt;&gt;1,"",IF(I5656="SBJ","CB","?"))</f>
        <v> </v>
      </c>
      <c r="I5656" s="26" t="str">
        <f>IF(OR(E5656="",E5656="!!!",F5656="NEW"),"",INDEX(B5655:B$2,-1+SUMPRODUCT(MAX(ROW(E5655:E$2)*(E5656=E5655:E$2)))))</f>
        <v> </v>
      </c>
      <c r="J5656" s="26" t="str">
        <f>IF(OR(E5656="",E5656="!!!",F5656="NEW"),"",COUNTBLANK(OFFSET(A$1,,,SUMPRODUCT(MAX(ROW(E$2:E5656)*(E5656=E$2:E5656)))))-COUNTBLANK(OFFSET(A$1,,,SUMPRODUCT(MAX(ROW(E$1:E5655)*(E2=E$1:E5655))))))</f>
        <v> </v>
      </c>
      <c r="K5656" s="26" t="str">
        <f>IF(OR(E5656="",E5656="!!!",F5656="NEW"),"",INDEX(J$1:J5655,SUMPRODUCT(MAX(ROW(E$1:E5655)*(E5656=E$1:E5655)))))</f>
        <v> </v>
      </c>
      <c r="L5656" s="27"/>
    </row>
    <row r="5657" spans="1:12">
      <c r="A5657" s="20" t="s">
        <v>1183</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1670</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167</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t="s">
        <v>1177</v>
      </c>
      <c r="B5660" s="21" t="s">
        <v>1101</v>
      </c>
      <c r="C5660" s="21" t="s">
        <v>1178</v>
      </c>
      <c r="E5660" s="22">
        <f>IF(D5660="?OLD","!!!","")</f>
        <v/>
      </c>
      <c r="F5660" s="23" t="str">
        <f>IF(OR(E5660="",E5660="!!!"),"",IF(NOT(ISNA(VLOOKUP(E5660,E$1:E5659,1,FALSE()))),"OLD",IF(AND(E5660&lt;&gt;"",E5660&lt;&gt;"!!!"),"NEW","")))</f>
        <v> </v>
      </c>
      <c r="G5660" s="24" t="str">
        <f>IF(OR(E5660="",E5660="!!!"),"",IF(OR(J5660=0,AND(J5660=1,K5660=1),AND(J5660=1,I5660="SBJ"),AND(J5660=1,I5660=0)),"?IN_FOCUS",IF(J5660&lt;=2,"?ACTIVATED",IF(J5660&lt;&gt;"","?FAMILIAR",IF(F5660="NEW",IF(ISNA(VLOOKUP(E5660,#REF!,1,FALSE())),"?TYPE_IDENTIFIABLE","?REFERENTIAL"),"_")))))</f>
        <v> </v>
      </c>
      <c r="H5660" s="25" t="str">
        <f>IF(J5660&lt;&gt;1,"",IF(I5660="SBJ","CB","?"))</f>
        <v> </v>
      </c>
      <c r="I5660" s="26" t="str">
        <f>IF(OR(E5660="",E5660="!!!",F5660="NEW"),"",INDEX(B5659:B$2,-1+SUMPRODUCT(MAX(ROW(E5659:E$2)*(E5660=E5659:E$2)))))</f>
        <v> </v>
      </c>
      <c r="J5660" s="26" t="str">
        <f>IF(OR(E5660="",E5660="!!!",F5660="NEW"),"",COUNTBLANK(OFFSET(A$1,,,SUMPRODUCT(MAX(ROW(E$2:E5660)*(E5660=E$2:E5660)))))-COUNTBLANK(OFFSET(A$1,,,SUMPRODUCT(MAX(ROW(E$1:E5659)*(E2=E$1:E5659))))))</f>
        <v> </v>
      </c>
      <c r="K5660" s="26" t="str">
        <f>IF(OR(E5660="",E5660="!!!",F5660="NEW"),"",INDEX(J$1:J5659,SUMPRODUCT(MAX(ROW(E$1:E5659)*(E5660=E$1:E5659)))))</f>
        <v> </v>
      </c>
      <c r="L5660" s="27"/>
    </row>
    <row r="5661" spans="1:12">
      <c r="A5661" s="20" t="s">
        <v>1022</v>
      </c>
      <c r="E5661" s="22">
        <f>IF(D5661="?OLD","!!!","")</f>
        <v/>
      </c>
      <c r="F5661" s="23" t="str">
        <f>IF(OR(E5661="",E5661="!!!"),"",IF(NOT(ISNA(VLOOKUP(E5661,E$1:E5660,1,FALSE()))),"OLD",IF(AND(E5661&lt;&gt;"",E5661&lt;&gt;"!!!"),"NEW","")))</f>
        <v> </v>
      </c>
      <c r="G5661" s="24" t="str">
        <f>IF(OR(E5661="",E5661="!!!"),"",IF(OR(J5661=0,AND(J5661=1,K5661=1),AND(J5661=1,I5661="SBJ"),AND(J5661=1,I5661=0)),"?IN_FOCUS",IF(J5661&lt;=2,"?ACTIVATED",IF(J5661&lt;&gt;"","?FAMILIAR",IF(F5661="NEW",IF(ISNA(VLOOKUP(E5661,#REF!,1,FALSE())),"?TYPE_IDENTIFIABLE","?REFERENTIAL"),"_")))))</f>
        <v> </v>
      </c>
      <c r="H5661" s="25" t="str">
        <f>IF(J5661&lt;&gt;1,"",IF(I5661="SBJ","CB","?"))</f>
        <v> </v>
      </c>
      <c r="I5661" s="26" t="str">
        <f>IF(OR(E5661="",E5661="!!!",F5661="NEW"),"",INDEX(B5660:B$2,-1+SUMPRODUCT(MAX(ROW(E5660:E$2)*(E5661=E5660:E$2)))))</f>
        <v> </v>
      </c>
      <c r="J5661" s="26" t="str">
        <f>IF(OR(E5661="",E5661="!!!",F5661="NEW"),"",COUNTBLANK(OFFSET(A$1,,,SUMPRODUCT(MAX(ROW(E$2:E5661)*(E5661=E$2:E5661)))))-COUNTBLANK(OFFSET(A$1,,,SUMPRODUCT(MAX(ROW(E$1:E5660)*(E2=E$1:E5660))))))</f>
        <v> </v>
      </c>
      <c r="K5661" s="26" t="str">
        <f>IF(OR(E5661="",E5661="!!!",F5661="NEW"),"",INDEX(J$1:J5660,SUMPRODUCT(MAX(ROW(E$1:E5660)*(E5661=E$1:E5660)))))</f>
        <v> </v>
      </c>
      <c r="L5661" s="27"/>
    </row>
    <row r="5662" spans="1:12">
      <c r="A5662" s="20"/>
    </row>
    <row r="5663" spans="1:12">
      <c r="A5663" s="20" t="s">
        <v>2434</v>
      </c>
    </row>
    <row r="5664" spans="1:12">
      <c r="A5664" s="20" t="s">
        <v>1512</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1426</v>
      </c>
      <c r="B5665" s="21" t="s">
        <v>976</v>
      </c>
      <c r="C5665" s="21" t="s">
        <v>995</v>
      </c>
      <c r="D5665" s="21" t="s">
        <v>978</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t="s">
        <v>1067</v>
      </c>
      <c r="E5666" s="22">
        <f>IF(D5666="?OLD","!!!","")</f>
        <v/>
      </c>
      <c r="F5666" s="23" t="str">
        <f>IF(OR(E5666="",E5666="!!!"),"",IF(NOT(ISNA(VLOOKUP(E5666,E$1:E5665,1,FALSE()))),"OLD",IF(AND(E5666&lt;&gt;"",E5666&lt;&gt;"!!!"),"NEW","")))</f>
        <v> </v>
      </c>
      <c r="G5666" s="24" t="str">
        <f>IF(OR(E5666="",E5666="!!!"),"",IF(OR(J5666=0,AND(J5666=1,K5666=1),AND(J5666=1,I5666="SBJ"),AND(J5666=1,I5666=0)),"?IN_FOCUS",IF(J5666&lt;=2,"?ACTIVATED",IF(J5666&lt;&gt;"","?FAMILIAR",IF(F5666="NEW",IF(ISNA(VLOOKUP(E5666,#REF!,1,FALSE())),"?TYPE_IDENTIFIABLE","?REFERENTIAL"),"_")))))</f>
        <v> </v>
      </c>
      <c r="H5666" s="25" t="str">
        <f>IF(J5666&lt;&gt;1,"",IF(I5666="SBJ","CB","?"))</f>
        <v> </v>
      </c>
      <c r="I5666" s="26" t="str">
        <f>IF(OR(E5666="",E5666="!!!",F5666="NEW"),"",INDEX(B5665:B$2,-1+SUMPRODUCT(MAX(ROW(E5665:E$2)*(E5666=E5665:E$2)))))</f>
        <v> </v>
      </c>
      <c r="J5666" s="26" t="str">
        <f>IF(OR(E5666="",E5666="!!!",F5666="NEW"),"",COUNTBLANK(OFFSET(A$1,,,SUMPRODUCT(MAX(ROW(E$2:E5666)*(E5666=E$2:E5666)))))-COUNTBLANK(OFFSET(A$1,,,SUMPRODUCT(MAX(ROW(E$1:E5665)*(E2=E$1:E5665))))))</f>
        <v> </v>
      </c>
      <c r="K5666" s="26" t="str">
        <f>IF(OR(E5666="",E5666="!!!",F5666="NEW"),"",INDEX(J$1:J5665,SUMPRODUCT(MAX(ROW(E$1:E5665)*(E5666=E$1:E5665)))))</f>
        <v> </v>
      </c>
      <c r="L5666" s="27"/>
    </row>
    <row r="5667" spans="1:12">
      <c r="A5667" s="20" t="s">
        <v>2435</v>
      </c>
      <c r="E5667" s="22">
        <f>IF(D5667="?OLD","!!!","")</f>
        <v/>
      </c>
      <c r="F5667" s="23" t="str">
        <f>IF(OR(E5667="",E5667="!!!"),"",IF(NOT(ISNA(VLOOKUP(E5667,E$1:E5666,1,FALSE()))),"OLD",IF(AND(E5667&lt;&gt;"",E5667&lt;&gt;"!!!"),"NEW","")))</f>
        <v> </v>
      </c>
      <c r="G5667" s="24" t="str">
        <f>IF(OR(E5667="",E5667="!!!"),"",IF(OR(J5667=0,AND(J5667=1,K5667=1),AND(J5667=1,I5667="SBJ"),AND(J5667=1,I5667=0)),"?IN_FOCUS",IF(J5667&lt;=2,"?ACTIVATED",IF(J5667&lt;&gt;"","?FAMILIAR",IF(F5667="NEW",IF(ISNA(VLOOKUP(E5667,#REF!,1,FALSE())),"?TYPE_IDENTIFIABLE","?REFERENTIAL"),"_")))))</f>
        <v> </v>
      </c>
      <c r="H5667" s="25" t="str">
        <f>IF(J5667&lt;&gt;1,"",IF(I5667="SBJ","CB","?"))</f>
        <v> </v>
      </c>
      <c r="I5667" s="26" t="str">
        <f>IF(OR(E5667="",E5667="!!!",F5667="NEW"),"",INDEX(B5666:B$2,-1+SUMPRODUCT(MAX(ROW(E5666:E$2)*(E5667=E5666:E$2)))))</f>
        <v> </v>
      </c>
      <c r="J5667" s="26" t="str">
        <f>IF(OR(E5667="",E5667="!!!",F5667="NEW"),"",COUNTBLANK(OFFSET(A$1,,,SUMPRODUCT(MAX(ROW(E$2:E5667)*(E5667=E$2:E5667)))))-COUNTBLANK(OFFSET(A$1,,,SUMPRODUCT(MAX(ROW(E$1:E5666)*(E2=E$1:E5666))))))</f>
        <v> </v>
      </c>
      <c r="K5667" s="26" t="str">
        <f>IF(OR(E5667="",E5667="!!!",F5667="NEW"),"",INDEX(J$1:J5666,SUMPRODUCT(MAX(ROW(E$1:E5666)*(E5667=E$1:E5666)))))</f>
        <v> </v>
      </c>
      <c r="L5667" s="27"/>
    </row>
    <row r="5668" spans="1:12">
      <c r="A5668" s="20" t="s">
        <v>1002</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1000</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1877</v>
      </c>
      <c r="B5670" s="21" t="s">
        <v>1095</v>
      </c>
      <c r="C5670" s="21" t="s">
        <v>1008</v>
      </c>
      <c r="D5670" s="21" t="s">
        <v>978</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1625</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1050</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1643</v>
      </c>
      <c r="B5673" s="21" t="s">
        <v>986</v>
      </c>
      <c r="C5673" s="21" t="s">
        <v>983</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2040</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1038</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1865</v>
      </c>
      <c r="B5676" s="21" t="s">
        <v>1066</v>
      </c>
      <c r="C5676" s="21" t="s">
        <v>977</v>
      </c>
      <c r="D5676" s="21" t="s">
        <v>978</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1945</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t="s">
        <v>2436</v>
      </c>
      <c r="E5678" s="22">
        <f>IF(D5678="?OLD","!!!","")</f>
        <v/>
      </c>
      <c r="F5678" s="23" t="str">
        <f>IF(OR(E5678="",E5678="!!!"),"",IF(NOT(ISNA(VLOOKUP(E5678,E$1:E5677,1,FALSE()))),"OLD",IF(AND(E5678&lt;&gt;"",E5678&lt;&gt;"!!!"),"NEW","")))</f>
        <v> </v>
      </c>
      <c r="G5678" s="24" t="str">
        <f>IF(OR(E5678="",E5678="!!!"),"",IF(OR(J5678=0,AND(J5678=1,K5678=1),AND(J5678=1,I5678="SBJ"),AND(J5678=1,I5678=0)),"?IN_FOCUS",IF(J5678&lt;=2,"?ACTIVATED",IF(J5678&lt;&gt;"","?FAMILIAR",IF(F5678="NEW",IF(ISNA(VLOOKUP(E5678,#REF!,1,FALSE())),"?TYPE_IDENTIFIABLE","?REFERENTIAL"),"_")))))</f>
        <v> </v>
      </c>
      <c r="H5678" s="25" t="str">
        <f>IF(J5678&lt;&gt;1,"",IF(I5678="SBJ","CB","?"))</f>
        <v> </v>
      </c>
      <c r="I5678" s="26" t="str">
        <f>IF(OR(E5678="",E5678="!!!",F5678="NEW"),"",INDEX(B5677:B$2,-1+SUMPRODUCT(MAX(ROW(E5677:E$2)*(E5678=E5677:E$2)))))</f>
        <v> </v>
      </c>
      <c r="J5678" s="26" t="str">
        <f>IF(OR(E5678="",E5678="!!!",F5678="NEW"),"",COUNTBLANK(OFFSET(A$1,,,SUMPRODUCT(MAX(ROW(E$2:E5678)*(E5678=E$2:E5678)))))-COUNTBLANK(OFFSET(A$1,,,SUMPRODUCT(MAX(ROW(E$1:E5677)*(E2=E$1:E5677))))))</f>
        <v> </v>
      </c>
      <c r="K5678" s="26" t="str">
        <f>IF(OR(E5678="",E5678="!!!",F5678="NEW"),"",INDEX(J$1:J5677,SUMPRODUCT(MAX(ROW(E$1:E5677)*(E5678=E$1:E5677)))))</f>
        <v> </v>
      </c>
      <c r="L5678" s="27"/>
    </row>
    <row r="5679" spans="1:12">
      <c r="A5679" s="20" t="s">
        <v>1004</v>
      </c>
      <c r="E5679" s="22">
        <f>IF(D5679="?OLD","!!!","")</f>
        <v/>
      </c>
      <c r="F5679" s="23" t="str">
        <f>IF(OR(E5679="",E5679="!!!"),"",IF(NOT(ISNA(VLOOKUP(E5679,E$1:E5678,1,FALSE()))),"OLD",IF(AND(E5679&lt;&gt;"",E5679&lt;&gt;"!!!"),"NEW","")))</f>
        <v> </v>
      </c>
      <c r="G5679" s="24" t="str">
        <f>IF(OR(E5679="",E5679="!!!"),"",IF(OR(J5679=0,AND(J5679=1,K5679=1),AND(J5679=1,I5679="SBJ"),AND(J5679=1,I5679=0)),"?IN_FOCUS",IF(J5679&lt;=2,"?ACTIVATED",IF(J5679&lt;&gt;"","?FAMILIAR",IF(F5679="NEW",IF(ISNA(VLOOKUP(E5679,#REF!,1,FALSE())),"?TYPE_IDENTIFIABLE","?REFERENTIAL"),"_")))))</f>
        <v> </v>
      </c>
      <c r="H5679" s="25" t="str">
        <f>IF(J5679&lt;&gt;1,"",IF(I5679="SBJ","CB","?"))</f>
        <v> </v>
      </c>
      <c r="I5679" s="26" t="str">
        <f>IF(OR(E5679="",E5679="!!!",F5679="NEW"),"",INDEX(B5678:B$2,-1+SUMPRODUCT(MAX(ROW(E5678:E$2)*(E5679=E5678:E$2)))))</f>
        <v> </v>
      </c>
      <c r="J5679" s="26" t="str">
        <f>IF(OR(E5679="",E5679="!!!",F5679="NEW"),"",COUNTBLANK(OFFSET(A$1,,,SUMPRODUCT(MAX(ROW(E$2:E5679)*(E5679=E$2:E5679)))))-COUNTBLANK(OFFSET(A$1,,,SUMPRODUCT(MAX(ROW(E$1:E5678)*(E2=E$1:E5678))))))</f>
        <v> </v>
      </c>
      <c r="K5679" s="26" t="str">
        <f>IF(OR(E5679="",E5679="!!!",F5679="NEW"),"",INDEX(J$1:J5678,SUMPRODUCT(MAX(ROW(E$1:E5678)*(E5679=E$1:E5678)))))</f>
        <v> </v>
      </c>
      <c r="L5679" s="27"/>
    </row>
    <row r="5680" spans="1:12">
      <c r="A5680" s="20" t="s">
        <v>2437</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1022</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row>
    <row r="5683" spans="1:12">
      <c r="A5683" s="20" t="s">
        <v>2438</v>
      </c>
    </row>
    <row r="5684" spans="1:12">
      <c r="A5684" s="20" t="s">
        <v>822</v>
      </c>
      <c r="E5684" s="22">
        <f>IF(D5684="?OLD","!!!","")</f>
        <v/>
      </c>
      <c r="F5684" s="23" t="str">
        <f>IF(OR(E5684="",E5684="!!!"),"",IF(NOT(ISNA(VLOOKUP(E5684,E$1:E5683,1,FALSE()))),"OLD",IF(AND(E5684&lt;&gt;"",E5684&lt;&gt;"!!!"),"NEW","")))</f>
        <v> </v>
      </c>
      <c r="G5684" s="24" t="str">
        <f>IF(OR(E5684="",E5684="!!!"),"",IF(OR(J5684=0,AND(J5684=1,K5684=1),AND(J5684=1,I5684="SBJ"),AND(J5684=1,I5684=0)),"?IN_FOCUS",IF(J5684&lt;=2,"?ACTIVATED",IF(J5684&lt;&gt;"","?FAMILIAR",IF(F5684="NEW",IF(ISNA(VLOOKUP(E5684,#REF!,1,FALSE())),"?TYPE_IDENTIFIABLE","?REFERENTIAL"),"_")))))</f>
        <v> </v>
      </c>
      <c r="H5684" s="25" t="str">
        <f>IF(J5684&lt;&gt;1,"",IF(I5684="SBJ","CB","?"))</f>
        <v> </v>
      </c>
      <c r="I5684" s="26" t="str">
        <f>IF(OR(E5684="",E5684="!!!",F5684="NEW"),"",INDEX(B5683:B$2,-1+SUMPRODUCT(MAX(ROW(E5683:E$2)*(E5684=E5683:E$2)))))</f>
        <v> </v>
      </c>
      <c r="J5684" s="26" t="str">
        <f>IF(OR(E5684="",E5684="!!!",F5684="NEW"),"",COUNTBLANK(OFFSET(A$1,,,SUMPRODUCT(MAX(ROW(E$2:E5684)*(E5684=E$2:E5684)))))-COUNTBLANK(OFFSET(A$1,,,SUMPRODUCT(MAX(ROW(E$1:E5683)*(E2=E$1:E5683))))))</f>
        <v> </v>
      </c>
      <c r="K5684" s="26" t="str">
        <f>IF(OR(E5684="",E5684="!!!",F5684="NEW"),"",INDEX(J$1:J5683,SUMPRODUCT(MAX(ROW(E$1:E5683)*(E5684=E$1:E5683)))))</f>
        <v> </v>
      </c>
      <c r="L5684" s="27"/>
    </row>
    <row r="5685" spans="1:12">
      <c r="A5685" s="20" t="s">
        <v>1022</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row>
    <row r="5687" spans="1:12">
      <c r="A5687" s="20" t="s">
        <v>2439</v>
      </c>
    </row>
    <row r="5688" spans="1:12">
      <c r="A5688" s="20" t="s">
        <v>190</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1273</v>
      </c>
      <c r="B5689" s="21" t="s">
        <v>976</v>
      </c>
      <c r="C5689" s="21" t="s">
        <v>1008</v>
      </c>
      <c r="D5689" s="21" t="s">
        <v>978</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1067</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t="s">
        <v>1050</v>
      </c>
      <c r="E5691" s="22">
        <f>IF(D5691="?OLD","!!!","")</f>
        <v/>
      </c>
      <c r="F5691" s="23" t="str">
        <f>IF(OR(E5691="",E5691="!!!"),"",IF(NOT(ISNA(VLOOKUP(E5691,E$1:E5690,1,FALSE()))),"OLD",IF(AND(E5691&lt;&gt;"",E5691&lt;&gt;"!!!"),"NEW","")))</f>
        <v> </v>
      </c>
      <c r="G5691" s="24" t="str">
        <f>IF(OR(E5691="",E5691="!!!"),"",IF(OR(J5691=0,AND(J5691=1,K5691=1),AND(J5691=1,I5691="SBJ"),AND(J5691=1,I5691=0)),"?IN_FOCUS",IF(J5691&lt;=2,"?ACTIVATED",IF(J5691&lt;&gt;"","?FAMILIAR",IF(F5691="NEW",IF(ISNA(VLOOKUP(E5691,#REF!,1,FALSE())),"?TYPE_IDENTIFIABLE","?REFERENTIAL"),"_")))))</f>
        <v> </v>
      </c>
      <c r="H5691" s="25" t="str">
        <f>IF(J5691&lt;&gt;1,"",IF(I5691="SBJ","CB","?"))</f>
        <v> </v>
      </c>
      <c r="I5691" s="26" t="str">
        <f>IF(OR(E5691="",E5691="!!!",F5691="NEW"),"",INDEX(B5690:B$2,-1+SUMPRODUCT(MAX(ROW(E5690:E$2)*(E5691=E5690:E$2)))))</f>
        <v> </v>
      </c>
      <c r="J5691" s="26" t="str">
        <f>IF(OR(E5691="",E5691="!!!",F5691="NEW"),"",COUNTBLANK(OFFSET(A$1,,,SUMPRODUCT(MAX(ROW(E$2:E5691)*(E5691=E$2:E5691)))))-COUNTBLANK(OFFSET(A$1,,,SUMPRODUCT(MAX(ROW(E$1:E5690)*(E2=E$1:E5690))))))</f>
        <v> </v>
      </c>
      <c r="K5691" s="26" t="str">
        <f>IF(OR(E5691="",E5691="!!!",F5691="NEW"),"",INDEX(J$1:J5690,SUMPRODUCT(MAX(ROW(E$1:E5690)*(E5691=E$1:E5690)))))</f>
        <v> </v>
      </c>
      <c r="L5691" s="27"/>
    </row>
    <row r="5692" spans="1:12">
      <c r="A5692" s="20" t="s">
        <v>1082</v>
      </c>
      <c r="E5692" s="22">
        <f>IF(D5692="?OLD","!!!","")</f>
        <v/>
      </c>
      <c r="F5692" s="23" t="str">
        <f>IF(OR(E5692="",E5692="!!!"),"",IF(NOT(ISNA(VLOOKUP(E5692,E$1:E5691,1,FALSE()))),"OLD",IF(AND(E5692&lt;&gt;"",E5692&lt;&gt;"!!!"),"NEW","")))</f>
        <v> </v>
      </c>
      <c r="G5692" s="24" t="str">
        <f>IF(OR(E5692="",E5692="!!!"),"",IF(OR(J5692=0,AND(J5692=1,K5692=1),AND(J5692=1,I5692="SBJ"),AND(J5692=1,I5692=0)),"?IN_FOCUS",IF(J5692&lt;=2,"?ACTIVATED",IF(J5692&lt;&gt;"","?FAMILIAR",IF(F5692="NEW",IF(ISNA(VLOOKUP(E5692,#REF!,1,FALSE())),"?TYPE_IDENTIFIABLE","?REFERENTIAL"),"_")))))</f>
        <v> </v>
      </c>
      <c r="H5692" s="25" t="str">
        <f>IF(J5692&lt;&gt;1,"",IF(I5692="SBJ","CB","?"))</f>
        <v> </v>
      </c>
      <c r="I5692" s="26" t="str">
        <f>IF(OR(E5692="",E5692="!!!",F5692="NEW"),"",INDEX(B5691:B$2,-1+SUMPRODUCT(MAX(ROW(E5691:E$2)*(E5692=E5691:E$2)))))</f>
        <v> </v>
      </c>
      <c r="J5692" s="26" t="str">
        <f>IF(OR(E5692="",E5692="!!!",F5692="NEW"),"",COUNTBLANK(OFFSET(A$1,,,SUMPRODUCT(MAX(ROW(E$2:E5692)*(E5692=E$2:E5692)))))-COUNTBLANK(OFFSET(A$1,,,SUMPRODUCT(MAX(ROW(E$1:E5691)*(E2=E$1:E5691))))))</f>
        <v> </v>
      </c>
      <c r="K5692" s="26" t="str">
        <f>IF(OR(E5692="",E5692="!!!",F5692="NEW"),"",INDEX(J$1:J5691,SUMPRODUCT(MAX(ROW(E$1:E5691)*(E5692=E$1:E5691)))))</f>
        <v> </v>
      </c>
      <c r="L5692" s="27"/>
    </row>
    <row r="5693" spans="1:12">
      <c r="A5693" s="20" t="s">
        <v>2440</v>
      </c>
      <c r="B5693" s="21" t="s">
        <v>989</v>
      </c>
      <c r="C5693" s="21" t="s">
        <v>983</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984</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1092</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2441</v>
      </c>
      <c r="B5696" s="21" t="s">
        <v>989</v>
      </c>
      <c r="C5696" s="21" t="s">
        <v>995</v>
      </c>
      <c r="D5696" s="21" t="s">
        <v>978</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2442</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1002</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1000</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t="s">
        <v>984</v>
      </c>
      <c r="E5700" s="22">
        <f>IF(D5700="?OLD","!!!","")</f>
        <v/>
      </c>
      <c r="F5700" s="23" t="str">
        <f>IF(OR(E5700="",E5700="!!!"),"",IF(NOT(ISNA(VLOOKUP(E5700,E$1:E5699,1,FALSE()))),"OLD",IF(AND(E5700&lt;&gt;"",E5700&lt;&gt;"!!!"),"NEW","")))</f>
        <v> </v>
      </c>
      <c r="G5700" s="24" t="str">
        <f>IF(OR(E5700="",E5700="!!!"),"",IF(OR(J5700=0,AND(J5700=1,K5700=1),AND(J5700=1,I5700="SBJ"),AND(J5700=1,I5700=0)),"?IN_FOCUS",IF(J5700&lt;=2,"?ACTIVATED",IF(J5700&lt;&gt;"","?FAMILIAR",IF(F5700="NEW",IF(ISNA(VLOOKUP(E5700,#REF!,1,FALSE())),"?TYPE_IDENTIFIABLE","?REFERENTIAL"),"_")))))</f>
        <v> </v>
      </c>
      <c r="H5700" s="25" t="str">
        <f>IF(J5700&lt;&gt;1,"",IF(I5700="SBJ","CB","?"))</f>
        <v> </v>
      </c>
      <c r="I5700" s="26" t="str">
        <f>IF(OR(E5700="",E5700="!!!",F5700="NEW"),"",INDEX(B5699:B$2,-1+SUMPRODUCT(MAX(ROW(E5699:E$2)*(E5700=E5699:E$2)))))</f>
        <v> </v>
      </c>
      <c r="J5700" s="26" t="str">
        <f>IF(OR(E5700="",E5700="!!!",F5700="NEW"),"",COUNTBLANK(OFFSET(A$1,,,SUMPRODUCT(MAX(ROW(E$2:E5700)*(E5700=E$2:E5700)))))-COUNTBLANK(OFFSET(A$1,,,SUMPRODUCT(MAX(ROW(E$1:E5699)*(E2=E$1:E5699))))))</f>
        <v> </v>
      </c>
      <c r="K5700" s="26" t="str">
        <f>IF(OR(E5700="",E5700="!!!",F5700="NEW"),"",INDEX(J$1:J5699,SUMPRODUCT(MAX(ROW(E$1:E5699)*(E5700=E$1:E5699)))))</f>
        <v> </v>
      </c>
      <c r="L5700" s="27"/>
    </row>
    <row r="5701" spans="1:12">
      <c r="A5701" s="20" t="s">
        <v>1220</v>
      </c>
      <c r="E5701" s="22">
        <f>IF(D5701="?OLD","!!!","")</f>
        <v/>
      </c>
      <c r="F5701" s="23" t="str">
        <f>IF(OR(E5701="",E5701="!!!"),"",IF(NOT(ISNA(VLOOKUP(E5701,E$1:E5700,1,FALSE()))),"OLD",IF(AND(E5701&lt;&gt;"",E5701&lt;&gt;"!!!"),"NEW","")))</f>
        <v> </v>
      </c>
      <c r="G5701" s="24" t="str">
        <f>IF(OR(E5701="",E5701="!!!"),"",IF(OR(J5701=0,AND(J5701=1,K5701=1),AND(J5701=1,I5701="SBJ"),AND(J5701=1,I5701=0)),"?IN_FOCUS",IF(J5701&lt;=2,"?ACTIVATED",IF(J5701&lt;&gt;"","?FAMILIAR",IF(F5701="NEW",IF(ISNA(VLOOKUP(E5701,#REF!,1,FALSE())),"?TYPE_IDENTIFIABLE","?REFERENTIAL"),"_")))))</f>
        <v> </v>
      </c>
      <c r="H5701" s="25" t="str">
        <f>IF(J5701&lt;&gt;1,"",IF(I5701="SBJ","CB","?"))</f>
        <v> </v>
      </c>
      <c r="I5701" s="26" t="str">
        <f>IF(OR(E5701="",E5701="!!!",F5701="NEW"),"",INDEX(B5700:B$2,-1+SUMPRODUCT(MAX(ROW(E5700:E$2)*(E5701=E5700:E$2)))))</f>
        <v> </v>
      </c>
      <c r="J5701" s="26" t="str">
        <f>IF(OR(E5701="",E5701="!!!",F5701="NEW"),"",COUNTBLANK(OFFSET(A$1,,,SUMPRODUCT(MAX(ROW(E$2:E5701)*(E5701=E$2:E5701)))))-COUNTBLANK(OFFSET(A$1,,,SUMPRODUCT(MAX(ROW(E$1:E5700)*(E2=E$1:E5700))))))</f>
        <v> </v>
      </c>
      <c r="K5701" s="26" t="str">
        <f>IF(OR(E5701="",E5701="!!!",F5701="NEW"),"",INDEX(J$1:J5700,SUMPRODUCT(MAX(ROW(E$1:E5700)*(E5701=E$1:E5700)))))</f>
        <v> </v>
      </c>
      <c r="L5701" s="27"/>
    </row>
    <row r="5702" spans="1:12">
      <c r="A5702" s="20" t="s">
        <v>1081</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1340</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2443</v>
      </c>
      <c r="B5704" s="21" t="s">
        <v>986</v>
      </c>
      <c r="C5704" s="21" t="s">
        <v>983</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1002</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1009</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1145</v>
      </c>
      <c r="B5707" s="21" t="s">
        <v>1095</v>
      </c>
      <c r="C5707" s="21" t="s">
        <v>1020</v>
      </c>
      <c r="D5707" s="21" t="s">
        <v>978</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1093</v>
      </c>
      <c r="B5708" s="21" t="s">
        <v>1052</v>
      </c>
      <c r="C5708" s="21" t="s">
        <v>977</v>
      </c>
      <c r="D5708" s="21" t="s">
        <v>978</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t="s">
        <v>2444</v>
      </c>
      <c r="E5709" s="22">
        <f>IF(D5709="?OLD","!!!","")</f>
        <v/>
      </c>
      <c r="F5709" s="23" t="str">
        <f>IF(OR(E5709="",E5709="!!!"),"",IF(NOT(ISNA(VLOOKUP(E5709,E$1:E5708,1,FALSE()))),"OLD",IF(AND(E5709&lt;&gt;"",E5709&lt;&gt;"!!!"),"NEW","")))</f>
        <v> </v>
      </c>
      <c r="G5709" s="24" t="str">
        <f>IF(OR(E5709="",E5709="!!!"),"",IF(OR(J5709=0,AND(J5709=1,K5709=1),AND(J5709=1,I5709="SBJ"),AND(J5709=1,I5709=0)),"?IN_FOCUS",IF(J5709&lt;=2,"?ACTIVATED",IF(J5709&lt;&gt;"","?FAMILIAR",IF(F5709="NEW",IF(ISNA(VLOOKUP(E5709,#REF!,1,FALSE())),"?TYPE_IDENTIFIABLE","?REFERENTIAL"),"_")))))</f>
        <v> </v>
      </c>
      <c r="H5709" s="25" t="str">
        <f>IF(J5709&lt;&gt;1,"",IF(I5709="SBJ","CB","?"))</f>
        <v> </v>
      </c>
      <c r="I5709" s="26" t="str">
        <f>IF(OR(E5709="",E5709="!!!",F5709="NEW"),"",INDEX(B5708:B$2,-1+SUMPRODUCT(MAX(ROW(E5708:E$2)*(E5709=E5708:E$2)))))</f>
        <v> </v>
      </c>
      <c r="J5709" s="26" t="str">
        <f>IF(OR(E5709="",E5709="!!!",F5709="NEW"),"",COUNTBLANK(OFFSET(A$1,,,SUMPRODUCT(MAX(ROW(E$2:E5709)*(E5709=E$2:E5709)))))-COUNTBLANK(OFFSET(A$1,,,SUMPRODUCT(MAX(ROW(E$1:E5708)*(E2=E$1:E5708))))))</f>
        <v> </v>
      </c>
      <c r="K5709" s="26" t="str">
        <f>IF(OR(E5709="",E5709="!!!",F5709="NEW"),"",INDEX(J$1:J5708,SUMPRODUCT(MAX(ROW(E$1:E5708)*(E5709=E$1:E5708)))))</f>
        <v> </v>
      </c>
      <c r="L5709" s="27"/>
    </row>
    <row r="5710" spans="1:12">
      <c r="A5710" s="20" t="s">
        <v>996</v>
      </c>
      <c r="E5710" s="22">
        <f>IF(D5710="?OLD","!!!","")</f>
        <v/>
      </c>
      <c r="F5710" s="23" t="str">
        <f>IF(OR(E5710="",E5710="!!!"),"",IF(NOT(ISNA(VLOOKUP(E5710,E$1:E5709,1,FALSE()))),"OLD",IF(AND(E5710&lt;&gt;"",E5710&lt;&gt;"!!!"),"NEW","")))</f>
        <v> </v>
      </c>
      <c r="G5710" s="24" t="str">
        <f>IF(OR(E5710="",E5710="!!!"),"",IF(OR(J5710=0,AND(J5710=1,K5710=1),AND(J5710=1,I5710="SBJ"),AND(J5710=1,I5710=0)),"?IN_FOCUS",IF(J5710&lt;=2,"?ACTIVATED",IF(J5710&lt;&gt;"","?FAMILIAR",IF(F5710="NEW",IF(ISNA(VLOOKUP(E5710,#REF!,1,FALSE())),"?TYPE_IDENTIFIABLE","?REFERENTIAL"),"_")))))</f>
        <v> </v>
      </c>
      <c r="H5710" s="25" t="str">
        <f>IF(J5710&lt;&gt;1,"",IF(I5710="SBJ","CB","?"))</f>
        <v> </v>
      </c>
      <c r="I5710" s="26" t="str">
        <f>IF(OR(E5710="",E5710="!!!",F5710="NEW"),"",INDEX(B5709:B$2,-1+SUMPRODUCT(MAX(ROW(E5709:E$2)*(E5710=E5709:E$2)))))</f>
        <v> </v>
      </c>
      <c r="J5710" s="26" t="str">
        <f>IF(OR(E5710="",E5710="!!!",F5710="NEW"),"",COUNTBLANK(OFFSET(A$1,,,SUMPRODUCT(MAX(ROW(E$2:E5710)*(E5710=E$2:E5710)))))-COUNTBLANK(OFFSET(A$1,,,SUMPRODUCT(MAX(ROW(E$1:E5709)*(E2=E$1:E5709))))))</f>
        <v> </v>
      </c>
      <c r="K5710" s="26" t="str">
        <f>IF(OR(E5710="",E5710="!!!",F5710="NEW"),"",INDEX(J$1:J5709,SUMPRODUCT(MAX(ROW(E$1:E5709)*(E5710=E$1:E5709)))))</f>
        <v> </v>
      </c>
      <c r="L5710" s="27"/>
    </row>
    <row r="5711" spans="1:12">
      <c r="A5711" s="20" t="s">
        <v>997</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t="s">
        <v>1305</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2445</v>
      </c>
      <c r="B5713" s="21" t="s">
        <v>986</v>
      </c>
      <c r="C5713" s="21" t="s">
        <v>995</v>
      </c>
      <c r="D5713" s="21" t="s">
        <v>978</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1002</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t="s">
        <v>1111</v>
      </c>
      <c r="B5715" s="21" t="s">
        <v>1054</v>
      </c>
      <c r="C5715" s="21" t="s">
        <v>1057</v>
      </c>
      <c r="E5715" s="22">
        <f>IF(D5715="?OLD","!!!","")</f>
        <v/>
      </c>
      <c r="F5715" s="23" t="str">
        <f>IF(OR(E5715="",E5715="!!!"),"",IF(NOT(ISNA(VLOOKUP(E5715,E$1:E5714,1,FALSE()))),"OLD",IF(AND(E5715&lt;&gt;"",E5715&lt;&gt;"!!!"),"NEW","")))</f>
        <v> </v>
      </c>
      <c r="G5715" s="24" t="str">
        <f>IF(OR(E5715="",E5715="!!!"),"",IF(OR(J5715=0,AND(J5715=1,K5715=1),AND(J5715=1,I5715="SBJ"),AND(J5715=1,I5715=0)),"?IN_FOCUS",IF(J5715&lt;=2,"?ACTIVATED",IF(J5715&lt;&gt;"","?FAMILIAR",IF(F5715="NEW",IF(ISNA(VLOOKUP(E5715,#REF!,1,FALSE())),"?TYPE_IDENTIFIABLE","?REFERENTIAL"),"_")))))</f>
        <v> </v>
      </c>
      <c r="H5715" s="25" t="str">
        <f>IF(J5715&lt;&gt;1,"",IF(I5715="SBJ","CB","?"))</f>
        <v> </v>
      </c>
      <c r="I5715" s="26" t="str">
        <f>IF(OR(E5715="",E5715="!!!",F5715="NEW"),"",INDEX(B5714:B$2,-1+SUMPRODUCT(MAX(ROW(E5714:E$2)*(E5715=E5714:E$2)))))</f>
        <v> </v>
      </c>
      <c r="J5715" s="26" t="str">
        <f>IF(OR(E5715="",E5715="!!!",F5715="NEW"),"",COUNTBLANK(OFFSET(A$1,,,SUMPRODUCT(MAX(ROW(E$2:E5715)*(E5715=E$2:E5715)))))-COUNTBLANK(OFFSET(A$1,,,SUMPRODUCT(MAX(ROW(E$1:E5714)*(E2=E$1:E5714))))))</f>
        <v> </v>
      </c>
      <c r="K5715" s="26" t="str">
        <f>IF(OR(E5715="",E5715="!!!",F5715="NEW"),"",INDEX(J$1:J5714,SUMPRODUCT(MAX(ROW(E$1:E5714)*(E5715=E$1:E5714)))))</f>
        <v> </v>
      </c>
      <c r="L5715" s="27"/>
    </row>
    <row r="5716" spans="1:12">
      <c r="A5716" s="20" t="s">
        <v>1002</v>
      </c>
      <c r="E5716" s="22">
        <f>IF(D5716="?OLD","!!!","")</f>
        <v/>
      </c>
      <c r="F5716" s="23" t="str">
        <f>IF(OR(E5716="",E5716="!!!"),"",IF(NOT(ISNA(VLOOKUP(E5716,E$1:E5715,1,FALSE()))),"OLD",IF(AND(E5716&lt;&gt;"",E5716&lt;&gt;"!!!"),"NEW","")))</f>
        <v> </v>
      </c>
      <c r="G5716" s="24" t="str">
        <f>IF(OR(E5716="",E5716="!!!"),"",IF(OR(J5716=0,AND(J5716=1,K5716=1),AND(J5716=1,I5716="SBJ"),AND(J5716=1,I5716=0)),"?IN_FOCUS",IF(J5716&lt;=2,"?ACTIVATED",IF(J5716&lt;&gt;"","?FAMILIAR",IF(F5716="NEW",IF(ISNA(VLOOKUP(E5716,#REF!,1,FALSE())),"?TYPE_IDENTIFIABLE","?REFERENTIAL"),"_")))))</f>
        <v> </v>
      </c>
      <c r="H5716" s="25" t="str">
        <f>IF(J5716&lt;&gt;1,"",IF(I5716="SBJ","CB","?"))</f>
        <v> </v>
      </c>
      <c r="I5716" s="26" t="str">
        <f>IF(OR(E5716="",E5716="!!!",F5716="NEW"),"",INDEX(B5715:B$2,-1+SUMPRODUCT(MAX(ROW(E5715:E$2)*(E5716=E5715:E$2)))))</f>
        <v> </v>
      </c>
      <c r="J5716" s="26" t="str">
        <f>IF(OR(E5716="",E5716="!!!",F5716="NEW"),"",COUNTBLANK(OFFSET(A$1,,,SUMPRODUCT(MAX(ROW(E$2:E5716)*(E5716=E$2:E5716)))))-COUNTBLANK(OFFSET(A$1,,,SUMPRODUCT(MAX(ROW(E$1:E5715)*(E2=E$1:E5715))))))</f>
        <v> </v>
      </c>
      <c r="K5716" s="26" t="str">
        <f>IF(OR(E5716="",E5716="!!!",F5716="NEW"),"",INDEX(J$1:J5715,SUMPRODUCT(MAX(ROW(E$1:E5715)*(E5716=E$1:E5715)))))</f>
        <v> </v>
      </c>
      <c r="L5716" s="27"/>
    </row>
    <row r="5717" spans="1:12">
      <c r="A5717" s="20" t="s">
        <v>1338</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996</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1129</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1665</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1093</v>
      </c>
      <c r="B5721" s="21" t="s">
        <v>1146</v>
      </c>
      <c r="C5721" s="21" t="s">
        <v>977</v>
      </c>
      <c r="D5721" s="21" t="s">
        <v>978</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t="s">
        <v>1543</v>
      </c>
      <c r="E5722" s="22">
        <f>IF(D5722="?OLD","!!!","")</f>
        <v/>
      </c>
      <c r="F5722" s="23" t="str">
        <f>IF(OR(E5722="",E5722="!!!"),"",IF(NOT(ISNA(VLOOKUP(E5722,E$1:E5721,1,FALSE()))),"OLD",IF(AND(E5722&lt;&gt;"",E5722&lt;&gt;"!!!"),"NEW","")))</f>
        <v> </v>
      </c>
      <c r="G5722" s="24" t="str">
        <f>IF(OR(E5722="",E5722="!!!"),"",IF(OR(J5722=0,AND(J5722=1,K5722=1),AND(J5722=1,I5722="SBJ"),AND(J5722=1,I5722=0)),"?IN_FOCUS",IF(J5722&lt;=2,"?ACTIVATED",IF(J5722&lt;&gt;"","?FAMILIAR",IF(F5722="NEW",IF(ISNA(VLOOKUP(E5722,#REF!,1,FALSE())),"?TYPE_IDENTIFIABLE","?REFERENTIAL"),"_")))))</f>
        <v> </v>
      </c>
      <c r="H5722" s="25" t="str">
        <f>IF(J5722&lt;&gt;1,"",IF(I5722="SBJ","CB","?"))</f>
        <v> </v>
      </c>
      <c r="I5722" s="26" t="str">
        <f>IF(OR(E5722="",E5722="!!!",F5722="NEW"),"",INDEX(B5721:B$2,-1+SUMPRODUCT(MAX(ROW(E5721:E$2)*(E5722=E5721:E$2)))))</f>
        <v> </v>
      </c>
      <c r="J5722" s="26" t="str">
        <f>IF(OR(E5722="",E5722="!!!",F5722="NEW"),"",COUNTBLANK(OFFSET(A$1,,,SUMPRODUCT(MAX(ROW(E$2:E5722)*(E5722=E$2:E5722)))))-COUNTBLANK(OFFSET(A$1,,,SUMPRODUCT(MAX(ROW(E$1:E5721)*(E2=E$1:E5721))))))</f>
        <v> </v>
      </c>
      <c r="K5722" s="26" t="str">
        <f>IF(OR(E5722="",E5722="!!!",F5722="NEW"),"",INDEX(J$1:J5721,SUMPRODUCT(MAX(ROW(E$1:E5721)*(E5722=E$1:E5721)))))</f>
        <v> </v>
      </c>
      <c r="L5722" s="27"/>
    </row>
    <row r="5723" spans="1:12">
      <c r="A5723" s="20" t="s">
        <v>609</v>
      </c>
      <c r="E5723" s="22">
        <f>IF(D5723="?OLD","!!!","")</f>
        <v/>
      </c>
      <c r="F5723" s="23" t="str">
        <f>IF(OR(E5723="",E5723="!!!"),"",IF(NOT(ISNA(VLOOKUP(E5723,E$1:E5722,1,FALSE()))),"OLD",IF(AND(E5723&lt;&gt;"",E5723&lt;&gt;"!!!"),"NEW","")))</f>
        <v> </v>
      </c>
      <c r="G5723" s="24" t="str">
        <f>IF(OR(E5723="",E5723="!!!"),"",IF(OR(J5723=0,AND(J5723=1,K5723=1),AND(J5723=1,I5723="SBJ"),AND(J5723=1,I5723=0)),"?IN_FOCUS",IF(J5723&lt;=2,"?ACTIVATED",IF(J5723&lt;&gt;"","?FAMILIAR",IF(F5723="NEW",IF(ISNA(VLOOKUP(E5723,#REF!,1,FALSE())),"?TYPE_IDENTIFIABLE","?REFERENTIAL"),"_")))))</f>
        <v> </v>
      </c>
      <c r="H5723" s="25" t="str">
        <f>IF(J5723&lt;&gt;1,"",IF(I5723="SBJ","CB","?"))</f>
        <v> </v>
      </c>
      <c r="I5723" s="26" t="str">
        <f>IF(OR(E5723="",E5723="!!!",F5723="NEW"),"",INDEX(B5722:B$2,-1+SUMPRODUCT(MAX(ROW(E5722:E$2)*(E5723=E5722:E$2)))))</f>
        <v> </v>
      </c>
      <c r="J5723" s="26" t="str">
        <f>IF(OR(E5723="",E5723="!!!",F5723="NEW"),"",COUNTBLANK(OFFSET(A$1,,,SUMPRODUCT(MAX(ROW(E$2:E5723)*(E5723=E$2:E5723)))))-COUNTBLANK(OFFSET(A$1,,,SUMPRODUCT(MAX(ROW(E$1:E5722)*(E2=E$1:E5722))))))</f>
        <v> </v>
      </c>
      <c r="K5723" s="26" t="str">
        <f>IF(OR(E5723="",E5723="!!!",F5723="NEW"),"",INDEX(J$1:J5722,SUMPRODUCT(MAX(ROW(E$1:E5722)*(E5723=E$1:E5722)))))</f>
        <v> </v>
      </c>
      <c r="L5723" s="27"/>
    </row>
    <row r="5724" spans="1:12">
      <c r="A5724" s="20" t="s">
        <v>2446</v>
      </c>
      <c r="B5724" s="21" t="s">
        <v>1042</v>
      </c>
      <c r="C5724" s="21" t="s">
        <v>983</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1002</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1017</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1010</v>
      </c>
      <c r="B5727" s="21" t="s">
        <v>1311</v>
      </c>
      <c r="C5727" s="21" t="s">
        <v>977</v>
      </c>
      <c r="D5727" s="21" t="s">
        <v>978</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2447</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t="s">
        <v>997</v>
      </c>
      <c r="E5729" s="22">
        <f>IF(D5729="?OLD","!!!","")</f>
        <v/>
      </c>
      <c r="F5729" s="23" t="str">
        <f>IF(OR(E5729="",E5729="!!!"),"",IF(NOT(ISNA(VLOOKUP(E5729,E$1:E5728,1,FALSE()))),"OLD",IF(AND(E5729&lt;&gt;"",E5729&lt;&gt;"!!!"),"NEW","")))</f>
        <v> </v>
      </c>
      <c r="G5729" s="24" t="str">
        <f>IF(OR(E5729="",E5729="!!!"),"",IF(OR(J5729=0,AND(J5729=1,K5729=1),AND(J5729=1,I5729="SBJ"),AND(J5729=1,I5729=0)),"?IN_FOCUS",IF(J5729&lt;=2,"?ACTIVATED",IF(J5729&lt;&gt;"","?FAMILIAR",IF(F5729="NEW",IF(ISNA(VLOOKUP(E5729,#REF!,1,FALSE())),"?TYPE_IDENTIFIABLE","?REFERENTIAL"),"_")))))</f>
        <v> </v>
      </c>
      <c r="H5729" s="25" t="str">
        <f>IF(J5729&lt;&gt;1,"",IF(I5729="SBJ","CB","?"))</f>
        <v> </v>
      </c>
      <c r="I5729" s="26" t="str">
        <f>IF(OR(E5729="",E5729="!!!",F5729="NEW"),"",INDEX(B5728:B$2,-1+SUMPRODUCT(MAX(ROW(E5728:E$2)*(E5729=E5728:E$2)))))</f>
        <v> </v>
      </c>
      <c r="J5729" s="26" t="str">
        <f>IF(OR(E5729="",E5729="!!!",F5729="NEW"),"",COUNTBLANK(OFFSET(A$1,,,SUMPRODUCT(MAX(ROW(E$2:E5729)*(E5729=E$2:E5729)))))-COUNTBLANK(OFFSET(A$1,,,SUMPRODUCT(MAX(ROW(E$1:E5728)*(E2=E$1:E5728))))))</f>
        <v> </v>
      </c>
      <c r="K5729" s="26" t="str">
        <f>IF(OR(E5729="",E5729="!!!",F5729="NEW"),"",INDEX(J$1:J5728,SUMPRODUCT(MAX(ROW(E$1:E5728)*(E5729=E$1:E5728)))))</f>
        <v> </v>
      </c>
      <c r="L5729" s="27"/>
    </row>
    <row r="5730" spans="1:12">
      <c r="A5730" s="20" t="s">
        <v>1344</v>
      </c>
      <c r="B5730" s="21" t="s">
        <v>1229</v>
      </c>
      <c r="C5730" s="21" t="s">
        <v>990</v>
      </c>
      <c r="D5730" s="21" t="s">
        <v>978</v>
      </c>
      <c r="E5730" s="22">
        <f>IF(D5730="?OLD","!!!","")</f>
        <v/>
      </c>
      <c r="F5730" s="23" t="str">
        <f>IF(OR(E5730="",E5730="!!!"),"",IF(NOT(ISNA(VLOOKUP(E5730,E$1:E5729,1,FALSE()))),"OLD",IF(AND(E5730&lt;&gt;"",E5730&lt;&gt;"!!!"),"NEW","")))</f>
        <v> </v>
      </c>
      <c r="G5730" s="24" t="str">
        <f>IF(OR(E5730="",E5730="!!!"),"",IF(OR(J5730=0,AND(J5730=1,K5730=1),AND(J5730=1,I5730="SBJ"),AND(J5730=1,I5730=0)),"?IN_FOCUS",IF(J5730&lt;=2,"?ACTIVATED",IF(J5730&lt;&gt;"","?FAMILIAR",IF(F5730="NEW",IF(ISNA(VLOOKUP(E5730,#REF!,1,FALSE())),"?TYPE_IDENTIFIABLE","?REFERENTIAL"),"_")))))</f>
        <v> </v>
      </c>
      <c r="H5730" s="25" t="str">
        <f>IF(J5730&lt;&gt;1,"",IF(I5730="SBJ","CB","?"))</f>
        <v> </v>
      </c>
      <c r="I5730" s="26" t="str">
        <f>IF(OR(E5730="",E5730="!!!",F5730="NEW"),"",INDEX(B5729:B$2,-1+SUMPRODUCT(MAX(ROW(E5729:E$2)*(E5730=E5729:E$2)))))</f>
        <v> </v>
      </c>
      <c r="J5730" s="26" t="str">
        <f>IF(OR(E5730="",E5730="!!!",F5730="NEW"),"",COUNTBLANK(OFFSET(A$1,,,SUMPRODUCT(MAX(ROW(E$2:E5730)*(E5730=E$2:E5730)))))-COUNTBLANK(OFFSET(A$1,,,SUMPRODUCT(MAX(ROW(E$1:E5729)*(E2=E$1:E5729))))))</f>
        <v> </v>
      </c>
      <c r="K5730" s="26" t="str">
        <f>IF(OR(E5730="",E5730="!!!",F5730="NEW"),"",INDEX(J$1:J5729,SUMPRODUCT(MAX(ROW(E$1:E5729)*(E5730=E$1:E5729)))))</f>
        <v> </v>
      </c>
      <c r="L5730" s="27"/>
    </row>
    <row r="5731" spans="1:12">
      <c r="A5731" s="20" t="s">
        <v>996</v>
      </c>
      <c r="E5731" s="22">
        <f>IF(D5731="?OLD","!!!","")</f>
        <v/>
      </c>
      <c r="F5731" s="23" t="str">
        <f>IF(OR(E5731="",E5731="!!!"),"",IF(NOT(ISNA(VLOOKUP(E5731,E$1:E5730,1,FALSE()))),"OLD",IF(AND(E5731&lt;&gt;"",E5731&lt;&gt;"!!!"),"NEW","")))</f>
        <v> </v>
      </c>
      <c r="G5731" s="24" t="str">
        <f>IF(OR(E5731="",E5731="!!!"),"",IF(OR(J5731=0,AND(J5731=1,K5731=1),AND(J5731=1,I5731="SBJ"),AND(J5731=1,I5731=0)),"?IN_FOCUS",IF(J5731&lt;=2,"?ACTIVATED",IF(J5731&lt;&gt;"","?FAMILIAR",IF(F5731="NEW",IF(ISNA(VLOOKUP(E5731,#REF!,1,FALSE())),"?TYPE_IDENTIFIABLE","?REFERENTIAL"),"_")))))</f>
        <v> </v>
      </c>
      <c r="H5731" s="25" t="str">
        <f>IF(J5731&lt;&gt;1,"",IF(I5731="SBJ","CB","?"))</f>
        <v> </v>
      </c>
      <c r="I5731" s="26" t="str">
        <f>IF(OR(E5731="",E5731="!!!",F5731="NEW"),"",INDEX(B5730:B$2,-1+SUMPRODUCT(MAX(ROW(E5730:E$2)*(E5731=E5730:E$2)))))</f>
        <v> </v>
      </c>
      <c r="J5731" s="26" t="str">
        <f>IF(OR(E5731="",E5731="!!!",F5731="NEW"),"",COUNTBLANK(OFFSET(A$1,,,SUMPRODUCT(MAX(ROW(E$2:E5731)*(E5731=E$2:E5731)))))-COUNTBLANK(OFFSET(A$1,,,SUMPRODUCT(MAX(ROW(E$1:E5730)*(E2=E$1:E5730))))))</f>
        <v> </v>
      </c>
      <c r="K5731" s="26" t="str">
        <f>IF(OR(E5731="",E5731="!!!",F5731="NEW"),"",INDEX(J$1:J5730,SUMPRODUCT(MAX(ROW(E$1:E5730)*(E5731=E$1:E5730)))))</f>
        <v> </v>
      </c>
      <c r="L5731" s="27"/>
    </row>
    <row r="5732" spans="1:12">
      <c r="A5732" s="20" t="s">
        <v>1261</v>
      </c>
      <c r="B5732" s="21" t="s">
        <v>1014</v>
      </c>
      <c r="C5732" s="21" t="s">
        <v>987</v>
      </c>
      <c r="D5732" s="21" t="s">
        <v>978</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2448</v>
      </c>
      <c r="B5733" s="21" t="s">
        <v>1317</v>
      </c>
      <c r="C5733" s="21" t="s">
        <v>990</v>
      </c>
      <c r="D5733" s="21" t="s">
        <v>978</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t="s">
        <v>1000</v>
      </c>
      <c r="E5734" s="22">
        <f>IF(D5734="?OLD","!!!","")</f>
        <v/>
      </c>
      <c r="F5734" s="23" t="str">
        <f>IF(OR(E5734="",E5734="!!!"),"",IF(NOT(ISNA(VLOOKUP(E5734,E$1:E5733,1,FALSE()))),"OLD",IF(AND(E5734&lt;&gt;"",E5734&lt;&gt;"!!!"),"NEW","")))</f>
        <v> </v>
      </c>
      <c r="G5734" s="24" t="str">
        <f>IF(OR(E5734="",E5734="!!!"),"",IF(OR(J5734=0,AND(J5734=1,K5734=1),AND(J5734=1,I5734="SBJ"),AND(J5734=1,I5734=0)),"?IN_FOCUS",IF(J5734&lt;=2,"?ACTIVATED",IF(J5734&lt;&gt;"","?FAMILIAR",IF(F5734="NEW",IF(ISNA(VLOOKUP(E5734,#REF!,1,FALSE())),"?TYPE_IDENTIFIABLE","?REFERENTIAL"),"_")))))</f>
        <v> </v>
      </c>
      <c r="H5734" s="25" t="str">
        <f>IF(J5734&lt;&gt;1,"",IF(I5734="SBJ","CB","?"))</f>
        <v> </v>
      </c>
      <c r="I5734" s="26" t="str">
        <f>IF(OR(E5734="",E5734="!!!",F5734="NEW"),"",INDEX(B5733:B$2,-1+SUMPRODUCT(MAX(ROW(E5733:E$2)*(E5734=E5733:E$2)))))</f>
        <v> </v>
      </c>
      <c r="J5734" s="26" t="str">
        <f>IF(OR(E5734="",E5734="!!!",F5734="NEW"),"",COUNTBLANK(OFFSET(A$1,,,SUMPRODUCT(MAX(ROW(E$2:E5734)*(E5734=E$2:E5734)))))-COUNTBLANK(OFFSET(A$1,,,SUMPRODUCT(MAX(ROW(E$1:E5733)*(E2=E$1:E5733))))))</f>
        <v> </v>
      </c>
      <c r="K5734" s="26" t="str">
        <f>IF(OR(E5734="",E5734="!!!",F5734="NEW"),"",INDEX(J$1:J5733,SUMPRODUCT(MAX(ROW(E$1:E5733)*(E5734=E$1:E5733)))))</f>
        <v> </v>
      </c>
      <c r="L5734" s="27"/>
    </row>
    <row r="5735" spans="1:12">
      <c r="A5735" s="20" t="s">
        <v>1338</v>
      </c>
      <c r="E5735" s="22">
        <f>IF(D5735="?OLD","!!!","")</f>
        <v/>
      </c>
      <c r="F5735" s="23" t="str">
        <f>IF(OR(E5735="",E5735="!!!"),"",IF(NOT(ISNA(VLOOKUP(E5735,E$1:E5734,1,FALSE()))),"OLD",IF(AND(E5735&lt;&gt;"",E5735&lt;&gt;"!!!"),"NEW","")))</f>
        <v> </v>
      </c>
      <c r="G5735" s="24" t="str">
        <f>IF(OR(E5735="",E5735="!!!"),"",IF(OR(J5735=0,AND(J5735=1,K5735=1),AND(J5735=1,I5735="SBJ"),AND(J5735=1,I5735=0)),"?IN_FOCUS",IF(J5735&lt;=2,"?ACTIVATED",IF(J5735&lt;&gt;"","?FAMILIAR",IF(F5735="NEW",IF(ISNA(VLOOKUP(E5735,#REF!,1,FALSE())),"?TYPE_IDENTIFIABLE","?REFERENTIAL"),"_")))))</f>
        <v> </v>
      </c>
      <c r="H5735" s="25" t="str">
        <f>IF(J5735&lt;&gt;1,"",IF(I5735="SBJ","CB","?"))</f>
        <v> </v>
      </c>
      <c r="I5735" s="26" t="str">
        <f>IF(OR(E5735="",E5735="!!!",F5735="NEW"),"",INDEX(B5734:B$2,-1+SUMPRODUCT(MAX(ROW(E5734:E$2)*(E5735=E5734:E$2)))))</f>
        <v> </v>
      </c>
      <c r="J5735" s="26" t="str">
        <f>IF(OR(E5735="",E5735="!!!",F5735="NEW"),"",COUNTBLANK(OFFSET(A$1,,,SUMPRODUCT(MAX(ROW(E$2:E5735)*(E5735=E$2:E5735)))))-COUNTBLANK(OFFSET(A$1,,,SUMPRODUCT(MAX(ROW(E$1:E5734)*(E2=E$1:E5734))))))</f>
        <v> </v>
      </c>
      <c r="K5735" s="26" t="str">
        <f>IF(OR(E5735="",E5735="!!!",F5735="NEW"),"",INDEX(J$1:J5734,SUMPRODUCT(MAX(ROW(E$1:E5734)*(E5735=E$1:E5734)))))</f>
        <v> </v>
      </c>
      <c r="L5735" s="27"/>
    </row>
    <row r="5736" spans="1:12">
      <c r="A5736" s="20" t="s">
        <v>996</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1129</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1665</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t="s">
        <v>1093</v>
      </c>
      <c r="B5739" s="21" t="s">
        <v>2449</v>
      </c>
      <c r="C5739" s="21" t="s">
        <v>977</v>
      </c>
      <c r="D5739" s="21" t="s">
        <v>978</v>
      </c>
      <c r="E5739" s="22">
        <f>IF(D5739="?OLD","!!!","")</f>
        <v/>
      </c>
      <c r="F5739" s="23" t="str">
        <f>IF(OR(E5739="",E5739="!!!"),"",IF(NOT(ISNA(VLOOKUP(E5739,E$1:E5738,1,FALSE()))),"OLD",IF(AND(E5739&lt;&gt;"",E5739&lt;&gt;"!!!"),"NEW","")))</f>
        <v> </v>
      </c>
      <c r="G5739" s="24" t="str">
        <f>IF(OR(E5739="",E5739="!!!"),"",IF(OR(J5739=0,AND(J5739=1,K5739=1),AND(J5739=1,I5739="SBJ"),AND(J5739=1,I5739=0)),"?IN_FOCUS",IF(J5739&lt;=2,"?ACTIVATED",IF(J5739&lt;&gt;"","?FAMILIAR",IF(F5739="NEW",IF(ISNA(VLOOKUP(E5739,#REF!,1,FALSE())),"?TYPE_IDENTIFIABLE","?REFERENTIAL"),"_")))))</f>
        <v> </v>
      </c>
      <c r="H5739" s="25" t="str">
        <f>IF(J5739&lt;&gt;1,"",IF(I5739="SBJ","CB","?"))</f>
        <v> </v>
      </c>
      <c r="I5739" s="26" t="str">
        <f>IF(OR(E5739="",E5739="!!!",F5739="NEW"),"",INDEX(B5738:B$2,-1+SUMPRODUCT(MAX(ROW(E5738:E$2)*(E5739=E5738:E$2)))))</f>
        <v> </v>
      </c>
      <c r="J5739" s="26" t="str">
        <f>IF(OR(E5739="",E5739="!!!",F5739="NEW"),"",COUNTBLANK(OFFSET(A$1,,,SUMPRODUCT(MAX(ROW(E$2:E5739)*(E5739=E$2:E5739)))))-COUNTBLANK(OFFSET(A$1,,,SUMPRODUCT(MAX(ROW(E$1:E5738)*(E2=E$1:E5738))))))</f>
        <v> </v>
      </c>
      <c r="K5739" s="26" t="str">
        <f>IF(OR(E5739="",E5739="!!!",F5739="NEW"),"",INDEX(J$1:J5738,SUMPRODUCT(MAX(ROW(E$1:E5738)*(E5739=E$1:E5738)))))</f>
        <v> </v>
      </c>
      <c r="L5739" s="27"/>
    </row>
    <row r="5740" spans="1:12">
      <c r="A5740" s="20" t="s">
        <v>1543</v>
      </c>
      <c r="E5740" s="22">
        <f>IF(D5740="?OLD","!!!","")</f>
        <v/>
      </c>
      <c r="F5740" s="23" t="str">
        <f>IF(OR(E5740="",E5740="!!!"),"",IF(NOT(ISNA(VLOOKUP(E5740,E$1:E5739,1,FALSE()))),"OLD",IF(AND(E5740&lt;&gt;"",E5740&lt;&gt;"!!!"),"NEW","")))</f>
        <v> </v>
      </c>
      <c r="G5740" s="24" t="str">
        <f>IF(OR(E5740="",E5740="!!!"),"",IF(OR(J5740=0,AND(J5740=1,K5740=1),AND(J5740=1,I5740="SBJ"),AND(J5740=1,I5740=0)),"?IN_FOCUS",IF(J5740&lt;=2,"?ACTIVATED",IF(J5740&lt;&gt;"","?FAMILIAR",IF(F5740="NEW",IF(ISNA(VLOOKUP(E5740,#REF!,1,FALSE())),"?TYPE_IDENTIFIABLE","?REFERENTIAL"),"_")))))</f>
        <v> </v>
      </c>
      <c r="H5740" s="25" t="str">
        <f>IF(J5740&lt;&gt;1,"",IF(I5740="SBJ","CB","?"))</f>
        <v> </v>
      </c>
      <c r="I5740" s="26" t="str">
        <f>IF(OR(E5740="",E5740="!!!",F5740="NEW"),"",INDEX(B5739:B$2,-1+SUMPRODUCT(MAX(ROW(E5739:E$2)*(E5740=E5739:E$2)))))</f>
        <v> </v>
      </c>
      <c r="J5740" s="26" t="str">
        <f>IF(OR(E5740="",E5740="!!!",F5740="NEW"),"",COUNTBLANK(OFFSET(A$1,,,SUMPRODUCT(MAX(ROW(E$2:E5740)*(E5740=E$2:E5740)))))-COUNTBLANK(OFFSET(A$1,,,SUMPRODUCT(MAX(ROW(E$1:E5739)*(E2=E$1:E5739))))))</f>
        <v> </v>
      </c>
      <c r="K5740" s="26" t="str">
        <f>IF(OR(E5740="",E5740="!!!",F5740="NEW"),"",INDEX(J$1:J5739,SUMPRODUCT(MAX(ROW(E$1:E5739)*(E5740=E$1:E5739)))))</f>
        <v> </v>
      </c>
      <c r="L5740" s="27"/>
    </row>
    <row r="5741" spans="1:12">
      <c r="A5741" s="20" t="s">
        <v>1050</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323</v>
      </c>
      <c r="B5742" s="21" t="s">
        <v>2136</v>
      </c>
      <c r="C5742" s="21" t="s">
        <v>983</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2022</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1645</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996</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1093</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1337</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1022</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row>
    <row r="5750" spans="1:12">
      <c r="A5750" s="20" t="s">
        <v>2450</v>
      </c>
    </row>
    <row r="5751" spans="1:12">
      <c r="A5751" s="20" t="s">
        <v>1752</v>
      </c>
      <c r="E5751" s="22">
        <f>IF(D5751="?OLD","!!!","")</f>
        <v/>
      </c>
      <c r="F5751" s="23" t="str">
        <f>IF(OR(E5751="",E5751="!!!"),"",IF(NOT(ISNA(VLOOKUP(E5751,E$1:E5750,1,FALSE()))),"OLD",IF(AND(E5751&lt;&gt;"",E5751&lt;&gt;"!!!"),"NEW","")))</f>
        <v> </v>
      </c>
      <c r="G5751" s="24" t="str">
        <f>IF(OR(E5751="",E5751="!!!"),"",IF(OR(J5751=0,AND(J5751=1,K5751=1),AND(J5751=1,I5751="SBJ"),AND(J5751=1,I5751=0)),"?IN_FOCUS",IF(J5751&lt;=2,"?ACTIVATED",IF(J5751&lt;&gt;"","?FAMILIAR",IF(F5751="NEW",IF(ISNA(VLOOKUP(E5751,#REF!,1,FALSE())),"?TYPE_IDENTIFIABLE","?REFERENTIAL"),"_")))))</f>
        <v> </v>
      </c>
      <c r="H5751" s="25" t="str">
        <f>IF(J5751&lt;&gt;1,"",IF(I5751="SBJ","CB","?"))</f>
        <v> </v>
      </c>
      <c r="I5751" s="26" t="str">
        <f>IF(OR(E5751="",E5751="!!!",F5751="NEW"),"",INDEX(B5750:B$2,-1+SUMPRODUCT(MAX(ROW(E5750:E$2)*(E5751=E5750:E$2)))))</f>
        <v> </v>
      </c>
      <c r="J5751" s="26" t="str">
        <f>IF(OR(E5751="",E5751="!!!",F5751="NEW"),"",COUNTBLANK(OFFSET(A$1,,,SUMPRODUCT(MAX(ROW(E$2:E5751)*(E5751=E$2:E5751)))))-COUNTBLANK(OFFSET(A$1,,,SUMPRODUCT(MAX(ROW(E$1:E5750)*(E2=E$1:E5750))))))</f>
        <v> </v>
      </c>
      <c r="K5751" s="26" t="str">
        <f>IF(OR(E5751="",E5751="!!!",F5751="NEW"),"",INDEX(J$1:J5750,SUMPRODUCT(MAX(ROW(E$1:E5750)*(E5751=E$1:E5750)))))</f>
        <v> </v>
      </c>
      <c r="L5751" s="27"/>
    </row>
    <row r="5752" spans="1:12">
      <c r="A5752" s="20" t="s">
        <v>750</v>
      </c>
      <c r="B5752" s="21" t="s">
        <v>976</v>
      </c>
      <c r="C5752" s="21" t="s">
        <v>995</v>
      </c>
      <c r="D5752" s="21" t="s">
        <v>978</v>
      </c>
      <c r="E5752" s="22">
        <f>IF(D5752="?OLD","!!!","")</f>
        <v/>
      </c>
      <c r="F5752" s="23" t="str">
        <f>IF(OR(E5752="",E5752="!!!"),"",IF(NOT(ISNA(VLOOKUP(E5752,E$1:E5751,1,FALSE()))),"OLD",IF(AND(E5752&lt;&gt;"",E5752&lt;&gt;"!!!"),"NEW","")))</f>
        <v> </v>
      </c>
      <c r="G5752" s="24" t="str">
        <f>IF(OR(E5752="",E5752="!!!"),"",IF(OR(J5752=0,AND(J5752=1,K5752=1),AND(J5752=1,I5752="SBJ"),AND(J5752=1,I5752=0)),"?IN_FOCUS",IF(J5752&lt;=2,"?ACTIVATED",IF(J5752&lt;&gt;"","?FAMILIAR",IF(F5752="NEW",IF(ISNA(VLOOKUP(E5752,#REF!,1,FALSE())),"?TYPE_IDENTIFIABLE","?REFERENTIAL"),"_")))))</f>
        <v> </v>
      </c>
      <c r="H5752" s="25" t="str">
        <f>IF(J5752&lt;&gt;1,"",IF(I5752="SBJ","CB","?"))</f>
        <v> </v>
      </c>
      <c r="I5752" s="26" t="str">
        <f>IF(OR(E5752="",E5752="!!!",F5752="NEW"),"",INDEX(B5751:B$2,-1+SUMPRODUCT(MAX(ROW(E5751:E$2)*(E5752=E5751:E$2)))))</f>
        <v> </v>
      </c>
      <c r="J5752" s="26" t="str">
        <f>IF(OR(E5752="",E5752="!!!",F5752="NEW"),"",COUNTBLANK(OFFSET(A$1,,,SUMPRODUCT(MAX(ROW(E$2:E5752)*(E5752=E$2:E5752)))))-COUNTBLANK(OFFSET(A$1,,,SUMPRODUCT(MAX(ROW(E$1:E5751)*(E2=E$1:E5751))))))</f>
        <v> </v>
      </c>
      <c r="K5752" s="26" t="str">
        <f>IF(OR(E5752="",E5752="!!!",F5752="NEW"),"",INDEX(J$1:J5751,SUMPRODUCT(MAX(ROW(E$1:E5751)*(E5752=E$1:E5751)))))</f>
        <v> </v>
      </c>
      <c r="L5752" s="27"/>
    </row>
    <row r="5753" spans="1:12">
      <c r="A5753" s="20" t="s">
        <v>1011</v>
      </c>
      <c r="B5753" s="21" t="s">
        <v>982</v>
      </c>
      <c r="C5753" s="21" t="s">
        <v>977</v>
      </c>
      <c r="D5753" s="21" t="s">
        <v>978</v>
      </c>
      <c r="E5753" s="22">
        <f>IF(D5753="?OLD","!!!","")</f>
        <v/>
      </c>
      <c r="F5753" s="23" t="str">
        <f>IF(OR(E5753="",E5753="!!!"),"",IF(NOT(ISNA(VLOOKUP(E5753,E$1:E5752,1,FALSE()))),"OLD",IF(AND(E5753&lt;&gt;"",E5753&lt;&gt;"!!!"),"NEW","")))</f>
        <v> </v>
      </c>
      <c r="G5753" s="24" t="str">
        <f>IF(OR(E5753="",E5753="!!!"),"",IF(OR(J5753=0,AND(J5753=1,K5753=1),AND(J5753=1,I5753="SBJ"),AND(J5753=1,I5753=0)),"?IN_FOCUS",IF(J5753&lt;=2,"?ACTIVATED",IF(J5753&lt;&gt;"","?FAMILIAR",IF(F5753="NEW",IF(ISNA(VLOOKUP(E5753,#REF!,1,FALSE())),"?TYPE_IDENTIFIABLE","?REFERENTIAL"),"_")))))</f>
        <v> </v>
      </c>
      <c r="H5753" s="25" t="str">
        <f>IF(J5753&lt;&gt;1,"",IF(I5753="SBJ","CB","?"))</f>
        <v> </v>
      </c>
      <c r="I5753" s="26" t="str">
        <f>IF(OR(E5753="",E5753="!!!",F5753="NEW"),"",INDEX(B5752:B$2,-1+SUMPRODUCT(MAX(ROW(E5752:E$2)*(E5753=E5752:E$2)))))</f>
        <v> </v>
      </c>
      <c r="J5753" s="26" t="str">
        <f>IF(OR(E5753="",E5753="!!!",F5753="NEW"),"",COUNTBLANK(OFFSET(A$1,,,SUMPRODUCT(MAX(ROW(E$2:E5753)*(E5753=E$2:E5753)))))-COUNTBLANK(OFFSET(A$1,,,SUMPRODUCT(MAX(ROW(E$1:E5752)*(E2=E$1:E5752))))))</f>
        <v> </v>
      </c>
      <c r="K5753" s="26" t="str">
        <f>IF(OR(E5753="",E5753="!!!",F5753="NEW"),"",INDEX(J$1:J5752,SUMPRODUCT(MAX(ROW(E$1:E5752)*(E5753=E$1:E5752)))))</f>
        <v> </v>
      </c>
      <c r="L5753" s="27"/>
    </row>
    <row r="5754" spans="1:12">
      <c r="A5754" s="20" t="s">
        <v>1753</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1216</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1217</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1594</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1002</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1067</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1406</v>
      </c>
      <c r="B5760" s="21" t="s">
        <v>1095</v>
      </c>
      <c r="C5760" s="21" t="s">
        <v>1008</v>
      </c>
      <c r="D5760" s="21" t="s">
        <v>978</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2451</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1058</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1092</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t="s">
        <v>1538</v>
      </c>
      <c r="B5764" s="21" t="s">
        <v>1054</v>
      </c>
      <c r="C5764" s="21" t="s">
        <v>995</v>
      </c>
      <c r="D5764" s="21" t="s">
        <v>978</v>
      </c>
      <c r="E5764" s="22">
        <f>IF(D5764="?OLD","!!!","")</f>
        <v/>
      </c>
      <c r="F5764" s="23" t="str">
        <f>IF(OR(E5764="",E5764="!!!"),"",IF(NOT(ISNA(VLOOKUP(E5764,E$1:E5763,1,FALSE()))),"OLD",IF(AND(E5764&lt;&gt;"",E5764&lt;&gt;"!!!"),"NEW","")))</f>
        <v> </v>
      </c>
      <c r="G5764" s="24" t="str">
        <f>IF(OR(E5764="",E5764="!!!"),"",IF(OR(J5764=0,AND(J5764=1,K5764=1),AND(J5764=1,I5764="SBJ"),AND(J5764=1,I5764=0)),"?IN_FOCUS",IF(J5764&lt;=2,"?ACTIVATED",IF(J5764&lt;&gt;"","?FAMILIAR",IF(F5764="NEW",IF(ISNA(VLOOKUP(E5764,#REF!,1,FALSE())),"?TYPE_IDENTIFIABLE","?REFERENTIAL"),"_")))))</f>
        <v> </v>
      </c>
      <c r="H5764" s="25" t="str">
        <f>IF(J5764&lt;&gt;1,"",IF(I5764="SBJ","CB","?"))</f>
        <v> </v>
      </c>
      <c r="I5764" s="26" t="str">
        <f>IF(OR(E5764="",E5764="!!!",F5764="NEW"),"",INDEX(B5763:B$2,-1+SUMPRODUCT(MAX(ROW(E5763:E$2)*(E5764=E5763:E$2)))))</f>
        <v> </v>
      </c>
      <c r="J5764" s="26" t="str">
        <f>IF(OR(E5764="",E5764="!!!",F5764="NEW"),"",COUNTBLANK(OFFSET(A$1,,,SUMPRODUCT(MAX(ROW(E$2:E5764)*(E5764=E$2:E5764)))))-COUNTBLANK(OFFSET(A$1,,,SUMPRODUCT(MAX(ROW(E$1:E5763)*(E2=E$1:E5763))))))</f>
        <v> </v>
      </c>
      <c r="K5764" s="26" t="str">
        <f>IF(OR(E5764="",E5764="!!!",F5764="NEW"),"",INDEX(J$1:J5763,SUMPRODUCT(MAX(ROW(E$1:E5763)*(E5764=E$1:E5763)))))</f>
        <v> </v>
      </c>
      <c r="L5764" s="27"/>
    </row>
    <row r="5765" spans="1:12">
      <c r="A5765" s="20" t="s">
        <v>2452</v>
      </c>
      <c r="E5765" s="22">
        <f>IF(D5765="?OLD","!!!","")</f>
        <v/>
      </c>
      <c r="F5765" s="23" t="str">
        <f>IF(OR(E5765="",E5765="!!!"),"",IF(NOT(ISNA(VLOOKUP(E5765,E$1:E5764,1,FALSE()))),"OLD",IF(AND(E5765&lt;&gt;"",E5765&lt;&gt;"!!!"),"NEW","")))</f>
        <v> </v>
      </c>
      <c r="G5765" s="24" t="str">
        <f>IF(OR(E5765="",E5765="!!!"),"",IF(OR(J5765=0,AND(J5765=1,K5765=1),AND(J5765=1,I5765="SBJ"),AND(J5765=1,I5765=0)),"?IN_FOCUS",IF(J5765&lt;=2,"?ACTIVATED",IF(J5765&lt;&gt;"","?FAMILIAR",IF(F5765="NEW",IF(ISNA(VLOOKUP(E5765,#REF!,1,FALSE())),"?TYPE_IDENTIFIABLE","?REFERENTIAL"),"_")))))</f>
        <v> </v>
      </c>
      <c r="H5765" s="25" t="str">
        <f>IF(J5765&lt;&gt;1,"",IF(I5765="SBJ","CB","?"))</f>
        <v> </v>
      </c>
      <c r="I5765" s="26" t="str">
        <f>IF(OR(E5765="",E5765="!!!",F5765="NEW"),"",INDEX(B5764:B$2,-1+SUMPRODUCT(MAX(ROW(E5764:E$2)*(E5765=E5764:E$2)))))</f>
        <v> </v>
      </c>
      <c r="J5765" s="26" t="str">
        <f>IF(OR(E5765="",E5765="!!!",F5765="NEW"),"",COUNTBLANK(OFFSET(A$1,,,SUMPRODUCT(MAX(ROW(E$2:E5765)*(E5765=E$2:E5765)))))-COUNTBLANK(OFFSET(A$1,,,SUMPRODUCT(MAX(ROW(E$1:E5764)*(E2=E$1:E5764))))))</f>
        <v> </v>
      </c>
      <c r="K5765" s="26" t="str">
        <f>IF(OR(E5765="",E5765="!!!",F5765="NEW"),"",INDEX(J$1:J5764,SUMPRODUCT(MAX(ROW(E$1:E5764)*(E5765=E$1:E5764)))))</f>
        <v> </v>
      </c>
      <c r="L5765" s="27"/>
    </row>
    <row r="5766" spans="1:12">
      <c r="A5766" s="20" t="s">
        <v>1404</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row>
    <row r="5768" spans="1:12">
      <c r="A5768" s="20" t="s">
        <v>1451</v>
      </c>
    </row>
    <row r="5769" spans="1:12">
      <c r="A5769" s="20" t="s">
        <v>190</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row>
    <row r="5771" spans="1:12">
      <c r="A5771" s="20" t="s">
        <v>2453</v>
      </c>
    </row>
    <row r="5772" spans="1:12">
      <c r="A5772" s="20" t="s">
        <v>992</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t="s">
        <v>1047</v>
      </c>
      <c r="B5773" s="21" t="s">
        <v>976</v>
      </c>
      <c r="C5773" s="21" t="s">
        <v>977</v>
      </c>
      <c r="D5773" s="21" t="s">
        <v>978</v>
      </c>
      <c r="E5773" s="22">
        <f>IF(D5773="?OLD","!!!","")</f>
        <v/>
      </c>
      <c r="F5773" s="23" t="str">
        <f>IF(OR(E5773="",E5773="!!!"),"",IF(NOT(ISNA(VLOOKUP(E5773,E$1:E5772,1,FALSE()))),"OLD",IF(AND(E5773&lt;&gt;"",E5773&lt;&gt;"!!!"),"NEW","")))</f>
        <v> </v>
      </c>
      <c r="G5773" s="24" t="str">
        <f>IF(OR(E5773="",E5773="!!!"),"",IF(OR(J5773=0,AND(J5773=1,K5773=1),AND(J5773=1,I5773="SBJ"),AND(J5773=1,I5773=0)),"?IN_FOCUS",IF(J5773&lt;=2,"?ACTIVATED",IF(J5773&lt;&gt;"","?FAMILIAR",IF(F5773="NEW",IF(ISNA(VLOOKUP(E5773,#REF!,1,FALSE())),"?TYPE_IDENTIFIABLE","?REFERENTIAL"),"_")))))</f>
        <v> </v>
      </c>
      <c r="H5773" s="25" t="str">
        <f>IF(J5773&lt;&gt;1,"",IF(I5773="SBJ","CB","?"))</f>
        <v> </v>
      </c>
      <c r="I5773" s="26" t="str">
        <f>IF(OR(E5773="",E5773="!!!",F5773="NEW"),"",INDEX(B5772:B$2,-1+SUMPRODUCT(MAX(ROW(E5772:E$2)*(E5773=E5772:E$2)))))</f>
        <v> </v>
      </c>
      <c r="J5773" s="26" t="str">
        <f>IF(OR(E5773="",E5773="!!!",F5773="NEW"),"",COUNTBLANK(OFFSET(A$1,,,SUMPRODUCT(MAX(ROW(E$2:E5773)*(E5773=E$2:E5773)))))-COUNTBLANK(OFFSET(A$1,,,SUMPRODUCT(MAX(ROW(E$1:E5772)*(E2=E$1:E5772))))))</f>
        <v> </v>
      </c>
      <c r="K5773" s="26" t="str">
        <f>IF(OR(E5773="",E5773="!!!",F5773="NEW"),"",INDEX(J$1:J5772,SUMPRODUCT(MAX(ROW(E$1:E5772)*(E5773=E$1:E5772)))))</f>
        <v> </v>
      </c>
      <c r="L5773" s="27"/>
    </row>
    <row r="5774" spans="1:12">
      <c r="A5774" s="20" t="s">
        <v>1839</v>
      </c>
      <c r="E5774" s="22">
        <f>IF(D5774="?OLD","!!!","")</f>
        <v/>
      </c>
      <c r="F5774" s="23" t="str">
        <f>IF(OR(E5774="",E5774="!!!"),"",IF(NOT(ISNA(VLOOKUP(E5774,E$1:E5773,1,FALSE()))),"OLD",IF(AND(E5774&lt;&gt;"",E5774&lt;&gt;"!!!"),"NEW","")))</f>
        <v> </v>
      </c>
      <c r="G5774" s="24" t="str">
        <f>IF(OR(E5774="",E5774="!!!"),"",IF(OR(J5774=0,AND(J5774=1,K5774=1),AND(J5774=1,I5774="SBJ"),AND(J5774=1,I5774=0)),"?IN_FOCUS",IF(J5774&lt;=2,"?ACTIVATED",IF(J5774&lt;&gt;"","?FAMILIAR",IF(F5774="NEW",IF(ISNA(VLOOKUP(E5774,#REF!,1,FALSE())),"?TYPE_IDENTIFIABLE","?REFERENTIAL"),"_")))))</f>
        <v> </v>
      </c>
      <c r="H5774" s="25" t="str">
        <f>IF(J5774&lt;&gt;1,"",IF(I5774="SBJ","CB","?"))</f>
        <v> </v>
      </c>
      <c r="I5774" s="26" t="str">
        <f>IF(OR(E5774="",E5774="!!!",F5774="NEW"),"",INDEX(B5773:B$2,-1+SUMPRODUCT(MAX(ROW(E5773:E$2)*(E5774=E5773:E$2)))))</f>
        <v> </v>
      </c>
      <c r="J5774" s="26" t="str">
        <f>IF(OR(E5774="",E5774="!!!",F5774="NEW"),"",COUNTBLANK(OFFSET(A$1,,,SUMPRODUCT(MAX(ROW(E$2:E5774)*(E5774=E$2:E5774)))))-COUNTBLANK(OFFSET(A$1,,,SUMPRODUCT(MAX(ROW(E$1:E5773)*(E2=E$1:E5773))))))</f>
        <v> </v>
      </c>
      <c r="K5774" s="26" t="str">
        <f>IF(OR(E5774="",E5774="!!!",F5774="NEW"),"",INDEX(J$1:J5773,SUMPRODUCT(MAX(ROW(E$1:E5773)*(E5774=E$1:E5773)))))</f>
        <v> </v>
      </c>
      <c r="L5774" s="27"/>
    </row>
    <row r="5775" spans="1:12">
      <c r="A5775" s="20" t="s">
        <v>1216</v>
      </c>
      <c r="E5775" s="22">
        <f>IF(D5775="?OLD","!!!","")</f>
        <v/>
      </c>
      <c r="F5775" s="23" t="str">
        <f>IF(OR(E5775="",E5775="!!!"),"",IF(NOT(ISNA(VLOOKUP(E5775,E$1:E5774,1,FALSE()))),"OLD",IF(AND(E5775&lt;&gt;"",E5775&lt;&gt;"!!!"),"NEW","")))</f>
        <v> </v>
      </c>
      <c r="G5775" s="24" t="str">
        <f>IF(OR(E5775="",E5775="!!!"),"",IF(OR(J5775=0,AND(J5775=1,K5775=1),AND(J5775=1,I5775="SBJ"),AND(J5775=1,I5775=0)),"?IN_FOCUS",IF(J5775&lt;=2,"?ACTIVATED",IF(J5775&lt;&gt;"","?FAMILIAR",IF(F5775="NEW",IF(ISNA(VLOOKUP(E5775,#REF!,1,FALSE())),"?TYPE_IDENTIFIABLE","?REFERENTIAL"),"_")))))</f>
        <v> </v>
      </c>
      <c r="H5775" s="25" t="str">
        <f>IF(J5775&lt;&gt;1,"",IF(I5775="SBJ","CB","?"))</f>
        <v> </v>
      </c>
      <c r="I5775" s="26" t="str">
        <f>IF(OR(E5775="",E5775="!!!",F5775="NEW"),"",INDEX(B5774:B$2,-1+SUMPRODUCT(MAX(ROW(E5774:E$2)*(E5775=E5774:E$2)))))</f>
        <v> </v>
      </c>
      <c r="J5775" s="26" t="str">
        <f>IF(OR(E5775="",E5775="!!!",F5775="NEW"),"",COUNTBLANK(OFFSET(A$1,,,SUMPRODUCT(MAX(ROW(E$2:E5775)*(E5775=E$2:E5775)))))-COUNTBLANK(OFFSET(A$1,,,SUMPRODUCT(MAX(ROW(E$1:E5774)*(E2=E$1:E5774))))))</f>
        <v> </v>
      </c>
      <c r="K5775" s="26" t="str">
        <f>IF(OR(E5775="",E5775="!!!",F5775="NEW"),"",INDEX(J$1:J5774,SUMPRODUCT(MAX(ROW(E$1:E5774)*(E5775=E$1:E5774)))))</f>
        <v> </v>
      </c>
      <c r="L5775" s="27"/>
    </row>
    <row r="5776" spans="1:12">
      <c r="A5776" s="20" t="s">
        <v>1217</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t="s">
        <v>1089</v>
      </c>
      <c r="E5777" s="22">
        <f>IF(D5777="?OLD","!!!","")</f>
        <v/>
      </c>
      <c r="F5777" s="23" t="str">
        <f>IF(OR(E5777="",E5777="!!!"),"",IF(NOT(ISNA(VLOOKUP(E5777,E$1:E5776,1,FALSE()))),"OLD",IF(AND(E5777&lt;&gt;"",E5777&lt;&gt;"!!!"),"NEW","")))</f>
        <v> </v>
      </c>
      <c r="G5777" s="24" t="str">
        <f>IF(OR(E5777="",E5777="!!!"),"",IF(OR(J5777=0,AND(J5777=1,K5777=1),AND(J5777=1,I5777="SBJ"),AND(J5777=1,I5777=0)),"?IN_FOCUS",IF(J5777&lt;=2,"?ACTIVATED",IF(J5777&lt;&gt;"","?FAMILIAR",IF(F5777="NEW",IF(ISNA(VLOOKUP(E5777,#REF!,1,FALSE())),"?TYPE_IDENTIFIABLE","?REFERENTIAL"),"_")))))</f>
        <v> </v>
      </c>
      <c r="H5777" s="25" t="str">
        <f>IF(J5777&lt;&gt;1,"",IF(I5777="SBJ","CB","?"))</f>
        <v> </v>
      </c>
      <c r="I5777" s="26" t="str">
        <f>IF(OR(E5777="",E5777="!!!",F5777="NEW"),"",INDEX(B5776:B$2,-1+SUMPRODUCT(MAX(ROW(E5776:E$2)*(E5777=E5776:E$2)))))</f>
        <v> </v>
      </c>
      <c r="J5777" s="26" t="str">
        <f>IF(OR(E5777="",E5777="!!!",F5777="NEW"),"",COUNTBLANK(OFFSET(A$1,,,SUMPRODUCT(MAX(ROW(E$2:E5777)*(E5777=E$2:E5777)))))-COUNTBLANK(OFFSET(A$1,,,SUMPRODUCT(MAX(ROW(E$1:E5776)*(E2=E$1:E5776))))))</f>
        <v> </v>
      </c>
      <c r="K5777" s="26" t="str">
        <f>IF(OR(E5777="",E5777="!!!",F5777="NEW"),"",INDEX(J$1:J5776,SUMPRODUCT(MAX(ROW(E$1:E5776)*(E5777=E$1:E5776)))))</f>
        <v> </v>
      </c>
      <c r="L5777" s="27"/>
    </row>
    <row r="5778" spans="1:12">
      <c r="A5778" s="20" t="s">
        <v>1050</v>
      </c>
      <c r="E5778" s="22">
        <f>IF(D5778="?OLD","!!!","")</f>
        <v/>
      </c>
      <c r="F5778" s="23" t="str">
        <f>IF(OR(E5778="",E5778="!!!"),"",IF(NOT(ISNA(VLOOKUP(E5778,E$1:E5777,1,FALSE()))),"OLD",IF(AND(E5778&lt;&gt;"",E5778&lt;&gt;"!!!"),"NEW","")))</f>
        <v> </v>
      </c>
      <c r="G5778" s="24" t="str">
        <f>IF(OR(E5778="",E5778="!!!"),"",IF(OR(J5778=0,AND(J5778=1,K5778=1),AND(J5778=1,I5778="SBJ"),AND(J5778=1,I5778=0)),"?IN_FOCUS",IF(J5778&lt;=2,"?ACTIVATED",IF(J5778&lt;&gt;"","?FAMILIAR",IF(F5778="NEW",IF(ISNA(VLOOKUP(E5778,#REF!,1,FALSE())),"?TYPE_IDENTIFIABLE","?REFERENTIAL"),"_")))))</f>
        <v> </v>
      </c>
      <c r="H5778" s="25" t="str">
        <f>IF(J5778&lt;&gt;1,"",IF(I5778="SBJ","CB","?"))</f>
        <v> </v>
      </c>
      <c r="I5778" s="26" t="str">
        <f>IF(OR(E5778="",E5778="!!!",F5778="NEW"),"",INDEX(B5777:B$2,-1+SUMPRODUCT(MAX(ROW(E5777:E$2)*(E5778=E5777:E$2)))))</f>
        <v> </v>
      </c>
      <c r="J5778" s="26" t="str">
        <f>IF(OR(E5778="",E5778="!!!",F5778="NEW"),"",COUNTBLANK(OFFSET(A$1,,,SUMPRODUCT(MAX(ROW(E$2:E5778)*(E5778=E$2:E5778)))))-COUNTBLANK(OFFSET(A$1,,,SUMPRODUCT(MAX(ROW(E$1:E5777)*(E2=E$1:E5777))))))</f>
        <v> </v>
      </c>
      <c r="K5778" s="26" t="str">
        <f>IF(OR(E5778="",E5778="!!!",F5778="NEW"),"",INDEX(J$1:J5777,SUMPRODUCT(MAX(ROW(E$1:E5777)*(E5778=E$1:E5777)))))</f>
        <v> </v>
      </c>
      <c r="L5778" s="27"/>
    </row>
    <row r="5779" spans="1:12">
      <c r="A5779" s="20" t="s">
        <v>1553</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t="s">
        <v>1264</v>
      </c>
      <c r="B5780" s="21" t="s">
        <v>986</v>
      </c>
      <c r="C5780" s="21" t="s">
        <v>983</v>
      </c>
      <c r="E5780" s="22">
        <f>IF(D5780="?OLD","!!!","")</f>
        <v/>
      </c>
      <c r="F5780" s="23" t="str">
        <f>IF(OR(E5780="",E5780="!!!"),"",IF(NOT(ISNA(VLOOKUP(E5780,E$1:E5779,1,FALSE()))),"OLD",IF(AND(E5780&lt;&gt;"",E5780&lt;&gt;"!!!"),"NEW","")))</f>
        <v> </v>
      </c>
      <c r="G5780" s="24" t="str">
        <f>IF(OR(E5780="",E5780="!!!"),"",IF(OR(J5780=0,AND(J5780=1,K5780=1),AND(J5780=1,I5780="SBJ"),AND(J5780=1,I5780=0)),"?IN_FOCUS",IF(J5780&lt;=2,"?ACTIVATED",IF(J5780&lt;&gt;"","?FAMILIAR",IF(F5780="NEW",IF(ISNA(VLOOKUP(E5780,#REF!,1,FALSE())),"?TYPE_IDENTIFIABLE","?REFERENTIAL"),"_")))))</f>
        <v> </v>
      </c>
      <c r="H5780" s="25" t="str">
        <f>IF(J5780&lt;&gt;1,"",IF(I5780="SBJ","CB","?"))</f>
        <v> </v>
      </c>
      <c r="I5780" s="26" t="str">
        <f>IF(OR(E5780="",E5780="!!!",F5780="NEW"),"",INDEX(B5779:B$2,-1+SUMPRODUCT(MAX(ROW(E5779:E$2)*(E5780=E5779:E$2)))))</f>
        <v> </v>
      </c>
      <c r="J5780" s="26" t="str">
        <f>IF(OR(E5780="",E5780="!!!",F5780="NEW"),"",COUNTBLANK(OFFSET(A$1,,,SUMPRODUCT(MAX(ROW(E$2:E5780)*(E5780=E$2:E5780)))))-COUNTBLANK(OFFSET(A$1,,,SUMPRODUCT(MAX(ROW(E$1:E5779)*(E2=E$1:E5779))))))</f>
        <v> </v>
      </c>
      <c r="K5780" s="26" t="str">
        <f>IF(OR(E5780="",E5780="!!!",F5780="NEW"),"",INDEX(J$1:J5779,SUMPRODUCT(MAX(ROW(E$1:E5779)*(E5780=E$1:E5779)))))</f>
        <v> </v>
      </c>
      <c r="L5780" s="27"/>
    </row>
    <row r="5781" spans="1:12">
      <c r="A5781" s="20" t="s">
        <v>1002</v>
      </c>
      <c r="E5781" s="22">
        <f>IF(D5781="?OLD","!!!","")</f>
        <v/>
      </c>
      <c r="F5781" s="23" t="str">
        <f>IF(OR(E5781="",E5781="!!!"),"",IF(NOT(ISNA(VLOOKUP(E5781,E$1:E5780,1,FALSE()))),"OLD",IF(AND(E5781&lt;&gt;"",E5781&lt;&gt;"!!!"),"NEW","")))</f>
        <v> </v>
      </c>
      <c r="G5781" s="24" t="str">
        <f>IF(OR(E5781="",E5781="!!!"),"",IF(OR(J5781=0,AND(J5781=1,K5781=1),AND(J5781=1,I5781="SBJ"),AND(J5781=1,I5781=0)),"?IN_FOCUS",IF(J5781&lt;=2,"?ACTIVATED",IF(J5781&lt;&gt;"","?FAMILIAR",IF(F5781="NEW",IF(ISNA(VLOOKUP(E5781,#REF!,1,FALSE())),"?TYPE_IDENTIFIABLE","?REFERENTIAL"),"_")))))</f>
        <v> </v>
      </c>
      <c r="H5781" s="25" t="str">
        <f>IF(J5781&lt;&gt;1,"",IF(I5781="SBJ","CB","?"))</f>
        <v> </v>
      </c>
      <c r="I5781" s="26" t="str">
        <f>IF(OR(E5781="",E5781="!!!",F5781="NEW"),"",INDEX(B5780:B$2,-1+SUMPRODUCT(MAX(ROW(E5780:E$2)*(E5781=E5780:E$2)))))</f>
        <v> </v>
      </c>
      <c r="J5781" s="26" t="str">
        <f>IF(OR(E5781="",E5781="!!!",F5781="NEW"),"",COUNTBLANK(OFFSET(A$1,,,SUMPRODUCT(MAX(ROW(E$2:E5781)*(E5781=E$2:E5781)))))-COUNTBLANK(OFFSET(A$1,,,SUMPRODUCT(MAX(ROW(E$1:E5780)*(E2=E$1:E5780))))))</f>
        <v> </v>
      </c>
      <c r="K5781" s="26" t="str">
        <f>IF(OR(E5781="",E5781="!!!",F5781="NEW"),"",INDEX(J$1:J5780,SUMPRODUCT(MAX(ROW(E$1:E5780)*(E5781=E$1:E5780)))))</f>
        <v> </v>
      </c>
      <c r="L5781" s="27"/>
    </row>
    <row r="5782" spans="1:12">
      <c r="A5782" s="20" t="s">
        <v>1468</v>
      </c>
      <c r="B5782" s="21" t="s">
        <v>1095</v>
      </c>
      <c r="C5782" s="21" t="s">
        <v>977</v>
      </c>
      <c r="D5782" s="21" t="s">
        <v>978</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2454</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1058</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1092</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1538</v>
      </c>
      <c r="B5786" s="21" t="s">
        <v>986</v>
      </c>
      <c r="C5786" s="21" t="s">
        <v>995</v>
      </c>
      <c r="D5786" s="21" t="s">
        <v>978</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2452</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t="s">
        <v>1022</v>
      </c>
      <c r="E5788" s="22">
        <f>IF(D5788="?OLD","!!!","")</f>
        <v/>
      </c>
      <c r="F5788" s="23" t="str">
        <f>IF(OR(E5788="",E5788="!!!"),"",IF(NOT(ISNA(VLOOKUP(E5788,E$1:E5787,1,FALSE()))),"OLD",IF(AND(E5788&lt;&gt;"",E5788&lt;&gt;"!!!"),"NEW","")))</f>
        <v> </v>
      </c>
      <c r="G5788" s="24" t="str">
        <f>IF(OR(E5788="",E5788="!!!"),"",IF(OR(J5788=0,AND(J5788=1,K5788=1),AND(J5788=1,I5788="SBJ"),AND(J5788=1,I5788=0)),"?IN_FOCUS",IF(J5788&lt;=2,"?ACTIVATED",IF(J5788&lt;&gt;"","?FAMILIAR",IF(F5788="NEW",IF(ISNA(VLOOKUP(E5788,#REF!,1,FALSE())),"?TYPE_IDENTIFIABLE","?REFERENTIAL"),"_")))))</f>
        <v> </v>
      </c>
      <c r="H5788" s="25" t="str">
        <f>IF(J5788&lt;&gt;1,"",IF(I5788="SBJ","CB","?"))</f>
        <v> </v>
      </c>
      <c r="I5788" s="26" t="str">
        <f>IF(OR(E5788="",E5788="!!!",F5788="NEW"),"",INDEX(B5787:B$2,-1+SUMPRODUCT(MAX(ROW(E5787:E$2)*(E5788=E5787:E$2)))))</f>
        <v> </v>
      </c>
      <c r="J5788" s="26" t="str">
        <f>IF(OR(E5788="",E5788="!!!",F5788="NEW"),"",COUNTBLANK(OFFSET(A$1,,,SUMPRODUCT(MAX(ROW(E$2:E5788)*(E5788=E$2:E5788)))))-COUNTBLANK(OFFSET(A$1,,,SUMPRODUCT(MAX(ROW(E$1:E5787)*(E2=E$1:E5787))))))</f>
        <v> </v>
      </c>
      <c r="K5788" s="26" t="str">
        <f>IF(OR(E5788="",E5788="!!!",F5788="NEW"),"",INDEX(J$1:J5787,SUMPRODUCT(MAX(ROW(E$1:E5787)*(E5788=E$1:E5787)))))</f>
        <v> </v>
      </c>
      <c r="L5788" s="27"/>
    </row>
    <row r="5789" spans="1:12">
      <c r="A5789" s="20"/>
    </row>
    <row r="5790" spans="1:12">
      <c r="A5790" s="20" t="s">
        <v>2455</v>
      </c>
    </row>
    <row r="5791" spans="1:12">
      <c r="A5791" s="20" t="s">
        <v>1357</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2226</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t="s">
        <v>1050</v>
      </c>
      <c r="E5793" s="22">
        <f>IF(D5793="?OLD","!!!","")</f>
        <v/>
      </c>
      <c r="F5793" s="23" t="str">
        <f>IF(OR(E5793="",E5793="!!!"),"",IF(NOT(ISNA(VLOOKUP(E5793,E$1:E5792,1,FALSE()))),"OLD",IF(AND(E5793&lt;&gt;"",E5793&lt;&gt;"!!!"),"NEW","")))</f>
        <v> </v>
      </c>
      <c r="G5793" s="24" t="str">
        <f>IF(OR(E5793="",E5793="!!!"),"",IF(OR(J5793=0,AND(J5793=1,K5793=1),AND(J5793=1,I5793="SBJ"),AND(J5793=1,I5793=0)),"?IN_FOCUS",IF(J5793&lt;=2,"?ACTIVATED",IF(J5793&lt;&gt;"","?FAMILIAR",IF(F5793="NEW",IF(ISNA(VLOOKUP(E5793,#REF!,1,FALSE())),"?TYPE_IDENTIFIABLE","?REFERENTIAL"),"_")))))</f>
        <v> </v>
      </c>
      <c r="H5793" s="25" t="str">
        <f>IF(J5793&lt;&gt;1,"",IF(I5793="SBJ","CB","?"))</f>
        <v> </v>
      </c>
      <c r="I5793" s="26" t="str">
        <f>IF(OR(E5793="",E5793="!!!",F5793="NEW"),"",INDEX(B5792:B$2,-1+SUMPRODUCT(MAX(ROW(E5792:E$2)*(E5793=E5792:E$2)))))</f>
        <v> </v>
      </c>
      <c r="J5793" s="26" t="str">
        <f>IF(OR(E5793="",E5793="!!!",F5793="NEW"),"",COUNTBLANK(OFFSET(A$1,,,SUMPRODUCT(MAX(ROW(E$2:E5793)*(E5793=E$2:E5793)))))-COUNTBLANK(OFFSET(A$1,,,SUMPRODUCT(MAX(ROW(E$1:E5792)*(E2=E$1:E5792))))))</f>
        <v> </v>
      </c>
      <c r="K5793" s="26" t="str">
        <f>IF(OR(E5793="",E5793="!!!",F5793="NEW"),"",INDEX(J$1:J5792,SUMPRODUCT(MAX(ROW(E$1:E5792)*(E5793=E$1:E5792)))))</f>
        <v> </v>
      </c>
      <c r="L5793" s="27"/>
    </row>
    <row r="5794" spans="1:12">
      <c r="A5794" s="20" t="s">
        <v>1553</v>
      </c>
      <c r="E5794" s="22">
        <f>IF(D5794="?OLD","!!!","")</f>
        <v/>
      </c>
      <c r="F5794" s="23" t="str">
        <f>IF(OR(E5794="",E5794="!!!"),"",IF(NOT(ISNA(VLOOKUP(E5794,E$1:E5793,1,FALSE()))),"OLD",IF(AND(E5794&lt;&gt;"",E5794&lt;&gt;"!!!"),"NEW","")))</f>
        <v> </v>
      </c>
      <c r="G5794" s="24" t="str">
        <f>IF(OR(E5794="",E5794="!!!"),"",IF(OR(J5794=0,AND(J5794=1,K5794=1),AND(J5794=1,I5794="SBJ"),AND(J5794=1,I5794=0)),"?IN_FOCUS",IF(J5794&lt;=2,"?ACTIVATED",IF(J5794&lt;&gt;"","?FAMILIAR",IF(F5794="NEW",IF(ISNA(VLOOKUP(E5794,#REF!,1,FALSE())),"?TYPE_IDENTIFIABLE","?REFERENTIAL"),"_")))))</f>
        <v> </v>
      </c>
      <c r="H5794" s="25" t="str">
        <f>IF(J5794&lt;&gt;1,"",IF(I5794="SBJ","CB","?"))</f>
        <v> </v>
      </c>
      <c r="I5794" s="26" t="str">
        <f>IF(OR(E5794="",E5794="!!!",F5794="NEW"),"",INDEX(B5793:B$2,-1+SUMPRODUCT(MAX(ROW(E5793:E$2)*(E5794=E5793:E$2)))))</f>
        <v> </v>
      </c>
      <c r="J5794" s="26" t="str">
        <f>IF(OR(E5794="",E5794="!!!",F5794="NEW"),"",COUNTBLANK(OFFSET(A$1,,,SUMPRODUCT(MAX(ROW(E$2:E5794)*(E5794=E$2:E5794)))))-COUNTBLANK(OFFSET(A$1,,,SUMPRODUCT(MAX(ROW(E$1:E5793)*(E2=E$1:E5793))))))</f>
        <v> </v>
      </c>
      <c r="K5794" s="26" t="str">
        <f>IF(OR(E5794="",E5794="!!!",F5794="NEW"),"",INDEX(J$1:J5793,SUMPRODUCT(MAX(ROW(E$1:E5793)*(E5794=E$1:E5793)))))</f>
        <v> </v>
      </c>
      <c r="L5794" s="27"/>
    </row>
    <row r="5795" spans="1:12">
      <c r="A5795" s="20" t="s">
        <v>2456</v>
      </c>
      <c r="B5795" s="21" t="s">
        <v>976</v>
      </c>
      <c r="C5795" s="21" t="s">
        <v>983</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1002</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t="s">
        <v>1194</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1196</v>
      </c>
      <c r="B5798" s="21" t="s">
        <v>1095</v>
      </c>
      <c r="C5798" s="21" t="s">
        <v>1008</v>
      </c>
      <c r="D5798" s="21" t="s">
        <v>978</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1067</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2457</v>
      </c>
      <c r="B5800" s="21" t="s">
        <v>989</v>
      </c>
      <c r="C5800" s="21" t="s">
        <v>1057</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1004</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1092</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2458</v>
      </c>
      <c r="B5803" s="21" t="s">
        <v>986</v>
      </c>
      <c r="C5803" s="21" t="s">
        <v>995</v>
      </c>
      <c r="D5803" s="21" t="s">
        <v>978</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t="s">
        <v>1142</v>
      </c>
      <c r="B5804" s="21" t="s">
        <v>1035</v>
      </c>
      <c r="E5804" s="22">
        <f>IF(D5804="?OLD","!!!","")</f>
        <v/>
      </c>
      <c r="F5804" s="23" t="str">
        <f>IF(OR(E5804="",E5804="!!!"),"",IF(NOT(ISNA(VLOOKUP(E5804,E$1:E5803,1,FALSE()))),"OLD",IF(AND(E5804&lt;&gt;"",E5804&lt;&gt;"!!!"),"NEW","")))</f>
        <v> </v>
      </c>
      <c r="G5804" s="24" t="str">
        <f>IF(OR(E5804="",E5804="!!!"),"",IF(OR(J5804=0,AND(J5804=1,K5804=1),AND(J5804=1,I5804="SBJ"),AND(J5804=1,I5804=0)),"?IN_FOCUS",IF(J5804&lt;=2,"?ACTIVATED",IF(J5804&lt;&gt;"","?FAMILIAR",IF(F5804="NEW",IF(ISNA(VLOOKUP(E5804,#REF!,1,FALSE())),"?TYPE_IDENTIFIABLE","?REFERENTIAL"),"_")))))</f>
        <v> </v>
      </c>
      <c r="H5804" s="25" t="str">
        <f>IF(J5804&lt;&gt;1,"",IF(I5804="SBJ","CB","?"))</f>
        <v> </v>
      </c>
      <c r="I5804" s="26" t="str">
        <f>IF(OR(E5804="",E5804="!!!",F5804="NEW"),"",INDEX(B5803:B$2,-1+SUMPRODUCT(MAX(ROW(E5803:E$2)*(E5804=E5803:E$2)))))</f>
        <v> </v>
      </c>
      <c r="J5804" s="26" t="str">
        <f>IF(OR(E5804="",E5804="!!!",F5804="NEW"),"",COUNTBLANK(OFFSET(A$1,,,SUMPRODUCT(MAX(ROW(E$2:E5804)*(E5804=E$2:E5804)))))-COUNTBLANK(OFFSET(A$1,,,SUMPRODUCT(MAX(ROW(E$1:E5803)*(E2=E$1:E5803))))))</f>
        <v> </v>
      </c>
      <c r="K5804" s="26" t="str">
        <f>IF(OR(E5804="",E5804="!!!",F5804="NEW"),"",INDEX(J$1:J5803,SUMPRODUCT(MAX(ROW(E$1:E5803)*(E5804=E$1:E5803)))))</f>
        <v> </v>
      </c>
      <c r="L5804" s="27"/>
    </row>
    <row r="5805" spans="1:12">
      <c r="A5805" s="20" t="s">
        <v>2226</v>
      </c>
      <c r="E5805" s="22">
        <f>IF(D5805="?OLD","!!!","")</f>
        <v/>
      </c>
      <c r="F5805" s="23" t="str">
        <f>IF(OR(E5805="",E5805="!!!"),"",IF(NOT(ISNA(VLOOKUP(E5805,E$1:E5804,1,FALSE()))),"OLD",IF(AND(E5805&lt;&gt;"",E5805&lt;&gt;"!!!"),"NEW","")))</f>
        <v> </v>
      </c>
      <c r="G5805" s="24" t="str">
        <f>IF(OR(E5805="",E5805="!!!"),"",IF(OR(J5805=0,AND(J5805=1,K5805=1),AND(J5805=1,I5805="SBJ"),AND(J5805=1,I5805=0)),"?IN_FOCUS",IF(J5805&lt;=2,"?ACTIVATED",IF(J5805&lt;&gt;"","?FAMILIAR",IF(F5805="NEW",IF(ISNA(VLOOKUP(E5805,#REF!,1,FALSE())),"?TYPE_IDENTIFIABLE","?REFERENTIAL"),"_")))))</f>
        <v> </v>
      </c>
      <c r="H5805" s="25" t="str">
        <f>IF(J5805&lt;&gt;1,"",IF(I5805="SBJ","CB","?"))</f>
        <v> </v>
      </c>
      <c r="I5805" s="26" t="str">
        <f>IF(OR(E5805="",E5805="!!!",F5805="NEW"),"",INDEX(B5804:B$2,-1+SUMPRODUCT(MAX(ROW(E5804:E$2)*(E5805=E5804:E$2)))))</f>
        <v> </v>
      </c>
      <c r="J5805" s="26" t="str">
        <f>IF(OR(E5805="",E5805="!!!",F5805="NEW"),"",COUNTBLANK(OFFSET(A$1,,,SUMPRODUCT(MAX(ROW(E$2:E5805)*(E5805=E$2:E5805)))))-COUNTBLANK(OFFSET(A$1,,,SUMPRODUCT(MAX(ROW(E$1:E5804)*(E2=E$1:E5804))))))</f>
        <v> </v>
      </c>
      <c r="K5805" s="26" t="str">
        <f>IF(OR(E5805="",E5805="!!!",F5805="NEW"),"",INDEX(J$1:J5804,SUMPRODUCT(MAX(ROW(E$1:E5804)*(E5805=E$1:E5804)))))</f>
        <v> </v>
      </c>
      <c r="L5805" s="27"/>
    </row>
    <row r="5806" spans="1:12">
      <c r="A5806" s="20" t="s">
        <v>1591</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168</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1050</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2459</v>
      </c>
      <c r="B5809" s="21" t="s">
        <v>1146</v>
      </c>
      <c r="C5809" s="21" t="s">
        <v>983</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996</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2460</v>
      </c>
      <c r="B5811" s="21" t="s">
        <v>1040</v>
      </c>
      <c r="C5811" s="21" t="s">
        <v>1057</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2461</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t="s">
        <v>2409</v>
      </c>
      <c r="B5813" s="21" t="s">
        <v>1040</v>
      </c>
      <c r="C5813" s="21" t="s">
        <v>987</v>
      </c>
      <c r="D5813" s="21" t="s">
        <v>978</v>
      </c>
      <c r="E5813" s="22">
        <f>IF(D5813="?OLD","!!!","")</f>
        <v/>
      </c>
      <c r="F5813" s="23" t="str">
        <f>IF(OR(E5813="",E5813="!!!"),"",IF(NOT(ISNA(VLOOKUP(E5813,E$1:E5812,1,FALSE()))),"OLD",IF(AND(E5813&lt;&gt;"",E5813&lt;&gt;"!!!"),"NEW","")))</f>
        <v> </v>
      </c>
      <c r="G5813" s="24" t="str">
        <f>IF(OR(E5813="",E5813="!!!"),"",IF(OR(J5813=0,AND(J5813=1,K5813=1),AND(J5813=1,I5813="SBJ"),AND(J5813=1,I5813=0)),"?IN_FOCUS",IF(J5813&lt;=2,"?ACTIVATED",IF(J5813&lt;&gt;"","?FAMILIAR",IF(F5813="NEW",IF(ISNA(VLOOKUP(E5813,#REF!,1,FALSE())),"?TYPE_IDENTIFIABLE","?REFERENTIAL"),"_")))))</f>
        <v> </v>
      </c>
      <c r="H5813" s="25" t="str">
        <f>IF(J5813&lt;&gt;1,"",IF(I5813="SBJ","CB","?"))</f>
        <v> </v>
      </c>
      <c r="I5813" s="26" t="str">
        <f>IF(OR(E5813="",E5813="!!!",F5813="NEW"),"",INDEX(B5812:B$2,-1+SUMPRODUCT(MAX(ROW(E5812:E$2)*(E5813=E5812:E$2)))))</f>
        <v> </v>
      </c>
      <c r="J5813" s="26" t="str">
        <f>IF(OR(E5813="",E5813="!!!",F5813="NEW"),"",COUNTBLANK(OFFSET(A$1,,,SUMPRODUCT(MAX(ROW(E$2:E5813)*(E5813=E$2:E5813)))))-COUNTBLANK(OFFSET(A$1,,,SUMPRODUCT(MAX(ROW(E$1:E5812)*(E2=E$1:E5812))))))</f>
        <v> </v>
      </c>
      <c r="K5813" s="26" t="str">
        <f>IF(OR(E5813="",E5813="!!!",F5813="NEW"),"",INDEX(J$1:J5812,SUMPRODUCT(MAX(ROW(E$1:E5812)*(E5813=E$1:E5812)))))</f>
        <v> </v>
      </c>
      <c r="L5813" s="27"/>
    </row>
    <row r="5814" spans="1:12">
      <c r="A5814" s="20" t="s">
        <v>1206</v>
      </c>
      <c r="B5814" s="21" t="s">
        <v>1084</v>
      </c>
      <c r="C5814" s="21" t="s">
        <v>990</v>
      </c>
      <c r="D5814" s="21" t="s">
        <v>978</v>
      </c>
      <c r="E5814" s="22">
        <f>IF(D5814="?OLD","!!!","")</f>
        <v/>
      </c>
      <c r="F5814" s="23" t="str">
        <f>IF(OR(E5814="",E5814="!!!"),"",IF(NOT(ISNA(VLOOKUP(E5814,E$1:E5813,1,FALSE()))),"OLD",IF(AND(E5814&lt;&gt;"",E5814&lt;&gt;"!!!"),"NEW","")))</f>
        <v> </v>
      </c>
      <c r="G5814" s="24" t="str">
        <f>IF(OR(E5814="",E5814="!!!"),"",IF(OR(J5814=0,AND(J5814=1,K5814=1),AND(J5814=1,I5814="SBJ"),AND(J5814=1,I5814=0)),"?IN_FOCUS",IF(J5814&lt;=2,"?ACTIVATED",IF(J5814&lt;&gt;"","?FAMILIAR",IF(F5814="NEW",IF(ISNA(VLOOKUP(E5814,#REF!,1,FALSE())),"?TYPE_IDENTIFIABLE","?REFERENTIAL"),"_")))))</f>
        <v> </v>
      </c>
      <c r="H5814" s="25" t="str">
        <f>IF(J5814&lt;&gt;1,"",IF(I5814="SBJ","CB","?"))</f>
        <v> </v>
      </c>
      <c r="I5814" s="26" t="str">
        <f>IF(OR(E5814="",E5814="!!!",F5814="NEW"),"",INDEX(B5813:B$2,-1+SUMPRODUCT(MAX(ROW(E5813:E$2)*(E5814=E5813:E$2)))))</f>
        <v> </v>
      </c>
      <c r="J5814" s="26" t="str">
        <f>IF(OR(E5814="",E5814="!!!",F5814="NEW"),"",COUNTBLANK(OFFSET(A$1,,,SUMPRODUCT(MAX(ROW(E$2:E5814)*(E5814=E$2:E5814)))))-COUNTBLANK(OFFSET(A$1,,,SUMPRODUCT(MAX(ROW(E$1:E5813)*(E2=E$1:E5813))))))</f>
        <v> </v>
      </c>
      <c r="K5814" s="26" t="str">
        <f>IF(OR(E5814="",E5814="!!!",F5814="NEW"),"",INDEX(J$1:J5813,SUMPRODUCT(MAX(ROW(E$1:E5813)*(E5814=E$1:E5813)))))</f>
        <v> </v>
      </c>
      <c r="L5814" s="27"/>
    </row>
    <row r="5815" spans="1:12">
      <c r="A5815" s="20" t="s">
        <v>1230</v>
      </c>
      <c r="E5815" s="22">
        <f>IF(D5815="?OLD","!!!","")</f>
        <v/>
      </c>
      <c r="F5815" s="23" t="str">
        <f>IF(OR(E5815="",E5815="!!!"),"",IF(NOT(ISNA(VLOOKUP(E5815,E$1:E5814,1,FALSE()))),"OLD",IF(AND(E5815&lt;&gt;"",E5815&lt;&gt;"!!!"),"NEW","")))</f>
        <v> </v>
      </c>
      <c r="G5815" s="24" t="str">
        <f>IF(OR(E5815="",E5815="!!!"),"",IF(OR(J5815=0,AND(J5815=1,K5815=1),AND(J5815=1,I5815="SBJ"),AND(J5815=1,I5815=0)),"?IN_FOCUS",IF(J5815&lt;=2,"?ACTIVATED",IF(J5815&lt;&gt;"","?FAMILIAR",IF(F5815="NEW",IF(ISNA(VLOOKUP(E5815,#REF!,1,FALSE())),"?TYPE_IDENTIFIABLE","?REFERENTIAL"),"_")))))</f>
        <v> </v>
      </c>
      <c r="H5815" s="25" t="str">
        <f>IF(J5815&lt;&gt;1,"",IF(I5815="SBJ","CB","?"))</f>
        <v> </v>
      </c>
      <c r="I5815" s="26" t="str">
        <f>IF(OR(E5815="",E5815="!!!",F5815="NEW"),"",INDEX(B5814:B$2,-1+SUMPRODUCT(MAX(ROW(E5814:E$2)*(E5815=E5814:E$2)))))</f>
        <v> </v>
      </c>
      <c r="J5815" s="26" t="str">
        <f>IF(OR(E5815="",E5815="!!!",F5815="NEW"),"",COUNTBLANK(OFFSET(A$1,,,SUMPRODUCT(MAX(ROW(E$2:E5815)*(E5815=E$2:E5815)))))-COUNTBLANK(OFFSET(A$1,,,SUMPRODUCT(MAX(ROW(E$1:E5814)*(E2=E$1:E5814))))))</f>
        <v> </v>
      </c>
      <c r="K5815" s="26" t="str">
        <f>IF(OR(E5815="",E5815="!!!",F5815="NEW"),"",INDEX(J$1:J5814,SUMPRODUCT(MAX(ROW(E$1:E5814)*(E5815=E$1:E5814)))))</f>
        <v> </v>
      </c>
      <c r="L5815" s="27"/>
    </row>
    <row r="5816" spans="1:12">
      <c r="A5816" s="20" t="s">
        <v>1672</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2462</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1050</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2463</v>
      </c>
      <c r="B5819" s="21" t="s">
        <v>1016</v>
      </c>
      <c r="C5819" s="21" t="s">
        <v>983</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996</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t="s">
        <v>2464</v>
      </c>
      <c r="B5821" s="21" t="s">
        <v>1014</v>
      </c>
      <c r="C5821" s="21" t="s">
        <v>1057</v>
      </c>
      <c r="E5821" s="22">
        <f>IF(D5821="?OLD","!!!","")</f>
        <v/>
      </c>
      <c r="F5821" s="23" t="str">
        <f>IF(OR(E5821="",E5821="!!!"),"",IF(NOT(ISNA(VLOOKUP(E5821,E$1:E5820,1,FALSE()))),"OLD",IF(AND(E5821&lt;&gt;"",E5821&lt;&gt;"!!!"),"NEW","")))</f>
        <v> </v>
      </c>
      <c r="G5821" s="24" t="str">
        <f>IF(OR(E5821="",E5821="!!!"),"",IF(OR(J5821=0,AND(J5821=1,K5821=1),AND(J5821=1,I5821="SBJ"),AND(J5821=1,I5821=0)),"?IN_FOCUS",IF(J5821&lt;=2,"?ACTIVATED",IF(J5821&lt;&gt;"","?FAMILIAR",IF(F5821="NEW",IF(ISNA(VLOOKUP(E5821,#REF!,1,FALSE())),"?TYPE_IDENTIFIABLE","?REFERENTIAL"),"_")))))</f>
        <v> </v>
      </c>
      <c r="H5821" s="25" t="str">
        <f>IF(J5821&lt;&gt;1,"",IF(I5821="SBJ","CB","?"))</f>
        <v> </v>
      </c>
      <c r="I5821" s="26" t="str">
        <f>IF(OR(E5821="",E5821="!!!",F5821="NEW"),"",INDEX(B5820:B$2,-1+SUMPRODUCT(MAX(ROW(E5820:E$2)*(E5821=E5820:E$2)))))</f>
        <v> </v>
      </c>
      <c r="J5821" s="26" t="str">
        <f>IF(OR(E5821="",E5821="!!!",F5821="NEW"),"",COUNTBLANK(OFFSET(A$1,,,SUMPRODUCT(MAX(ROW(E$2:E5821)*(E5821=E$2:E5821)))))-COUNTBLANK(OFFSET(A$1,,,SUMPRODUCT(MAX(ROW(E$1:E5820)*(E2=E$1:E5820))))))</f>
        <v> </v>
      </c>
      <c r="K5821" s="26" t="str">
        <f>IF(OR(E5821="",E5821="!!!",F5821="NEW"),"",INDEX(J$1:J5820,SUMPRODUCT(MAX(ROW(E$1:E5820)*(E5821=E$1:E5820)))))</f>
        <v> </v>
      </c>
      <c r="L5821" s="27"/>
    </row>
    <row r="5822" spans="1:12">
      <c r="A5822" s="20" t="s">
        <v>1000</v>
      </c>
      <c r="E5822" s="22">
        <f>IF(D5822="?OLD","!!!","")</f>
        <v/>
      </c>
      <c r="F5822" s="23" t="str">
        <f>IF(OR(E5822="",E5822="!!!"),"",IF(NOT(ISNA(VLOOKUP(E5822,E$1:E5821,1,FALSE()))),"OLD",IF(AND(E5822&lt;&gt;"",E5822&lt;&gt;"!!!"),"NEW","")))</f>
        <v> </v>
      </c>
      <c r="G5822" s="24" t="str">
        <f>IF(OR(E5822="",E5822="!!!"),"",IF(OR(J5822=0,AND(J5822=1,K5822=1),AND(J5822=1,I5822="SBJ"),AND(J5822=1,I5822=0)),"?IN_FOCUS",IF(J5822&lt;=2,"?ACTIVATED",IF(J5822&lt;&gt;"","?FAMILIAR",IF(F5822="NEW",IF(ISNA(VLOOKUP(E5822,#REF!,1,FALSE())),"?TYPE_IDENTIFIABLE","?REFERENTIAL"),"_")))))</f>
        <v> </v>
      </c>
      <c r="H5822" s="25" t="str">
        <f>IF(J5822&lt;&gt;1,"",IF(I5822="SBJ","CB","?"))</f>
        <v> </v>
      </c>
      <c r="I5822" s="26" t="str">
        <f>IF(OR(E5822="",E5822="!!!",F5822="NEW"),"",INDEX(B5821:B$2,-1+SUMPRODUCT(MAX(ROW(E5821:E$2)*(E5822=E5821:E$2)))))</f>
        <v> </v>
      </c>
      <c r="J5822" s="26" t="str">
        <f>IF(OR(E5822="",E5822="!!!",F5822="NEW"),"",COUNTBLANK(OFFSET(A$1,,,SUMPRODUCT(MAX(ROW(E$2:E5822)*(E5822=E$2:E5822)))))-COUNTBLANK(OFFSET(A$1,,,SUMPRODUCT(MAX(ROW(E$1:E5821)*(E2=E$1:E5821))))))</f>
        <v> </v>
      </c>
      <c r="K5822" s="26" t="str">
        <f>IF(OR(E5822="",E5822="!!!",F5822="NEW"),"",INDEX(J$1:J5821,SUMPRODUCT(MAX(ROW(E$1:E5821)*(E5822=E$1:E5821)))))</f>
        <v> </v>
      </c>
      <c r="L5822" s="27"/>
    </row>
    <row r="5823" spans="1:12">
      <c r="A5823" s="20" t="s">
        <v>1010</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t="s">
        <v>1837</v>
      </c>
      <c r="E5824" s="22">
        <f>IF(D5824="?OLD","!!!","")</f>
        <v/>
      </c>
      <c r="F5824" s="23" t="str">
        <f>IF(OR(E5824="",E5824="!!!"),"",IF(NOT(ISNA(VLOOKUP(E5824,E$1:E5823,1,FALSE()))),"OLD",IF(AND(E5824&lt;&gt;"",E5824&lt;&gt;"!!!"),"NEW","")))</f>
        <v> </v>
      </c>
      <c r="G5824" s="24" t="str">
        <f>IF(OR(E5824="",E5824="!!!"),"",IF(OR(J5824=0,AND(J5824=1,K5824=1),AND(J5824=1,I5824="SBJ"),AND(J5824=1,I5824=0)),"?IN_FOCUS",IF(J5824&lt;=2,"?ACTIVATED",IF(J5824&lt;&gt;"","?FAMILIAR",IF(F5824="NEW",IF(ISNA(VLOOKUP(E5824,#REF!,1,FALSE())),"?TYPE_IDENTIFIABLE","?REFERENTIAL"),"_")))))</f>
        <v> </v>
      </c>
      <c r="H5824" s="25" t="str">
        <f>IF(J5824&lt;&gt;1,"",IF(I5824="SBJ","CB","?"))</f>
        <v> </v>
      </c>
      <c r="I5824" s="26" t="str">
        <f>IF(OR(E5824="",E5824="!!!",F5824="NEW"),"",INDEX(B5823:B$2,-1+SUMPRODUCT(MAX(ROW(E5823:E$2)*(E5824=E5823:E$2)))))</f>
        <v> </v>
      </c>
      <c r="J5824" s="26" t="str">
        <f>IF(OR(E5824="",E5824="!!!",F5824="NEW"),"",COUNTBLANK(OFFSET(A$1,,,SUMPRODUCT(MAX(ROW(E$2:E5824)*(E5824=E$2:E5824)))))-COUNTBLANK(OFFSET(A$1,,,SUMPRODUCT(MAX(ROW(E$1:E5823)*(E2=E$1:E5823))))))</f>
        <v> </v>
      </c>
      <c r="K5824" s="26" t="str">
        <f>IF(OR(E5824="",E5824="!!!",F5824="NEW"),"",INDEX(J$1:J5823,SUMPRODUCT(MAX(ROW(E$1:E5823)*(E5824=E$1:E5823)))))</f>
        <v> </v>
      </c>
      <c r="L5824" s="27"/>
    </row>
    <row r="5825" spans="1:12">
      <c r="A5825" s="20" t="s">
        <v>1388</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2465</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1000</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t="s">
        <v>2466</v>
      </c>
      <c r="E5828" s="22">
        <f>IF(D5828="?OLD","!!!","")</f>
        <v/>
      </c>
      <c r="F5828" s="23" t="str">
        <f>IF(OR(E5828="",E5828="!!!"),"",IF(NOT(ISNA(VLOOKUP(E5828,E$1:E5827,1,FALSE()))),"OLD",IF(AND(E5828&lt;&gt;"",E5828&lt;&gt;"!!!"),"NEW","")))</f>
        <v> </v>
      </c>
      <c r="G5828" s="24" t="str">
        <f>IF(OR(E5828="",E5828="!!!"),"",IF(OR(J5828=0,AND(J5828=1,K5828=1),AND(J5828=1,I5828="SBJ"),AND(J5828=1,I5828=0)),"?IN_FOCUS",IF(J5828&lt;=2,"?ACTIVATED",IF(J5828&lt;&gt;"","?FAMILIAR",IF(F5828="NEW",IF(ISNA(VLOOKUP(E5828,#REF!,1,FALSE())),"?TYPE_IDENTIFIABLE","?REFERENTIAL"),"_")))))</f>
        <v> </v>
      </c>
      <c r="H5828" s="25" t="str">
        <f>IF(J5828&lt;&gt;1,"",IF(I5828="SBJ","CB","?"))</f>
        <v> </v>
      </c>
      <c r="I5828" s="26" t="str">
        <f>IF(OR(E5828="",E5828="!!!",F5828="NEW"),"",INDEX(B5827:B$2,-1+SUMPRODUCT(MAX(ROW(E5827:E$2)*(E5828=E5827:E$2)))))</f>
        <v> </v>
      </c>
      <c r="J5828" s="26" t="str">
        <f>IF(OR(E5828="",E5828="!!!",F5828="NEW"),"",COUNTBLANK(OFFSET(A$1,,,SUMPRODUCT(MAX(ROW(E$2:E5828)*(E5828=E$2:E5828)))))-COUNTBLANK(OFFSET(A$1,,,SUMPRODUCT(MAX(ROW(E$1:E5827)*(E2=E$1:E5827))))))</f>
        <v> </v>
      </c>
      <c r="K5828" s="26" t="str">
        <f>IF(OR(E5828="",E5828="!!!",F5828="NEW"),"",INDEX(J$1:J5827,SUMPRODUCT(MAX(ROW(E$1:E5827)*(E5828=E$1:E5827)))))</f>
        <v> </v>
      </c>
      <c r="L5828" s="27"/>
    </row>
    <row r="5829" spans="1:12">
      <c r="A5829" s="20" t="s">
        <v>1002</v>
      </c>
      <c r="E5829" s="22">
        <f>IF(D5829="?OLD","!!!","")</f>
        <v/>
      </c>
      <c r="F5829" s="23" t="str">
        <f>IF(OR(E5829="",E5829="!!!"),"",IF(NOT(ISNA(VLOOKUP(E5829,E$1:E5828,1,FALSE()))),"OLD",IF(AND(E5829&lt;&gt;"",E5829&lt;&gt;"!!!"),"NEW","")))</f>
        <v> </v>
      </c>
      <c r="G5829" s="24" t="str">
        <f>IF(OR(E5829="",E5829="!!!"),"",IF(OR(J5829=0,AND(J5829=1,K5829=1),AND(J5829=1,I5829="SBJ"),AND(J5829=1,I5829=0)),"?IN_FOCUS",IF(J5829&lt;=2,"?ACTIVATED",IF(J5829&lt;&gt;"","?FAMILIAR",IF(F5829="NEW",IF(ISNA(VLOOKUP(E5829,#REF!,1,FALSE())),"?TYPE_IDENTIFIABLE","?REFERENTIAL"),"_")))))</f>
        <v> </v>
      </c>
      <c r="H5829" s="25" t="str">
        <f>IF(J5829&lt;&gt;1,"",IF(I5829="SBJ","CB","?"))</f>
        <v> </v>
      </c>
      <c r="I5829" s="26" t="str">
        <f>IF(OR(E5829="",E5829="!!!",F5829="NEW"),"",INDEX(B5828:B$2,-1+SUMPRODUCT(MAX(ROW(E5828:E$2)*(E5829=E5828:E$2)))))</f>
        <v> </v>
      </c>
      <c r="J5829" s="26" t="str">
        <f>IF(OR(E5829="",E5829="!!!",F5829="NEW"),"",COUNTBLANK(OFFSET(A$1,,,SUMPRODUCT(MAX(ROW(E$2:E5829)*(E5829=E$2:E5829)))))-COUNTBLANK(OFFSET(A$1,,,SUMPRODUCT(MAX(ROW(E$1:E5828)*(E2=E$1:E5828))))))</f>
        <v> </v>
      </c>
      <c r="K5829" s="26" t="str">
        <f>IF(OR(E5829="",E5829="!!!",F5829="NEW"),"",INDEX(J$1:J5828,SUMPRODUCT(MAX(ROW(E$1:E5828)*(E5829=E$1:E5828)))))</f>
        <v> </v>
      </c>
      <c r="L5829" s="27"/>
    </row>
    <row r="5830" spans="1:12">
      <c r="A5830" s="20" t="s">
        <v>1000</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172</v>
      </c>
      <c r="B5831" s="21" t="s">
        <v>1084</v>
      </c>
      <c r="C5831" s="21" t="s">
        <v>1008</v>
      </c>
      <c r="D5831" s="21" t="s">
        <v>978</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1142</v>
      </c>
      <c r="B5832" s="21" t="s">
        <v>1016</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1547</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1070</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1865</v>
      </c>
      <c r="B5835" s="21" t="s">
        <v>1833</v>
      </c>
      <c r="C5835" s="21" t="s">
        <v>977</v>
      </c>
      <c r="D5835" s="21" t="s">
        <v>978</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2467</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1092</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1206</v>
      </c>
      <c r="B5838" s="21" t="s">
        <v>1810</v>
      </c>
      <c r="C5838" s="21" t="s">
        <v>995</v>
      </c>
      <c r="D5838" s="21" t="s">
        <v>978</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1657</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405</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1177</v>
      </c>
      <c r="B5841" s="21" t="s">
        <v>1014</v>
      </c>
      <c r="C5841" s="21" t="s">
        <v>1178</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1000</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t="s">
        <v>1468</v>
      </c>
      <c r="B5843" s="21" t="s">
        <v>2136</v>
      </c>
      <c r="C5843" s="21" t="s">
        <v>977</v>
      </c>
      <c r="D5843" s="21" t="s">
        <v>978</v>
      </c>
      <c r="E5843" s="22">
        <f>IF(D5843="?OLD","!!!","")</f>
        <v/>
      </c>
      <c r="F5843" s="23" t="str">
        <f>IF(OR(E5843="",E5843="!!!"),"",IF(NOT(ISNA(VLOOKUP(E5843,E$1:E5842,1,FALSE()))),"OLD",IF(AND(E5843&lt;&gt;"",E5843&lt;&gt;"!!!"),"NEW","")))</f>
        <v> </v>
      </c>
      <c r="G5843" s="24" t="str">
        <f>IF(OR(E5843="",E5843="!!!"),"",IF(OR(J5843=0,AND(J5843=1,K5843=1),AND(J5843=1,I5843="SBJ"),AND(J5843=1,I5843=0)),"?IN_FOCUS",IF(J5843&lt;=2,"?ACTIVATED",IF(J5843&lt;&gt;"","?FAMILIAR",IF(F5843="NEW",IF(ISNA(VLOOKUP(E5843,#REF!,1,FALSE())),"?TYPE_IDENTIFIABLE","?REFERENTIAL"),"_")))))</f>
        <v> </v>
      </c>
      <c r="H5843" s="25" t="str">
        <f>IF(J5843&lt;&gt;1,"",IF(I5843="SBJ","CB","?"))</f>
        <v> </v>
      </c>
      <c r="I5843" s="26" t="str">
        <f>IF(OR(E5843="",E5843="!!!",F5843="NEW"),"",INDEX(B5842:B$2,-1+SUMPRODUCT(MAX(ROW(E5842:E$2)*(E5843=E5842:E$2)))))</f>
        <v> </v>
      </c>
      <c r="J5843" s="26" t="str">
        <f>IF(OR(E5843="",E5843="!!!",F5843="NEW"),"",COUNTBLANK(OFFSET(A$1,,,SUMPRODUCT(MAX(ROW(E$2:E5843)*(E5843=E$2:E5843)))))-COUNTBLANK(OFFSET(A$1,,,SUMPRODUCT(MAX(ROW(E$1:E5842)*(E2=E$1:E5842))))))</f>
        <v> </v>
      </c>
      <c r="K5843" s="26" t="str">
        <f>IF(OR(E5843="",E5843="!!!",F5843="NEW"),"",INDEX(J$1:J5842,SUMPRODUCT(MAX(ROW(E$1:E5842)*(E5843=E$1:E5842)))))</f>
        <v> </v>
      </c>
      <c r="L5843" s="27"/>
    </row>
    <row r="5844" spans="1:12">
      <c r="A5844" s="20" t="s">
        <v>2468</v>
      </c>
      <c r="E5844" s="22">
        <f>IF(D5844="?OLD","!!!","")</f>
        <v/>
      </c>
      <c r="F5844" s="23" t="str">
        <f>IF(OR(E5844="",E5844="!!!"),"",IF(NOT(ISNA(VLOOKUP(E5844,E$1:E5843,1,FALSE()))),"OLD",IF(AND(E5844&lt;&gt;"",E5844&lt;&gt;"!!!"),"NEW","")))</f>
        <v> </v>
      </c>
      <c r="G5844" s="24" t="str">
        <f>IF(OR(E5844="",E5844="!!!"),"",IF(OR(J5844=0,AND(J5844=1,K5844=1),AND(J5844=1,I5844="SBJ"),AND(J5844=1,I5844=0)),"?IN_FOCUS",IF(J5844&lt;=2,"?ACTIVATED",IF(J5844&lt;&gt;"","?FAMILIAR",IF(F5844="NEW",IF(ISNA(VLOOKUP(E5844,#REF!,1,FALSE())),"?TYPE_IDENTIFIABLE","?REFERENTIAL"),"_")))))</f>
        <v> </v>
      </c>
      <c r="H5844" s="25" t="str">
        <f>IF(J5844&lt;&gt;1,"",IF(I5844="SBJ","CB","?"))</f>
        <v> </v>
      </c>
      <c r="I5844" s="26" t="str">
        <f>IF(OR(E5844="",E5844="!!!",F5844="NEW"),"",INDEX(B5843:B$2,-1+SUMPRODUCT(MAX(ROW(E5843:E$2)*(E5844=E5843:E$2)))))</f>
        <v> </v>
      </c>
      <c r="J5844" s="26" t="str">
        <f>IF(OR(E5844="",E5844="!!!",F5844="NEW"),"",COUNTBLANK(OFFSET(A$1,,,SUMPRODUCT(MAX(ROW(E$2:E5844)*(E5844=E$2:E5844)))))-COUNTBLANK(OFFSET(A$1,,,SUMPRODUCT(MAX(ROW(E$1:E5843)*(E2=E$1:E5843))))))</f>
        <v> </v>
      </c>
      <c r="K5844" s="26" t="str">
        <f>IF(OR(E5844="",E5844="!!!",F5844="NEW"),"",INDEX(J$1:J5843,SUMPRODUCT(MAX(ROW(E$1:E5843)*(E5844=E$1:E5843)))))</f>
        <v> </v>
      </c>
      <c r="L5844" s="27"/>
    </row>
    <row r="5845" spans="1:12">
      <c r="A5845" s="20" t="s">
        <v>1120</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2469</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1004</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997</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2470</v>
      </c>
      <c r="B5849" s="21" t="s">
        <v>2187</v>
      </c>
      <c r="C5849" s="21" t="s">
        <v>995</v>
      </c>
      <c r="D5849" s="21" t="s">
        <v>978</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996</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1072</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93</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1183</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t="s">
        <v>1009</v>
      </c>
      <c r="E5854" s="22">
        <f>IF(D5854="?OLD","!!!","")</f>
        <v/>
      </c>
      <c r="F5854" s="23" t="str">
        <f>IF(OR(E5854="",E5854="!!!"),"",IF(NOT(ISNA(VLOOKUP(E5854,E$1:E5853,1,FALSE()))),"OLD",IF(AND(E5854&lt;&gt;"",E5854&lt;&gt;"!!!"),"NEW","")))</f>
        <v> </v>
      </c>
      <c r="G5854" s="24" t="str">
        <f>IF(OR(E5854="",E5854="!!!"),"",IF(OR(J5854=0,AND(J5854=1,K5854=1),AND(J5854=1,I5854="SBJ"),AND(J5854=1,I5854=0)),"?IN_FOCUS",IF(J5854&lt;=2,"?ACTIVATED",IF(J5854&lt;&gt;"","?FAMILIAR",IF(F5854="NEW",IF(ISNA(VLOOKUP(E5854,#REF!,1,FALSE())),"?TYPE_IDENTIFIABLE","?REFERENTIAL"),"_")))))</f>
        <v> </v>
      </c>
      <c r="H5854" s="25" t="str">
        <f>IF(J5854&lt;&gt;1,"",IF(I5854="SBJ","CB","?"))</f>
        <v> </v>
      </c>
      <c r="I5854" s="26" t="str">
        <f>IF(OR(E5854="",E5854="!!!",F5854="NEW"),"",INDEX(B5853:B$2,-1+SUMPRODUCT(MAX(ROW(E5853:E$2)*(E5854=E5853:E$2)))))</f>
        <v> </v>
      </c>
      <c r="J5854" s="26" t="str">
        <f>IF(OR(E5854="",E5854="!!!",F5854="NEW"),"",COUNTBLANK(OFFSET(A$1,,,SUMPRODUCT(MAX(ROW(E$2:E5854)*(E5854=E$2:E5854)))))-COUNTBLANK(OFFSET(A$1,,,SUMPRODUCT(MAX(ROW(E$1:E5853)*(E2=E$1:E5853))))))</f>
        <v> </v>
      </c>
      <c r="K5854" s="26" t="str">
        <f>IF(OR(E5854="",E5854="!!!",F5854="NEW"),"",INDEX(J$1:J5853,SUMPRODUCT(MAX(ROW(E$1:E5853)*(E5854=E$1:E5853)))))</f>
        <v> </v>
      </c>
      <c r="L5854" s="27"/>
    </row>
    <row r="5855" spans="1:12">
      <c r="A5855" s="20" t="s">
        <v>609</v>
      </c>
      <c r="E5855" s="22">
        <f>IF(D5855="?OLD","!!!","")</f>
        <v/>
      </c>
      <c r="F5855" s="23" t="str">
        <f>IF(OR(E5855="",E5855="!!!"),"",IF(NOT(ISNA(VLOOKUP(E5855,E$1:E5854,1,FALSE()))),"OLD",IF(AND(E5855&lt;&gt;"",E5855&lt;&gt;"!!!"),"NEW","")))</f>
        <v> </v>
      </c>
      <c r="G5855" s="24" t="str">
        <f>IF(OR(E5855="",E5855="!!!"),"",IF(OR(J5855=0,AND(J5855=1,K5855=1),AND(J5855=1,I5855="SBJ"),AND(J5855=1,I5855=0)),"?IN_FOCUS",IF(J5855&lt;=2,"?ACTIVATED",IF(J5855&lt;&gt;"","?FAMILIAR",IF(F5855="NEW",IF(ISNA(VLOOKUP(E5855,#REF!,1,FALSE())),"?TYPE_IDENTIFIABLE","?REFERENTIAL"),"_")))))</f>
        <v> </v>
      </c>
      <c r="H5855" s="25" t="str">
        <f>IF(J5855&lt;&gt;1,"",IF(I5855="SBJ","CB","?"))</f>
        <v> </v>
      </c>
      <c r="I5855" s="26" t="str">
        <f>IF(OR(E5855="",E5855="!!!",F5855="NEW"),"",INDEX(B5854:B$2,-1+SUMPRODUCT(MAX(ROW(E5854:E$2)*(E5855=E5854:E$2)))))</f>
        <v> </v>
      </c>
      <c r="J5855" s="26" t="str">
        <f>IF(OR(E5855="",E5855="!!!",F5855="NEW"),"",COUNTBLANK(OFFSET(A$1,,,SUMPRODUCT(MAX(ROW(E$2:E5855)*(E5855=E$2:E5855)))))-COUNTBLANK(OFFSET(A$1,,,SUMPRODUCT(MAX(ROW(E$1:E5854)*(E2=E$1:E5854))))))</f>
        <v> </v>
      </c>
      <c r="K5855" s="26" t="str">
        <f>IF(OR(E5855="",E5855="!!!",F5855="NEW"),"",INDEX(J$1:J5854,SUMPRODUCT(MAX(ROW(E$1:E5854)*(E5855=E$1:E5854)))))</f>
        <v> </v>
      </c>
      <c r="L5855" s="27"/>
    </row>
    <row r="5856" spans="1:12">
      <c r="A5856" s="20" t="s">
        <v>2471</v>
      </c>
      <c r="B5856" s="21" t="s">
        <v>2189</v>
      </c>
      <c r="C5856" s="21" t="s">
        <v>983</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996</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t="s">
        <v>2472</v>
      </c>
      <c r="B5858" s="21" t="s">
        <v>2339</v>
      </c>
      <c r="C5858" s="21" t="s">
        <v>1057</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2473</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1022</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row>
    <row r="5862" spans="1:12">
      <c r="A5862" s="20" t="s">
        <v>2474</v>
      </c>
    </row>
    <row r="5863" spans="1:12">
      <c r="A5863" s="20" t="s">
        <v>992</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1196</v>
      </c>
      <c r="B5864" s="21" t="s">
        <v>1095</v>
      </c>
      <c r="C5864" s="21" t="s">
        <v>1008</v>
      </c>
      <c r="D5864" s="21" t="s">
        <v>978</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t="s">
        <v>1067</v>
      </c>
      <c r="E5865" s="22">
        <f>IF(D5865="?OLD","!!!","")</f>
        <v/>
      </c>
      <c r="F5865" s="23" t="str">
        <f>IF(OR(E5865="",E5865="!!!"),"",IF(NOT(ISNA(VLOOKUP(E5865,E$1:E5864,1,FALSE()))),"OLD",IF(AND(E5865&lt;&gt;"",E5865&lt;&gt;"!!!"),"NEW","")))</f>
        <v> </v>
      </c>
      <c r="G5865" s="24" t="str">
        <f>IF(OR(E5865="",E5865="!!!"),"",IF(OR(J5865=0,AND(J5865=1,K5865=1),AND(J5865=1,I5865="SBJ"),AND(J5865=1,I5865=0)),"?IN_FOCUS",IF(J5865&lt;=2,"?ACTIVATED",IF(J5865&lt;&gt;"","?FAMILIAR",IF(F5865="NEW",IF(ISNA(VLOOKUP(E5865,#REF!,1,FALSE())),"?TYPE_IDENTIFIABLE","?REFERENTIAL"),"_")))))</f>
        <v> </v>
      </c>
      <c r="H5865" s="25" t="str">
        <f>IF(J5865&lt;&gt;1,"",IF(I5865="SBJ","CB","?"))</f>
        <v> </v>
      </c>
      <c r="I5865" s="26" t="str">
        <f>IF(OR(E5865="",E5865="!!!",F5865="NEW"),"",INDEX(B5864:B$2,-1+SUMPRODUCT(MAX(ROW(E5864:E$2)*(E5865=E5864:E$2)))))</f>
        <v> </v>
      </c>
      <c r="J5865" s="26" t="str">
        <f>IF(OR(E5865="",E5865="!!!",F5865="NEW"),"",COUNTBLANK(OFFSET(A$1,,,SUMPRODUCT(MAX(ROW(E$2:E5865)*(E5865=E$2:E5865)))))-COUNTBLANK(OFFSET(A$1,,,SUMPRODUCT(MAX(ROW(E$1:E5864)*(E2=E$1:E5864))))))</f>
        <v> </v>
      </c>
      <c r="K5865" s="26" t="str">
        <f>IF(OR(E5865="",E5865="!!!",F5865="NEW"),"",INDEX(J$1:J5864,SUMPRODUCT(MAX(ROW(E$1:E5864)*(E5865=E$1:E5864)))))</f>
        <v> </v>
      </c>
      <c r="L5865" s="27"/>
    </row>
    <row r="5866" spans="1:12">
      <c r="A5866" s="20" t="s">
        <v>1092</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t="s">
        <v>2463</v>
      </c>
      <c r="B5867" s="21" t="s">
        <v>989</v>
      </c>
      <c r="C5867" s="21" t="s">
        <v>995</v>
      </c>
      <c r="D5867" s="21" t="s">
        <v>978</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996</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2472</v>
      </c>
      <c r="B5869" s="21" t="s">
        <v>986</v>
      </c>
      <c r="C5869" s="21" t="s">
        <v>1057</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2473</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t="s">
        <v>1002</v>
      </c>
      <c r="E5871" s="22">
        <f>IF(D5871="?OLD","!!!","")</f>
        <v/>
      </c>
      <c r="F5871" s="23" t="str">
        <f>IF(OR(E5871="",E5871="!!!"),"",IF(NOT(ISNA(VLOOKUP(E5871,E$1:E5870,1,FALSE()))),"OLD",IF(AND(E5871&lt;&gt;"",E5871&lt;&gt;"!!!"),"NEW","")))</f>
        <v> </v>
      </c>
      <c r="G5871" s="24" t="str">
        <f>IF(OR(E5871="",E5871="!!!"),"",IF(OR(J5871=0,AND(J5871=1,K5871=1),AND(J5871=1,I5871="SBJ"),AND(J5871=1,I5871=0)),"?IN_FOCUS",IF(J5871&lt;=2,"?ACTIVATED",IF(J5871&lt;&gt;"","?FAMILIAR",IF(F5871="NEW",IF(ISNA(VLOOKUP(E5871,#REF!,1,FALSE())),"?TYPE_IDENTIFIABLE","?REFERENTIAL"),"_")))))</f>
        <v> </v>
      </c>
      <c r="H5871" s="25" t="str">
        <f>IF(J5871&lt;&gt;1,"",IF(I5871="SBJ","CB","?"))</f>
        <v> </v>
      </c>
      <c r="I5871" s="26" t="str">
        <f>IF(OR(E5871="",E5871="!!!",F5871="NEW"),"",INDEX(B5870:B$2,-1+SUMPRODUCT(MAX(ROW(E5870:E$2)*(E5871=E5870:E$2)))))</f>
        <v> </v>
      </c>
      <c r="J5871" s="26" t="str">
        <f>IF(OR(E5871="",E5871="!!!",F5871="NEW"),"",COUNTBLANK(OFFSET(A$1,,,SUMPRODUCT(MAX(ROW(E$2:E5871)*(E5871=E$2:E5871)))))-COUNTBLANK(OFFSET(A$1,,,SUMPRODUCT(MAX(ROW(E$1:E5870)*(E2=E$1:E5870))))))</f>
        <v> </v>
      </c>
      <c r="K5871" s="26" t="str">
        <f>IF(OR(E5871="",E5871="!!!",F5871="NEW"),"",INDEX(J$1:J5870,SUMPRODUCT(MAX(ROW(E$1:E5870)*(E5871=E$1:E5870)))))</f>
        <v> </v>
      </c>
      <c r="L5871" s="27"/>
    </row>
    <row r="5872" spans="1:12">
      <c r="A5872" s="20" t="s">
        <v>172</v>
      </c>
      <c r="E5872" s="22">
        <f>IF(D5872="?OLD","!!!","")</f>
        <v/>
      </c>
      <c r="F5872" s="23" t="str">
        <f>IF(OR(E5872="",E5872="!!!"),"",IF(NOT(ISNA(VLOOKUP(E5872,E$1:E5871,1,FALSE()))),"OLD",IF(AND(E5872&lt;&gt;"",E5872&lt;&gt;"!!!"),"NEW","")))</f>
        <v> </v>
      </c>
      <c r="G5872" s="24" t="str">
        <f>IF(OR(E5872="",E5872="!!!"),"",IF(OR(J5872=0,AND(J5872=1,K5872=1),AND(J5872=1,I5872="SBJ"),AND(J5872=1,I5872=0)),"?IN_FOCUS",IF(J5872&lt;=2,"?ACTIVATED",IF(J5872&lt;&gt;"","?FAMILIAR",IF(F5872="NEW",IF(ISNA(VLOOKUP(E5872,#REF!,1,FALSE())),"?TYPE_IDENTIFIABLE","?REFERENTIAL"),"_")))))</f>
        <v> </v>
      </c>
      <c r="H5872" s="25" t="str">
        <f>IF(J5872&lt;&gt;1,"",IF(I5872="SBJ","CB","?"))</f>
        <v> </v>
      </c>
      <c r="I5872" s="26" t="str">
        <f>IF(OR(E5872="",E5872="!!!",F5872="NEW"),"",INDEX(B5871:B$2,-1+SUMPRODUCT(MAX(ROW(E5871:E$2)*(E5872=E5871:E$2)))))</f>
        <v> </v>
      </c>
      <c r="J5872" s="26" t="str">
        <f>IF(OR(E5872="",E5872="!!!",F5872="NEW"),"",COUNTBLANK(OFFSET(A$1,,,SUMPRODUCT(MAX(ROW(E$2:E5872)*(E5872=E$2:E5872)))))-COUNTBLANK(OFFSET(A$1,,,SUMPRODUCT(MAX(ROW(E$1:E5871)*(E2=E$1:E5871))))))</f>
        <v> </v>
      </c>
      <c r="K5872" s="26" t="str">
        <f>IF(OR(E5872="",E5872="!!!",F5872="NEW"),"",INDEX(J$1:J5871,SUMPRODUCT(MAX(ROW(E$1:E5871)*(E5872=E$1:E5871)))))</f>
        <v> </v>
      </c>
      <c r="L5872" s="27"/>
    </row>
    <row r="5873" spans="1:12">
      <c r="A5873" s="20" t="s">
        <v>1446</v>
      </c>
      <c r="B5873" s="21" t="s">
        <v>986</v>
      </c>
      <c r="C5873" s="21" t="s">
        <v>1063</v>
      </c>
      <c r="D5873" s="21" t="s">
        <v>978</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t="s">
        <v>996</v>
      </c>
      <c r="E5874" s="22">
        <f>IF(D5874="?OLD","!!!","")</f>
        <v/>
      </c>
      <c r="F5874" s="23" t="str">
        <f>IF(OR(E5874="",E5874="!!!"),"",IF(NOT(ISNA(VLOOKUP(E5874,E$1:E5873,1,FALSE()))),"OLD",IF(AND(E5874&lt;&gt;"",E5874&lt;&gt;"!!!"),"NEW","")))</f>
        <v> </v>
      </c>
      <c r="G5874" s="24" t="str">
        <f>IF(OR(E5874="",E5874="!!!"),"",IF(OR(J5874=0,AND(J5874=1,K5874=1),AND(J5874=1,I5874="SBJ"),AND(J5874=1,I5874=0)),"?IN_FOCUS",IF(J5874&lt;=2,"?ACTIVATED",IF(J5874&lt;&gt;"","?FAMILIAR",IF(F5874="NEW",IF(ISNA(VLOOKUP(E5874,#REF!,1,FALSE())),"?TYPE_IDENTIFIABLE","?REFERENTIAL"),"_")))))</f>
        <v> </v>
      </c>
      <c r="H5874" s="25" t="str">
        <f>IF(J5874&lt;&gt;1,"",IF(I5874="SBJ","CB","?"))</f>
        <v> </v>
      </c>
      <c r="I5874" s="26" t="str">
        <f>IF(OR(E5874="",E5874="!!!",F5874="NEW"),"",INDEX(B5873:B$2,-1+SUMPRODUCT(MAX(ROW(E5873:E$2)*(E5874=E5873:E$2)))))</f>
        <v> </v>
      </c>
      <c r="J5874" s="26" t="str">
        <f>IF(OR(E5874="",E5874="!!!",F5874="NEW"),"",COUNTBLANK(OFFSET(A$1,,,SUMPRODUCT(MAX(ROW(E$2:E5874)*(E5874=E$2:E5874)))))-COUNTBLANK(OFFSET(A$1,,,SUMPRODUCT(MAX(ROW(E$1:E5873)*(E2=E$1:E5873))))))</f>
        <v> </v>
      </c>
      <c r="K5874" s="26" t="str">
        <f>IF(OR(E5874="",E5874="!!!",F5874="NEW"),"",INDEX(J$1:J5873,SUMPRODUCT(MAX(ROW(E$1:E5873)*(E5874=E$1:E5873)))))</f>
        <v> </v>
      </c>
      <c r="L5874" s="27"/>
    </row>
    <row r="5875" spans="1:12">
      <c r="A5875" s="20" t="s">
        <v>2472</v>
      </c>
      <c r="B5875" s="21" t="s">
        <v>1054</v>
      </c>
      <c r="C5875" s="21" t="s">
        <v>1057</v>
      </c>
      <c r="E5875" s="22">
        <f>IF(D5875="?OLD","!!!","")</f>
        <v/>
      </c>
      <c r="F5875" s="23" t="str">
        <f>IF(OR(E5875="",E5875="!!!"),"",IF(NOT(ISNA(VLOOKUP(E5875,E$1:E5874,1,FALSE()))),"OLD",IF(AND(E5875&lt;&gt;"",E5875&lt;&gt;"!!!"),"NEW","")))</f>
        <v> </v>
      </c>
      <c r="G5875" s="24" t="str">
        <f>IF(OR(E5875="",E5875="!!!"),"",IF(OR(J5875=0,AND(J5875=1,K5875=1),AND(J5875=1,I5875="SBJ"),AND(J5875=1,I5875=0)),"?IN_FOCUS",IF(J5875&lt;=2,"?ACTIVATED",IF(J5875&lt;&gt;"","?FAMILIAR",IF(F5875="NEW",IF(ISNA(VLOOKUP(E5875,#REF!,1,FALSE())),"?TYPE_IDENTIFIABLE","?REFERENTIAL"),"_")))))</f>
        <v> </v>
      </c>
      <c r="H5875" s="25" t="str">
        <f>IF(J5875&lt;&gt;1,"",IF(I5875="SBJ","CB","?"))</f>
        <v> </v>
      </c>
      <c r="I5875" s="26" t="str">
        <f>IF(OR(E5875="",E5875="!!!",F5875="NEW"),"",INDEX(B5874:B$2,-1+SUMPRODUCT(MAX(ROW(E5874:E$2)*(E5875=E5874:E$2)))))</f>
        <v> </v>
      </c>
      <c r="J5875" s="26" t="str">
        <f>IF(OR(E5875="",E5875="!!!",F5875="NEW"),"",COUNTBLANK(OFFSET(A$1,,,SUMPRODUCT(MAX(ROW(E$2:E5875)*(E5875=E$2:E5875)))))-COUNTBLANK(OFFSET(A$1,,,SUMPRODUCT(MAX(ROW(E$1:E5874)*(E2=E$1:E5874))))))</f>
        <v> </v>
      </c>
      <c r="K5875" s="26" t="str">
        <f>IF(OR(E5875="",E5875="!!!",F5875="NEW"),"",INDEX(J$1:J5874,SUMPRODUCT(MAX(ROW(E$1:E5874)*(E5875=E$1:E5874)))))</f>
        <v> </v>
      </c>
      <c r="L5875" s="27"/>
    </row>
    <row r="5876" spans="1:12">
      <c r="A5876" s="20" t="s">
        <v>2473</v>
      </c>
      <c r="E5876" s="22">
        <f>IF(D5876="?OLD","!!!","")</f>
        <v/>
      </c>
      <c r="F5876" s="23" t="str">
        <f>IF(OR(E5876="",E5876="!!!"),"",IF(NOT(ISNA(VLOOKUP(E5876,E$1:E5875,1,FALSE()))),"OLD",IF(AND(E5876&lt;&gt;"",E5876&lt;&gt;"!!!"),"NEW","")))</f>
        <v> </v>
      </c>
      <c r="G5876" s="24" t="str">
        <f>IF(OR(E5876="",E5876="!!!"),"",IF(OR(J5876=0,AND(J5876=1,K5876=1),AND(J5876=1,I5876="SBJ"),AND(J5876=1,I5876=0)),"?IN_FOCUS",IF(J5876&lt;=2,"?ACTIVATED",IF(J5876&lt;&gt;"","?FAMILIAR",IF(F5876="NEW",IF(ISNA(VLOOKUP(E5876,#REF!,1,FALSE())),"?TYPE_IDENTIFIABLE","?REFERENTIAL"),"_")))))</f>
        <v> </v>
      </c>
      <c r="H5876" s="25" t="str">
        <f>IF(J5876&lt;&gt;1,"",IF(I5876="SBJ","CB","?"))</f>
        <v> </v>
      </c>
      <c r="I5876" s="26" t="str">
        <f>IF(OR(E5876="",E5876="!!!",F5876="NEW"),"",INDEX(B5875:B$2,-1+SUMPRODUCT(MAX(ROW(E5875:E$2)*(E5876=E5875:E$2)))))</f>
        <v> </v>
      </c>
      <c r="J5876" s="26" t="str">
        <f>IF(OR(E5876="",E5876="!!!",F5876="NEW"),"",COUNTBLANK(OFFSET(A$1,,,SUMPRODUCT(MAX(ROW(E$2:E5876)*(E5876=E$2:E5876)))))-COUNTBLANK(OFFSET(A$1,,,SUMPRODUCT(MAX(ROW(E$1:E5875)*(E2=E$1:E5875))))))</f>
        <v> </v>
      </c>
      <c r="K5876" s="26" t="str">
        <f>IF(OR(E5876="",E5876="!!!",F5876="NEW"),"",INDEX(J$1:J5875,SUMPRODUCT(MAX(ROW(E$1:E5875)*(E5876=E$1:E5875)))))</f>
        <v> </v>
      </c>
      <c r="L5876" s="27"/>
    </row>
    <row r="5877" spans="1:12">
      <c r="A5877" s="20" t="s">
        <v>1196</v>
      </c>
      <c r="B5877" s="21" t="s">
        <v>976</v>
      </c>
      <c r="C5877" s="21" t="s">
        <v>1008</v>
      </c>
      <c r="D5877" s="21" t="s">
        <v>978</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1067</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t="s">
        <v>1004</v>
      </c>
      <c r="E5879" s="22">
        <f>IF(D5879="?OLD","!!!","")</f>
        <v/>
      </c>
      <c r="F5879" s="23" t="str">
        <f>IF(OR(E5879="",E5879="!!!"),"",IF(NOT(ISNA(VLOOKUP(E5879,E$1:E5878,1,FALSE()))),"OLD",IF(AND(E5879&lt;&gt;"",E5879&lt;&gt;"!!!"),"NEW","")))</f>
        <v> </v>
      </c>
      <c r="G5879" s="24" t="str">
        <f>IF(OR(E5879="",E5879="!!!"),"",IF(OR(J5879=0,AND(J5879=1,K5879=1),AND(J5879=1,I5879="SBJ"),AND(J5879=1,I5879=0)),"?IN_FOCUS",IF(J5879&lt;=2,"?ACTIVATED",IF(J5879&lt;&gt;"","?FAMILIAR",IF(F5879="NEW",IF(ISNA(VLOOKUP(E5879,#REF!,1,FALSE())),"?TYPE_IDENTIFIABLE","?REFERENTIAL"),"_")))))</f>
        <v> </v>
      </c>
      <c r="H5879" s="25" t="str">
        <f>IF(J5879&lt;&gt;1,"",IF(I5879="SBJ","CB","?"))</f>
        <v> </v>
      </c>
      <c r="I5879" s="26" t="str">
        <f>IF(OR(E5879="",E5879="!!!",F5879="NEW"),"",INDEX(B5878:B$2,-1+SUMPRODUCT(MAX(ROW(E5878:E$2)*(E5879=E5878:E$2)))))</f>
        <v> </v>
      </c>
      <c r="J5879" s="26" t="str">
        <f>IF(OR(E5879="",E5879="!!!",F5879="NEW"),"",COUNTBLANK(OFFSET(A$1,,,SUMPRODUCT(MAX(ROW(E$2:E5879)*(E5879=E$2:E5879)))))-COUNTBLANK(OFFSET(A$1,,,SUMPRODUCT(MAX(ROW(E$1:E5878)*(E2=E$1:E5878))))))</f>
        <v> </v>
      </c>
      <c r="K5879" s="26" t="str">
        <f>IF(OR(E5879="",E5879="!!!",F5879="NEW"),"",INDEX(J$1:J5878,SUMPRODUCT(MAX(ROW(E$1:E5878)*(E5879=E$1:E5878)))))</f>
        <v> </v>
      </c>
      <c r="L5879" s="27"/>
    </row>
    <row r="5880" spans="1:12">
      <c r="A5880" s="20" t="s">
        <v>1633</v>
      </c>
      <c r="B5880" s="21" t="s">
        <v>989</v>
      </c>
      <c r="C5880" s="21" t="s">
        <v>1020</v>
      </c>
      <c r="D5880" s="21" t="s">
        <v>978</v>
      </c>
      <c r="E5880" s="22">
        <f>IF(D5880="?OLD","!!!","")</f>
        <v/>
      </c>
      <c r="F5880" s="23" t="str">
        <f>IF(OR(E5880="",E5880="!!!"),"",IF(NOT(ISNA(VLOOKUP(E5880,E$1:E5879,1,FALSE()))),"OLD",IF(AND(E5880&lt;&gt;"",E5880&lt;&gt;"!!!"),"NEW","")))</f>
        <v> </v>
      </c>
      <c r="G5880" s="24" t="str">
        <f>IF(OR(E5880="",E5880="!!!"),"",IF(OR(J5880=0,AND(J5880=1,K5880=1),AND(J5880=1,I5880="SBJ"),AND(J5880=1,I5880=0)),"?IN_FOCUS",IF(J5880&lt;=2,"?ACTIVATED",IF(J5880&lt;&gt;"","?FAMILIAR",IF(F5880="NEW",IF(ISNA(VLOOKUP(E5880,#REF!,1,FALSE())),"?TYPE_IDENTIFIABLE","?REFERENTIAL"),"_")))))</f>
        <v> </v>
      </c>
      <c r="H5880" s="25" t="str">
        <f>IF(J5880&lt;&gt;1,"",IF(I5880="SBJ","CB","?"))</f>
        <v> </v>
      </c>
      <c r="I5880" s="26" t="str">
        <f>IF(OR(E5880="",E5880="!!!",F5880="NEW"),"",INDEX(B5879:B$2,-1+SUMPRODUCT(MAX(ROW(E5879:E$2)*(E5880=E5879:E$2)))))</f>
        <v> </v>
      </c>
      <c r="J5880" s="26" t="str">
        <f>IF(OR(E5880="",E5880="!!!",F5880="NEW"),"",COUNTBLANK(OFFSET(A$1,,,SUMPRODUCT(MAX(ROW(E$2:E5880)*(E5880=E$2:E5880)))))-COUNTBLANK(OFFSET(A$1,,,SUMPRODUCT(MAX(ROW(E$1:E5879)*(E2=E$1:E5879))))))</f>
        <v> </v>
      </c>
      <c r="K5880" s="26" t="str">
        <f>IF(OR(E5880="",E5880="!!!",F5880="NEW"),"",INDEX(J$1:J5879,SUMPRODUCT(MAX(ROW(E$1:E5879)*(E5880=E$1:E5879)))))</f>
        <v> </v>
      </c>
      <c r="L5880" s="27"/>
    </row>
    <row r="5881" spans="1:12">
      <c r="A5881" s="20" t="s">
        <v>1038</v>
      </c>
      <c r="E5881" s="22">
        <f>IF(D5881="?OLD","!!!","")</f>
        <v/>
      </c>
      <c r="F5881" s="23" t="str">
        <f>IF(OR(E5881="",E5881="!!!"),"",IF(NOT(ISNA(VLOOKUP(E5881,E$1:E5880,1,FALSE()))),"OLD",IF(AND(E5881&lt;&gt;"",E5881&lt;&gt;"!!!"),"NEW","")))</f>
        <v> </v>
      </c>
      <c r="G5881" s="24" t="str">
        <f>IF(OR(E5881="",E5881="!!!"),"",IF(OR(J5881=0,AND(J5881=1,K5881=1),AND(J5881=1,I5881="SBJ"),AND(J5881=1,I5881=0)),"?IN_FOCUS",IF(J5881&lt;=2,"?ACTIVATED",IF(J5881&lt;&gt;"","?FAMILIAR",IF(F5881="NEW",IF(ISNA(VLOOKUP(E5881,#REF!,1,FALSE())),"?TYPE_IDENTIFIABLE","?REFERENTIAL"),"_")))))</f>
        <v> </v>
      </c>
      <c r="H5881" s="25" t="str">
        <f>IF(J5881&lt;&gt;1,"",IF(I5881="SBJ","CB","?"))</f>
        <v> </v>
      </c>
      <c r="I5881" s="26" t="str">
        <f>IF(OR(E5881="",E5881="!!!",F5881="NEW"),"",INDEX(B5880:B$2,-1+SUMPRODUCT(MAX(ROW(E5880:E$2)*(E5881=E5880:E$2)))))</f>
        <v> </v>
      </c>
      <c r="J5881" s="26" t="str">
        <f>IF(OR(E5881="",E5881="!!!",F5881="NEW"),"",COUNTBLANK(OFFSET(A$1,,,SUMPRODUCT(MAX(ROW(E$2:E5881)*(E5881=E$2:E5881)))))-COUNTBLANK(OFFSET(A$1,,,SUMPRODUCT(MAX(ROW(E$1:E5880)*(E2=E$1:E5880))))))</f>
        <v> </v>
      </c>
      <c r="K5881" s="26" t="str">
        <f>IF(OR(E5881="",E5881="!!!",F5881="NEW"),"",INDEX(J$1:J5880,SUMPRODUCT(MAX(ROW(E$1:E5880)*(E5881=E$1:E5880)))))</f>
        <v> </v>
      </c>
      <c r="L5881" s="27"/>
    </row>
    <row r="5882" spans="1:12">
      <c r="A5882" s="20" t="s">
        <v>1563</v>
      </c>
      <c r="B5882" s="21" t="s">
        <v>1095</v>
      </c>
      <c r="C5882" s="21" t="s">
        <v>977</v>
      </c>
      <c r="D5882" s="21" t="s">
        <v>978</v>
      </c>
      <c r="E5882" s="22">
        <f>IF(D5882="?OLD","!!!","")</f>
        <v/>
      </c>
      <c r="F5882" s="23" t="str">
        <f>IF(OR(E5882="",E5882="!!!"),"",IF(NOT(ISNA(VLOOKUP(E5882,E$1:E5881,1,FALSE()))),"OLD",IF(AND(E5882&lt;&gt;"",E5882&lt;&gt;"!!!"),"NEW","")))</f>
        <v> </v>
      </c>
      <c r="G5882" s="24" t="str">
        <f>IF(OR(E5882="",E5882="!!!"),"",IF(OR(J5882=0,AND(J5882=1,K5882=1),AND(J5882=1,I5882="SBJ"),AND(J5882=1,I5882=0)),"?IN_FOCUS",IF(J5882&lt;=2,"?ACTIVATED",IF(J5882&lt;&gt;"","?FAMILIAR",IF(F5882="NEW",IF(ISNA(VLOOKUP(E5882,#REF!,1,FALSE())),"?TYPE_IDENTIFIABLE","?REFERENTIAL"),"_")))))</f>
        <v> </v>
      </c>
      <c r="H5882" s="25" t="str">
        <f>IF(J5882&lt;&gt;1,"",IF(I5882="SBJ","CB","?"))</f>
        <v> </v>
      </c>
      <c r="I5882" s="26" t="str">
        <f>IF(OR(E5882="",E5882="!!!",F5882="NEW"),"",INDEX(B5881:B$2,-1+SUMPRODUCT(MAX(ROW(E5881:E$2)*(E5882=E5881:E$2)))))</f>
        <v> </v>
      </c>
      <c r="J5882" s="26" t="str">
        <f>IF(OR(E5882="",E5882="!!!",F5882="NEW"),"",COUNTBLANK(OFFSET(A$1,,,SUMPRODUCT(MAX(ROW(E$2:E5882)*(E5882=E$2:E5882)))))-COUNTBLANK(OFFSET(A$1,,,SUMPRODUCT(MAX(ROW(E$1:E5881)*(E2=E$1:E5881))))))</f>
        <v> </v>
      </c>
      <c r="K5882" s="26" t="str">
        <f>IF(OR(E5882="",E5882="!!!",F5882="NEW"),"",INDEX(J$1:J5881,SUMPRODUCT(MAX(ROW(E$1:E5881)*(E5882=E$1:E5881)))))</f>
        <v> </v>
      </c>
      <c r="L5882" s="27"/>
    </row>
    <row r="5883" spans="1:12">
      <c r="A5883" s="20" t="s">
        <v>2475</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t="s">
        <v>427</v>
      </c>
      <c r="E5884" s="22">
        <f>IF(D5884="?OLD","!!!","")</f>
        <v/>
      </c>
      <c r="F5884" s="23" t="str">
        <f>IF(OR(E5884="",E5884="!!!"),"",IF(NOT(ISNA(VLOOKUP(E5884,E$1:E5883,1,FALSE()))),"OLD",IF(AND(E5884&lt;&gt;"",E5884&lt;&gt;"!!!"),"NEW","")))</f>
        <v> </v>
      </c>
      <c r="G5884" s="24" t="str">
        <f>IF(OR(E5884="",E5884="!!!"),"",IF(OR(J5884=0,AND(J5884=1,K5884=1),AND(J5884=1,I5884="SBJ"),AND(J5884=1,I5884=0)),"?IN_FOCUS",IF(J5884&lt;=2,"?ACTIVATED",IF(J5884&lt;&gt;"","?FAMILIAR",IF(F5884="NEW",IF(ISNA(VLOOKUP(E5884,#REF!,1,FALSE())),"?TYPE_IDENTIFIABLE","?REFERENTIAL"),"_")))))</f>
        <v> </v>
      </c>
      <c r="H5884" s="25" t="str">
        <f>IF(J5884&lt;&gt;1,"",IF(I5884="SBJ","CB","?"))</f>
        <v> </v>
      </c>
      <c r="I5884" s="26" t="str">
        <f>IF(OR(E5884="",E5884="!!!",F5884="NEW"),"",INDEX(B5883:B$2,-1+SUMPRODUCT(MAX(ROW(E5883:E$2)*(E5884=E5883:E$2)))))</f>
        <v> </v>
      </c>
      <c r="J5884" s="26" t="str">
        <f>IF(OR(E5884="",E5884="!!!",F5884="NEW"),"",COUNTBLANK(OFFSET(A$1,,,SUMPRODUCT(MAX(ROW(E$2:E5884)*(E5884=E$2:E5884)))))-COUNTBLANK(OFFSET(A$1,,,SUMPRODUCT(MAX(ROW(E$1:E5883)*(E2=E$1:E5883))))))</f>
        <v> </v>
      </c>
      <c r="K5884" s="26" t="str">
        <f>IF(OR(E5884="",E5884="!!!",F5884="NEW"),"",INDEX(J$1:J5883,SUMPRODUCT(MAX(ROW(E$1:E5883)*(E5884=E$1:E5883)))))</f>
        <v> </v>
      </c>
      <c r="L5884" s="27"/>
    </row>
    <row r="5885" spans="1:12">
      <c r="A5885" s="20" t="s">
        <v>1022</v>
      </c>
      <c r="E5885" s="22">
        <f>IF(D5885="?OLD","!!!","")</f>
        <v/>
      </c>
      <c r="F5885" s="23" t="str">
        <f>IF(OR(E5885="",E5885="!!!"),"",IF(NOT(ISNA(VLOOKUP(E5885,E$1:E5884,1,FALSE()))),"OLD",IF(AND(E5885&lt;&gt;"",E5885&lt;&gt;"!!!"),"NEW","")))</f>
        <v> </v>
      </c>
      <c r="G5885" s="24" t="str">
        <f>IF(OR(E5885="",E5885="!!!"),"",IF(OR(J5885=0,AND(J5885=1,K5885=1),AND(J5885=1,I5885="SBJ"),AND(J5885=1,I5885=0)),"?IN_FOCUS",IF(J5885&lt;=2,"?ACTIVATED",IF(J5885&lt;&gt;"","?FAMILIAR",IF(F5885="NEW",IF(ISNA(VLOOKUP(E5885,#REF!,1,FALSE())),"?TYPE_IDENTIFIABLE","?REFERENTIAL"),"_")))))</f>
        <v> </v>
      </c>
      <c r="H5885" s="25" t="str">
        <f>IF(J5885&lt;&gt;1,"",IF(I5885="SBJ","CB","?"))</f>
        <v> </v>
      </c>
      <c r="I5885" s="26" t="str">
        <f>IF(OR(E5885="",E5885="!!!",F5885="NEW"),"",INDEX(B5884:B$2,-1+SUMPRODUCT(MAX(ROW(E5884:E$2)*(E5885=E5884:E$2)))))</f>
        <v> </v>
      </c>
      <c r="J5885" s="26" t="str">
        <f>IF(OR(E5885="",E5885="!!!",F5885="NEW"),"",COUNTBLANK(OFFSET(A$1,,,SUMPRODUCT(MAX(ROW(E$2:E5885)*(E5885=E$2:E5885)))))-COUNTBLANK(OFFSET(A$1,,,SUMPRODUCT(MAX(ROW(E$1:E5884)*(E2=E$1:E5884))))))</f>
        <v> </v>
      </c>
      <c r="K5885" s="26" t="str">
        <f>IF(OR(E5885="",E5885="!!!",F5885="NEW"),"",INDEX(J$1:J5884,SUMPRODUCT(MAX(ROW(E$1:E5884)*(E5885=E$1:E5884)))))</f>
        <v> </v>
      </c>
      <c r="L5885" s="27"/>
    </row>
    <row r="5886" spans="1:12">
      <c r="A5886" s="20"/>
    </row>
    <row r="5887" spans="1:12">
      <c r="A5887" s="20" t="s">
        <v>2476</v>
      </c>
    </row>
    <row r="5888" spans="1:12">
      <c r="A5888" s="20" t="s">
        <v>190</v>
      </c>
      <c r="E5888" s="22">
        <f>IF(D5888="?OLD","!!!","")</f>
        <v/>
      </c>
      <c r="F5888" s="23" t="str">
        <f>IF(OR(E5888="",E5888="!!!"),"",IF(NOT(ISNA(VLOOKUP(E5888,E$1:E5887,1,FALSE()))),"OLD",IF(AND(E5888&lt;&gt;"",E5888&lt;&gt;"!!!"),"NEW","")))</f>
        <v> </v>
      </c>
      <c r="G5888" s="24" t="str">
        <f>IF(OR(E5888="",E5888="!!!"),"",IF(OR(J5888=0,AND(J5888=1,K5888=1),AND(J5888=1,I5888="SBJ"),AND(J5888=1,I5888=0)),"?IN_FOCUS",IF(J5888&lt;=2,"?ACTIVATED",IF(J5888&lt;&gt;"","?FAMILIAR",IF(F5888="NEW",IF(ISNA(VLOOKUP(E5888,#REF!,1,FALSE())),"?TYPE_IDENTIFIABLE","?REFERENTIAL"),"_")))))</f>
        <v> </v>
      </c>
      <c r="H5888" s="25" t="str">
        <f>IF(J5888&lt;&gt;1,"",IF(I5888="SBJ","CB","?"))</f>
        <v> </v>
      </c>
      <c r="I5888" s="26" t="str">
        <f>IF(OR(E5888="",E5888="!!!",F5888="NEW"),"",INDEX(B5887:B$2,-1+SUMPRODUCT(MAX(ROW(E5887:E$2)*(E5888=E5887:E$2)))))</f>
        <v> </v>
      </c>
      <c r="J5888" s="26" t="str">
        <f>IF(OR(E5888="",E5888="!!!",F5888="NEW"),"",COUNTBLANK(OFFSET(A$1,,,SUMPRODUCT(MAX(ROW(E$2:E5888)*(E5888=E$2:E5888)))))-COUNTBLANK(OFFSET(A$1,,,SUMPRODUCT(MAX(ROW(E$1:E5887)*(E2=E$1:E5887))))))</f>
        <v> </v>
      </c>
      <c r="K5888" s="26" t="str">
        <f>IF(OR(E5888="",E5888="!!!",F5888="NEW"),"",INDEX(J$1:J5887,SUMPRODUCT(MAX(ROW(E$1:E5887)*(E5888=E$1:E5887)))))</f>
        <v> </v>
      </c>
      <c r="L5888" s="27"/>
    </row>
    <row r="5889" spans="1:12">
      <c r="A5889" s="20" t="s">
        <v>1594</v>
      </c>
      <c r="E5889" s="22">
        <f>IF(D5889="?OLD","!!!","")</f>
        <v/>
      </c>
      <c r="F5889" s="23" t="str">
        <f>IF(OR(E5889="",E5889="!!!"),"",IF(NOT(ISNA(VLOOKUP(E5889,E$1:E5888,1,FALSE()))),"OLD",IF(AND(E5889&lt;&gt;"",E5889&lt;&gt;"!!!"),"NEW","")))</f>
        <v> </v>
      </c>
      <c r="G5889" s="24" t="str">
        <f>IF(OR(E5889="",E5889="!!!"),"",IF(OR(J5889=0,AND(J5889=1,K5889=1),AND(J5889=1,I5889="SBJ"),AND(J5889=1,I5889=0)),"?IN_FOCUS",IF(J5889&lt;=2,"?ACTIVATED",IF(J5889&lt;&gt;"","?FAMILIAR",IF(F5889="NEW",IF(ISNA(VLOOKUP(E5889,#REF!,1,FALSE())),"?TYPE_IDENTIFIABLE","?REFERENTIAL"),"_")))))</f>
        <v> </v>
      </c>
      <c r="H5889" s="25" t="str">
        <f>IF(J5889&lt;&gt;1,"",IF(I5889="SBJ","CB","?"))</f>
        <v> </v>
      </c>
      <c r="I5889" s="26" t="str">
        <f>IF(OR(E5889="",E5889="!!!",F5889="NEW"),"",INDEX(B5888:B$2,-1+SUMPRODUCT(MAX(ROW(E5888:E$2)*(E5889=E5888:E$2)))))</f>
        <v> </v>
      </c>
      <c r="J5889" s="26" t="str">
        <f>IF(OR(E5889="",E5889="!!!",F5889="NEW"),"",COUNTBLANK(OFFSET(A$1,,,SUMPRODUCT(MAX(ROW(E$2:E5889)*(E5889=E$2:E5889)))))-COUNTBLANK(OFFSET(A$1,,,SUMPRODUCT(MAX(ROW(E$1:E5888)*(E2=E$1:E5888))))))</f>
        <v> </v>
      </c>
      <c r="K5889" s="26" t="str">
        <f>IF(OR(E5889="",E5889="!!!",F5889="NEW"),"",INDEX(J$1:J5888,SUMPRODUCT(MAX(ROW(E$1:E5888)*(E5889=E$1:E5888)))))</f>
        <v> </v>
      </c>
      <c r="L5889" s="27"/>
    </row>
    <row r="5890" spans="1:12">
      <c r="A5890" s="20" t="s">
        <v>845</v>
      </c>
      <c r="E5890" s="22">
        <f>IF(D5890="?OLD","!!!","")</f>
        <v/>
      </c>
      <c r="F5890" s="23" t="str">
        <f>IF(OR(E5890="",E5890="!!!"),"",IF(NOT(ISNA(VLOOKUP(E5890,E$1:E5889,1,FALSE()))),"OLD",IF(AND(E5890&lt;&gt;"",E5890&lt;&gt;"!!!"),"NEW","")))</f>
        <v> </v>
      </c>
      <c r="G5890" s="24" t="str">
        <f>IF(OR(E5890="",E5890="!!!"),"",IF(OR(J5890=0,AND(J5890=1,K5890=1),AND(J5890=1,I5890="SBJ"),AND(J5890=1,I5890=0)),"?IN_FOCUS",IF(J5890&lt;=2,"?ACTIVATED",IF(J5890&lt;&gt;"","?FAMILIAR",IF(F5890="NEW",IF(ISNA(VLOOKUP(E5890,#REF!,1,FALSE())),"?TYPE_IDENTIFIABLE","?REFERENTIAL"),"_")))))</f>
        <v> </v>
      </c>
      <c r="H5890" s="25" t="str">
        <f>IF(J5890&lt;&gt;1,"",IF(I5890="SBJ","CB","?"))</f>
        <v> </v>
      </c>
      <c r="I5890" s="26" t="str">
        <f>IF(OR(E5890="",E5890="!!!",F5890="NEW"),"",INDEX(B5889:B$2,-1+SUMPRODUCT(MAX(ROW(E5889:E$2)*(E5890=E5889:E$2)))))</f>
        <v> </v>
      </c>
      <c r="J5890" s="26" t="str">
        <f>IF(OR(E5890="",E5890="!!!",F5890="NEW"),"",COUNTBLANK(OFFSET(A$1,,,SUMPRODUCT(MAX(ROW(E$2:E5890)*(E5890=E$2:E5890)))))-COUNTBLANK(OFFSET(A$1,,,SUMPRODUCT(MAX(ROW(E$1:E5889)*(E2=E$1:E5889))))))</f>
        <v> </v>
      </c>
      <c r="K5890" s="26" t="str">
        <f>IF(OR(E5890="",E5890="!!!",F5890="NEW"),"",INDEX(J$1:J5889,SUMPRODUCT(MAX(ROW(E$1:E5889)*(E5890=E$1:E5889)))))</f>
        <v> </v>
      </c>
      <c r="L5890" s="27"/>
    </row>
    <row r="5891" spans="1:12">
      <c r="A5891" s="20" t="s">
        <v>1002</v>
      </c>
      <c r="E5891" s="22">
        <f>IF(D5891="?OLD","!!!","")</f>
        <v/>
      </c>
      <c r="F5891" s="23" t="str">
        <f>IF(OR(E5891="",E5891="!!!"),"",IF(NOT(ISNA(VLOOKUP(E5891,E$1:E5890,1,FALSE()))),"OLD",IF(AND(E5891&lt;&gt;"",E5891&lt;&gt;"!!!"),"NEW","")))</f>
        <v> </v>
      </c>
      <c r="G5891" s="24" t="str">
        <f>IF(OR(E5891="",E5891="!!!"),"",IF(OR(J5891=0,AND(J5891=1,K5891=1),AND(J5891=1,I5891="SBJ"),AND(J5891=1,I5891=0)),"?IN_FOCUS",IF(J5891&lt;=2,"?ACTIVATED",IF(J5891&lt;&gt;"","?FAMILIAR",IF(F5891="NEW",IF(ISNA(VLOOKUP(E5891,#REF!,1,FALSE())),"?TYPE_IDENTIFIABLE","?REFERENTIAL"),"_")))))</f>
        <v> </v>
      </c>
      <c r="H5891" s="25" t="str">
        <f>IF(J5891&lt;&gt;1,"",IF(I5891="SBJ","CB","?"))</f>
        <v> </v>
      </c>
      <c r="I5891" s="26" t="str">
        <f>IF(OR(E5891="",E5891="!!!",F5891="NEW"),"",INDEX(B5890:B$2,-1+SUMPRODUCT(MAX(ROW(E5890:E$2)*(E5891=E5890:E$2)))))</f>
        <v> </v>
      </c>
      <c r="J5891" s="26" t="str">
        <f>IF(OR(E5891="",E5891="!!!",F5891="NEW"),"",COUNTBLANK(OFFSET(A$1,,,SUMPRODUCT(MAX(ROW(E$2:E5891)*(E5891=E$2:E5891)))))-COUNTBLANK(OFFSET(A$1,,,SUMPRODUCT(MAX(ROW(E$1:E5890)*(E2=E$1:E5890))))))</f>
        <v> </v>
      </c>
      <c r="K5891" s="26" t="str">
        <f>IF(OR(E5891="",E5891="!!!",F5891="NEW"),"",INDEX(J$1:J5890,SUMPRODUCT(MAX(ROW(E$1:E5890)*(E5891=E$1:E5890)))))</f>
        <v> </v>
      </c>
      <c r="L5891" s="27"/>
    </row>
    <row r="5892" spans="1:12">
      <c r="A5892" s="20" t="s">
        <v>1024</v>
      </c>
      <c r="E5892" s="22">
        <f>IF(D5892="?OLD","!!!","")</f>
        <v/>
      </c>
      <c r="F5892" s="23" t="str">
        <f>IF(OR(E5892="",E5892="!!!"),"",IF(NOT(ISNA(VLOOKUP(E5892,E$1:E5891,1,FALSE()))),"OLD",IF(AND(E5892&lt;&gt;"",E5892&lt;&gt;"!!!"),"NEW","")))</f>
        <v> </v>
      </c>
      <c r="G5892" s="24" t="str">
        <f>IF(OR(E5892="",E5892="!!!"),"",IF(OR(J5892=0,AND(J5892=1,K5892=1),AND(J5892=1,I5892="SBJ"),AND(J5892=1,I5892=0)),"?IN_FOCUS",IF(J5892&lt;=2,"?ACTIVATED",IF(J5892&lt;&gt;"","?FAMILIAR",IF(F5892="NEW",IF(ISNA(VLOOKUP(E5892,#REF!,1,FALSE())),"?TYPE_IDENTIFIABLE","?REFERENTIAL"),"_")))))</f>
        <v> </v>
      </c>
      <c r="H5892" s="25" t="str">
        <f>IF(J5892&lt;&gt;1,"",IF(I5892="SBJ","CB","?"))</f>
        <v> </v>
      </c>
      <c r="I5892" s="26" t="str">
        <f>IF(OR(E5892="",E5892="!!!",F5892="NEW"),"",INDEX(B5891:B$2,-1+SUMPRODUCT(MAX(ROW(E5891:E$2)*(E5892=E5891:E$2)))))</f>
        <v> </v>
      </c>
      <c r="J5892" s="26" t="str">
        <f>IF(OR(E5892="",E5892="!!!",F5892="NEW"),"",COUNTBLANK(OFFSET(A$1,,,SUMPRODUCT(MAX(ROW(E$2:E5892)*(E5892=E$2:E5892)))))-COUNTBLANK(OFFSET(A$1,,,SUMPRODUCT(MAX(ROW(E$1:E5891)*(E2=E$1:E5891))))))</f>
        <v> </v>
      </c>
      <c r="K5892" s="26" t="str">
        <f>IF(OR(E5892="",E5892="!!!",F5892="NEW"),"",INDEX(J$1:J5891,SUMPRODUCT(MAX(ROW(E$1:E5891)*(E5892=E$1:E5891)))))</f>
        <v> </v>
      </c>
      <c r="L5892" s="27"/>
    </row>
    <row r="5893" spans="1:12">
      <c r="A5893" s="20" t="s">
        <v>993</v>
      </c>
      <c r="E5893" s="22">
        <f>IF(D5893="?OLD","!!!","")</f>
        <v/>
      </c>
      <c r="F5893" s="23" t="str">
        <f>IF(OR(E5893="",E5893="!!!"),"",IF(NOT(ISNA(VLOOKUP(E5893,E$1:E5892,1,FALSE()))),"OLD",IF(AND(E5893&lt;&gt;"",E5893&lt;&gt;"!!!"),"NEW","")))</f>
        <v> </v>
      </c>
      <c r="G5893" s="24" t="str">
        <f>IF(OR(E5893="",E5893="!!!"),"",IF(OR(J5893=0,AND(J5893=1,K5893=1),AND(J5893=1,I5893="SBJ"),AND(J5893=1,I5893=0)),"?IN_FOCUS",IF(J5893&lt;=2,"?ACTIVATED",IF(J5893&lt;&gt;"","?FAMILIAR",IF(F5893="NEW",IF(ISNA(VLOOKUP(E5893,#REF!,1,FALSE())),"?TYPE_IDENTIFIABLE","?REFERENTIAL"),"_")))))</f>
        <v> </v>
      </c>
      <c r="H5893" s="25" t="str">
        <f>IF(J5893&lt;&gt;1,"",IF(I5893="SBJ","CB","?"))</f>
        <v> </v>
      </c>
      <c r="I5893" s="26" t="str">
        <f>IF(OR(E5893="",E5893="!!!",F5893="NEW"),"",INDEX(B5892:B$2,-1+SUMPRODUCT(MAX(ROW(E5892:E$2)*(E5893=E5892:E$2)))))</f>
        <v> </v>
      </c>
      <c r="J5893" s="26" t="str">
        <f>IF(OR(E5893="",E5893="!!!",F5893="NEW"),"",COUNTBLANK(OFFSET(A$1,,,SUMPRODUCT(MAX(ROW(E$2:E5893)*(E5893=E$2:E5893)))))-COUNTBLANK(OFFSET(A$1,,,SUMPRODUCT(MAX(ROW(E$1:E5892)*(E2=E$1:E5892))))))</f>
        <v> </v>
      </c>
      <c r="K5893" s="26" t="str">
        <f>IF(OR(E5893="",E5893="!!!",F5893="NEW"),"",INDEX(J$1:J5892,SUMPRODUCT(MAX(ROW(E$1:E5892)*(E5893=E$1:E5892)))))</f>
        <v> </v>
      </c>
      <c r="L5893" s="27"/>
    </row>
    <row r="5894" spans="1:12">
      <c r="A5894" s="20" t="s">
        <v>750</v>
      </c>
      <c r="B5894" s="21" t="s">
        <v>1095</v>
      </c>
      <c r="C5894" s="21" t="s">
        <v>995</v>
      </c>
      <c r="D5894" s="21" t="s">
        <v>978</v>
      </c>
      <c r="E5894" s="22">
        <f>IF(D5894="?OLD","!!!","")</f>
        <v/>
      </c>
      <c r="F5894" s="23" t="str">
        <f>IF(OR(E5894="",E5894="!!!"),"",IF(NOT(ISNA(VLOOKUP(E5894,E$1:E5893,1,FALSE()))),"OLD",IF(AND(E5894&lt;&gt;"",E5894&lt;&gt;"!!!"),"NEW","")))</f>
        <v> </v>
      </c>
      <c r="G5894" s="24" t="str">
        <f>IF(OR(E5894="",E5894="!!!"),"",IF(OR(J5894=0,AND(J5894=1,K5894=1),AND(J5894=1,I5894="SBJ"),AND(J5894=1,I5894=0)),"?IN_FOCUS",IF(J5894&lt;=2,"?ACTIVATED",IF(J5894&lt;&gt;"","?FAMILIAR",IF(F5894="NEW",IF(ISNA(VLOOKUP(E5894,#REF!,1,FALSE())),"?TYPE_IDENTIFIABLE","?REFERENTIAL"),"_")))))</f>
        <v> </v>
      </c>
      <c r="H5894" s="25" t="str">
        <f>IF(J5894&lt;&gt;1,"",IF(I5894="SBJ","CB","?"))</f>
        <v> </v>
      </c>
      <c r="I5894" s="26" t="str">
        <f>IF(OR(E5894="",E5894="!!!",F5894="NEW"),"",INDEX(B5893:B$2,-1+SUMPRODUCT(MAX(ROW(E5893:E$2)*(E5894=E5893:E$2)))))</f>
        <v> </v>
      </c>
      <c r="J5894" s="26" t="str">
        <f>IF(OR(E5894="",E5894="!!!",F5894="NEW"),"",COUNTBLANK(OFFSET(A$1,,,SUMPRODUCT(MAX(ROW(E$2:E5894)*(E5894=E$2:E5894)))))-COUNTBLANK(OFFSET(A$1,,,SUMPRODUCT(MAX(ROW(E$1:E5893)*(E2=E$1:E5893))))))</f>
        <v> </v>
      </c>
      <c r="K5894" s="26" t="str">
        <f>IF(OR(E5894="",E5894="!!!",F5894="NEW"),"",INDEX(J$1:J5893,SUMPRODUCT(MAX(ROW(E$1:E5893)*(E5894=E$1:E5893)))))</f>
        <v> </v>
      </c>
      <c r="L5894" s="27"/>
    </row>
    <row r="5895" spans="1:12">
      <c r="A5895" s="20" t="s">
        <v>1753</v>
      </c>
      <c r="E5895" s="22">
        <f>IF(D5895="?OLD","!!!","")</f>
        <v/>
      </c>
      <c r="F5895" s="23" t="str">
        <f>IF(OR(E5895="",E5895="!!!"),"",IF(NOT(ISNA(VLOOKUP(E5895,E$1:E5894,1,FALSE()))),"OLD",IF(AND(E5895&lt;&gt;"",E5895&lt;&gt;"!!!"),"NEW","")))</f>
        <v> </v>
      </c>
      <c r="G5895" s="24" t="str">
        <f>IF(OR(E5895="",E5895="!!!"),"",IF(OR(J5895=0,AND(J5895=1,K5895=1),AND(J5895=1,I5895="SBJ"),AND(J5895=1,I5895=0)),"?IN_FOCUS",IF(J5895&lt;=2,"?ACTIVATED",IF(J5895&lt;&gt;"","?FAMILIAR",IF(F5895="NEW",IF(ISNA(VLOOKUP(E5895,#REF!,1,FALSE())),"?TYPE_IDENTIFIABLE","?REFERENTIAL"),"_")))))</f>
        <v> </v>
      </c>
      <c r="H5895" s="25" t="str">
        <f>IF(J5895&lt;&gt;1,"",IF(I5895="SBJ","CB","?"))</f>
        <v> </v>
      </c>
      <c r="I5895" s="26" t="str">
        <f>IF(OR(E5895="",E5895="!!!",F5895="NEW"),"",INDEX(B5894:B$2,-1+SUMPRODUCT(MAX(ROW(E5894:E$2)*(E5895=E5894:E$2)))))</f>
        <v> </v>
      </c>
      <c r="J5895" s="26" t="str">
        <f>IF(OR(E5895="",E5895="!!!",F5895="NEW"),"",COUNTBLANK(OFFSET(A$1,,,SUMPRODUCT(MAX(ROW(E$2:E5895)*(E5895=E$2:E5895)))))-COUNTBLANK(OFFSET(A$1,,,SUMPRODUCT(MAX(ROW(E$1:E5894)*(E2=E$1:E5894))))))</f>
        <v> </v>
      </c>
      <c r="K5895" s="26" t="str">
        <f>IF(OR(E5895="",E5895="!!!",F5895="NEW"),"",INDEX(J$1:J5894,SUMPRODUCT(MAX(ROW(E$1:E5894)*(E5895=E$1:E5894)))))</f>
        <v> </v>
      </c>
      <c r="L5895" s="27"/>
    </row>
    <row r="5896" spans="1:12">
      <c r="A5896" s="20" t="s">
        <v>1216</v>
      </c>
      <c r="E5896" s="22">
        <f>IF(D5896="?OLD","!!!","")</f>
        <v/>
      </c>
      <c r="F5896" s="23" t="str">
        <f>IF(OR(E5896="",E5896="!!!"),"",IF(NOT(ISNA(VLOOKUP(E5896,E$1:E5895,1,FALSE()))),"OLD",IF(AND(E5896&lt;&gt;"",E5896&lt;&gt;"!!!"),"NEW","")))</f>
        <v> </v>
      </c>
      <c r="G5896" s="24" t="str">
        <f>IF(OR(E5896="",E5896="!!!"),"",IF(OR(J5896=0,AND(J5896=1,K5896=1),AND(J5896=1,I5896="SBJ"),AND(J5896=1,I5896=0)),"?IN_FOCUS",IF(J5896&lt;=2,"?ACTIVATED",IF(J5896&lt;&gt;"","?FAMILIAR",IF(F5896="NEW",IF(ISNA(VLOOKUP(E5896,#REF!,1,FALSE())),"?TYPE_IDENTIFIABLE","?REFERENTIAL"),"_")))))</f>
        <v> </v>
      </c>
      <c r="H5896" s="25" t="str">
        <f>IF(J5896&lt;&gt;1,"",IF(I5896="SBJ","CB","?"))</f>
        <v> </v>
      </c>
      <c r="I5896" s="26" t="str">
        <f>IF(OR(E5896="",E5896="!!!",F5896="NEW"),"",INDEX(B5895:B$2,-1+SUMPRODUCT(MAX(ROW(E5895:E$2)*(E5896=E5895:E$2)))))</f>
        <v> </v>
      </c>
      <c r="J5896" s="26" t="str">
        <f>IF(OR(E5896="",E5896="!!!",F5896="NEW"),"",COUNTBLANK(OFFSET(A$1,,,SUMPRODUCT(MAX(ROW(E$2:E5896)*(E5896=E$2:E5896)))))-COUNTBLANK(OFFSET(A$1,,,SUMPRODUCT(MAX(ROW(E$1:E5895)*(E2=E$1:E5895))))))</f>
        <v> </v>
      </c>
      <c r="K5896" s="26" t="str">
        <f>IF(OR(E5896="",E5896="!!!",F5896="NEW"),"",INDEX(J$1:J5895,SUMPRODUCT(MAX(ROW(E$1:E5895)*(E5896=E$1:E5895)))))</f>
        <v> </v>
      </c>
      <c r="L5896" s="27"/>
    </row>
    <row r="5897" spans="1:12">
      <c r="A5897" s="20" t="s">
        <v>1217</v>
      </c>
      <c r="E5897" s="22">
        <f>IF(D5897="?OLD","!!!","")</f>
        <v/>
      </c>
      <c r="F5897" s="23" t="str">
        <f>IF(OR(E5897="",E5897="!!!"),"",IF(NOT(ISNA(VLOOKUP(E5897,E$1:E5896,1,FALSE()))),"OLD",IF(AND(E5897&lt;&gt;"",E5897&lt;&gt;"!!!"),"NEW","")))</f>
        <v> </v>
      </c>
      <c r="G5897" s="24" t="str">
        <f>IF(OR(E5897="",E5897="!!!"),"",IF(OR(J5897=0,AND(J5897=1,K5897=1),AND(J5897=1,I5897="SBJ"),AND(J5897=1,I5897=0)),"?IN_FOCUS",IF(J5897&lt;=2,"?ACTIVATED",IF(J5897&lt;&gt;"","?FAMILIAR",IF(F5897="NEW",IF(ISNA(VLOOKUP(E5897,#REF!,1,FALSE())),"?TYPE_IDENTIFIABLE","?REFERENTIAL"),"_")))))</f>
        <v> </v>
      </c>
      <c r="H5897" s="25" t="str">
        <f>IF(J5897&lt;&gt;1,"",IF(I5897="SBJ","CB","?"))</f>
        <v> </v>
      </c>
      <c r="I5897" s="26" t="str">
        <f>IF(OR(E5897="",E5897="!!!",F5897="NEW"),"",INDEX(B5896:B$2,-1+SUMPRODUCT(MAX(ROW(E5896:E$2)*(E5897=E5896:E$2)))))</f>
        <v> </v>
      </c>
      <c r="J5897" s="26" t="str">
        <f>IF(OR(E5897="",E5897="!!!",F5897="NEW"),"",COUNTBLANK(OFFSET(A$1,,,SUMPRODUCT(MAX(ROW(E$2:E5897)*(E5897=E$2:E5897)))))-COUNTBLANK(OFFSET(A$1,,,SUMPRODUCT(MAX(ROW(E$1:E5896)*(E2=E$1:E5896))))))</f>
        <v> </v>
      </c>
      <c r="K5897" s="26" t="str">
        <f>IF(OR(E5897="",E5897="!!!",F5897="NEW"),"",INDEX(J$1:J5896,SUMPRODUCT(MAX(ROW(E$1:E5896)*(E5897=E$1:E5896)))))</f>
        <v> </v>
      </c>
      <c r="L5897" s="27"/>
    </row>
    <row r="5898" spans="1:12">
      <c r="A5898" s="20" t="s">
        <v>1871</v>
      </c>
      <c r="B5898" s="21" t="s">
        <v>1066</v>
      </c>
      <c r="C5898" s="21" t="s">
        <v>977</v>
      </c>
      <c r="D5898" s="21" t="s">
        <v>978</v>
      </c>
      <c r="E5898" s="22">
        <f>IF(D5898="?OLD","!!!","")</f>
        <v/>
      </c>
      <c r="F5898" s="23" t="str">
        <f>IF(OR(E5898="",E5898="!!!"),"",IF(NOT(ISNA(VLOOKUP(E5898,E$1:E5897,1,FALSE()))),"OLD",IF(AND(E5898&lt;&gt;"",E5898&lt;&gt;"!!!"),"NEW","")))</f>
        <v> </v>
      </c>
      <c r="G5898" s="24" t="str">
        <f>IF(OR(E5898="",E5898="!!!"),"",IF(OR(J5898=0,AND(J5898=1,K5898=1),AND(J5898=1,I5898="SBJ"),AND(J5898=1,I5898=0)),"?IN_FOCUS",IF(J5898&lt;=2,"?ACTIVATED",IF(J5898&lt;&gt;"","?FAMILIAR",IF(F5898="NEW",IF(ISNA(VLOOKUP(E5898,#REF!,1,FALSE())),"?TYPE_IDENTIFIABLE","?REFERENTIAL"),"_")))))</f>
        <v> </v>
      </c>
      <c r="H5898" s="25" t="str">
        <f>IF(J5898&lt;&gt;1,"",IF(I5898="SBJ","CB","?"))</f>
        <v> </v>
      </c>
      <c r="I5898" s="26" t="str">
        <f>IF(OR(E5898="",E5898="!!!",F5898="NEW"),"",INDEX(B5897:B$2,-1+SUMPRODUCT(MAX(ROW(E5897:E$2)*(E5898=E5897:E$2)))))</f>
        <v> </v>
      </c>
      <c r="J5898" s="26" t="str">
        <f>IF(OR(E5898="",E5898="!!!",F5898="NEW"),"",COUNTBLANK(OFFSET(A$1,,,SUMPRODUCT(MAX(ROW(E$2:E5898)*(E5898=E$2:E5898)))))-COUNTBLANK(OFFSET(A$1,,,SUMPRODUCT(MAX(ROW(E$1:E5897)*(E2=E$1:E5897))))))</f>
        <v> </v>
      </c>
      <c r="K5898" s="26" t="str">
        <f>IF(OR(E5898="",E5898="!!!",F5898="NEW"),"",INDEX(J$1:J5897,SUMPRODUCT(MAX(ROW(E$1:E5897)*(E5898=E$1:E5897)))))</f>
        <v> </v>
      </c>
      <c r="L5898" s="27"/>
    </row>
    <row r="5899" spans="1:12">
      <c r="A5899" s="20" t="s">
        <v>2477</v>
      </c>
      <c r="E5899" s="22">
        <f>IF(D5899="?OLD","!!!","")</f>
        <v/>
      </c>
      <c r="F5899" s="23" t="str">
        <f>IF(OR(E5899="",E5899="!!!"),"",IF(NOT(ISNA(VLOOKUP(E5899,E$1:E5898,1,FALSE()))),"OLD",IF(AND(E5899&lt;&gt;"",E5899&lt;&gt;"!!!"),"NEW","")))</f>
        <v> </v>
      </c>
      <c r="G5899" s="24" t="str">
        <f>IF(OR(E5899="",E5899="!!!"),"",IF(OR(J5899=0,AND(J5899=1,K5899=1),AND(J5899=1,I5899="SBJ"),AND(J5899=1,I5899=0)),"?IN_FOCUS",IF(J5899&lt;=2,"?ACTIVATED",IF(J5899&lt;&gt;"","?FAMILIAR",IF(F5899="NEW",IF(ISNA(VLOOKUP(E5899,#REF!,1,FALSE())),"?TYPE_IDENTIFIABLE","?REFERENTIAL"),"_")))))</f>
        <v> </v>
      </c>
      <c r="H5899" s="25" t="str">
        <f>IF(J5899&lt;&gt;1,"",IF(I5899="SBJ","CB","?"))</f>
        <v> </v>
      </c>
      <c r="I5899" s="26" t="str">
        <f>IF(OR(E5899="",E5899="!!!",F5899="NEW"),"",INDEX(B5898:B$2,-1+SUMPRODUCT(MAX(ROW(E5898:E$2)*(E5899=E5898:E$2)))))</f>
        <v> </v>
      </c>
      <c r="J5899" s="26" t="str">
        <f>IF(OR(E5899="",E5899="!!!",F5899="NEW"),"",COUNTBLANK(OFFSET(A$1,,,SUMPRODUCT(MAX(ROW(E$2:E5899)*(E5899=E$2:E5899)))))-COUNTBLANK(OFFSET(A$1,,,SUMPRODUCT(MAX(ROW(E$1:E5898)*(E2=E$1:E5898))))))</f>
        <v> </v>
      </c>
      <c r="K5899" s="26" t="str">
        <f>IF(OR(E5899="",E5899="!!!",F5899="NEW"),"",INDEX(J$1:J5898,SUMPRODUCT(MAX(ROW(E$1:E5898)*(E5899=E$1:E5898)))))</f>
        <v> </v>
      </c>
      <c r="L5899" s="27"/>
    </row>
    <row r="5900" spans="1:12">
      <c r="A5900" s="20" t="s">
        <v>996</v>
      </c>
      <c r="E5900" s="22">
        <f>IF(D5900="?OLD","!!!","")</f>
        <v/>
      </c>
      <c r="F5900" s="23" t="str">
        <f>IF(OR(E5900="",E5900="!!!"),"",IF(NOT(ISNA(VLOOKUP(E5900,E$1:E5899,1,FALSE()))),"OLD",IF(AND(E5900&lt;&gt;"",E5900&lt;&gt;"!!!"),"NEW","")))</f>
        <v> </v>
      </c>
      <c r="G5900" s="24" t="str">
        <f>IF(OR(E5900="",E5900="!!!"),"",IF(OR(J5900=0,AND(J5900=1,K5900=1),AND(J5900=1,I5900="SBJ"),AND(J5900=1,I5900=0)),"?IN_FOCUS",IF(J5900&lt;=2,"?ACTIVATED",IF(J5900&lt;&gt;"","?FAMILIAR",IF(F5900="NEW",IF(ISNA(VLOOKUP(E5900,#REF!,1,FALSE())),"?TYPE_IDENTIFIABLE","?REFERENTIAL"),"_")))))</f>
        <v> </v>
      </c>
      <c r="H5900" s="25" t="str">
        <f>IF(J5900&lt;&gt;1,"",IF(I5900="SBJ","CB","?"))</f>
        <v> </v>
      </c>
      <c r="I5900" s="26" t="str">
        <f>IF(OR(E5900="",E5900="!!!",F5900="NEW"),"",INDEX(B5899:B$2,-1+SUMPRODUCT(MAX(ROW(E5899:E$2)*(E5900=E5899:E$2)))))</f>
        <v> </v>
      </c>
      <c r="J5900" s="26" t="str">
        <f>IF(OR(E5900="",E5900="!!!",F5900="NEW"),"",COUNTBLANK(OFFSET(A$1,,,SUMPRODUCT(MAX(ROW(E$2:E5900)*(E5900=E$2:E5900)))))-COUNTBLANK(OFFSET(A$1,,,SUMPRODUCT(MAX(ROW(E$1:E5899)*(E2=E$1:E5899))))))</f>
        <v> </v>
      </c>
      <c r="K5900" s="26" t="str">
        <f>IF(OR(E5900="",E5900="!!!",F5900="NEW"),"",INDEX(J$1:J5899,SUMPRODUCT(MAX(ROW(E$1:E5899)*(E5900=E$1:E5899)))))</f>
        <v> </v>
      </c>
      <c r="L5900" s="27"/>
    </row>
    <row r="5901" spans="1:12">
      <c r="A5901" s="20" t="s">
        <v>993</v>
      </c>
      <c r="E5901" s="22">
        <f>IF(D5901="?OLD","!!!","")</f>
        <v/>
      </c>
      <c r="F5901" s="23" t="str">
        <f>IF(OR(E5901="",E5901="!!!"),"",IF(NOT(ISNA(VLOOKUP(E5901,E$1:E5900,1,FALSE()))),"OLD",IF(AND(E5901&lt;&gt;"",E5901&lt;&gt;"!!!"),"NEW","")))</f>
        <v> </v>
      </c>
      <c r="G5901" s="24" t="str">
        <f>IF(OR(E5901="",E5901="!!!"),"",IF(OR(J5901=0,AND(J5901=1,K5901=1),AND(J5901=1,I5901="SBJ"),AND(J5901=1,I5901=0)),"?IN_FOCUS",IF(J5901&lt;=2,"?ACTIVATED",IF(J5901&lt;&gt;"","?FAMILIAR",IF(F5901="NEW",IF(ISNA(VLOOKUP(E5901,#REF!,1,FALSE())),"?TYPE_IDENTIFIABLE","?REFERENTIAL"),"_")))))</f>
        <v> </v>
      </c>
      <c r="H5901" s="25" t="str">
        <f>IF(J5901&lt;&gt;1,"",IF(I5901="SBJ","CB","?"))</f>
        <v> </v>
      </c>
      <c r="I5901" s="26" t="str">
        <f>IF(OR(E5901="",E5901="!!!",F5901="NEW"),"",INDEX(B5900:B$2,-1+SUMPRODUCT(MAX(ROW(E5900:E$2)*(E5901=E5900:E$2)))))</f>
        <v> </v>
      </c>
      <c r="J5901" s="26" t="str">
        <f>IF(OR(E5901="",E5901="!!!",F5901="NEW"),"",COUNTBLANK(OFFSET(A$1,,,SUMPRODUCT(MAX(ROW(E$2:E5901)*(E5901=E$2:E5901)))))-COUNTBLANK(OFFSET(A$1,,,SUMPRODUCT(MAX(ROW(E$1:E5900)*(E2=E$1:E5900))))))</f>
        <v> </v>
      </c>
      <c r="K5901" s="26" t="str">
        <f>IF(OR(E5901="",E5901="!!!",F5901="NEW"),"",INDEX(J$1:J5900,SUMPRODUCT(MAX(ROW(E$1:E5900)*(E5901=E$1:E5900)))))</f>
        <v> </v>
      </c>
      <c r="L5901" s="27"/>
    </row>
    <row r="5902" spans="1:12">
      <c r="A5902" s="20" t="s">
        <v>2478</v>
      </c>
      <c r="B5902" s="21" t="s">
        <v>1054</v>
      </c>
      <c r="C5902" s="21" t="s">
        <v>995</v>
      </c>
      <c r="D5902" s="21" t="s">
        <v>978</v>
      </c>
      <c r="E5902" s="22">
        <f>IF(D5902="?OLD","!!!","")</f>
        <v/>
      </c>
      <c r="F5902" s="23" t="str">
        <f>IF(OR(E5902="",E5902="!!!"),"",IF(NOT(ISNA(VLOOKUP(E5902,E$1:E5901,1,FALSE()))),"OLD",IF(AND(E5902&lt;&gt;"",E5902&lt;&gt;"!!!"),"NEW","")))</f>
        <v> </v>
      </c>
      <c r="G5902" s="24" t="str">
        <f>IF(OR(E5902="",E5902="!!!"),"",IF(OR(J5902=0,AND(J5902=1,K5902=1),AND(J5902=1,I5902="SBJ"),AND(J5902=1,I5902=0)),"?IN_FOCUS",IF(J5902&lt;=2,"?ACTIVATED",IF(J5902&lt;&gt;"","?FAMILIAR",IF(F5902="NEW",IF(ISNA(VLOOKUP(E5902,#REF!,1,FALSE())),"?TYPE_IDENTIFIABLE","?REFERENTIAL"),"_")))))</f>
        <v> </v>
      </c>
      <c r="H5902" s="25" t="str">
        <f>IF(J5902&lt;&gt;1,"",IF(I5902="SBJ","CB","?"))</f>
        <v> </v>
      </c>
      <c r="I5902" s="26" t="str">
        <f>IF(OR(E5902="",E5902="!!!",F5902="NEW"),"",INDEX(B5901:B$2,-1+SUMPRODUCT(MAX(ROW(E5901:E$2)*(E5902=E5901:E$2)))))</f>
        <v> </v>
      </c>
      <c r="J5902" s="26" t="str">
        <f>IF(OR(E5902="",E5902="!!!",F5902="NEW"),"",COUNTBLANK(OFFSET(A$1,,,SUMPRODUCT(MAX(ROW(E$2:E5902)*(E5902=E$2:E5902)))))-COUNTBLANK(OFFSET(A$1,,,SUMPRODUCT(MAX(ROW(E$1:E5901)*(E2=E$1:E5901))))))</f>
        <v> </v>
      </c>
      <c r="K5902" s="26" t="str">
        <f>IF(OR(E5902="",E5902="!!!",F5902="NEW"),"",INDEX(J$1:J5901,SUMPRODUCT(MAX(ROW(E$1:E5901)*(E5902=E$1:E5901)))))</f>
        <v> </v>
      </c>
      <c r="L5902" s="27"/>
    </row>
    <row r="5903" spans="1:12">
      <c r="A5903" s="20" t="s">
        <v>996</v>
      </c>
      <c r="E5903" s="22">
        <f>IF(D5903="?OLD","!!!","")</f>
        <v/>
      </c>
      <c r="F5903" s="23" t="str">
        <f>IF(OR(E5903="",E5903="!!!"),"",IF(NOT(ISNA(VLOOKUP(E5903,E$1:E5902,1,FALSE()))),"OLD",IF(AND(E5903&lt;&gt;"",E5903&lt;&gt;"!!!"),"NEW","")))</f>
        <v> </v>
      </c>
      <c r="G5903" s="24" t="str">
        <f>IF(OR(E5903="",E5903="!!!"),"",IF(OR(J5903=0,AND(J5903=1,K5903=1),AND(J5903=1,I5903="SBJ"),AND(J5903=1,I5903=0)),"?IN_FOCUS",IF(J5903&lt;=2,"?ACTIVATED",IF(J5903&lt;&gt;"","?FAMILIAR",IF(F5903="NEW",IF(ISNA(VLOOKUP(E5903,#REF!,1,FALSE())),"?TYPE_IDENTIFIABLE","?REFERENTIAL"),"_")))))</f>
        <v> </v>
      </c>
      <c r="H5903" s="25" t="str">
        <f>IF(J5903&lt;&gt;1,"",IF(I5903="SBJ","CB","?"))</f>
        <v> </v>
      </c>
      <c r="I5903" s="26" t="str">
        <f>IF(OR(E5903="",E5903="!!!",F5903="NEW"),"",INDEX(B5902:B$2,-1+SUMPRODUCT(MAX(ROW(E5902:E$2)*(E5903=E5902:E$2)))))</f>
        <v> </v>
      </c>
      <c r="J5903" s="26" t="str">
        <f>IF(OR(E5903="",E5903="!!!",F5903="NEW"),"",COUNTBLANK(OFFSET(A$1,,,SUMPRODUCT(MAX(ROW(E$2:E5903)*(E5903=E$2:E5903)))))-COUNTBLANK(OFFSET(A$1,,,SUMPRODUCT(MAX(ROW(E$1:E5902)*(E2=E$1:E5902))))))</f>
        <v> </v>
      </c>
      <c r="K5903" s="26" t="str">
        <f>IF(OR(E5903="",E5903="!!!",F5903="NEW"),"",INDEX(J$1:J5902,SUMPRODUCT(MAX(ROW(E$1:E5902)*(E5903=E$1:E5902)))))</f>
        <v> </v>
      </c>
      <c r="L5903" s="27"/>
    </row>
    <row r="5904" spans="1:12">
      <c r="A5904" s="20" t="s">
        <v>1193</v>
      </c>
      <c r="B5904" s="21" t="s">
        <v>1007</v>
      </c>
      <c r="C5904" s="21" t="s">
        <v>1057</v>
      </c>
      <c r="E5904" s="22">
        <f>IF(D5904="?OLD","!!!","")</f>
        <v/>
      </c>
      <c r="F5904" s="23" t="str">
        <f>IF(OR(E5904="",E5904="!!!"),"",IF(NOT(ISNA(VLOOKUP(E5904,E$1:E5903,1,FALSE()))),"OLD",IF(AND(E5904&lt;&gt;"",E5904&lt;&gt;"!!!"),"NEW","")))</f>
        <v> </v>
      </c>
      <c r="G5904" s="24" t="str">
        <f>IF(OR(E5904="",E5904="!!!"),"",IF(OR(J5904=0,AND(J5904=1,K5904=1),AND(J5904=1,I5904="SBJ"),AND(J5904=1,I5904=0)),"?IN_FOCUS",IF(J5904&lt;=2,"?ACTIVATED",IF(J5904&lt;&gt;"","?FAMILIAR",IF(F5904="NEW",IF(ISNA(VLOOKUP(E5904,#REF!,1,FALSE())),"?TYPE_IDENTIFIABLE","?REFERENTIAL"),"_")))))</f>
        <v> </v>
      </c>
      <c r="H5904" s="25" t="str">
        <f>IF(J5904&lt;&gt;1,"",IF(I5904="SBJ","CB","?"))</f>
        <v> </v>
      </c>
      <c r="I5904" s="26" t="str">
        <f>IF(OR(E5904="",E5904="!!!",F5904="NEW"),"",INDEX(B5903:B$2,-1+SUMPRODUCT(MAX(ROW(E5903:E$2)*(E5904=E5903:E$2)))))</f>
        <v> </v>
      </c>
      <c r="J5904" s="26" t="str">
        <f>IF(OR(E5904="",E5904="!!!",F5904="NEW"),"",COUNTBLANK(OFFSET(A$1,,,SUMPRODUCT(MAX(ROW(E$2:E5904)*(E5904=E$2:E5904)))))-COUNTBLANK(OFFSET(A$1,,,SUMPRODUCT(MAX(ROW(E$1:E5903)*(E2=E$1:E5903))))))</f>
        <v> </v>
      </c>
      <c r="K5904" s="26" t="str">
        <f>IF(OR(E5904="",E5904="!!!",F5904="NEW"),"",INDEX(J$1:J5903,SUMPRODUCT(MAX(ROW(E$1:E5903)*(E5904=E$1:E5903)))))</f>
        <v> </v>
      </c>
      <c r="L5904" s="27"/>
    </row>
    <row r="5905" spans="1:12">
      <c r="A5905" s="20" t="s">
        <v>1002</v>
      </c>
      <c r="E5905" s="22">
        <f>IF(D5905="?OLD","!!!","")</f>
        <v/>
      </c>
      <c r="F5905" s="23" t="str">
        <f>IF(OR(E5905="",E5905="!!!"),"",IF(NOT(ISNA(VLOOKUP(E5905,E$1:E5904,1,FALSE()))),"OLD",IF(AND(E5905&lt;&gt;"",E5905&lt;&gt;"!!!"),"NEW","")))</f>
        <v> </v>
      </c>
      <c r="G5905" s="24" t="str">
        <f>IF(OR(E5905="",E5905="!!!"),"",IF(OR(J5905=0,AND(J5905=1,K5905=1),AND(J5905=1,I5905="SBJ"),AND(J5905=1,I5905=0)),"?IN_FOCUS",IF(J5905&lt;=2,"?ACTIVATED",IF(J5905&lt;&gt;"","?FAMILIAR",IF(F5905="NEW",IF(ISNA(VLOOKUP(E5905,#REF!,1,FALSE())),"?TYPE_IDENTIFIABLE","?REFERENTIAL"),"_")))))</f>
        <v> </v>
      </c>
      <c r="H5905" s="25" t="str">
        <f>IF(J5905&lt;&gt;1,"",IF(I5905="SBJ","CB","?"))</f>
        <v> </v>
      </c>
      <c r="I5905" s="26" t="str">
        <f>IF(OR(E5905="",E5905="!!!",F5905="NEW"),"",INDEX(B5904:B$2,-1+SUMPRODUCT(MAX(ROW(E5904:E$2)*(E5905=E5904:E$2)))))</f>
        <v> </v>
      </c>
      <c r="J5905" s="26" t="str">
        <f>IF(OR(E5905="",E5905="!!!",F5905="NEW"),"",COUNTBLANK(OFFSET(A$1,,,SUMPRODUCT(MAX(ROW(E$2:E5905)*(E5905=E$2:E5905)))))-COUNTBLANK(OFFSET(A$1,,,SUMPRODUCT(MAX(ROW(E$1:E5904)*(E2=E$1:E5904))))))</f>
        <v> </v>
      </c>
      <c r="K5905" s="26" t="str">
        <f>IF(OR(E5905="",E5905="!!!",F5905="NEW"),"",INDEX(J$1:J5904,SUMPRODUCT(MAX(ROW(E$1:E5904)*(E5905=E$1:E5904)))))</f>
        <v> </v>
      </c>
      <c r="L5905" s="27"/>
    </row>
    <row r="5906" spans="1:12">
      <c r="A5906" s="20" t="s">
        <v>1877</v>
      </c>
      <c r="B5906" s="21" t="s">
        <v>1035</v>
      </c>
      <c r="C5906" s="21" t="s">
        <v>1008</v>
      </c>
      <c r="D5906" s="21" t="s">
        <v>978</v>
      </c>
      <c r="E5906" s="22">
        <f>IF(D5906="?OLD","!!!","")</f>
        <v/>
      </c>
      <c r="F5906" s="23" t="str">
        <f>IF(OR(E5906="",E5906="!!!"),"",IF(NOT(ISNA(VLOOKUP(E5906,E$1:E5905,1,FALSE()))),"OLD",IF(AND(E5906&lt;&gt;"",E5906&lt;&gt;"!!!"),"NEW","")))</f>
        <v> </v>
      </c>
      <c r="G5906" s="24" t="str">
        <f>IF(OR(E5906="",E5906="!!!"),"",IF(OR(J5906=0,AND(J5906=1,K5906=1),AND(J5906=1,I5906="SBJ"),AND(J5906=1,I5906=0)),"?IN_FOCUS",IF(J5906&lt;=2,"?ACTIVATED",IF(J5906&lt;&gt;"","?FAMILIAR",IF(F5906="NEW",IF(ISNA(VLOOKUP(E5906,#REF!,1,FALSE())),"?TYPE_IDENTIFIABLE","?REFERENTIAL"),"_")))))</f>
        <v> </v>
      </c>
      <c r="H5906" s="25" t="str">
        <f>IF(J5906&lt;&gt;1,"",IF(I5906="SBJ","CB","?"))</f>
        <v> </v>
      </c>
      <c r="I5906" s="26" t="str">
        <f>IF(OR(E5906="",E5906="!!!",F5906="NEW"),"",INDEX(B5905:B$2,-1+SUMPRODUCT(MAX(ROW(E5905:E$2)*(E5906=E5905:E$2)))))</f>
        <v> </v>
      </c>
      <c r="J5906" s="26" t="str">
        <f>IF(OR(E5906="",E5906="!!!",F5906="NEW"),"",COUNTBLANK(OFFSET(A$1,,,SUMPRODUCT(MAX(ROW(E$2:E5906)*(E5906=E$2:E5906)))))-COUNTBLANK(OFFSET(A$1,,,SUMPRODUCT(MAX(ROW(E$1:E5905)*(E2=E$1:E5905))))))</f>
        <v> </v>
      </c>
      <c r="K5906" s="26" t="str">
        <f>IF(OR(E5906="",E5906="!!!",F5906="NEW"),"",INDEX(J$1:J5905,SUMPRODUCT(MAX(ROW(E$1:E5905)*(E5906=E$1:E5905)))))</f>
        <v> </v>
      </c>
      <c r="L5906" s="27"/>
    </row>
    <row r="5907" spans="1:12">
      <c r="A5907" s="20" t="s">
        <v>1865</v>
      </c>
      <c r="B5907" s="21" t="s">
        <v>1036</v>
      </c>
      <c r="C5907" s="21" t="s">
        <v>977</v>
      </c>
      <c r="D5907" s="21" t="s">
        <v>978</v>
      </c>
      <c r="E5907" s="22">
        <f>IF(D5907="?OLD","!!!","")</f>
        <v/>
      </c>
      <c r="F5907" s="23" t="str">
        <f>IF(OR(E5907="",E5907="!!!"),"",IF(NOT(ISNA(VLOOKUP(E5907,E$1:E5906,1,FALSE()))),"OLD",IF(AND(E5907&lt;&gt;"",E5907&lt;&gt;"!!!"),"NEW","")))</f>
        <v> </v>
      </c>
      <c r="G5907" s="24" t="str">
        <f>IF(OR(E5907="",E5907="!!!"),"",IF(OR(J5907=0,AND(J5907=1,K5907=1),AND(J5907=1,I5907="SBJ"),AND(J5907=1,I5907=0)),"?IN_FOCUS",IF(J5907&lt;=2,"?ACTIVATED",IF(J5907&lt;&gt;"","?FAMILIAR",IF(F5907="NEW",IF(ISNA(VLOOKUP(E5907,#REF!,1,FALSE())),"?TYPE_IDENTIFIABLE","?REFERENTIAL"),"_")))))</f>
        <v> </v>
      </c>
      <c r="H5907" s="25" t="str">
        <f>IF(J5907&lt;&gt;1,"",IF(I5907="SBJ","CB","?"))</f>
        <v> </v>
      </c>
      <c r="I5907" s="26" t="str">
        <f>IF(OR(E5907="",E5907="!!!",F5907="NEW"),"",INDEX(B5906:B$2,-1+SUMPRODUCT(MAX(ROW(E5906:E$2)*(E5907=E5906:E$2)))))</f>
        <v> </v>
      </c>
      <c r="J5907" s="26" t="str">
        <f>IF(OR(E5907="",E5907="!!!",F5907="NEW"),"",COUNTBLANK(OFFSET(A$1,,,SUMPRODUCT(MAX(ROW(E$2:E5907)*(E5907=E$2:E5907)))))-COUNTBLANK(OFFSET(A$1,,,SUMPRODUCT(MAX(ROW(E$1:E5906)*(E2=E$1:E5906))))))</f>
        <v> </v>
      </c>
      <c r="K5907" s="26" t="str">
        <f>IF(OR(E5907="",E5907="!!!",F5907="NEW"),"",INDEX(J$1:J5906,SUMPRODUCT(MAX(ROW(E$1:E5906)*(E5907=E$1:E5906)))))</f>
        <v> </v>
      </c>
      <c r="L5907" s="27"/>
    </row>
    <row r="5908" spans="1:12">
      <c r="A5908" s="20" t="s">
        <v>1597</v>
      </c>
      <c r="E5908" s="22">
        <f>IF(D5908="?OLD","!!!","")</f>
        <v/>
      </c>
      <c r="F5908" s="23" t="str">
        <f>IF(OR(E5908="",E5908="!!!"),"",IF(NOT(ISNA(VLOOKUP(E5908,E$1:E5907,1,FALSE()))),"OLD",IF(AND(E5908&lt;&gt;"",E5908&lt;&gt;"!!!"),"NEW","")))</f>
        <v> </v>
      </c>
      <c r="G5908" s="24" t="str">
        <f>IF(OR(E5908="",E5908="!!!"),"",IF(OR(J5908=0,AND(J5908=1,K5908=1),AND(J5908=1,I5908="SBJ"),AND(J5908=1,I5908=0)),"?IN_FOCUS",IF(J5908&lt;=2,"?ACTIVATED",IF(J5908&lt;&gt;"","?FAMILIAR",IF(F5908="NEW",IF(ISNA(VLOOKUP(E5908,#REF!,1,FALSE())),"?TYPE_IDENTIFIABLE","?REFERENTIAL"),"_")))))</f>
        <v> </v>
      </c>
      <c r="H5908" s="25" t="str">
        <f>IF(J5908&lt;&gt;1,"",IF(I5908="SBJ","CB","?"))</f>
        <v> </v>
      </c>
      <c r="I5908" s="26" t="str">
        <f>IF(OR(E5908="",E5908="!!!",F5908="NEW"),"",INDEX(B5907:B$2,-1+SUMPRODUCT(MAX(ROW(E5907:E$2)*(E5908=E5907:E$2)))))</f>
        <v> </v>
      </c>
      <c r="J5908" s="26" t="str">
        <f>IF(OR(E5908="",E5908="!!!",F5908="NEW"),"",COUNTBLANK(OFFSET(A$1,,,SUMPRODUCT(MAX(ROW(E$2:E5908)*(E5908=E$2:E5908)))))-COUNTBLANK(OFFSET(A$1,,,SUMPRODUCT(MAX(ROW(E$1:E5907)*(E2=E$1:E5907))))))</f>
        <v> </v>
      </c>
      <c r="K5908" s="26" t="str">
        <f>IF(OR(E5908="",E5908="!!!",F5908="NEW"),"",INDEX(J$1:J5907,SUMPRODUCT(MAX(ROW(E$1:E5907)*(E5908=E$1:E5907)))))</f>
        <v> </v>
      </c>
      <c r="L5908" s="27"/>
    </row>
    <row r="5909" spans="1:12">
      <c r="A5909" s="20" t="s">
        <v>2288</v>
      </c>
      <c r="E5909" s="22">
        <f>IF(D5909="?OLD","!!!","")</f>
        <v/>
      </c>
      <c r="F5909" s="23" t="str">
        <f>IF(OR(E5909="",E5909="!!!"),"",IF(NOT(ISNA(VLOOKUP(E5909,E$1:E5908,1,FALSE()))),"OLD",IF(AND(E5909&lt;&gt;"",E5909&lt;&gt;"!!!"),"NEW","")))</f>
        <v> </v>
      </c>
      <c r="G5909" s="24" t="str">
        <f>IF(OR(E5909="",E5909="!!!"),"",IF(OR(J5909=0,AND(J5909=1,K5909=1),AND(J5909=1,I5909="SBJ"),AND(J5909=1,I5909=0)),"?IN_FOCUS",IF(J5909&lt;=2,"?ACTIVATED",IF(J5909&lt;&gt;"","?FAMILIAR",IF(F5909="NEW",IF(ISNA(VLOOKUP(E5909,#REF!,1,FALSE())),"?TYPE_IDENTIFIABLE","?REFERENTIAL"),"_")))))</f>
        <v> </v>
      </c>
      <c r="H5909" s="25" t="str">
        <f>IF(J5909&lt;&gt;1,"",IF(I5909="SBJ","CB","?"))</f>
        <v> </v>
      </c>
      <c r="I5909" s="26" t="str">
        <f>IF(OR(E5909="",E5909="!!!",F5909="NEW"),"",INDEX(B5908:B$2,-1+SUMPRODUCT(MAX(ROW(E5908:E$2)*(E5909=E5908:E$2)))))</f>
        <v> </v>
      </c>
      <c r="J5909" s="26" t="str">
        <f>IF(OR(E5909="",E5909="!!!",F5909="NEW"),"",COUNTBLANK(OFFSET(A$1,,,SUMPRODUCT(MAX(ROW(E$2:E5909)*(E5909=E$2:E5909)))))-COUNTBLANK(OFFSET(A$1,,,SUMPRODUCT(MAX(ROW(E$1:E5908)*(E2=E$1:E5908))))))</f>
        <v> </v>
      </c>
      <c r="K5909" s="26" t="str">
        <f>IF(OR(E5909="",E5909="!!!",F5909="NEW"),"",INDEX(J$1:J5908,SUMPRODUCT(MAX(ROW(E$1:E5908)*(E5909=E$1:E5908)))))</f>
        <v> </v>
      </c>
      <c r="L5909" s="27"/>
    </row>
    <row r="5910" spans="1:12">
      <c r="A5910" s="20" t="s">
        <v>1404</v>
      </c>
      <c r="E5910" s="22">
        <f>IF(D5910="?OLD","!!!","")</f>
        <v/>
      </c>
      <c r="F5910" s="23" t="str">
        <f>IF(OR(E5910="",E5910="!!!"),"",IF(NOT(ISNA(VLOOKUP(E5910,E$1:E5909,1,FALSE()))),"OLD",IF(AND(E5910&lt;&gt;"",E5910&lt;&gt;"!!!"),"NEW","")))</f>
        <v> </v>
      </c>
      <c r="G5910" s="24" t="str">
        <f>IF(OR(E5910="",E5910="!!!"),"",IF(OR(J5910=0,AND(J5910=1,K5910=1),AND(J5910=1,I5910="SBJ"),AND(J5910=1,I5910=0)),"?IN_FOCUS",IF(J5910&lt;=2,"?ACTIVATED",IF(J5910&lt;&gt;"","?FAMILIAR",IF(F5910="NEW",IF(ISNA(VLOOKUP(E5910,#REF!,1,FALSE())),"?TYPE_IDENTIFIABLE","?REFERENTIAL"),"_")))))</f>
        <v> </v>
      </c>
      <c r="H5910" s="25" t="str">
        <f>IF(J5910&lt;&gt;1,"",IF(I5910="SBJ","CB","?"))</f>
        <v> </v>
      </c>
      <c r="I5910" s="26" t="str">
        <f>IF(OR(E5910="",E5910="!!!",F5910="NEW"),"",INDEX(B5909:B$2,-1+SUMPRODUCT(MAX(ROW(E5909:E$2)*(E5910=E5909:E$2)))))</f>
        <v> </v>
      </c>
      <c r="J5910" s="26" t="str">
        <f>IF(OR(E5910="",E5910="!!!",F5910="NEW"),"",COUNTBLANK(OFFSET(A$1,,,SUMPRODUCT(MAX(ROW(E$2:E5910)*(E5910=E$2:E5910)))))-COUNTBLANK(OFFSET(A$1,,,SUMPRODUCT(MAX(ROW(E$1:E5909)*(E2=E$1:E5909))))))</f>
        <v> </v>
      </c>
      <c r="K5910" s="26" t="str">
        <f>IF(OR(E5910="",E5910="!!!",F5910="NEW"),"",INDEX(J$1:J5909,SUMPRODUCT(MAX(ROW(E$1:E5909)*(E5910=E$1:E5909)))))</f>
        <v> </v>
      </c>
      <c r="L5910" s="27"/>
    </row>
    <row r="5911" spans="1:12">
      <c r="A5911" s="20" t="s">
        <v>190</v>
      </c>
      <c r="E5911" s="22">
        <f>IF(D5911="?OLD","!!!","")</f>
        <v/>
      </c>
      <c r="F5911" s="23" t="str">
        <f>IF(OR(E5911="",E5911="!!!"),"",IF(NOT(ISNA(VLOOKUP(E5911,E$1:E5910,1,FALSE()))),"OLD",IF(AND(E5911&lt;&gt;"",E5911&lt;&gt;"!!!"),"NEW","")))</f>
        <v> </v>
      </c>
      <c r="G5911" s="24" t="str">
        <f>IF(OR(E5911="",E5911="!!!"),"",IF(OR(J5911=0,AND(J5911=1,K5911=1),AND(J5911=1,I5911="SBJ"),AND(J5911=1,I5911=0)),"?IN_FOCUS",IF(J5911&lt;=2,"?ACTIVATED",IF(J5911&lt;&gt;"","?FAMILIAR",IF(F5911="NEW",IF(ISNA(VLOOKUP(E5911,#REF!,1,FALSE())),"?TYPE_IDENTIFIABLE","?REFERENTIAL"),"_")))))</f>
        <v> </v>
      </c>
      <c r="H5911" s="25" t="str">
        <f>IF(J5911&lt;&gt;1,"",IF(I5911="SBJ","CB","?"))</f>
        <v> </v>
      </c>
      <c r="I5911" s="26" t="str">
        <f>IF(OR(E5911="",E5911="!!!",F5911="NEW"),"",INDEX(B5910:B$2,-1+SUMPRODUCT(MAX(ROW(E5910:E$2)*(E5911=E5910:E$2)))))</f>
        <v> </v>
      </c>
      <c r="J5911" s="26" t="str">
        <f>IF(OR(E5911="",E5911="!!!",F5911="NEW"),"",COUNTBLANK(OFFSET(A$1,,,SUMPRODUCT(MAX(ROW(E$2:E5911)*(E5911=E$2:E5911)))))-COUNTBLANK(OFFSET(A$1,,,SUMPRODUCT(MAX(ROW(E$1:E5910)*(E2=E$1:E5910))))))</f>
        <v> </v>
      </c>
      <c r="K5911" s="26" t="str">
        <f>IF(OR(E5911="",E5911="!!!",F5911="NEW"),"",INDEX(J$1:J5910,SUMPRODUCT(MAX(ROW(E$1:E5910)*(E5911=E$1:E5910)))))</f>
        <v> </v>
      </c>
      <c r="L5911" s="27"/>
    </row>
    <row r="5912" spans="1:12">
      <c r="A5912" s="20" t="s">
        <v>1174</v>
      </c>
      <c r="E5912" s="22">
        <f>IF(D5912="?OLD","!!!","")</f>
        <v/>
      </c>
      <c r="F5912" s="23" t="str">
        <f>IF(OR(E5912="",E5912="!!!"),"",IF(NOT(ISNA(VLOOKUP(E5912,E$1:E5911,1,FALSE()))),"OLD",IF(AND(E5912&lt;&gt;"",E5912&lt;&gt;"!!!"),"NEW","")))</f>
        <v> </v>
      </c>
      <c r="G5912" s="24" t="str">
        <f>IF(OR(E5912="",E5912="!!!"),"",IF(OR(J5912=0,AND(J5912=1,K5912=1),AND(J5912=1,I5912="SBJ"),AND(J5912=1,I5912=0)),"?IN_FOCUS",IF(J5912&lt;=2,"?ACTIVATED",IF(J5912&lt;&gt;"","?FAMILIAR",IF(F5912="NEW",IF(ISNA(VLOOKUP(E5912,#REF!,1,FALSE())),"?TYPE_IDENTIFIABLE","?REFERENTIAL"),"_")))))</f>
        <v> </v>
      </c>
      <c r="H5912" s="25" t="str">
        <f>IF(J5912&lt;&gt;1,"",IF(I5912="SBJ","CB","?"))</f>
        <v> </v>
      </c>
      <c r="I5912" s="26" t="str">
        <f>IF(OR(E5912="",E5912="!!!",F5912="NEW"),"",INDEX(B5911:B$2,-1+SUMPRODUCT(MAX(ROW(E5911:E$2)*(E5912=E5911:E$2)))))</f>
        <v> </v>
      </c>
      <c r="J5912" s="26" t="str">
        <f>IF(OR(E5912="",E5912="!!!",F5912="NEW"),"",COUNTBLANK(OFFSET(A$1,,,SUMPRODUCT(MAX(ROW(E$2:E5912)*(E5912=E$2:E5912)))))-COUNTBLANK(OFFSET(A$1,,,SUMPRODUCT(MAX(ROW(E$1:E5911)*(E2=E$1:E5911))))))</f>
        <v> </v>
      </c>
      <c r="K5912" s="26" t="str">
        <f>IF(OR(E5912="",E5912="!!!",F5912="NEW"),"",INDEX(J$1:J5911,SUMPRODUCT(MAX(ROW(E$1:E5911)*(E5912=E$1:E5911)))))</f>
        <v> </v>
      </c>
      <c r="L5912" s="27"/>
    </row>
    <row r="5913" spans="1:12">
      <c r="A5913" s="20" t="s">
        <v>1002</v>
      </c>
      <c r="E5913" s="22">
        <f>IF(D5913="?OLD","!!!","")</f>
        <v/>
      </c>
      <c r="F5913" s="23" t="str">
        <f>IF(OR(E5913="",E5913="!!!"),"",IF(NOT(ISNA(VLOOKUP(E5913,E$1:E5912,1,FALSE()))),"OLD",IF(AND(E5913&lt;&gt;"",E5913&lt;&gt;"!!!"),"NEW","")))</f>
        <v> </v>
      </c>
      <c r="G5913" s="24" t="str">
        <f>IF(OR(E5913="",E5913="!!!"),"",IF(OR(J5913=0,AND(J5913=1,K5913=1),AND(J5913=1,I5913="SBJ"),AND(J5913=1,I5913=0)),"?IN_FOCUS",IF(J5913&lt;=2,"?ACTIVATED",IF(J5913&lt;&gt;"","?FAMILIAR",IF(F5913="NEW",IF(ISNA(VLOOKUP(E5913,#REF!,1,FALSE())),"?TYPE_IDENTIFIABLE","?REFERENTIAL"),"_")))))</f>
        <v> </v>
      </c>
      <c r="H5913" s="25" t="str">
        <f>IF(J5913&lt;&gt;1,"",IF(I5913="SBJ","CB","?"))</f>
        <v> </v>
      </c>
      <c r="I5913" s="26" t="str">
        <f>IF(OR(E5913="",E5913="!!!",F5913="NEW"),"",INDEX(B5912:B$2,-1+SUMPRODUCT(MAX(ROW(E5912:E$2)*(E5913=E5912:E$2)))))</f>
        <v> </v>
      </c>
      <c r="J5913" s="26" t="str">
        <f>IF(OR(E5913="",E5913="!!!",F5913="NEW"),"",COUNTBLANK(OFFSET(A$1,,,SUMPRODUCT(MAX(ROW(E$2:E5913)*(E5913=E$2:E5913)))))-COUNTBLANK(OFFSET(A$1,,,SUMPRODUCT(MAX(ROW(E$1:E5912)*(E2=E$1:E5912))))))</f>
        <v> </v>
      </c>
      <c r="K5913" s="26" t="str">
        <f>IF(OR(E5913="",E5913="!!!",F5913="NEW"),"",INDEX(J$1:J5912,SUMPRODUCT(MAX(ROW(E$1:E5912)*(E5913=E$1:E5912)))))</f>
        <v> </v>
      </c>
      <c r="L5913" s="27"/>
    </row>
    <row r="5914" spans="1:12">
      <c r="A5914" s="20" t="s">
        <v>1092</v>
      </c>
      <c r="E5914" s="22">
        <f>IF(D5914="?OLD","!!!","")</f>
        <v/>
      </c>
      <c r="F5914" s="23" t="str">
        <f>IF(OR(E5914="",E5914="!!!"),"",IF(NOT(ISNA(VLOOKUP(E5914,E$1:E5913,1,FALSE()))),"OLD",IF(AND(E5914&lt;&gt;"",E5914&lt;&gt;"!!!"),"NEW","")))</f>
        <v> </v>
      </c>
      <c r="G5914" s="24" t="str">
        <f>IF(OR(E5914="",E5914="!!!"),"",IF(OR(J5914=0,AND(J5914=1,K5914=1),AND(J5914=1,I5914="SBJ"),AND(J5914=1,I5914=0)),"?IN_FOCUS",IF(J5914&lt;=2,"?ACTIVATED",IF(J5914&lt;&gt;"","?FAMILIAR",IF(F5914="NEW",IF(ISNA(VLOOKUP(E5914,#REF!,1,FALSE())),"?TYPE_IDENTIFIABLE","?REFERENTIAL"),"_")))))</f>
        <v> </v>
      </c>
      <c r="H5914" s="25" t="str">
        <f>IF(J5914&lt;&gt;1,"",IF(I5914="SBJ","CB","?"))</f>
        <v> </v>
      </c>
      <c r="I5914" s="26" t="str">
        <f>IF(OR(E5914="",E5914="!!!",F5914="NEW"),"",INDEX(B5913:B$2,-1+SUMPRODUCT(MAX(ROW(E5913:E$2)*(E5914=E5913:E$2)))))</f>
        <v> </v>
      </c>
      <c r="J5914" s="26" t="str">
        <f>IF(OR(E5914="",E5914="!!!",F5914="NEW"),"",COUNTBLANK(OFFSET(A$1,,,SUMPRODUCT(MAX(ROW(E$2:E5914)*(E5914=E$2:E5914)))))-COUNTBLANK(OFFSET(A$1,,,SUMPRODUCT(MAX(ROW(E$1:E5913)*(E2=E$1:E5913))))))</f>
        <v> </v>
      </c>
      <c r="K5914" s="26" t="str">
        <f>IF(OR(E5914="",E5914="!!!",F5914="NEW"),"",INDEX(J$1:J5913,SUMPRODUCT(MAX(ROW(E$1:E5913)*(E5914=E$1:E5913)))))</f>
        <v> </v>
      </c>
      <c r="L5914" s="27"/>
    </row>
    <row r="5915" spans="1:12">
      <c r="A5915" s="20" t="s">
        <v>1763</v>
      </c>
      <c r="B5915" s="21" t="s">
        <v>1035</v>
      </c>
      <c r="C5915" s="21" t="s">
        <v>995</v>
      </c>
      <c r="D5915" s="21" t="s">
        <v>978</v>
      </c>
      <c r="E5915" s="22">
        <f>IF(D5915="?OLD","!!!","")</f>
        <v/>
      </c>
      <c r="F5915" s="23" t="str">
        <f>IF(OR(E5915="",E5915="!!!"),"",IF(NOT(ISNA(VLOOKUP(E5915,E$1:E5914,1,FALSE()))),"OLD",IF(AND(E5915&lt;&gt;"",E5915&lt;&gt;"!!!"),"NEW","")))</f>
        <v> </v>
      </c>
      <c r="G5915" s="24" t="str">
        <f>IF(OR(E5915="",E5915="!!!"),"",IF(OR(J5915=0,AND(J5915=1,K5915=1),AND(J5915=1,I5915="SBJ"),AND(J5915=1,I5915=0)),"?IN_FOCUS",IF(J5915&lt;=2,"?ACTIVATED",IF(J5915&lt;&gt;"","?FAMILIAR",IF(F5915="NEW",IF(ISNA(VLOOKUP(E5915,#REF!,1,FALSE())),"?TYPE_IDENTIFIABLE","?REFERENTIAL"),"_")))))</f>
        <v> </v>
      </c>
      <c r="H5915" s="25" t="str">
        <f>IF(J5915&lt;&gt;1,"",IF(I5915="SBJ","CB","?"))</f>
        <v> </v>
      </c>
      <c r="I5915" s="26" t="str">
        <f>IF(OR(E5915="",E5915="!!!",F5915="NEW"),"",INDEX(B5914:B$2,-1+SUMPRODUCT(MAX(ROW(E5914:E$2)*(E5915=E5914:E$2)))))</f>
        <v> </v>
      </c>
      <c r="J5915" s="26" t="str">
        <f>IF(OR(E5915="",E5915="!!!",F5915="NEW"),"",COUNTBLANK(OFFSET(A$1,,,SUMPRODUCT(MAX(ROW(E$2:E5915)*(E5915=E$2:E5915)))))-COUNTBLANK(OFFSET(A$1,,,SUMPRODUCT(MAX(ROW(E$1:E5914)*(E2=E$1:E5914))))))</f>
        <v> </v>
      </c>
      <c r="K5915" s="26" t="str">
        <f>IF(OR(E5915="",E5915="!!!",F5915="NEW"),"",INDEX(J$1:J5914,SUMPRODUCT(MAX(ROW(E$1:E5914)*(E5915=E$1:E5914)))))</f>
        <v> </v>
      </c>
      <c r="L5915" s="27"/>
    </row>
    <row r="5916" spans="1:12">
      <c r="A5916" s="20" t="s">
        <v>1067</v>
      </c>
      <c r="E5916" s="22">
        <f>IF(D5916="?OLD","!!!","")</f>
        <v/>
      </c>
      <c r="F5916" s="23" t="str">
        <f>IF(OR(E5916="",E5916="!!!"),"",IF(NOT(ISNA(VLOOKUP(E5916,E$1:E5915,1,FALSE()))),"OLD",IF(AND(E5916&lt;&gt;"",E5916&lt;&gt;"!!!"),"NEW","")))</f>
        <v> </v>
      </c>
      <c r="G5916" s="24" t="str">
        <f>IF(OR(E5916="",E5916="!!!"),"",IF(OR(J5916=0,AND(J5916=1,K5916=1),AND(J5916=1,I5916="SBJ"),AND(J5916=1,I5916=0)),"?IN_FOCUS",IF(J5916&lt;=2,"?ACTIVATED",IF(J5916&lt;&gt;"","?FAMILIAR",IF(F5916="NEW",IF(ISNA(VLOOKUP(E5916,#REF!,1,FALSE())),"?TYPE_IDENTIFIABLE","?REFERENTIAL"),"_")))))</f>
        <v> </v>
      </c>
      <c r="H5916" s="25" t="str">
        <f>IF(J5916&lt;&gt;1,"",IF(I5916="SBJ","CB","?"))</f>
        <v> </v>
      </c>
      <c r="I5916" s="26" t="str">
        <f>IF(OR(E5916="",E5916="!!!",F5916="NEW"),"",INDEX(B5915:B$2,-1+SUMPRODUCT(MAX(ROW(E5915:E$2)*(E5916=E5915:E$2)))))</f>
        <v> </v>
      </c>
      <c r="J5916" s="26" t="str">
        <f>IF(OR(E5916="",E5916="!!!",F5916="NEW"),"",COUNTBLANK(OFFSET(A$1,,,SUMPRODUCT(MAX(ROW(E$2:E5916)*(E5916=E$2:E5916)))))-COUNTBLANK(OFFSET(A$1,,,SUMPRODUCT(MAX(ROW(E$1:E5915)*(E2=E$1:E5915))))))</f>
        <v> </v>
      </c>
      <c r="K5916" s="26" t="str">
        <f>IF(OR(E5916="",E5916="!!!",F5916="NEW"),"",INDEX(J$1:J5915,SUMPRODUCT(MAX(ROW(E$1:E5915)*(E5916=E$1:E5915)))))</f>
        <v> </v>
      </c>
      <c r="L5916" s="27"/>
    </row>
    <row r="5917" spans="1:12">
      <c r="A5917" s="20" t="s">
        <v>2330</v>
      </c>
      <c r="E5917" s="22">
        <f>IF(D5917="?OLD","!!!","")</f>
        <v/>
      </c>
      <c r="F5917" s="23" t="str">
        <f>IF(OR(E5917="",E5917="!!!"),"",IF(NOT(ISNA(VLOOKUP(E5917,E$1:E5916,1,FALSE()))),"OLD",IF(AND(E5917&lt;&gt;"",E5917&lt;&gt;"!!!"),"NEW","")))</f>
        <v> </v>
      </c>
      <c r="G5917" s="24" t="str">
        <f>IF(OR(E5917="",E5917="!!!"),"",IF(OR(J5917=0,AND(J5917=1,K5917=1),AND(J5917=1,I5917="SBJ"),AND(J5917=1,I5917=0)),"?IN_FOCUS",IF(J5917&lt;=2,"?ACTIVATED",IF(J5917&lt;&gt;"","?FAMILIAR",IF(F5917="NEW",IF(ISNA(VLOOKUP(E5917,#REF!,1,FALSE())),"?TYPE_IDENTIFIABLE","?REFERENTIAL"),"_")))))</f>
        <v> </v>
      </c>
      <c r="H5917" s="25" t="str">
        <f>IF(J5917&lt;&gt;1,"",IF(I5917="SBJ","CB","?"))</f>
        <v> </v>
      </c>
      <c r="I5917" s="26" t="str">
        <f>IF(OR(E5917="",E5917="!!!",F5917="NEW"),"",INDEX(B5916:B$2,-1+SUMPRODUCT(MAX(ROW(E5916:E$2)*(E5917=E5916:E$2)))))</f>
        <v> </v>
      </c>
      <c r="J5917" s="26" t="str">
        <f>IF(OR(E5917="",E5917="!!!",F5917="NEW"),"",COUNTBLANK(OFFSET(A$1,,,SUMPRODUCT(MAX(ROW(E$2:E5917)*(E5917=E$2:E5917)))))-COUNTBLANK(OFFSET(A$1,,,SUMPRODUCT(MAX(ROW(E$1:E5916)*(E2=E$1:E5916))))))</f>
        <v> </v>
      </c>
      <c r="K5917" s="26" t="str">
        <f>IF(OR(E5917="",E5917="!!!",F5917="NEW"),"",INDEX(J$1:J5916,SUMPRODUCT(MAX(ROW(E$1:E5916)*(E5917=E$1:E5916)))))</f>
        <v> </v>
      </c>
      <c r="L5917" s="27"/>
    </row>
    <row r="5918" spans="1:12">
      <c r="A5918" s="20" t="s">
        <v>1022</v>
      </c>
      <c r="E5918" s="22">
        <f>IF(D5918="?OLD","!!!","")</f>
        <v/>
      </c>
      <c r="F5918" s="23" t="str">
        <f>IF(OR(E5918="",E5918="!!!"),"",IF(NOT(ISNA(VLOOKUP(E5918,E$1:E5917,1,FALSE()))),"OLD",IF(AND(E5918&lt;&gt;"",E5918&lt;&gt;"!!!"),"NEW","")))</f>
        <v> </v>
      </c>
      <c r="G5918" s="24" t="str">
        <f>IF(OR(E5918="",E5918="!!!"),"",IF(OR(J5918=0,AND(J5918=1,K5918=1),AND(J5918=1,I5918="SBJ"),AND(J5918=1,I5918=0)),"?IN_FOCUS",IF(J5918&lt;=2,"?ACTIVATED",IF(J5918&lt;&gt;"","?FAMILIAR",IF(F5918="NEW",IF(ISNA(VLOOKUP(E5918,#REF!,1,FALSE())),"?TYPE_IDENTIFIABLE","?REFERENTIAL"),"_")))))</f>
        <v> </v>
      </c>
      <c r="H5918" s="25" t="str">
        <f>IF(J5918&lt;&gt;1,"",IF(I5918="SBJ","CB","?"))</f>
        <v> </v>
      </c>
      <c r="I5918" s="26" t="str">
        <f>IF(OR(E5918="",E5918="!!!",F5918="NEW"),"",INDEX(B5917:B$2,-1+SUMPRODUCT(MAX(ROW(E5917:E$2)*(E5918=E5917:E$2)))))</f>
        <v> </v>
      </c>
      <c r="J5918" s="26" t="str">
        <f>IF(OR(E5918="",E5918="!!!",F5918="NEW"),"",COUNTBLANK(OFFSET(A$1,,,SUMPRODUCT(MAX(ROW(E$2:E5918)*(E5918=E$2:E5918)))))-COUNTBLANK(OFFSET(A$1,,,SUMPRODUCT(MAX(ROW(E$1:E5917)*(E2=E$1:E5917))))))</f>
        <v> </v>
      </c>
      <c r="K5918" s="26" t="str">
        <f>IF(OR(E5918="",E5918="!!!",F5918="NEW"),"",INDEX(J$1:J5917,SUMPRODUCT(MAX(ROW(E$1:E5917)*(E5918=E$1:E5917)))))</f>
        <v> </v>
      </c>
      <c r="L5918" s="27"/>
    </row>
    <row r="5919" spans="1:12">
      <c r="A5919" s="20"/>
    </row>
    <row r="5920" spans="1:12">
      <c r="A5920" s="20" t="s">
        <v>2479</v>
      </c>
    </row>
    <row r="5921" spans="1:12">
      <c r="A5921" s="20" t="s">
        <v>1174</v>
      </c>
      <c r="E5921" s="22">
        <f>IF(D5921="?OLD","!!!","")</f>
        <v/>
      </c>
      <c r="F5921" s="23" t="str">
        <f>IF(OR(E5921="",E5921="!!!"),"",IF(NOT(ISNA(VLOOKUP(E5921,E$1:E5920,1,FALSE()))),"OLD",IF(AND(E5921&lt;&gt;"",E5921&lt;&gt;"!!!"),"NEW","")))</f>
        <v> </v>
      </c>
      <c r="G5921" s="24" t="str">
        <f>IF(OR(E5921="",E5921="!!!"),"",IF(OR(J5921=0,AND(J5921=1,K5921=1),AND(J5921=1,I5921="SBJ"),AND(J5921=1,I5921=0)),"?IN_FOCUS",IF(J5921&lt;=2,"?ACTIVATED",IF(J5921&lt;&gt;"","?FAMILIAR",IF(F5921="NEW",IF(ISNA(VLOOKUP(E5921,#REF!,1,FALSE())),"?TYPE_IDENTIFIABLE","?REFERENTIAL"),"_")))))</f>
        <v> </v>
      </c>
      <c r="H5921" s="25" t="str">
        <f>IF(J5921&lt;&gt;1,"",IF(I5921="SBJ","CB","?"))</f>
        <v> </v>
      </c>
      <c r="I5921" s="26" t="str">
        <f>IF(OR(E5921="",E5921="!!!",F5921="NEW"),"",INDEX(B5920:B$2,-1+SUMPRODUCT(MAX(ROW(E5920:E$2)*(E5921=E5920:E$2)))))</f>
        <v> </v>
      </c>
      <c r="J5921" s="26" t="str">
        <f>IF(OR(E5921="",E5921="!!!",F5921="NEW"),"",COUNTBLANK(OFFSET(A$1,,,SUMPRODUCT(MAX(ROW(E$2:E5921)*(E5921=E$2:E5921)))))-COUNTBLANK(OFFSET(A$1,,,SUMPRODUCT(MAX(ROW(E$1:E5920)*(E2=E$1:E5920))))))</f>
        <v> </v>
      </c>
      <c r="K5921" s="26" t="str">
        <f>IF(OR(E5921="",E5921="!!!",F5921="NEW"),"",INDEX(J$1:J5920,SUMPRODUCT(MAX(ROW(E$1:E5920)*(E5921=E$1:E5920)))))</f>
        <v> </v>
      </c>
      <c r="L5921" s="27"/>
    </row>
    <row r="5922" spans="1:12">
      <c r="A5922" s="20" t="s">
        <v>849</v>
      </c>
      <c r="E5922" s="22">
        <f>IF(D5922="?OLD","!!!","")</f>
        <v/>
      </c>
      <c r="F5922" s="23" t="str">
        <f>IF(OR(E5922="",E5922="!!!"),"",IF(NOT(ISNA(VLOOKUP(E5922,E$1:E5921,1,FALSE()))),"OLD",IF(AND(E5922&lt;&gt;"",E5922&lt;&gt;"!!!"),"NEW","")))</f>
        <v> </v>
      </c>
      <c r="G5922" s="24" t="str">
        <f>IF(OR(E5922="",E5922="!!!"),"",IF(OR(J5922=0,AND(J5922=1,K5922=1),AND(J5922=1,I5922="SBJ"),AND(J5922=1,I5922=0)),"?IN_FOCUS",IF(J5922&lt;=2,"?ACTIVATED",IF(J5922&lt;&gt;"","?FAMILIAR",IF(F5922="NEW",IF(ISNA(VLOOKUP(E5922,#REF!,1,FALSE())),"?TYPE_IDENTIFIABLE","?REFERENTIAL"),"_")))))</f>
        <v> </v>
      </c>
      <c r="H5922" s="25" t="str">
        <f>IF(J5922&lt;&gt;1,"",IF(I5922="SBJ","CB","?"))</f>
        <v> </v>
      </c>
      <c r="I5922" s="26" t="str">
        <f>IF(OR(E5922="",E5922="!!!",F5922="NEW"),"",INDEX(B5921:B$2,-1+SUMPRODUCT(MAX(ROW(E5921:E$2)*(E5922=E5921:E$2)))))</f>
        <v> </v>
      </c>
      <c r="J5922" s="26" t="str">
        <f>IF(OR(E5922="",E5922="!!!",F5922="NEW"),"",COUNTBLANK(OFFSET(A$1,,,SUMPRODUCT(MAX(ROW(E$2:E5922)*(E5922=E$2:E5922)))))-COUNTBLANK(OFFSET(A$1,,,SUMPRODUCT(MAX(ROW(E$1:E5921)*(E2=E$1:E5921))))))</f>
        <v> </v>
      </c>
      <c r="K5922" s="26" t="str">
        <f>IF(OR(E5922="",E5922="!!!",F5922="NEW"),"",INDEX(J$1:J5921,SUMPRODUCT(MAX(ROW(E$1:E5921)*(E5922=E$1:E5921)))))</f>
        <v> </v>
      </c>
      <c r="L5922" s="27"/>
    </row>
    <row r="5923" spans="1:12">
      <c r="A5923" s="20" t="s">
        <v>1039</v>
      </c>
      <c r="B5923" s="21" t="s">
        <v>986</v>
      </c>
      <c r="C5923" s="21" t="s">
        <v>987</v>
      </c>
      <c r="D5923" s="21" t="s">
        <v>978</v>
      </c>
      <c r="E5923" s="22">
        <f>IF(D5923="?OLD","!!!","")</f>
        <v/>
      </c>
      <c r="F5923" s="23" t="str">
        <f>IF(OR(E5923="",E5923="!!!"),"",IF(NOT(ISNA(VLOOKUP(E5923,E$1:E5922,1,FALSE()))),"OLD",IF(AND(E5923&lt;&gt;"",E5923&lt;&gt;"!!!"),"NEW","")))</f>
        <v> </v>
      </c>
      <c r="G5923" s="24" t="str">
        <f>IF(OR(E5923="",E5923="!!!"),"",IF(OR(J5923=0,AND(J5923=1,K5923=1),AND(J5923=1,I5923="SBJ"),AND(J5923=1,I5923=0)),"?IN_FOCUS",IF(J5923&lt;=2,"?ACTIVATED",IF(J5923&lt;&gt;"","?FAMILIAR",IF(F5923="NEW",IF(ISNA(VLOOKUP(E5923,#REF!,1,FALSE())),"?TYPE_IDENTIFIABLE","?REFERENTIAL"),"_")))))</f>
        <v> </v>
      </c>
      <c r="H5923" s="25" t="str">
        <f>IF(J5923&lt;&gt;1,"",IF(I5923="SBJ","CB","?"))</f>
        <v> </v>
      </c>
      <c r="I5923" s="26" t="str">
        <f>IF(OR(E5923="",E5923="!!!",F5923="NEW"),"",INDEX(B5922:B$2,-1+SUMPRODUCT(MAX(ROW(E5922:E$2)*(E5923=E5922:E$2)))))</f>
        <v> </v>
      </c>
      <c r="J5923" s="26" t="str">
        <f>IF(OR(E5923="",E5923="!!!",F5923="NEW"),"",COUNTBLANK(OFFSET(A$1,,,SUMPRODUCT(MAX(ROW(E$2:E5923)*(E5923=E$2:E5923)))))-COUNTBLANK(OFFSET(A$1,,,SUMPRODUCT(MAX(ROW(E$1:E5922)*(E2=E$1:E5922))))))</f>
        <v> </v>
      </c>
      <c r="K5923" s="26" t="str">
        <f>IF(OR(E5923="",E5923="!!!",F5923="NEW"),"",INDEX(J$1:J5922,SUMPRODUCT(MAX(ROW(E$1:E5922)*(E5923=E$1:E5922)))))</f>
        <v> </v>
      </c>
      <c r="L5923" s="27"/>
    </row>
    <row r="5924" spans="1:12">
      <c r="A5924" s="20" t="s">
        <v>1225</v>
      </c>
      <c r="B5924" s="21" t="s">
        <v>982</v>
      </c>
      <c r="C5924" s="21" t="s">
        <v>990</v>
      </c>
      <c r="D5924" s="21" t="s">
        <v>978</v>
      </c>
      <c r="E5924" s="22">
        <f>IF(D5924="?OLD","!!!","")</f>
        <v/>
      </c>
      <c r="F5924" s="23" t="str">
        <f>IF(OR(E5924="",E5924="!!!"),"",IF(NOT(ISNA(VLOOKUP(E5924,E$1:E5923,1,FALSE()))),"OLD",IF(AND(E5924&lt;&gt;"",E5924&lt;&gt;"!!!"),"NEW","")))</f>
        <v> </v>
      </c>
      <c r="G5924" s="24" t="str">
        <f>IF(OR(E5924="",E5924="!!!"),"",IF(OR(J5924=0,AND(J5924=1,K5924=1),AND(J5924=1,I5924="SBJ"),AND(J5924=1,I5924=0)),"?IN_FOCUS",IF(J5924&lt;=2,"?ACTIVATED",IF(J5924&lt;&gt;"","?FAMILIAR",IF(F5924="NEW",IF(ISNA(VLOOKUP(E5924,#REF!,1,FALSE())),"?TYPE_IDENTIFIABLE","?REFERENTIAL"),"_")))))</f>
        <v> </v>
      </c>
      <c r="H5924" s="25" t="str">
        <f>IF(J5924&lt;&gt;1,"",IF(I5924="SBJ","CB","?"))</f>
        <v> </v>
      </c>
      <c r="I5924" s="26" t="str">
        <f>IF(OR(E5924="",E5924="!!!",F5924="NEW"),"",INDEX(B5923:B$2,-1+SUMPRODUCT(MAX(ROW(E5923:E$2)*(E5924=E5923:E$2)))))</f>
        <v> </v>
      </c>
      <c r="J5924" s="26" t="str">
        <f>IF(OR(E5924="",E5924="!!!",F5924="NEW"),"",COUNTBLANK(OFFSET(A$1,,,SUMPRODUCT(MAX(ROW(E$2:E5924)*(E5924=E$2:E5924)))))-COUNTBLANK(OFFSET(A$1,,,SUMPRODUCT(MAX(ROW(E$1:E5923)*(E2=E$1:E5923))))))</f>
        <v> </v>
      </c>
      <c r="K5924" s="26" t="str">
        <f>IF(OR(E5924="",E5924="!!!",F5924="NEW"),"",INDEX(J$1:J5923,SUMPRODUCT(MAX(ROW(E$1:E5923)*(E5924=E$1:E5923)))))</f>
        <v> </v>
      </c>
      <c r="L5924" s="27"/>
    </row>
    <row r="5925" spans="1:12">
      <c r="A5925" s="20" t="s">
        <v>1116</v>
      </c>
      <c r="E5925" s="22">
        <f>IF(D5925="?OLD","!!!","")</f>
        <v/>
      </c>
      <c r="F5925" s="23" t="str">
        <f>IF(OR(E5925="",E5925="!!!"),"",IF(NOT(ISNA(VLOOKUP(E5925,E$1:E5924,1,FALSE()))),"OLD",IF(AND(E5925&lt;&gt;"",E5925&lt;&gt;"!!!"),"NEW","")))</f>
        <v> </v>
      </c>
      <c r="G5925" s="24" t="str">
        <f>IF(OR(E5925="",E5925="!!!"),"",IF(OR(J5925=0,AND(J5925=1,K5925=1),AND(J5925=1,I5925="SBJ"),AND(J5925=1,I5925=0)),"?IN_FOCUS",IF(J5925&lt;=2,"?ACTIVATED",IF(J5925&lt;&gt;"","?FAMILIAR",IF(F5925="NEW",IF(ISNA(VLOOKUP(E5925,#REF!,1,FALSE())),"?TYPE_IDENTIFIABLE","?REFERENTIAL"),"_")))))</f>
        <v> </v>
      </c>
      <c r="H5925" s="25" t="str">
        <f>IF(J5925&lt;&gt;1,"",IF(I5925="SBJ","CB","?"))</f>
        <v> </v>
      </c>
      <c r="I5925" s="26" t="str">
        <f>IF(OR(E5925="",E5925="!!!",F5925="NEW"),"",INDEX(B5924:B$2,-1+SUMPRODUCT(MAX(ROW(E5924:E$2)*(E5925=E5924:E$2)))))</f>
        <v> </v>
      </c>
      <c r="J5925" s="26" t="str">
        <f>IF(OR(E5925="",E5925="!!!",F5925="NEW"),"",COUNTBLANK(OFFSET(A$1,,,SUMPRODUCT(MAX(ROW(E$2:E5925)*(E5925=E$2:E5925)))))-COUNTBLANK(OFFSET(A$1,,,SUMPRODUCT(MAX(ROW(E$1:E5924)*(E2=E$1:E5924))))))</f>
        <v> </v>
      </c>
      <c r="K5925" s="26" t="str">
        <f>IF(OR(E5925="",E5925="!!!",F5925="NEW"),"",INDEX(J$1:J5924,SUMPRODUCT(MAX(ROW(E$1:E5924)*(E5925=E$1:E5924)))))</f>
        <v> </v>
      </c>
      <c r="L5925" s="27"/>
    </row>
    <row r="5926" spans="1:12">
      <c r="A5926" s="20" t="s">
        <v>1011</v>
      </c>
      <c r="E5926" s="22">
        <f>IF(D5926="?OLD","!!!","")</f>
        <v/>
      </c>
      <c r="F5926" s="23" t="str">
        <f>IF(OR(E5926="",E5926="!!!"),"",IF(NOT(ISNA(VLOOKUP(E5926,E$1:E5925,1,FALSE()))),"OLD",IF(AND(E5926&lt;&gt;"",E5926&lt;&gt;"!!!"),"NEW","")))</f>
        <v> </v>
      </c>
      <c r="G5926" s="24" t="str">
        <f>IF(OR(E5926="",E5926="!!!"),"",IF(OR(J5926=0,AND(J5926=1,K5926=1),AND(J5926=1,I5926="SBJ"),AND(J5926=1,I5926=0)),"?IN_FOCUS",IF(J5926&lt;=2,"?ACTIVATED",IF(J5926&lt;&gt;"","?FAMILIAR",IF(F5926="NEW",IF(ISNA(VLOOKUP(E5926,#REF!,1,FALSE())),"?TYPE_IDENTIFIABLE","?REFERENTIAL"),"_")))))</f>
        <v> </v>
      </c>
      <c r="H5926" s="25" t="str">
        <f>IF(J5926&lt;&gt;1,"",IF(I5926="SBJ","CB","?"))</f>
        <v> </v>
      </c>
      <c r="I5926" s="26" t="str">
        <f>IF(OR(E5926="",E5926="!!!",F5926="NEW"),"",INDEX(B5925:B$2,-1+SUMPRODUCT(MAX(ROW(E5925:E$2)*(E5926=E5925:E$2)))))</f>
        <v> </v>
      </c>
      <c r="J5926" s="26" t="str">
        <f>IF(OR(E5926="",E5926="!!!",F5926="NEW"),"",COUNTBLANK(OFFSET(A$1,,,SUMPRODUCT(MAX(ROW(E$2:E5926)*(E5926=E$2:E5926)))))-COUNTBLANK(OFFSET(A$1,,,SUMPRODUCT(MAX(ROW(E$1:E5925)*(E2=E$1:E5925))))))</f>
        <v> </v>
      </c>
      <c r="K5926" s="26" t="str">
        <f>IF(OR(E5926="",E5926="!!!",F5926="NEW"),"",INDEX(J$1:J5925,SUMPRODUCT(MAX(ROW(E$1:E5925)*(E5926=E$1:E5925)))))</f>
        <v> </v>
      </c>
      <c r="L5926" s="27"/>
    </row>
    <row r="5927" spans="1:12">
      <c r="A5927" s="20" t="s">
        <v>1597</v>
      </c>
      <c r="E5927" s="22">
        <f>IF(D5927="?OLD","!!!","")</f>
        <v/>
      </c>
      <c r="F5927" s="23" t="str">
        <f>IF(OR(E5927="",E5927="!!!"),"",IF(NOT(ISNA(VLOOKUP(E5927,E$1:E5926,1,FALSE()))),"OLD",IF(AND(E5927&lt;&gt;"",E5927&lt;&gt;"!!!"),"NEW","")))</f>
        <v> </v>
      </c>
      <c r="G5927" s="24" t="str">
        <f>IF(OR(E5927="",E5927="!!!"),"",IF(OR(J5927=0,AND(J5927=1,K5927=1),AND(J5927=1,I5927="SBJ"),AND(J5927=1,I5927=0)),"?IN_FOCUS",IF(J5927&lt;=2,"?ACTIVATED",IF(J5927&lt;&gt;"","?FAMILIAR",IF(F5927="NEW",IF(ISNA(VLOOKUP(E5927,#REF!,1,FALSE())),"?TYPE_IDENTIFIABLE","?REFERENTIAL"),"_")))))</f>
        <v> </v>
      </c>
      <c r="H5927" s="25" t="str">
        <f>IF(J5927&lt;&gt;1,"",IF(I5927="SBJ","CB","?"))</f>
        <v> </v>
      </c>
      <c r="I5927" s="26" t="str">
        <f>IF(OR(E5927="",E5927="!!!",F5927="NEW"),"",INDEX(B5926:B$2,-1+SUMPRODUCT(MAX(ROW(E5926:E$2)*(E5927=E5926:E$2)))))</f>
        <v> </v>
      </c>
      <c r="J5927" s="26" t="str">
        <f>IF(OR(E5927="",E5927="!!!",F5927="NEW"),"",COUNTBLANK(OFFSET(A$1,,,SUMPRODUCT(MAX(ROW(E$2:E5927)*(E5927=E$2:E5927)))))-COUNTBLANK(OFFSET(A$1,,,SUMPRODUCT(MAX(ROW(E$1:E5926)*(E2=E$1:E5926))))))</f>
        <v> </v>
      </c>
      <c r="K5927" s="26" t="str">
        <f>IF(OR(E5927="",E5927="!!!",F5927="NEW"),"",INDEX(J$1:J5926,SUMPRODUCT(MAX(ROW(E$1:E5926)*(E5927=E$1:E5926)))))</f>
        <v> </v>
      </c>
      <c r="L5927" s="27"/>
    </row>
    <row r="5928" spans="1:12">
      <c r="A5928" s="20" t="s">
        <v>1189</v>
      </c>
      <c r="E5928" s="22">
        <f>IF(D5928="?OLD","!!!","")</f>
        <v/>
      </c>
      <c r="F5928" s="23" t="str">
        <f>IF(OR(E5928="",E5928="!!!"),"",IF(NOT(ISNA(VLOOKUP(E5928,E$1:E5927,1,FALSE()))),"OLD",IF(AND(E5928&lt;&gt;"",E5928&lt;&gt;"!!!"),"NEW","")))</f>
        <v> </v>
      </c>
      <c r="G5928" s="24" t="str">
        <f>IF(OR(E5928="",E5928="!!!"),"",IF(OR(J5928=0,AND(J5928=1,K5928=1),AND(J5928=1,I5928="SBJ"),AND(J5928=1,I5928=0)),"?IN_FOCUS",IF(J5928&lt;=2,"?ACTIVATED",IF(J5928&lt;&gt;"","?FAMILIAR",IF(F5928="NEW",IF(ISNA(VLOOKUP(E5928,#REF!,1,FALSE())),"?TYPE_IDENTIFIABLE","?REFERENTIAL"),"_")))))</f>
        <v> </v>
      </c>
      <c r="H5928" s="25" t="str">
        <f>IF(J5928&lt;&gt;1,"",IF(I5928="SBJ","CB","?"))</f>
        <v> </v>
      </c>
      <c r="I5928" s="26" t="str">
        <f>IF(OR(E5928="",E5928="!!!",F5928="NEW"),"",INDEX(B5927:B$2,-1+SUMPRODUCT(MAX(ROW(E5927:E$2)*(E5928=E5927:E$2)))))</f>
        <v> </v>
      </c>
      <c r="J5928" s="26" t="str">
        <f>IF(OR(E5928="",E5928="!!!",F5928="NEW"),"",COUNTBLANK(OFFSET(A$1,,,SUMPRODUCT(MAX(ROW(E$2:E5928)*(E5928=E$2:E5928)))))-COUNTBLANK(OFFSET(A$1,,,SUMPRODUCT(MAX(ROW(E$1:E5927)*(E2=E$1:E5927))))))</f>
        <v> </v>
      </c>
      <c r="K5928" s="26" t="str">
        <f>IF(OR(E5928="",E5928="!!!",F5928="NEW"),"",INDEX(J$1:J5927,SUMPRODUCT(MAX(ROW(E$1:E5927)*(E5928=E$1:E5927)))))</f>
        <v> </v>
      </c>
      <c r="L5928" s="27"/>
    </row>
    <row r="5929" spans="1:12">
      <c r="A5929" s="20" t="s">
        <v>1546</v>
      </c>
      <c r="E5929" s="22">
        <f>IF(D5929="?OLD","!!!","")</f>
        <v/>
      </c>
      <c r="F5929" s="23" t="str">
        <f>IF(OR(E5929="",E5929="!!!"),"",IF(NOT(ISNA(VLOOKUP(E5929,E$1:E5928,1,FALSE()))),"OLD",IF(AND(E5929&lt;&gt;"",E5929&lt;&gt;"!!!"),"NEW","")))</f>
        <v> </v>
      </c>
      <c r="G5929" s="24" t="str">
        <f>IF(OR(E5929="",E5929="!!!"),"",IF(OR(J5929=0,AND(J5929=1,K5929=1),AND(J5929=1,I5929="SBJ"),AND(J5929=1,I5929=0)),"?IN_FOCUS",IF(J5929&lt;=2,"?ACTIVATED",IF(J5929&lt;&gt;"","?FAMILIAR",IF(F5929="NEW",IF(ISNA(VLOOKUP(E5929,#REF!,1,FALSE())),"?TYPE_IDENTIFIABLE","?REFERENTIAL"),"_")))))</f>
        <v> </v>
      </c>
      <c r="H5929" s="25" t="str">
        <f>IF(J5929&lt;&gt;1,"",IF(I5929="SBJ","CB","?"))</f>
        <v> </v>
      </c>
      <c r="I5929" s="26" t="str">
        <f>IF(OR(E5929="",E5929="!!!",F5929="NEW"),"",INDEX(B5928:B$2,-1+SUMPRODUCT(MAX(ROW(E5928:E$2)*(E5929=E5928:E$2)))))</f>
        <v> </v>
      </c>
      <c r="J5929" s="26" t="str">
        <f>IF(OR(E5929="",E5929="!!!",F5929="NEW"),"",COUNTBLANK(OFFSET(A$1,,,SUMPRODUCT(MAX(ROW(E$2:E5929)*(E5929=E$2:E5929)))))-COUNTBLANK(OFFSET(A$1,,,SUMPRODUCT(MAX(ROW(E$1:E5928)*(E2=E$1:E5928))))))</f>
        <v> </v>
      </c>
      <c r="K5929" s="26" t="str">
        <f>IF(OR(E5929="",E5929="!!!",F5929="NEW"),"",INDEX(J$1:J5928,SUMPRODUCT(MAX(ROW(E$1:E5928)*(E5929=E$1:E5928)))))</f>
        <v> </v>
      </c>
      <c r="L5929" s="27"/>
    </row>
    <row r="5930" spans="1:12">
      <c r="A5930" s="20" t="s">
        <v>1002</v>
      </c>
      <c r="E5930" s="22">
        <f>IF(D5930="?OLD","!!!","")</f>
        <v/>
      </c>
      <c r="F5930" s="23" t="str">
        <f>IF(OR(E5930="",E5930="!!!"),"",IF(NOT(ISNA(VLOOKUP(E5930,E$1:E5929,1,FALSE()))),"OLD",IF(AND(E5930&lt;&gt;"",E5930&lt;&gt;"!!!"),"NEW","")))</f>
        <v> </v>
      </c>
      <c r="G5930" s="24" t="str">
        <f>IF(OR(E5930="",E5930="!!!"),"",IF(OR(J5930=0,AND(J5930=1,K5930=1),AND(J5930=1,I5930="SBJ"),AND(J5930=1,I5930=0)),"?IN_FOCUS",IF(J5930&lt;=2,"?ACTIVATED",IF(J5930&lt;&gt;"","?FAMILIAR",IF(F5930="NEW",IF(ISNA(VLOOKUP(E5930,#REF!,1,FALSE())),"?TYPE_IDENTIFIABLE","?REFERENTIAL"),"_")))))</f>
        <v> </v>
      </c>
      <c r="H5930" s="25" t="str">
        <f>IF(J5930&lt;&gt;1,"",IF(I5930="SBJ","CB","?"))</f>
        <v> </v>
      </c>
      <c r="I5930" s="26" t="str">
        <f>IF(OR(E5930="",E5930="!!!",F5930="NEW"),"",INDEX(B5929:B$2,-1+SUMPRODUCT(MAX(ROW(E5929:E$2)*(E5930=E5929:E$2)))))</f>
        <v> </v>
      </c>
      <c r="J5930" s="26" t="str">
        <f>IF(OR(E5930="",E5930="!!!",F5930="NEW"),"",COUNTBLANK(OFFSET(A$1,,,SUMPRODUCT(MAX(ROW(E$2:E5930)*(E5930=E$2:E5930)))))-COUNTBLANK(OFFSET(A$1,,,SUMPRODUCT(MAX(ROW(E$1:E5929)*(E2=E$1:E5929))))))</f>
        <v> </v>
      </c>
      <c r="K5930" s="26" t="str">
        <f>IF(OR(E5930="",E5930="!!!",F5930="NEW"),"",INDEX(J$1:J5929,SUMPRODUCT(MAX(ROW(E$1:E5929)*(E5930=E$1:E5929)))))</f>
        <v> </v>
      </c>
      <c r="L5930" s="27"/>
    </row>
    <row r="5931" spans="1:12">
      <c r="A5931" s="20" t="s">
        <v>1000</v>
      </c>
      <c r="E5931" s="22">
        <f>IF(D5931="?OLD","!!!","")</f>
        <v/>
      </c>
      <c r="F5931" s="23" t="str">
        <f>IF(OR(E5931="",E5931="!!!"),"",IF(NOT(ISNA(VLOOKUP(E5931,E$1:E5930,1,FALSE()))),"OLD",IF(AND(E5931&lt;&gt;"",E5931&lt;&gt;"!!!"),"NEW","")))</f>
        <v> </v>
      </c>
      <c r="G5931" s="24" t="str">
        <f>IF(OR(E5931="",E5931="!!!"),"",IF(OR(J5931=0,AND(J5931=1,K5931=1),AND(J5931=1,I5931="SBJ"),AND(J5931=1,I5931=0)),"?IN_FOCUS",IF(J5931&lt;=2,"?ACTIVATED",IF(J5931&lt;&gt;"","?FAMILIAR",IF(F5931="NEW",IF(ISNA(VLOOKUP(E5931,#REF!,1,FALSE())),"?TYPE_IDENTIFIABLE","?REFERENTIAL"),"_")))))</f>
        <v> </v>
      </c>
      <c r="H5931" s="25" t="str">
        <f>IF(J5931&lt;&gt;1,"",IF(I5931="SBJ","CB","?"))</f>
        <v> </v>
      </c>
      <c r="I5931" s="26" t="str">
        <f>IF(OR(E5931="",E5931="!!!",F5931="NEW"),"",INDEX(B5930:B$2,-1+SUMPRODUCT(MAX(ROW(E5930:E$2)*(E5931=E5930:E$2)))))</f>
        <v> </v>
      </c>
      <c r="J5931" s="26" t="str">
        <f>IF(OR(E5931="",E5931="!!!",F5931="NEW"),"",COUNTBLANK(OFFSET(A$1,,,SUMPRODUCT(MAX(ROW(E$2:E5931)*(E5931=E$2:E5931)))))-COUNTBLANK(OFFSET(A$1,,,SUMPRODUCT(MAX(ROW(E$1:E5930)*(E2=E$1:E5930))))))</f>
        <v> </v>
      </c>
      <c r="K5931" s="26" t="str">
        <f>IF(OR(E5931="",E5931="!!!",F5931="NEW"),"",INDEX(J$1:J5930,SUMPRODUCT(MAX(ROW(E$1:E5930)*(E5931=E$1:E5930)))))</f>
        <v> </v>
      </c>
      <c r="L5931" s="27"/>
    </row>
    <row r="5932" spans="1:12">
      <c r="A5932" s="20" t="s">
        <v>997</v>
      </c>
      <c r="E5932" s="22">
        <f>IF(D5932="?OLD","!!!","")</f>
        <v/>
      </c>
      <c r="F5932" s="23" t="str">
        <f>IF(OR(E5932="",E5932="!!!"),"",IF(NOT(ISNA(VLOOKUP(E5932,E$1:E5931,1,FALSE()))),"OLD",IF(AND(E5932&lt;&gt;"",E5932&lt;&gt;"!!!"),"NEW","")))</f>
        <v> </v>
      </c>
      <c r="G5932" s="24" t="str">
        <f>IF(OR(E5932="",E5932="!!!"),"",IF(OR(J5932=0,AND(J5932=1,K5932=1),AND(J5932=1,I5932="SBJ"),AND(J5932=1,I5932=0)),"?IN_FOCUS",IF(J5932&lt;=2,"?ACTIVATED",IF(J5932&lt;&gt;"","?FAMILIAR",IF(F5932="NEW",IF(ISNA(VLOOKUP(E5932,#REF!,1,FALSE())),"?TYPE_IDENTIFIABLE","?REFERENTIAL"),"_")))))</f>
        <v> </v>
      </c>
      <c r="H5932" s="25" t="str">
        <f>IF(J5932&lt;&gt;1,"",IF(I5932="SBJ","CB","?"))</f>
        <v> </v>
      </c>
      <c r="I5932" s="26" t="str">
        <f>IF(OR(E5932="",E5932="!!!",F5932="NEW"),"",INDEX(B5931:B$2,-1+SUMPRODUCT(MAX(ROW(E5931:E$2)*(E5932=E5931:E$2)))))</f>
        <v> </v>
      </c>
      <c r="J5932" s="26" t="str">
        <f>IF(OR(E5932="",E5932="!!!",F5932="NEW"),"",COUNTBLANK(OFFSET(A$1,,,SUMPRODUCT(MAX(ROW(E$2:E5932)*(E5932=E$2:E5932)))))-COUNTBLANK(OFFSET(A$1,,,SUMPRODUCT(MAX(ROW(E$1:E5931)*(E2=E$1:E5931))))))</f>
        <v> </v>
      </c>
      <c r="K5932" s="26" t="str">
        <f>IF(OR(E5932="",E5932="!!!",F5932="NEW"),"",INDEX(J$1:J5931,SUMPRODUCT(MAX(ROW(E$1:E5931)*(E5932=E$1:E5931)))))</f>
        <v> </v>
      </c>
      <c r="L5932" s="27"/>
    </row>
    <row r="5933" spans="1:12">
      <c r="A5933" s="20" t="s">
        <v>1210</v>
      </c>
      <c r="B5933" s="21" t="s">
        <v>1066</v>
      </c>
      <c r="C5933" s="21" t="s">
        <v>990</v>
      </c>
      <c r="D5933" s="21" t="s">
        <v>978</v>
      </c>
      <c r="E5933" s="22">
        <f>IF(D5933="?OLD","!!!","")</f>
        <v/>
      </c>
      <c r="F5933" s="23" t="str">
        <f>IF(OR(E5933="",E5933="!!!"),"",IF(NOT(ISNA(VLOOKUP(E5933,E$1:E5932,1,FALSE()))),"OLD",IF(AND(E5933&lt;&gt;"",E5933&lt;&gt;"!!!"),"NEW","")))</f>
        <v> </v>
      </c>
      <c r="G5933" s="24" t="str">
        <f>IF(OR(E5933="",E5933="!!!"),"",IF(OR(J5933=0,AND(J5933=1,K5933=1),AND(J5933=1,I5933="SBJ"),AND(J5933=1,I5933=0)),"?IN_FOCUS",IF(J5933&lt;=2,"?ACTIVATED",IF(J5933&lt;&gt;"","?FAMILIAR",IF(F5933="NEW",IF(ISNA(VLOOKUP(E5933,#REF!,1,FALSE())),"?TYPE_IDENTIFIABLE","?REFERENTIAL"),"_")))))</f>
        <v> </v>
      </c>
      <c r="H5933" s="25" t="str">
        <f>IF(J5933&lt;&gt;1,"",IF(I5933="SBJ","CB","?"))</f>
        <v> </v>
      </c>
      <c r="I5933" s="26" t="str">
        <f>IF(OR(E5933="",E5933="!!!",F5933="NEW"),"",INDEX(B5932:B$2,-1+SUMPRODUCT(MAX(ROW(E5932:E$2)*(E5933=E5932:E$2)))))</f>
        <v> </v>
      </c>
      <c r="J5933" s="26" t="str">
        <f>IF(OR(E5933="",E5933="!!!",F5933="NEW"),"",COUNTBLANK(OFFSET(A$1,,,SUMPRODUCT(MAX(ROW(E$2:E5933)*(E5933=E$2:E5933)))))-COUNTBLANK(OFFSET(A$1,,,SUMPRODUCT(MAX(ROW(E$1:E5932)*(E2=E$1:E5932))))))</f>
        <v> </v>
      </c>
      <c r="K5933" s="26" t="str">
        <f>IF(OR(E5933="",E5933="!!!",F5933="NEW"),"",INDEX(J$1:J5932,SUMPRODUCT(MAX(ROW(E$1:E5932)*(E5933=E$1:E5932)))))</f>
        <v> </v>
      </c>
      <c r="L5933" s="27"/>
    </row>
    <row r="5934" spans="1:12">
      <c r="A5934" s="20" t="s">
        <v>996</v>
      </c>
      <c r="E5934" s="22">
        <f>IF(D5934="?OLD","!!!","")</f>
        <v/>
      </c>
      <c r="F5934" s="23" t="str">
        <f>IF(OR(E5934="",E5934="!!!"),"",IF(NOT(ISNA(VLOOKUP(E5934,E$1:E5933,1,FALSE()))),"OLD",IF(AND(E5934&lt;&gt;"",E5934&lt;&gt;"!!!"),"NEW","")))</f>
        <v> </v>
      </c>
      <c r="G5934" s="24" t="str">
        <f>IF(OR(E5934="",E5934="!!!"),"",IF(OR(J5934=0,AND(J5934=1,K5934=1),AND(J5934=1,I5934="SBJ"),AND(J5934=1,I5934=0)),"?IN_FOCUS",IF(J5934&lt;=2,"?ACTIVATED",IF(J5934&lt;&gt;"","?FAMILIAR",IF(F5934="NEW",IF(ISNA(VLOOKUP(E5934,#REF!,1,FALSE())),"?TYPE_IDENTIFIABLE","?REFERENTIAL"),"_")))))</f>
        <v> </v>
      </c>
      <c r="H5934" s="25" t="str">
        <f>IF(J5934&lt;&gt;1,"",IF(I5934="SBJ","CB","?"))</f>
        <v> </v>
      </c>
      <c r="I5934" s="26" t="str">
        <f>IF(OR(E5934="",E5934="!!!",F5934="NEW"),"",INDEX(B5933:B$2,-1+SUMPRODUCT(MAX(ROW(E5933:E$2)*(E5934=E5933:E$2)))))</f>
        <v> </v>
      </c>
      <c r="J5934" s="26" t="str">
        <f>IF(OR(E5934="",E5934="!!!",F5934="NEW"),"",COUNTBLANK(OFFSET(A$1,,,SUMPRODUCT(MAX(ROW(E$2:E5934)*(E5934=E$2:E5934)))))-COUNTBLANK(OFFSET(A$1,,,SUMPRODUCT(MAX(ROW(E$1:E5933)*(E2=E$1:E5933))))))</f>
        <v> </v>
      </c>
      <c r="K5934" s="26" t="str">
        <f>IF(OR(E5934="",E5934="!!!",F5934="NEW"),"",INDEX(J$1:J5933,SUMPRODUCT(MAX(ROW(E$1:E5933)*(E5934=E$1:E5933)))))</f>
        <v> </v>
      </c>
      <c r="L5934" s="27"/>
    </row>
    <row r="5935" spans="1:12">
      <c r="A5935" s="20" t="s">
        <v>1039</v>
      </c>
      <c r="B5935" s="21" t="s">
        <v>1084</v>
      </c>
      <c r="C5935" s="21" t="s">
        <v>987</v>
      </c>
      <c r="D5935" s="21" t="s">
        <v>978</v>
      </c>
      <c r="E5935" s="22">
        <f>IF(D5935="?OLD","!!!","")</f>
        <v/>
      </c>
      <c r="F5935" s="23" t="str">
        <f>IF(OR(E5935="",E5935="!!!"),"",IF(NOT(ISNA(VLOOKUP(E5935,E$1:E5934,1,FALSE()))),"OLD",IF(AND(E5935&lt;&gt;"",E5935&lt;&gt;"!!!"),"NEW","")))</f>
        <v> </v>
      </c>
      <c r="G5935" s="24" t="str">
        <f>IF(OR(E5935="",E5935="!!!"),"",IF(OR(J5935=0,AND(J5935=1,K5935=1),AND(J5935=1,I5935="SBJ"),AND(J5935=1,I5935=0)),"?IN_FOCUS",IF(J5935&lt;=2,"?ACTIVATED",IF(J5935&lt;&gt;"","?FAMILIAR",IF(F5935="NEW",IF(ISNA(VLOOKUP(E5935,#REF!,1,FALSE())),"?TYPE_IDENTIFIABLE","?REFERENTIAL"),"_")))))</f>
        <v> </v>
      </c>
      <c r="H5935" s="25" t="str">
        <f>IF(J5935&lt;&gt;1,"",IF(I5935="SBJ","CB","?"))</f>
        <v> </v>
      </c>
      <c r="I5935" s="26" t="str">
        <f>IF(OR(E5935="",E5935="!!!",F5935="NEW"),"",INDEX(B5934:B$2,-1+SUMPRODUCT(MAX(ROW(E5934:E$2)*(E5935=E5934:E$2)))))</f>
        <v> </v>
      </c>
      <c r="J5935" s="26" t="str">
        <f>IF(OR(E5935="",E5935="!!!",F5935="NEW"),"",COUNTBLANK(OFFSET(A$1,,,SUMPRODUCT(MAX(ROW(E$2:E5935)*(E5935=E$2:E5935)))))-COUNTBLANK(OFFSET(A$1,,,SUMPRODUCT(MAX(ROW(E$1:E5934)*(E2=E$1:E5934))))))</f>
        <v> </v>
      </c>
      <c r="K5935" s="26" t="str">
        <f>IF(OR(E5935="",E5935="!!!",F5935="NEW"),"",INDEX(J$1:J5934,SUMPRODUCT(MAX(ROW(E$1:E5934)*(E5935=E$1:E5934)))))</f>
        <v> </v>
      </c>
      <c r="L5935" s="27"/>
    </row>
    <row r="5936" spans="1:12">
      <c r="A5936" s="20" t="s">
        <v>1355</v>
      </c>
      <c r="B5936" s="21" t="s">
        <v>1007</v>
      </c>
      <c r="C5936" s="21" t="s">
        <v>990</v>
      </c>
      <c r="D5936" s="21" t="s">
        <v>978</v>
      </c>
      <c r="E5936" s="22">
        <f>IF(D5936="?OLD","!!!","")</f>
        <v/>
      </c>
      <c r="F5936" s="23" t="str">
        <f>IF(OR(E5936="",E5936="!!!"),"",IF(NOT(ISNA(VLOOKUP(E5936,E$1:E5935,1,FALSE()))),"OLD",IF(AND(E5936&lt;&gt;"",E5936&lt;&gt;"!!!"),"NEW","")))</f>
        <v> </v>
      </c>
      <c r="G5936" s="24" t="str">
        <f>IF(OR(E5936="",E5936="!!!"),"",IF(OR(J5936=0,AND(J5936=1,K5936=1),AND(J5936=1,I5936="SBJ"),AND(J5936=1,I5936=0)),"?IN_FOCUS",IF(J5936&lt;=2,"?ACTIVATED",IF(J5936&lt;&gt;"","?FAMILIAR",IF(F5936="NEW",IF(ISNA(VLOOKUP(E5936,#REF!,1,FALSE())),"?TYPE_IDENTIFIABLE","?REFERENTIAL"),"_")))))</f>
        <v> </v>
      </c>
      <c r="H5936" s="25" t="str">
        <f>IF(J5936&lt;&gt;1,"",IF(I5936="SBJ","CB","?"))</f>
        <v> </v>
      </c>
      <c r="I5936" s="26" t="str">
        <f>IF(OR(E5936="",E5936="!!!",F5936="NEW"),"",INDEX(B5935:B$2,-1+SUMPRODUCT(MAX(ROW(E5935:E$2)*(E5936=E5935:E$2)))))</f>
        <v> </v>
      </c>
      <c r="J5936" s="26" t="str">
        <f>IF(OR(E5936="",E5936="!!!",F5936="NEW"),"",COUNTBLANK(OFFSET(A$1,,,SUMPRODUCT(MAX(ROW(E$2:E5936)*(E5936=E$2:E5936)))))-COUNTBLANK(OFFSET(A$1,,,SUMPRODUCT(MAX(ROW(E$1:E5935)*(E2=E$1:E5935))))))</f>
        <v> </v>
      </c>
      <c r="K5936" s="26" t="str">
        <f>IF(OR(E5936="",E5936="!!!",F5936="NEW"),"",INDEX(J$1:J5935,SUMPRODUCT(MAX(ROW(E$1:E5935)*(E5936=E$1:E5935)))))</f>
        <v> </v>
      </c>
      <c r="L5936" s="27"/>
    </row>
    <row r="5937" spans="1:12">
      <c r="A5937" s="20" t="s">
        <v>1000</v>
      </c>
      <c r="E5937" s="22">
        <f>IF(D5937="?OLD","!!!","")</f>
        <v/>
      </c>
      <c r="F5937" s="23" t="str">
        <f>IF(OR(E5937="",E5937="!!!"),"",IF(NOT(ISNA(VLOOKUP(E5937,E$1:E5936,1,FALSE()))),"OLD",IF(AND(E5937&lt;&gt;"",E5937&lt;&gt;"!!!"),"NEW","")))</f>
        <v> </v>
      </c>
      <c r="G5937" s="24" t="str">
        <f>IF(OR(E5937="",E5937="!!!"),"",IF(OR(J5937=0,AND(J5937=1,K5937=1),AND(J5937=1,I5937="SBJ"),AND(J5937=1,I5937=0)),"?IN_FOCUS",IF(J5937&lt;=2,"?ACTIVATED",IF(J5937&lt;&gt;"","?FAMILIAR",IF(F5937="NEW",IF(ISNA(VLOOKUP(E5937,#REF!,1,FALSE())),"?TYPE_IDENTIFIABLE","?REFERENTIAL"),"_")))))</f>
        <v> </v>
      </c>
      <c r="H5937" s="25" t="str">
        <f>IF(J5937&lt;&gt;1,"",IF(I5937="SBJ","CB","?"))</f>
        <v> </v>
      </c>
      <c r="I5937" s="26" t="str">
        <f>IF(OR(E5937="",E5937="!!!",F5937="NEW"),"",INDEX(B5936:B$2,-1+SUMPRODUCT(MAX(ROW(E5936:E$2)*(E5937=E5936:E$2)))))</f>
        <v> </v>
      </c>
      <c r="J5937" s="26" t="str">
        <f>IF(OR(E5937="",E5937="!!!",F5937="NEW"),"",COUNTBLANK(OFFSET(A$1,,,SUMPRODUCT(MAX(ROW(E$2:E5937)*(E5937=E$2:E5937)))))-COUNTBLANK(OFFSET(A$1,,,SUMPRODUCT(MAX(ROW(E$1:E5936)*(E2=E$1:E5936))))))</f>
        <v> </v>
      </c>
      <c r="K5937" s="26" t="str">
        <f>IF(OR(E5937="",E5937="!!!",F5937="NEW"),"",INDEX(J$1:J5936,SUMPRODUCT(MAX(ROW(E$1:E5936)*(E5937=E$1:E5936)))))</f>
        <v> </v>
      </c>
      <c r="L5937" s="27"/>
    </row>
    <row r="5938" spans="1:12">
      <c r="A5938" s="20" t="s">
        <v>431</v>
      </c>
      <c r="E5938" s="22">
        <f>IF(D5938="?OLD","!!!","")</f>
        <v/>
      </c>
      <c r="F5938" s="23" t="str">
        <f>IF(OR(E5938="",E5938="!!!"),"",IF(NOT(ISNA(VLOOKUP(E5938,E$1:E5937,1,FALSE()))),"OLD",IF(AND(E5938&lt;&gt;"",E5938&lt;&gt;"!!!"),"NEW","")))</f>
        <v> </v>
      </c>
      <c r="G5938" s="24" t="str">
        <f>IF(OR(E5938="",E5938="!!!"),"",IF(OR(J5938=0,AND(J5938=1,K5938=1),AND(J5938=1,I5938="SBJ"),AND(J5938=1,I5938=0)),"?IN_FOCUS",IF(J5938&lt;=2,"?ACTIVATED",IF(J5938&lt;&gt;"","?FAMILIAR",IF(F5938="NEW",IF(ISNA(VLOOKUP(E5938,#REF!,1,FALSE())),"?TYPE_IDENTIFIABLE","?REFERENTIAL"),"_")))))</f>
        <v> </v>
      </c>
      <c r="H5938" s="25" t="str">
        <f>IF(J5938&lt;&gt;1,"",IF(I5938="SBJ","CB","?"))</f>
        <v> </v>
      </c>
      <c r="I5938" s="26" t="str">
        <f>IF(OR(E5938="",E5938="!!!",F5938="NEW"),"",INDEX(B5937:B$2,-1+SUMPRODUCT(MAX(ROW(E5937:E$2)*(E5938=E5937:E$2)))))</f>
        <v> </v>
      </c>
      <c r="J5938" s="26" t="str">
        <f>IF(OR(E5938="",E5938="!!!",F5938="NEW"),"",COUNTBLANK(OFFSET(A$1,,,SUMPRODUCT(MAX(ROW(E$2:E5938)*(E5938=E$2:E5938)))))-COUNTBLANK(OFFSET(A$1,,,SUMPRODUCT(MAX(ROW(E$1:E5937)*(E2=E$1:E5937))))))</f>
        <v> </v>
      </c>
      <c r="K5938" s="26" t="str">
        <f>IF(OR(E5938="",E5938="!!!",F5938="NEW"),"",INDEX(J$1:J5937,SUMPRODUCT(MAX(ROW(E$1:E5937)*(E5938=E$1:E5937)))))</f>
        <v> </v>
      </c>
      <c r="L5938" s="27"/>
    </row>
    <row r="5939" spans="1:12">
      <c r="A5939" s="20" t="s">
        <v>1050</v>
      </c>
      <c r="E5939" s="22">
        <f>IF(D5939="?OLD","!!!","")</f>
        <v/>
      </c>
      <c r="F5939" s="23" t="str">
        <f>IF(OR(E5939="",E5939="!!!"),"",IF(NOT(ISNA(VLOOKUP(E5939,E$1:E5938,1,FALSE()))),"OLD",IF(AND(E5939&lt;&gt;"",E5939&lt;&gt;"!!!"),"NEW","")))</f>
        <v> </v>
      </c>
      <c r="G5939" s="24" t="str">
        <f>IF(OR(E5939="",E5939="!!!"),"",IF(OR(J5939=0,AND(J5939=1,K5939=1),AND(J5939=1,I5939="SBJ"),AND(J5939=1,I5939=0)),"?IN_FOCUS",IF(J5939&lt;=2,"?ACTIVATED",IF(J5939&lt;&gt;"","?FAMILIAR",IF(F5939="NEW",IF(ISNA(VLOOKUP(E5939,#REF!,1,FALSE())),"?TYPE_IDENTIFIABLE","?REFERENTIAL"),"_")))))</f>
        <v> </v>
      </c>
      <c r="H5939" s="25" t="str">
        <f>IF(J5939&lt;&gt;1,"",IF(I5939="SBJ","CB","?"))</f>
        <v> </v>
      </c>
      <c r="I5939" s="26" t="str">
        <f>IF(OR(E5939="",E5939="!!!",F5939="NEW"),"",INDEX(B5938:B$2,-1+SUMPRODUCT(MAX(ROW(E5938:E$2)*(E5939=E5938:E$2)))))</f>
        <v> </v>
      </c>
      <c r="J5939" s="26" t="str">
        <f>IF(OR(E5939="",E5939="!!!",F5939="NEW"),"",COUNTBLANK(OFFSET(A$1,,,SUMPRODUCT(MAX(ROW(E$2:E5939)*(E5939=E$2:E5939)))))-COUNTBLANK(OFFSET(A$1,,,SUMPRODUCT(MAX(ROW(E$1:E5938)*(E2=E$1:E5938))))))</f>
        <v> </v>
      </c>
      <c r="K5939" s="26" t="str">
        <f>IF(OR(E5939="",E5939="!!!",F5939="NEW"),"",INDEX(J$1:J5938,SUMPRODUCT(MAX(ROW(E$1:E5938)*(E5939=E$1:E5938)))))</f>
        <v> </v>
      </c>
      <c r="L5939" s="27"/>
    </row>
    <row r="5940" spans="1:12">
      <c r="A5940" s="20" t="s">
        <v>1256</v>
      </c>
      <c r="B5940" s="21" t="s">
        <v>1146</v>
      </c>
      <c r="C5940" s="21" t="s">
        <v>983</v>
      </c>
      <c r="E5940" s="22">
        <f>IF(D5940="?OLD","!!!","")</f>
        <v/>
      </c>
      <c r="F5940" s="23" t="str">
        <f>IF(OR(E5940="",E5940="!!!"),"",IF(NOT(ISNA(VLOOKUP(E5940,E$1:E5939,1,FALSE()))),"OLD",IF(AND(E5940&lt;&gt;"",E5940&lt;&gt;"!!!"),"NEW","")))</f>
        <v> </v>
      </c>
      <c r="G5940" s="24" t="str">
        <f>IF(OR(E5940="",E5940="!!!"),"",IF(OR(J5940=0,AND(J5940=1,K5940=1),AND(J5940=1,I5940="SBJ"),AND(J5940=1,I5940=0)),"?IN_FOCUS",IF(J5940&lt;=2,"?ACTIVATED",IF(J5940&lt;&gt;"","?FAMILIAR",IF(F5940="NEW",IF(ISNA(VLOOKUP(E5940,#REF!,1,FALSE())),"?TYPE_IDENTIFIABLE","?REFERENTIAL"),"_")))))</f>
        <v> </v>
      </c>
      <c r="H5940" s="25" t="str">
        <f>IF(J5940&lt;&gt;1,"",IF(I5940="SBJ","CB","?"))</f>
        <v> </v>
      </c>
      <c r="I5940" s="26" t="str">
        <f>IF(OR(E5940="",E5940="!!!",F5940="NEW"),"",INDEX(B5939:B$2,-1+SUMPRODUCT(MAX(ROW(E5939:E$2)*(E5940=E5939:E$2)))))</f>
        <v> </v>
      </c>
      <c r="J5940" s="26" t="str">
        <f>IF(OR(E5940="",E5940="!!!",F5940="NEW"),"",COUNTBLANK(OFFSET(A$1,,,SUMPRODUCT(MAX(ROW(E$2:E5940)*(E5940=E$2:E5940)))))-COUNTBLANK(OFFSET(A$1,,,SUMPRODUCT(MAX(ROW(E$1:E5939)*(E2=E$1:E5939))))))</f>
        <v> </v>
      </c>
      <c r="K5940" s="26" t="str">
        <f>IF(OR(E5940="",E5940="!!!",F5940="NEW"),"",INDEX(J$1:J5939,SUMPRODUCT(MAX(ROW(E$1:E5939)*(E5940=E$1:E5939)))))</f>
        <v> </v>
      </c>
      <c r="L5940" s="27"/>
    </row>
    <row r="5941" spans="1:12">
      <c r="A5941" s="20" t="s">
        <v>1116</v>
      </c>
      <c r="E5941" s="22">
        <f>IF(D5941="?OLD","!!!","")</f>
        <v/>
      </c>
      <c r="F5941" s="23" t="str">
        <f>IF(OR(E5941="",E5941="!!!"),"",IF(NOT(ISNA(VLOOKUP(E5941,E$1:E5940,1,FALSE()))),"OLD",IF(AND(E5941&lt;&gt;"",E5941&lt;&gt;"!!!"),"NEW","")))</f>
        <v> </v>
      </c>
      <c r="G5941" s="24" t="str">
        <f>IF(OR(E5941="",E5941="!!!"),"",IF(OR(J5941=0,AND(J5941=1,K5941=1),AND(J5941=1,I5941="SBJ"),AND(J5941=1,I5941=0)),"?IN_FOCUS",IF(J5941&lt;=2,"?ACTIVATED",IF(J5941&lt;&gt;"","?FAMILIAR",IF(F5941="NEW",IF(ISNA(VLOOKUP(E5941,#REF!,1,FALSE())),"?TYPE_IDENTIFIABLE","?REFERENTIAL"),"_")))))</f>
        <v> </v>
      </c>
      <c r="H5941" s="25" t="str">
        <f>IF(J5941&lt;&gt;1,"",IF(I5941="SBJ","CB","?"))</f>
        <v> </v>
      </c>
      <c r="I5941" s="26" t="str">
        <f>IF(OR(E5941="",E5941="!!!",F5941="NEW"),"",INDEX(B5940:B$2,-1+SUMPRODUCT(MAX(ROW(E5940:E$2)*(E5941=E5940:E$2)))))</f>
        <v> </v>
      </c>
      <c r="J5941" s="26" t="str">
        <f>IF(OR(E5941="",E5941="!!!",F5941="NEW"),"",COUNTBLANK(OFFSET(A$1,,,SUMPRODUCT(MAX(ROW(E$2:E5941)*(E5941=E$2:E5941)))))-COUNTBLANK(OFFSET(A$1,,,SUMPRODUCT(MAX(ROW(E$1:E5940)*(E2=E$1:E5940))))))</f>
        <v> </v>
      </c>
      <c r="K5941" s="26" t="str">
        <f>IF(OR(E5941="",E5941="!!!",F5941="NEW"),"",INDEX(J$1:J5940,SUMPRODUCT(MAX(ROW(E$1:E5940)*(E5941=E$1:E5940)))))</f>
        <v> </v>
      </c>
      <c r="L5941" s="27"/>
    </row>
    <row r="5942" spans="1:12">
      <c r="A5942" s="20" t="s">
        <v>1011</v>
      </c>
      <c r="E5942" s="22">
        <f>IF(D5942="?OLD","!!!","")</f>
        <v/>
      </c>
      <c r="F5942" s="23" t="str">
        <f>IF(OR(E5942="",E5942="!!!"),"",IF(NOT(ISNA(VLOOKUP(E5942,E$1:E5941,1,FALSE()))),"OLD",IF(AND(E5942&lt;&gt;"",E5942&lt;&gt;"!!!"),"NEW","")))</f>
        <v> </v>
      </c>
      <c r="G5942" s="24" t="str">
        <f>IF(OR(E5942="",E5942="!!!"),"",IF(OR(J5942=0,AND(J5942=1,K5942=1),AND(J5942=1,I5942="SBJ"),AND(J5942=1,I5942=0)),"?IN_FOCUS",IF(J5942&lt;=2,"?ACTIVATED",IF(J5942&lt;&gt;"","?FAMILIAR",IF(F5942="NEW",IF(ISNA(VLOOKUP(E5942,#REF!,1,FALSE())),"?TYPE_IDENTIFIABLE","?REFERENTIAL"),"_")))))</f>
        <v> </v>
      </c>
      <c r="H5942" s="25" t="str">
        <f>IF(J5942&lt;&gt;1,"",IF(I5942="SBJ","CB","?"))</f>
        <v> </v>
      </c>
      <c r="I5942" s="26" t="str">
        <f>IF(OR(E5942="",E5942="!!!",F5942="NEW"),"",INDEX(B5941:B$2,-1+SUMPRODUCT(MAX(ROW(E5941:E$2)*(E5942=E5941:E$2)))))</f>
        <v> </v>
      </c>
      <c r="J5942" s="26" t="str">
        <f>IF(OR(E5942="",E5942="!!!",F5942="NEW"),"",COUNTBLANK(OFFSET(A$1,,,SUMPRODUCT(MAX(ROW(E$2:E5942)*(E5942=E$2:E5942)))))-COUNTBLANK(OFFSET(A$1,,,SUMPRODUCT(MAX(ROW(E$1:E5941)*(E2=E$1:E5941))))))</f>
        <v> </v>
      </c>
      <c r="K5942" s="26" t="str">
        <f>IF(OR(E5942="",E5942="!!!",F5942="NEW"),"",INDEX(J$1:J5941,SUMPRODUCT(MAX(ROW(E$1:E5941)*(E5942=E$1:E5941)))))</f>
        <v> </v>
      </c>
      <c r="L5942" s="27"/>
    </row>
    <row r="5943" spans="1:12">
      <c r="A5943" s="20" t="s">
        <v>1597</v>
      </c>
      <c r="E5943" s="22">
        <f>IF(D5943="?OLD","!!!","")</f>
        <v/>
      </c>
      <c r="F5943" s="23" t="str">
        <f>IF(OR(E5943="",E5943="!!!"),"",IF(NOT(ISNA(VLOOKUP(E5943,E$1:E5942,1,FALSE()))),"OLD",IF(AND(E5943&lt;&gt;"",E5943&lt;&gt;"!!!"),"NEW","")))</f>
        <v> </v>
      </c>
      <c r="G5943" s="24" t="str">
        <f>IF(OR(E5943="",E5943="!!!"),"",IF(OR(J5943=0,AND(J5943=1,K5943=1),AND(J5943=1,I5943="SBJ"),AND(J5943=1,I5943=0)),"?IN_FOCUS",IF(J5943&lt;=2,"?ACTIVATED",IF(J5943&lt;&gt;"","?FAMILIAR",IF(F5943="NEW",IF(ISNA(VLOOKUP(E5943,#REF!,1,FALSE())),"?TYPE_IDENTIFIABLE","?REFERENTIAL"),"_")))))</f>
        <v> </v>
      </c>
      <c r="H5943" s="25" t="str">
        <f>IF(J5943&lt;&gt;1,"",IF(I5943="SBJ","CB","?"))</f>
        <v> </v>
      </c>
      <c r="I5943" s="26" t="str">
        <f>IF(OR(E5943="",E5943="!!!",F5943="NEW"),"",INDEX(B5942:B$2,-1+SUMPRODUCT(MAX(ROW(E5942:E$2)*(E5943=E5942:E$2)))))</f>
        <v> </v>
      </c>
      <c r="J5943" s="26" t="str">
        <f>IF(OR(E5943="",E5943="!!!",F5943="NEW"),"",COUNTBLANK(OFFSET(A$1,,,SUMPRODUCT(MAX(ROW(E$2:E5943)*(E5943=E$2:E5943)))))-COUNTBLANK(OFFSET(A$1,,,SUMPRODUCT(MAX(ROW(E$1:E5942)*(E2=E$1:E5942))))))</f>
        <v> </v>
      </c>
      <c r="K5943" s="26" t="str">
        <f>IF(OR(E5943="",E5943="!!!",F5943="NEW"),"",INDEX(J$1:J5942,SUMPRODUCT(MAX(ROW(E$1:E5942)*(E5943=E$1:E5942)))))</f>
        <v> </v>
      </c>
      <c r="L5943" s="27"/>
    </row>
    <row r="5944" spans="1:12">
      <c r="A5944" s="20" t="s">
        <v>1189</v>
      </c>
      <c r="E5944" s="22">
        <f>IF(D5944="?OLD","!!!","")</f>
        <v/>
      </c>
      <c r="F5944" s="23" t="str">
        <f>IF(OR(E5944="",E5944="!!!"),"",IF(NOT(ISNA(VLOOKUP(E5944,E$1:E5943,1,FALSE()))),"OLD",IF(AND(E5944&lt;&gt;"",E5944&lt;&gt;"!!!"),"NEW","")))</f>
        <v> </v>
      </c>
      <c r="G5944" s="24" t="str">
        <f>IF(OR(E5944="",E5944="!!!"),"",IF(OR(J5944=0,AND(J5944=1,K5944=1),AND(J5944=1,I5944="SBJ"),AND(J5944=1,I5944=0)),"?IN_FOCUS",IF(J5944&lt;=2,"?ACTIVATED",IF(J5944&lt;&gt;"","?FAMILIAR",IF(F5944="NEW",IF(ISNA(VLOOKUP(E5944,#REF!,1,FALSE())),"?TYPE_IDENTIFIABLE","?REFERENTIAL"),"_")))))</f>
        <v> </v>
      </c>
      <c r="H5944" s="25" t="str">
        <f>IF(J5944&lt;&gt;1,"",IF(I5944="SBJ","CB","?"))</f>
        <v> </v>
      </c>
      <c r="I5944" s="26" t="str">
        <f>IF(OR(E5944="",E5944="!!!",F5944="NEW"),"",INDEX(B5943:B$2,-1+SUMPRODUCT(MAX(ROW(E5943:E$2)*(E5944=E5943:E$2)))))</f>
        <v> </v>
      </c>
      <c r="J5944" s="26" t="str">
        <f>IF(OR(E5944="",E5944="!!!",F5944="NEW"),"",COUNTBLANK(OFFSET(A$1,,,SUMPRODUCT(MAX(ROW(E$2:E5944)*(E5944=E$2:E5944)))))-COUNTBLANK(OFFSET(A$1,,,SUMPRODUCT(MAX(ROW(E$1:E5943)*(E2=E$1:E5943))))))</f>
        <v> </v>
      </c>
      <c r="K5944" s="26" t="str">
        <f>IF(OR(E5944="",E5944="!!!",F5944="NEW"),"",INDEX(J$1:J5943,SUMPRODUCT(MAX(ROW(E$1:E5943)*(E5944=E$1:E5943)))))</f>
        <v> </v>
      </c>
      <c r="L5944" s="27"/>
    </row>
    <row r="5945" spans="1:12">
      <c r="A5945" s="20" t="s">
        <v>1546</v>
      </c>
      <c r="E5945" s="22">
        <f>IF(D5945="?OLD","!!!","")</f>
        <v/>
      </c>
      <c r="F5945" s="23" t="str">
        <f>IF(OR(E5945="",E5945="!!!"),"",IF(NOT(ISNA(VLOOKUP(E5945,E$1:E5944,1,FALSE()))),"OLD",IF(AND(E5945&lt;&gt;"",E5945&lt;&gt;"!!!"),"NEW","")))</f>
        <v> </v>
      </c>
      <c r="G5945" s="24" t="str">
        <f>IF(OR(E5945="",E5945="!!!"),"",IF(OR(J5945=0,AND(J5945=1,K5945=1),AND(J5945=1,I5945="SBJ"),AND(J5945=1,I5945=0)),"?IN_FOCUS",IF(J5945&lt;=2,"?ACTIVATED",IF(J5945&lt;&gt;"","?FAMILIAR",IF(F5945="NEW",IF(ISNA(VLOOKUP(E5945,#REF!,1,FALSE())),"?TYPE_IDENTIFIABLE","?REFERENTIAL"),"_")))))</f>
        <v> </v>
      </c>
      <c r="H5945" s="25" t="str">
        <f>IF(J5945&lt;&gt;1,"",IF(I5945="SBJ","CB","?"))</f>
        <v> </v>
      </c>
      <c r="I5945" s="26" t="str">
        <f>IF(OR(E5945="",E5945="!!!",F5945="NEW"),"",INDEX(B5944:B$2,-1+SUMPRODUCT(MAX(ROW(E5944:E$2)*(E5945=E5944:E$2)))))</f>
        <v> </v>
      </c>
      <c r="J5945" s="26" t="str">
        <f>IF(OR(E5945="",E5945="!!!",F5945="NEW"),"",COUNTBLANK(OFFSET(A$1,,,SUMPRODUCT(MAX(ROW(E$2:E5945)*(E5945=E$2:E5945)))))-COUNTBLANK(OFFSET(A$1,,,SUMPRODUCT(MAX(ROW(E$1:E5944)*(E2=E$1:E5944))))))</f>
        <v> </v>
      </c>
      <c r="K5945" s="26" t="str">
        <f>IF(OR(E5945="",E5945="!!!",F5945="NEW"),"",INDEX(J$1:J5944,SUMPRODUCT(MAX(ROW(E$1:E5944)*(E5945=E$1:E5944)))))</f>
        <v> </v>
      </c>
      <c r="L5945" s="27"/>
    </row>
    <row r="5946" spans="1:12">
      <c r="A5946" s="20" t="s">
        <v>1022</v>
      </c>
      <c r="E5946" s="22">
        <f>IF(D5946="?OLD","!!!","")</f>
        <v/>
      </c>
      <c r="F5946" s="23" t="str">
        <f>IF(OR(E5946="",E5946="!!!"),"",IF(NOT(ISNA(VLOOKUP(E5946,E$1:E5945,1,FALSE()))),"OLD",IF(AND(E5946&lt;&gt;"",E5946&lt;&gt;"!!!"),"NEW","")))</f>
        <v> </v>
      </c>
      <c r="G5946" s="24" t="str">
        <f>IF(OR(E5946="",E5946="!!!"),"",IF(OR(J5946=0,AND(J5946=1,K5946=1),AND(J5946=1,I5946="SBJ"),AND(J5946=1,I5946=0)),"?IN_FOCUS",IF(J5946&lt;=2,"?ACTIVATED",IF(J5946&lt;&gt;"","?FAMILIAR",IF(F5946="NEW",IF(ISNA(VLOOKUP(E5946,#REF!,1,FALSE())),"?TYPE_IDENTIFIABLE","?REFERENTIAL"),"_")))))</f>
        <v> </v>
      </c>
      <c r="H5946" s="25" t="str">
        <f>IF(J5946&lt;&gt;1,"",IF(I5946="SBJ","CB","?"))</f>
        <v> </v>
      </c>
      <c r="I5946" s="26" t="str">
        <f>IF(OR(E5946="",E5946="!!!",F5946="NEW"),"",INDEX(B5945:B$2,-1+SUMPRODUCT(MAX(ROW(E5945:E$2)*(E5946=E5945:E$2)))))</f>
        <v> </v>
      </c>
      <c r="J5946" s="26" t="str">
        <f>IF(OR(E5946="",E5946="!!!",F5946="NEW"),"",COUNTBLANK(OFFSET(A$1,,,SUMPRODUCT(MAX(ROW(E$2:E5946)*(E5946=E$2:E5946)))))-COUNTBLANK(OFFSET(A$1,,,SUMPRODUCT(MAX(ROW(E$1:E5945)*(E2=E$1:E5945))))))</f>
        <v> </v>
      </c>
      <c r="K5946" s="26" t="str">
        <f>IF(OR(E5946="",E5946="!!!",F5946="NEW"),"",INDEX(J$1:J5945,SUMPRODUCT(MAX(ROW(E$1:E5945)*(E5946=E$1:E5945)))))</f>
        <v> </v>
      </c>
      <c r="L5946" s="27"/>
    </row>
    <row r="5947" spans="1:12">
      <c r="A5947" s="20"/>
    </row>
    <row r="5948" spans="1:12">
      <c r="A5948" s="20" t="s">
        <v>2480</v>
      </c>
    </row>
    <row r="5949" spans="1:12">
      <c r="A5949" s="20" t="s">
        <v>1182</v>
      </c>
      <c r="B5949" s="21" t="s">
        <v>976</v>
      </c>
      <c r="C5949" s="21" t="s">
        <v>977</v>
      </c>
      <c r="D5949" s="21" t="s">
        <v>978</v>
      </c>
      <c r="E5949" s="22">
        <f>IF(D5949="?OLD","!!!","")</f>
        <v/>
      </c>
      <c r="F5949" s="23" t="str">
        <f>IF(OR(E5949="",E5949="!!!"),"",IF(NOT(ISNA(VLOOKUP(E5949,E$1:E5948,1,FALSE()))),"OLD",IF(AND(E5949&lt;&gt;"",E5949&lt;&gt;"!!!"),"NEW","")))</f>
        <v> </v>
      </c>
      <c r="G5949" s="24" t="str">
        <f>IF(OR(E5949="",E5949="!!!"),"",IF(OR(J5949=0,AND(J5949=1,K5949=1),AND(J5949=1,I5949="SBJ"),AND(J5949=1,I5949=0)),"?IN_FOCUS",IF(J5949&lt;=2,"?ACTIVATED",IF(J5949&lt;&gt;"","?FAMILIAR",IF(F5949="NEW",IF(ISNA(VLOOKUP(E5949,#REF!,1,FALSE())),"?TYPE_IDENTIFIABLE","?REFERENTIAL"),"_")))))</f>
        <v> </v>
      </c>
      <c r="H5949" s="25" t="str">
        <f>IF(J5949&lt;&gt;1,"",IF(I5949="SBJ","CB","?"))</f>
        <v> </v>
      </c>
      <c r="I5949" s="26" t="str">
        <f>IF(OR(E5949="",E5949="!!!",F5949="NEW"),"",INDEX(B5948:B$2,-1+SUMPRODUCT(MAX(ROW(E5948:E$2)*(E5949=E5948:E$2)))))</f>
        <v> </v>
      </c>
      <c r="J5949" s="26" t="str">
        <f>IF(OR(E5949="",E5949="!!!",F5949="NEW"),"",COUNTBLANK(OFFSET(A$1,,,SUMPRODUCT(MAX(ROW(E$2:E5949)*(E5949=E$2:E5949)))))-COUNTBLANK(OFFSET(A$1,,,SUMPRODUCT(MAX(ROW(E$1:E5948)*(E2=E$1:E5948))))))</f>
        <v> </v>
      </c>
      <c r="K5949" s="26" t="str">
        <f>IF(OR(E5949="",E5949="!!!",F5949="NEW"),"",INDEX(J$1:J5948,SUMPRODUCT(MAX(ROW(E$1:E5948)*(E5949=E$1:E5948)))))</f>
        <v> </v>
      </c>
      <c r="L5949" s="27"/>
    </row>
    <row r="5950" spans="1:12">
      <c r="A5950" s="20" t="s">
        <v>2481</v>
      </c>
      <c r="E5950" s="22">
        <f>IF(D5950="?OLD","!!!","")</f>
        <v/>
      </c>
      <c r="F5950" s="23" t="str">
        <f>IF(OR(E5950="",E5950="!!!"),"",IF(NOT(ISNA(VLOOKUP(E5950,E$1:E5949,1,FALSE()))),"OLD",IF(AND(E5950&lt;&gt;"",E5950&lt;&gt;"!!!"),"NEW","")))</f>
        <v> </v>
      </c>
      <c r="G5950" s="24" t="str">
        <f>IF(OR(E5950="",E5950="!!!"),"",IF(OR(J5950=0,AND(J5950=1,K5950=1),AND(J5950=1,I5950="SBJ"),AND(J5950=1,I5950=0)),"?IN_FOCUS",IF(J5950&lt;=2,"?ACTIVATED",IF(J5950&lt;&gt;"","?FAMILIAR",IF(F5950="NEW",IF(ISNA(VLOOKUP(E5950,#REF!,1,FALSE())),"?TYPE_IDENTIFIABLE","?REFERENTIAL"),"_")))))</f>
        <v> </v>
      </c>
      <c r="H5950" s="25" t="str">
        <f>IF(J5950&lt;&gt;1,"",IF(I5950="SBJ","CB","?"))</f>
        <v> </v>
      </c>
      <c r="I5950" s="26" t="str">
        <f>IF(OR(E5950="",E5950="!!!",F5950="NEW"),"",INDEX(B5949:B$2,-1+SUMPRODUCT(MAX(ROW(E5949:E$2)*(E5950=E5949:E$2)))))</f>
        <v> </v>
      </c>
      <c r="J5950" s="26" t="str">
        <f>IF(OR(E5950="",E5950="!!!",F5950="NEW"),"",COUNTBLANK(OFFSET(A$1,,,SUMPRODUCT(MAX(ROW(E$2:E5950)*(E5950=E$2:E5950)))))-COUNTBLANK(OFFSET(A$1,,,SUMPRODUCT(MAX(ROW(E$1:E5949)*(E2=E$1:E5949))))))</f>
        <v> </v>
      </c>
      <c r="K5950" s="26" t="str">
        <f>IF(OR(E5950="",E5950="!!!",F5950="NEW"),"",INDEX(J$1:J5949,SUMPRODUCT(MAX(ROW(E$1:E5949)*(E5950=E$1:E5949)))))</f>
        <v> </v>
      </c>
      <c r="L5950" s="27"/>
    </row>
    <row r="5951" spans="1:12">
      <c r="A5951" s="20" t="s">
        <v>1183</v>
      </c>
      <c r="E5951" s="22">
        <f>IF(D5951="?OLD","!!!","")</f>
        <v/>
      </c>
      <c r="F5951" s="23" t="str">
        <f>IF(OR(E5951="",E5951="!!!"),"",IF(NOT(ISNA(VLOOKUP(E5951,E$1:E5950,1,FALSE()))),"OLD",IF(AND(E5951&lt;&gt;"",E5951&lt;&gt;"!!!"),"NEW","")))</f>
        <v> </v>
      </c>
      <c r="G5951" s="24" t="str">
        <f>IF(OR(E5951="",E5951="!!!"),"",IF(OR(J5951=0,AND(J5951=1,K5951=1),AND(J5951=1,I5951="SBJ"),AND(J5951=1,I5951=0)),"?IN_FOCUS",IF(J5951&lt;=2,"?ACTIVATED",IF(J5951&lt;&gt;"","?FAMILIAR",IF(F5951="NEW",IF(ISNA(VLOOKUP(E5951,#REF!,1,FALSE())),"?TYPE_IDENTIFIABLE","?REFERENTIAL"),"_")))))</f>
        <v> </v>
      </c>
      <c r="H5951" s="25" t="str">
        <f>IF(J5951&lt;&gt;1,"",IF(I5951="SBJ","CB","?"))</f>
        <v> </v>
      </c>
      <c r="I5951" s="26" t="str">
        <f>IF(OR(E5951="",E5951="!!!",F5951="NEW"),"",INDEX(B5950:B$2,-1+SUMPRODUCT(MAX(ROW(E5950:E$2)*(E5951=E5950:E$2)))))</f>
        <v> </v>
      </c>
      <c r="J5951" s="26" t="str">
        <f>IF(OR(E5951="",E5951="!!!",F5951="NEW"),"",COUNTBLANK(OFFSET(A$1,,,SUMPRODUCT(MAX(ROW(E$2:E5951)*(E5951=E$2:E5951)))))-COUNTBLANK(OFFSET(A$1,,,SUMPRODUCT(MAX(ROW(E$1:E5950)*(E2=E$1:E5950))))))</f>
        <v> </v>
      </c>
      <c r="K5951" s="26" t="str">
        <f>IF(OR(E5951="",E5951="!!!",F5951="NEW"),"",INDEX(J$1:J5950,SUMPRODUCT(MAX(ROW(E$1:E5950)*(E5951=E$1:E5950)))))</f>
        <v> </v>
      </c>
      <c r="L5951" s="27"/>
    </row>
    <row r="5952" spans="1:12">
      <c r="A5952" s="20" t="s">
        <v>1002</v>
      </c>
      <c r="E5952" s="22">
        <f>IF(D5952="?OLD","!!!","")</f>
        <v/>
      </c>
      <c r="F5952" s="23" t="str">
        <f>IF(OR(E5952="",E5952="!!!"),"",IF(NOT(ISNA(VLOOKUP(E5952,E$1:E5951,1,FALSE()))),"OLD",IF(AND(E5952&lt;&gt;"",E5952&lt;&gt;"!!!"),"NEW","")))</f>
        <v> </v>
      </c>
      <c r="G5952" s="24" t="str">
        <f>IF(OR(E5952="",E5952="!!!"),"",IF(OR(J5952=0,AND(J5952=1,K5952=1),AND(J5952=1,I5952="SBJ"),AND(J5952=1,I5952=0)),"?IN_FOCUS",IF(J5952&lt;=2,"?ACTIVATED",IF(J5952&lt;&gt;"","?FAMILIAR",IF(F5952="NEW",IF(ISNA(VLOOKUP(E5952,#REF!,1,FALSE())),"?TYPE_IDENTIFIABLE","?REFERENTIAL"),"_")))))</f>
        <v> </v>
      </c>
      <c r="H5952" s="25" t="str">
        <f>IF(J5952&lt;&gt;1,"",IF(I5952="SBJ","CB","?"))</f>
        <v> </v>
      </c>
      <c r="I5952" s="26" t="str">
        <f>IF(OR(E5952="",E5952="!!!",F5952="NEW"),"",INDEX(B5951:B$2,-1+SUMPRODUCT(MAX(ROW(E5951:E$2)*(E5952=E5951:E$2)))))</f>
        <v> </v>
      </c>
      <c r="J5952" s="26" t="str">
        <f>IF(OR(E5952="",E5952="!!!",F5952="NEW"),"",COUNTBLANK(OFFSET(A$1,,,SUMPRODUCT(MAX(ROW(E$2:E5952)*(E5952=E$2:E5952)))))-COUNTBLANK(OFFSET(A$1,,,SUMPRODUCT(MAX(ROW(E$1:E5951)*(E2=E$1:E5951))))))</f>
        <v> </v>
      </c>
      <c r="K5952" s="26" t="str">
        <f>IF(OR(E5952="",E5952="!!!",F5952="NEW"),"",INDEX(J$1:J5951,SUMPRODUCT(MAX(ROW(E$1:E5951)*(E5952=E$1:E5951)))))</f>
        <v> </v>
      </c>
      <c r="L5952" s="27"/>
    </row>
    <row r="5953" spans="1:12">
      <c r="A5953" s="20" t="s">
        <v>1018</v>
      </c>
      <c r="E5953" s="22">
        <f>IF(D5953="?OLD","!!!","")</f>
        <v/>
      </c>
      <c r="F5953" s="23" t="str">
        <f>IF(OR(E5953="",E5953="!!!"),"",IF(NOT(ISNA(VLOOKUP(E5953,E$1:E5952,1,FALSE()))),"OLD",IF(AND(E5953&lt;&gt;"",E5953&lt;&gt;"!!!"),"NEW","")))</f>
        <v> </v>
      </c>
      <c r="G5953" s="24" t="str">
        <f>IF(OR(E5953="",E5953="!!!"),"",IF(OR(J5953=0,AND(J5953=1,K5953=1),AND(J5953=1,I5953="SBJ"),AND(J5953=1,I5953=0)),"?IN_FOCUS",IF(J5953&lt;=2,"?ACTIVATED",IF(J5953&lt;&gt;"","?FAMILIAR",IF(F5953="NEW",IF(ISNA(VLOOKUP(E5953,#REF!,1,FALSE())),"?TYPE_IDENTIFIABLE","?REFERENTIAL"),"_")))))</f>
        <v> </v>
      </c>
      <c r="H5953" s="25" t="str">
        <f>IF(J5953&lt;&gt;1,"",IF(I5953="SBJ","CB","?"))</f>
        <v> </v>
      </c>
      <c r="I5953" s="26" t="str">
        <f>IF(OR(E5953="",E5953="!!!",F5953="NEW"),"",INDEX(B5952:B$2,-1+SUMPRODUCT(MAX(ROW(E5952:E$2)*(E5953=E5952:E$2)))))</f>
        <v> </v>
      </c>
      <c r="J5953" s="26" t="str">
        <f>IF(OR(E5953="",E5953="!!!",F5953="NEW"),"",COUNTBLANK(OFFSET(A$1,,,SUMPRODUCT(MAX(ROW(E$2:E5953)*(E5953=E$2:E5953)))))-COUNTBLANK(OFFSET(A$1,,,SUMPRODUCT(MAX(ROW(E$1:E5952)*(E2=E$1:E5952))))))</f>
        <v> </v>
      </c>
      <c r="K5953" s="26" t="str">
        <f>IF(OR(E5953="",E5953="!!!",F5953="NEW"),"",INDEX(J$1:J5952,SUMPRODUCT(MAX(ROW(E$1:E5952)*(E5953=E$1:E5952)))))</f>
        <v> </v>
      </c>
      <c r="L5953" s="27"/>
    </row>
    <row r="5954" spans="1:12">
      <c r="A5954" s="20" t="s">
        <v>1219</v>
      </c>
      <c r="B5954" s="21" t="s">
        <v>1054</v>
      </c>
      <c r="C5954" s="21" t="s">
        <v>1057</v>
      </c>
      <c r="E5954" s="22">
        <f>IF(D5954="?OLD","!!!","")</f>
        <v/>
      </c>
      <c r="F5954" s="23" t="str">
        <f>IF(OR(E5954="",E5954="!!!"),"",IF(NOT(ISNA(VLOOKUP(E5954,E$1:E5953,1,FALSE()))),"OLD",IF(AND(E5954&lt;&gt;"",E5954&lt;&gt;"!!!"),"NEW","")))</f>
        <v> </v>
      </c>
      <c r="G5954" s="24" t="str">
        <f>IF(OR(E5954="",E5954="!!!"),"",IF(OR(J5954=0,AND(J5954=1,K5954=1),AND(J5954=1,I5954="SBJ"),AND(J5954=1,I5954=0)),"?IN_FOCUS",IF(J5954&lt;=2,"?ACTIVATED",IF(J5954&lt;&gt;"","?FAMILIAR",IF(F5954="NEW",IF(ISNA(VLOOKUP(E5954,#REF!,1,FALSE())),"?TYPE_IDENTIFIABLE","?REFERENTIAL"),"_")))))</f>
        <v> </v>
      </c>
      <c r="H5954" s="25" t="str">
        <f>IF(J5954&lt;&gt;1,"",IF(I5954="SBJ","CB","?"))</f>
        <v> </v>
      </c>
      <c r="I5954" s="26" t="str">
        <f>IF(OR(E5954="",E5954="!!!",F5954="NEW"),"",INDEX(B5953:B$2,-1+SUMPRODUCT(MAX(ROW(E5953:E$2)*(E5954=E5953:E$2)))))</f>
        <v> </v>
      </c>
      <c r="J5954" s="26" t="str">
        <f>IF(OR(E5954="",E5954="!!!",F5954="NEW"),"",COUNTBLANK(OFFSET(A$1,,,SUMPRODUCT(MAX(ROW(E$2:E5954)*(E5954=E$2:E5954)))))-COUNTBLANK(OFFSET(A$1,,,SUMPRODUCT(MAX(ROW(E$1:E5953)*(E2=E$1:E5953))))))</f>
        <v> </v>
      </c>
      <c r="K5954" s="26" t="str">
        <f>IF(OR(E5954="",E5954="!!!",F5954="NEW"),"",INDEX(J$1:J5953,SUMPRODUCT(MAX(ROW(E$1:E5953)*(E5954=E$1:E5953)))))</f>
        <v> </v>
      </c>
      <c r="L5954" s="27"/>
    </row>
    <row r="5955" spans="1:12">
      <c r="A5955" s="20" t="s">
        <v>1002</v>
      </c>
      <c r="E5955" s="22">
        <f>IF(D5955="?OLD","!!!","")</f>
        <v/>
      </c>
      <c r="F5955" s="23" t="str">
        <f>IF(OR(E5955="",E5955="!!!"),"",IF(NOT(ISNA(VLOOKUP(E5955,E$1:E5954,1,FALSE()))),"OLD",IF(AND(E5955&lt;&gt;"",E5955&lt;&gt;"!!!"),"NEW","")))</f>
        <v> </v>
      </c>
      <c r="G5955" s="24" t="str">
        <f>IF(OR(E5955="",E5955="!!!"),"",IF(OR(J5955=0,AND(J5955=1,K5955=1),AND(J5955=1,I5955="SBJ"),AND(J5955=1,I5955=0)),"?IN_FOCUS",IF(J5955&lt;=2,"?ACTIVATED",IF(J5955&lt;&gt;"","?FAMILIAR",IF(F5955="NEW",IF(ISNA(VLOOKUP(E5955,#REF!,1,FALSE())),"?TYPE_IDENTIFIABLE","?REFERENTIAL"),"_")))))</f>
        <v> </v>
      </c>
      <c r="H5955" s="25" t="str">
        <f>IF(J5955&lt;&gt;1,"",IF(I5955="SBJ","CB","?"))</f>
        <v> </v>
      </c>
      <c r="I5955" s="26" t="str">
        <f>IF(OR(E5955="",E5955="!!!",F5955="NEW"),"",INDEX(B5954:B$2,-1+SUMPRODUCT(MAX(ROW(E5954:E$2)*(E5955=E5954:E$2)))))</f>
        <v> </v>
      </c>
      <c r="J5955" s="26" t="str">
        <f>IF(OR(E5955="",E5955="!!!",F5955="NEW"),"",COUNTBLANK(OFFSET(A$1,,,SUMPRODUCT(MAX(ROW(E$2:E5955)*(E5955=E$2:E5955)))))-COUNTBLANK(OFFSET(A$1,,,SUMPRODUCT(MAX(ROW(E$1:E5954)*(E2=E$1:E5954))))))</f>
        <v> </v>
      </c>
      <c r="K5955" s="26" t="str">
        <f>IF(OR(E5955="",E5955="!!!",F5955="NEW"),"",INDEX(J$1:J5954,SUMPRODUCT(MAX(ROW(E$1:E5954)*(E5955=E$1:E5954)))))</f>
        <v> </v>
      </c>
      <c r="L5955" s="27"/>
    </row>
    <row r="5956" spans="1:12">
      <c r="A5956" s="20" t="s">
        <v>1047</v>
      </c>
      <c r="B5956" s="21" t="s">
        <v>1095</v>
      </c>
      <c r="C5956" s="21" t="s">
        <v>977</v>
      </c>
      <c r="D5956" s="21" t="s">
        <v>978</v>
      </c>
      <c r="E5956" s="22">
        <f>IF(D5956="?OLD","!!!","")</f>
        <v/>
      </c>
      <c r="F5956" s="23" t="str">
        <f>IF(OR(E5956="",E5956="!!!"),"",IF(NOT(ISNA(VLOOKUP(E5956,E$1:E5955,1,FALSE()))),"OLD",IF(AND(E5956&lt;&gt;"",E5956&lt;&gt;"!!!"),"NEW","")))</f>
        <v> </v>
      </c>
      <c r="G5956" s="24" t="str">
        <f>IF(OR(E5956="",E5956="!!!"),"",IF(OR(J5956=0,AND(J5956=1,K5956=1),AND(J5956=1,I5956="SBJ"),AND(J5956=1,I5956=0)),"?IN_FOCUS",IF(J5956&lt;=2,"?ACTIVATED",IF(J5956&lt;&gt;"","?FAMILIAR",IF(F5956="NEW",IF(ISNA(VLOOKUP(E5956,#REF!,1,FALSE())),"?TYPE_IDENTIFIABLE","?REFERENTIAL"),"_")))))</f>
        <v> </v>
      </c>
      <c r="H5956" s="25" t="str">
        <f>IF(J5956&lt;&gt;1,"",IF(I5956="SBJ","CB","?"))</f>
        <v> </v>
      </c>
      <c r="I5956" s="26" t="str">
        <f>IF(OR(E5956="",E5956="!!!",F5956="NEW"),"",INDEX(B5955:B$2,-1+SUMPRODUCT(MAX(ROW(E5955:E$2)*(E5956=E5955:E$2)))))</f>
        <v> </v>
      </c>
      <c r="J5956" s="26" t="str">
        <f>IF(OR(E5956="",E5956="!!!",F5956="NEW"),"",COUNTBLANK(OFFSET(A$1,,,SUMPRODUCT(MAX(ROW(E$2:E5956)*(E5956=E$2:E5956)))))-COUNTBLANK(OFFSET(A$1,,,SUMPRODUCT(MAX(ROW(E$1:E5955)*(E2=E$1:E5955))))))</f>
        <v> </v>
      </c>
      <c r="K5956" s="26" t="str">
        <f>IF(OR(E5956="",E5956="!!!",F5956="NEW"),"",INDEX(J$1:J5955,SUMPRODUCT(MAX(ROW(E$1:E5955)*(E5956=E$1:E5955)))))</f>
        <v> </v>
      </c>
      <c r="L5956" s="27"/>
    </row>
    <row r="5957" spans="1:12">
      <c r="A5957" s="20" t="s">
        <v>2313</v>
      </c>
      <c r="E5957" s="22">
        <f>IF(D5957="?OLD","!!!","")</f>
        <v/>
      </c>
      <c r="F5957" s="23" t="str">
        <f>IF(OR(E5957="",E5957="!!!"),"",IF(NOT(ISNA(VLOOKUP(E5957,E$1:E5956,1,FALSE()))),"OLD",IF(AND(E5957&lt;&gt;"",E5957&lt;&gt;"!!!"),"NEW","")))</f>
        <v> </v>
      </c>
      <c r="G5957" s="24" t="str">
        <f>IF(OR(E5957="",E5957="!!!"),"",IF(OR(J5957=0,AND(J5957=1,K5957=1),AND(J5957=1,I5957="SBJ"),AND(J5957=1,I5957=0)),"?IN_FOCUS",IF(J5957&lt;=2,"?ACTIVATED",IF(J5957&lt;&gt;"","?FAMILIAR",IF(F5957="NEW",IF(ISNA(VLOOKUP(E5957,#REF!,1,FALSE())),"?TYPE_IDENTIFIABLE","?REFERENTIAL"),"_")))))</f>
        <v> </v>
      </c>
      <c r="H5957" s="25" t="str">
        <f>IF(J5957&lt;&gt;1,"",IF(I5957="SBJ","CB","?"))</f>
        <v> </v>
      </c>
      <c r="I5957" s="26" t="str">
        <f>IF(OR(E5957="",E5957="!!!",F5957="NEW"),"",INDEX(B5956:B$2,-1+SUMPRODUCT(MAX(ROW(E5956:E$2)*(E5957=E5956:E$2)))))</f>
        <v> </v>
      </c>
      <c r="J5957" s="26" t="str">
        <f>IF(OR(E5957="",E5957="!!!",F5957="NEW"),"",COUNTBLANK(OFFSET(A$1,,,SUMPRODUCT(MAX(ROW(E$2:E5957)*(E5957=E$2:E5957)))))-COUNTBLANK(OFFSET(A$1,,,SUMPRODUCT(MAX(ROW(E$1:E5956)*(E2=E$1:E5956))))))</f>
        <v> </v>
      </c>
      <c r="K5957" s="26" t="str">
        <f>IF(OR(E5957="",E5957="!!!",F5957="NEW"),"",INDEX(J$1:J5956,SUMPRODUCT(MAX(ROW(E$1:E5956)*(E5957=E$1:E5956)))))</f>
        <v> </v>
      </c>
      <c r="L5957" s="27"/>
    </row>
    <row r="5958" spans="1:12">
      <c r="A5958" s="20" t="s">
        <v>1002</v>
      </c>
      <c r="E5958" s="22">
        <f>IF(D5958="?OLD","!!!","")</f>
        <v/>
      </c>
      <c r="F5958" s="23" t="str">
        <f>IF(OR(E5958="",E5958="!!!"),"",IF(NOT(ISNA(VLOOKUP(E5958,E$1:E5957,1,FALSE()))),"OLD",IF(AND(E5958&lt;&gt;"",E5958&lt;&gt;"!!!"),"NEW","")))</f>
        <v> </v>
      </c>
      <c r="G5958" s="24" t="str">
        <f>IF(OR(E5958="",E5958="!!!"),"",IF(OR(J5958=0,AND(J5958=1,K5958=1),AND(J5958=1,I5958="SBJ"),AND(J5958=1,I5958=0)),"?IN_FOCUS",IF(J5958&lt;=2,"?ACTIVATED",IF(J5958&lt;&gt;"","?FAMILIAR",IF(F5958="NEW",IF(ISNA(VLOOKUP(E5958,#REF!,1,FALSE())),"?TYPE_IDENTIFIABLE","?REFERENTIAL"),"_")))))</f>
        <v> </v>
      </c>
      <c r="H5958" s="25" t="str">
        <f>IF(J5958&lt;&gt;1,"",IF(I5958="SBJ","CB","?"))</f>
        <v> </v>
      </c>
      <c r="I5958" s="26" t="str">
        <f>IF(OR(E5958="",E5958="!!!",F5958="NEW"),"",INDEX(B5957:B$2,-1+SUMPRODUCT(MAX(ROW(E5957:E$2)*(E5958=E5957:E$2)))))</f>
        <v> </v>
      </c>
      <c r="J5958" s="26" t="str">
        <f>IF(OR(E5958="",E5958="!!!",F5958="NEW"),"",COUNTBLANK(OFFSET(A$1,,,SUMPRODUCT(MAX(ROW(E$2:E5958)*(E5958=E$2:E5958)))))-COUNTBLANK(OFFSET(A$1,,,SUMPRODUCT(MAX(ROW(E$1:E5957)*(E2=E$1:E5957))))))</f>
        <v> </v>
      </c>
      <c r="K5958" s="26" t="str">
        <f>IF(OR(E5958="",E5958="!!!",F5958="NEW"),"",INDEX(J$1:J5957,SUMPRODUCT(MAX(ROW(E$1:E5957)*(E5958=E$1:E5957)))))</f>
        <v> </v>
      </c>
      <c r="L5958" s="27"/>
    </row>
    <row r="5959" spans="1:12">
      <c r="A5959" s="20" t="s">
        <v>2160</v>
      </c>
      <c r="E5959" s="22">
        <f>IF(D5959="?OLD","!!!","")</f>
        <v/>
      </c>
      <c r="F5959" s="23" t="str">
        <f>IF(OR(E5959="",E5959="!!!"),"",IF(NOT(ISNA(VLOOKUP(E5959,E$1:E5958,1,FALSE()))),"OLD",IF(AND(E5959&lt;&gt;"",E5959&lt;&gt;"!!!"),"NEW","")))</f>
        <v> </v>
      </c>
      <c r="G5959" s="24" t="str">
        <f>IF(OR(E5959="",E5959="!!!"),"",IF(OR(J5959=0,AND(J5959=1,K5959=1),AND(J5959=1,I5959="SBJ"),AND(J5959=1,I5959=0)),"?IN_FOCUS",IF(J5959&lt;=2,"?ACTIVATED",IF(J5959&lt;&gt;"","?FAMILIAR",IF(F5959="NEW",IF(ISNA(VLOOKUP(E5959,#REF!,1,FALSE())),"?TYPE_IDENTIFIABLE","?REFERENTIAL"),"_")))))</f>
        <v> </v>
      </c>
      <c r="H5959" s="25" t="str">
        <f>IF(J5959&lt;&gt;1,"",IF(I5959="SBJ","CB","?"))</f>
        <v> </v>
      </c>
      <c r="I5959" s="26" t="str">
        <f>IF(OR(E5959="",E5959="!!!",F5959="NEW"),"",INDEX(B5958:B$2,-1+SUMPRODUCT(MAX(ROW(E5958:E$2)*(E5959=E5958:E$2)))))</f>
        <v> </v>
      </c>
      <c r="J5959" s="26" t="str">
        <f>IF(OR(E5959="",E5959="!!!",F5959="NEW"),"",COUNTBLANK(OFFSET(A$1,,,SUMPRODUCT(MAX(ROW(E$2:E5959)*(E5959=E$2:E5959)))))-COUNTBLANK(OFFSET(A$1,,,SUMPRODUCT(MAX(ROW(E$1:E5958)*(E2=E$1:E5958))))))</f>
        <v> </v>
      </c>
      <c r="K5959" s="26" t="str">
        <f>IF(OR(E5959="",E5959="!!!",F5959="NEW"),"",INDEX(J$1:J5958,SUMPRODUCT(MAX(ROW(E$1:E5958)*(E5959=E$1:E5958)))))</f>
        <v> </v>
      </c>
      <c r="L5959" s="27"/>
    </row>
    <row r="5960" spans="1:12">
      <c r="A5960" s="20" t="s">
        <v>1038</v>
      </c>
      <c r="E5960" s="22">
        <f>IF(D5960="?OLD","!!!","")</f>
        <v/>
      </c>
      <c r="F5960" s="23" t="str">
        <f>IF(OR(E5960="",E5960="!!!"),"",IF(NOT(ISNA(VLOOKUP(E5960,E$1:E5959,1,FALSE()))),"OLD",IF(AND(E5960&lt;&gt;"",E5960&lt;&gt;"!!!"),"NEW","")))</f>
        <v> </v>
      </c>
      <c r="G5960" s="24" t="str">
        <f>IF(OR(E5960="",E5960="!!!"),"",IF(OR(J5960=0,AND(J5960=1,K5960=1),AND(J5960=1,I5960="SBJ"),AND(J5960=1,I5960=0)),"?IN_FOCUS",IF(J5960&lt;=2,"?ACTIVATED",IF(J5960&lt;&gt;"","?FAMILIAR",IF(F5960="NEW",IF(ISNA(VLOOKUP(E5960,#REF!,1,FALSE())),"?TYPE_IDENTIFIABLE","?REFERENTIAL"),"_")))))</f>
        <v> </v>
      </c>
      <c r="H5960" s="25" t="str">
        <f>IF(J5960&lt;&gt;1,"",IF(I5960="SBJ","CB","?"))</f>
        <v> </v>
      </c>
      <c r="I5960" s="26" t="str">
        <f>IF(OR(E5960="",E5960="!!!",F5960="NEW"),"",INDEX(B5959:B$2,-1+SUMPRODUCT(MAX(ROW(E5959:E$2)*(E5960=E5959:E$2)))))</f>
        <v> </v>
      </c>
      <c r="J5960" s="26" t="str">
        <f>IF(OR(E5960="",E5960="!!!",F5960="NEW"),"",COUNTBLANK(OFFSET(A$1,,,SUMPRODUCT(MAX(ROW(E$2:E5960)*(E5960=E$2:E5960)))))-COUNTBLANK(OFFSET(A$1,,,SUMPRODUCT(MAX(ROW(E$1:E5959)*(E2=E$1:E5959))))))</f>
        <v> </v>
      </c>
      <c r="K5960" s="26" t="str">
        <f>IF(OR(E5960="",E5960="!!!",F5960="NEW"),"",INDEX(J$1:J5959,SUMPRODUCT(MAX(ROW(E$1:E5959)*(E5960=E$1:E5959)))))</f>
        <v> </v>
      </c>
      <c r="L5960" s="27"/>
    </row>
    <row r="5961" spans="1:12">
      <c r="A5961" s="20" t="s">
        <v>1154</v>
      </c>
      <c r="B5961" s="21" t="s">
        <v>1095</v>
      </c>
      <c r="C5961" s="21" t="s">
        <v>977</v>
      </c>
      <c r="D5961" s="21" t="s">
        <v>978</v>
      </c>
      <c r="E5961" s="22">
        <f>IF(D5961="?OLD","!!!","")</f>
        <v/>
      </c>
      <c r="F5961" s="23" t="str">
        <f>IF(OR(E5961="",E5961="!!!"),"",IF(NOT(ISNA(VLOOKUP(E5961,E$1:E5960,1,FALSE()))),"OLD",IF(AND(E5961&lt;&gt;"",E5961&lt;&gt;"!!!"),"NEW","")))</f>
        <v> </v>
      </c>
      <c r="G5961" s="24" t="str">
        <f>IF(OR(E5961="",E5961="!!!"),"",IF(OR(J5961=0,AND(J5961=1,K5961=1),AND(J5961=1,I5961="SBJ"),AND(J5961=1,I5961=0)),"?IN_FOCUS",IF(J5961&lt;=2,"?ACTIVATED",IF(J5961&lt;&gt;"","?FAMILIAR",IF(F5961="NEW",IF(ISNA(VLOOKUP(E5961,#REF!,1,FALSE())),"?TYPE_IDENTIFIABLE","?REFERENTIAL"),"_")))))</f>
        <v> </v>
      </c>
      <c r="H5961" s="25" t="str">
        <f>IF(J5961&lt;&gt;1,"",IF(I5961="SBJ","CB","?"))</f>
        <v> </v>
      </c>
      <c r="I5961" s="26" t="str">
        <f>IF(OR(E5961="",E5961="!!!",F5961="NEW"),"",INDEX(B5960:B$2,-1+SUMPRODUCT(MAX(ROW(E5960:E$2)*(E5961=E5960:E$2)))))</f>
        <v> </v>
      </c>
      <c r="J5961" s="26" t="str">
        <f>IF(OR(E5961="",E5961="!!!",F5961="NEW"),"",COUNTBLANK(OFFSET(A$1,,,SUMPRODUCT(MAX(ROW(E$2:E5961)*(E5961=E$2:E5961)))))-COUNTBLANK(OFFSET(A$1,,,SUMPRODUCT(MAX(ROW(E$1:E5960)*(E2=E$1:E5960))))))</f>
        <v> </v>
      </c>
      <c r="K5961" s="26" t="str">
        <f>IF(OR(E5961="",E5961="!!!",F5961="NEW"),"",INDEX(J$1:J5960,SUMPRODUCT(MAX(ROW(E$1:E5960)*(E5961=E$1:E5960)))))</f>
        <v> </v>
      </c>
      <c r="L5961" s="27"/>
    </row>
    <row r="5962" spans="1:12">
      <c r="A5962" s="20" t="s">
        <v>1547</v>
      </c>
      <c r="E5962" s="22">
        <f>IF(D5962="?OLD","!!!","")</f>
        <v/>
      </c>
      <c r="F5962" s="23" t="str">
        <f>IF(OR(E5962="",E5962="!!!"),"",IF(NOT(ISNA(VLOOKUP(E5962,E$1:E5961,1,FALSE()))),"OLD",IF(AND(E5962&lt;&gt;"",E5962&lt;&gt;"!!!"),"NEW","")))</f>
        <v> </v>
      </c>
      <c r="G5962" s="24" t="str">
        <f>IF(OR(E5962="",E5962="!!!"),"",IF(OR(J5962=0,AND(J5962=1,K5962=1),AND(J5962=1,I5962="SBJ"),AND(J5962=1,I5962=0)),"?IN_FOCUS",IF(J5962&lt;=2,"?ACTIVATED",IF(J5962&lt;&gt;"","?FAMILIAR",IF(F5962="NEW",IF(ISNA(VLOOKUP(E5962,#REF!,1,FALSE())),"?TYPE_IDENTIFIABLE","?REFERENTIAL"),"_")))))</f>
        <v> </v>
      </c>
      <c r="H5962" s="25" t="str">
        <f>IF(J5962&lt;&gt;1,"",IF(I5962="SBJ","CB","?"))</f>
        <v> </v>
      </c>
      <c r="I5962" s="26" t="str">
        <f>IF(OR(E5962="",E5962="!!!",F5962="NEW"),"",INDEX(B5961:B$2,-1+SUMPRODUCT(MAX(ROW(E5961:E$2)*(E5962=E5961:E$2)))))</f>
        <v> </v>
      </c>
      <c r="J5962" s="26" t="str">
        <f>IF(OR(E5962="",E5962="!!!",F5962="NEW"),"",COUNTBLANK(OFFSET(A$1,,,SUMPRODUCT(MAX(ROW(E$2:E5962)*(E5962=E$2:E5962)))))-COUNTBLANK(OFFSET(A$1,,,SUMPRODUCT(MAX(ROW(E$1:E5961)*(E2=E$1:E5961))))))</f>
        <v> </v>
      </c>
      <c r="K5962" s="26" t="str">
        <f>IF(OR(E5962="",E5962="!!!",F5962="NEW"),"",INDEX(J$1:J5961,SUMPRODUCT(MAX(ROW(E$1:E5961)*(E5962=E$1:E5961)))))</f>
        <v> </v>
      </c>
      <c r="L5962" s="27"/>
    </row>
    <row r="5963" spans="1:12">
      <c r="A5963" s="20" t="s">
        <v>1004</v>
      </c>
      <c r="E5963" s="22">
        <f>IF(D5963="?OLD","!!!","")</f>
        <v/>
      </c>
      <c r="F5963" s="23" t="str">
        <f>IF(OR(E5963="",E5963="!!!"),"",IF(NOT(ISNA(VLOOKUP(E5963,E$1:E5962,1,FALSE()))),"OLD",IF(AND(E5963&lt;&gt;"",E5963&lt;&gt;"!!!"),"NEW","")))</f>
        <v> </v>
      </c>
      <c r="G5963" s="24" t="str">
        <f>IF(OR(E5963="",E5963="!!!"),"",IF(OR(J5963=0,AND(J5963=1,K5963=1),AND(J5963=1,I5963="SBJ"),AND(J5963=1,I5963=0)),"?IN_FOCUS",IF(J5963&lt;=2,"?ACTIVATED",IF(J5963&lt;&gt;"","?FAMILIAR",IF(F5963="NEW",IF(ISNA(VLOOKUP(E5963,#REF!,1,FALSE())),"?TYPE_IDENTIFIABLE","?REFERENTIAL"),"_")))))</f>
        <v> </v>
      </c>
      <c r="H5963" s="25" t="str">
        <f>IF(J5963&lt;&gt;1,"",IF(I5963="SBJ","CB","?"))</f>
        <v> </v>
      </c>
      <c r="I5963" s="26" t="str">
        <f>IF(OR(E5963="",E5963="!!!",F5963="NEW"),"",INDEX(B5962:B$2,-1+SUMPRODUCT(MAX(ROW(E5962:E$2)*(E5963=E5962:E$2)))))</f>
        <v> </v>
      </c>
      <c r="J5963" s="26" t="str">
        <f>IF(OR(E5963="",E5963="!!!",F5963="NEW"),"",COUNTBLANK(OFFSET(A$1,,,SUMPRODUCT(MAX(ROW(E$2:E5963)*(E5963=E$2:E5963)))))-COUNTBLANK(OFFSET(A$1,,,SUMPRODUCT(MAX(ROW(E$1:E5962)*(E2=E$1:E5962))))))</f>
        <v> </v>
      </c>
      <c r="K5963" s="26" t="str">
        <f>IF(OR(E5963="",E5963="!!!",F5963="NEW"),"",INDEX(J$1:J5962,SUMPRODUCT(MAX(ROW(E$1:E5962)*(E5963=E$1:E5962)))))</f>
        <v> </v>
      </c>
      <c r="L5963" s="27"/>
    </row>
    <row r="5964" spans="1:12">
      <c r="A5964" s="20" t="s">
        <v>853</v>
      </c>
      <c r="E5964" s="22">
        <f>IF(D5964="?OLD","!!!","")</f>
        <v/>
      </c>
      <c r="F5964" s="23" t="str">
        <f>IF(OR(E5964="",E5964="!!!"),"",IF(NOT(ISNA(VLOOKUP(E5964,E$1:E5963,1,FALSE()))),"OLD",IF(AND(E5964&lt;&gt;"",E5964&lt;&gt;"!!!"),"NEW","")))</f>
        <v> </v>
      </c>
      <c r="G5964" s="24" t="str">
        <f>IF(OR(E5964="",E5964="!!!"),"",IF(OR(J5964=0,AND(J5964=1,K5964=1),AND(J5964=1,I5964="SBJ"),AND(J5964=1,I5964=0)),"?IN_FOCUS",IF(J5964&lt;=2,"?ACTIVATED",IF(J5964&lt;&gt;"","?FAMILIAR",IF(F5964="NEW",IF(ISNA(VLOOKUP(E5964,#REF!,1,FALSE())),"?TYPE_IDENTIFIABLE","?REFERENTIAL"),"_")))))</f>
        <v> </v>
      </c>
      <c r="H5964" s="25" t="str">
        <f>IF(J5964&lt;&gt;1,"",IF(I5964="SBJ","CB","?"))</f>
        <v> </v>
      </c>
      <c r="I5964" s="26" t="str">
        <f>IF(OR(E5964="",E5964="!!!",F5964="NEW"),"",INDEX(B5963:B$2,-1+SUMPRODUCT(MAX(ROW(E5963:E$2)*(E5964=E5963:E$2)))))</f>
        <v> </v>
      </c>
      <c r="J5964" s="26" t="str">
        <f>IF(OR(E5964="",E5964="!!!",F5964="NEW"),"",COUNTBLANK(OFFSET(A$1,,,SUMPRODUCT(MAX(ROW(E$2:E5964)*(E5964=E$2:E5964)))))-COUNTBLANK(OFFSET(A$1,,,SUMPRODUCT(MAX(ROW(E$1:E5963)*(E2=E$1:E5963))))))</f>
        <v> </v>
      </c>
      <c r="K5964" s="26" t="str">
        <f>IF(OR(E5964="",E5964="!!!",F5964="NEW"),"",INDEX(J$1:J5963,SUMPRODUCT(MAX(ROW(E$1:E5963)*(E5964=E$1:E5963)))))</f>
        <v> </v>
      </c>
      <c r="L5964" s="27"/>
    </row>
    <row r="5965" spans="1:12">
      <c r="A5965" s="20" t="s">
        <v>1092</v>
      </c>
      <c r="E5965" s="22">
        <f>IF(D5965="?OLD","!!!","")</f>
        <v/>
      </c>
      <c r="F5965" s="23" t="str">
        <f>IF(OR(E5965="",E5965="!!!"),"",IF(NOT(ISNA(VLOOKUP(E5965,E$1:E5964,1,FALSE()))),"OLD",IF(AND(E5965&lt;&gt;"",E5965&lt;&gt;"!!!"),"NEW","")))</f>
        <v> </v>
      </c>
      <c r="G5965" s="24" t="str">
        <f>IF(OR(E5965="",E5965="!!!"),"",IF(OR(J5965=0,AND(J5965=1,K5965=1),AND(J5965=1,I5965="SBJ"),AND(J5965=1,I5965=0)),"?IN_FOCUS",IF(J5965&lt;=2,"?ACTIVATED",IF(J5965&lt;&gt;"","?FAMILIAR",IF(F5965="NEW",IF(ISNA(VLOOKUP(E5965,#REF!,1,FALSE())),"?TYPE_IDENTIFIABLE","?REFERENTIAL"),"_")))))</f>
        <v> </v>
      </c>
      <c r="H5965" s="25" t="str">
        <f>IF(J5965&lt;&gt;1,"",IF(I5965="SBJ","CB","?"))</f>
        <v> </v>
      </c>
      <c r="I5965" s="26" t="str">
        <f>IF(OR(E5965="",E5965="!!!",F5965="NEW"),"",INDEX(B5964:B$2,-1+SUMPRODUCT(MAX(ROW(E5964:E$2)*(E5965=E5964:E$2)))))</f>
        <v> </v>
      </c>
      <c r="J5965" s="26" t="str">
        <f>IF(OR(E5965="",E5965="!!!",F5965="NEW"),"",COUNTBLANK(OFFSET(A$1,,,SUMPRODUCT(MAX(ROW(E$2:E5965)*(E5965=E$2:E5965)))))-COUNTBLANK(OFFSET(A$1,,,SUMPRODUCT(MAX(ROW(E$1:E5964)*(E2=E$1:E5964))))))</f>
        <v> </v>
      </c>
      <c r="K5965" s="26" t="str">
        <f>IF(OR(E5965="",E5965="!!!",F5965="NEW"),"",INDEX(J$1:J5964,SUMPRODUCT(MAX(ROW(E$1:E5964)*(E5965=E$1:E5964)))))</f>
        <v> </v>
      </c>
      <c r="L5965" s="27"/>
    </row>
    <row r="5966" spans="1:12">
      <c r="A5966" s="20" t="s">
        <v>1538</v>
      </c>
      <c r="B5966" s="21" t="s">
        <v>1101</v>
      </c>
      <c r="C5966" s="21" t="s">
        <v>995</v>
      </c>
      <c r="D5966" s="21" t="s">
        <v>978</v>
      </c>
      <c r="E5966" s="22">
        <f>IF(D5966="?OLD","!!!","")</f>
        <v/>
      </c>
      <c r="F5966" s="23" t="str">
        <f>IF(OR(E5966="",E5966="!!!"),"",IF(NOT(ISNA(VLOOKUP(E5966,E$1:E5965,1,FALSE()))),"OLD",IF(AND(E5966&lt;&gt;"",E5966&lt;&gt;"!!!"),"NEW","")))</f>
        <v> </v>
      </c>
      <c r="G5966" s="24" t="str">
        <f>IF(OR(E5966="",E5966="!!!"),"",IF(OR(J5966=0,AND(J5966=1,K5966=1),AND(J5966=1,I5966="SBJ"),AND(J5966=1,I5966=0)),"?IN_FOCUS",IF(J5966&lt;=2,"?ACTIVATED",IF(J5966&lt;&gt;"","?FAMILIAR",IF(F5966="NEW",IF(ISNA(VLOOKUP(E5966,#REF!,1,FALSE())),"?TYPE_IDENTIFIABLE","?REFERENTIAL"),"_")))))</f>
        <v> </v>
      </c>
      <c r="H5966" s="25" t="str">
        <f>IF(J5966&lt;&gt;1,"",IF(I5966="SBJ","CB","?"))</f>
        <v> </v>
      </c>
      <c r="I5966" s="26" t="str">
        <f>IF(OR(E5966="",E5966="!!!",F5966="NEW"),"",INDEX(B5965:B$2,-1+SUMPRODUCT(MAX(ROW(E5965:E$2)*(E5966=E5965:E$2)))))</f>
        <v> </v>
      </c>
      <c r="J5966" s="26" t="str">
        <f>IF(OR(E5966="",E5966="!!!",F5966="NEW"),"",COUNTBLANK(OFFSET(A$1,,,SUMPRODUCT(MAX(ROW(E$2:E5966)*(E5966=E$2:E5966)))))-COUNTBLANK(OFFSET(A$1,,,SUMPRODUCT(MAX(ROW(E$1:E5965)*(E2=E$1:E5965))))))</f>
        <v> </v>
      </c>
      <c r="K5966" s="26" t="str">
        <f>IF(OR(E5966="",E5966="!!!",F5966="NEW"),"",INDEX(J$1:J5965,SUMPRODUCT(MAX(ROW(E$1:E5965)*(E5966=E$1:E5965)))))</f>
        <v> </v>
      </c>
      <c r="L5966" s="27"/>
    </row>
    <row r="5967" spans="1:12">
      <c r="A5967" s="20" t="s">
        <v>1097</v>
      </c>
      <c r="E5967" s="22">
        <f>IF(D5967="?OLD","!!!","")</f>
        <v/>
      </c>
      <c r="F5967" s="23" t="str">
        <f>IF(OR(E5967="",E5967="!!!"),"",IF(NOT(ISNA(VLOOKUP(E5967,E$1:E5966,1,FALSE()))),"OLD",IF(AND(E5967&lt;&gt;"",E5967&lt;&gt;"!!!"),"NEW","")))</f>
        <v> </v>
      </c>
      <c r="G5967" s="24" t="str">
        <f>IF(OR(E5967="",E5967="!!!"),"",IF(OR(J5967=0,AND(J5967=1,K5967=1),AND(J5967=1,I5967="SBJ"),AND(J5967=1,I5967=0)),"?IN_FOCUS",IF(J5967&lt;=2,"?ACTIVATED",IF(J5967&lt;&gt;"","?FAMILIAR",IF(F5967="NEW",IF(ISNA(VLOOKUP(E5967,#REF!,1,FALSE())),"?TYPE_IDENTIFIABLE","?REFERENTIAL"),"_")))))</f>
        <v> </v>
      </c>
      <c r="H5967" s="25" t="str">
        <f>IF(J5967&lt;&gt;1,"",IF(I5967="SBJ","CB","?"))</f>
        <v> </v>
      </c>
      <c r="I5967" s="26" t="str">
        <f>IF(OR(E5967="",E5967="!!!",F5967="NEW"),"",INDEX(B5966:B$2,-1+SUMPRODUCT(MAX(ROW(E5966:E$2)*(E5967=E5966:E$2)))))</f>
        <v> </v>
      </c>
      <c r="J5967" s="26" t="str">
        <f>IF(OR(E5967="",E5967="!!!",F5967="NEW"),"",COUNTBLANK(OFFSET(A$1,,,SUMPRODUCT(MAX(ROW(E$2:E5967)*(E5967=E$2:E5967)))))-COUNTBLANK(OFFSET(A$1,,,SUMPRODUCT(MAX(ROW(E$1:E5966)*(E2=E$1:E5966))))))</f>
        <v> </v>
      </c>
      <c r="K5967" s="26" t="str">
        <f>IF(OR(E5967="",E5967="!!!",F5967="NEW"),"",INDEX(J$1:J5966,SUMPRODUCT(MAX(ROW(E$1:E5966)*(E5967=E$1:E5966)))))</f>
        <v> </v>
      </c>
      <c r="L5967" s="27"/>
    </row>
    <row r="5968" spans="1:12">
      <c r="A5968" s="20" t="s">
        <v>2482</v>
      </c>
      <c r="B5968" s="21" t="s">
        <v>1054</v>
      </c>
      <c r="C5968" s="21" t="s">
        <v>1057</v>
      </c>
      <c r="E5968" s="22">
        <f>IF(D5968="?OLD","!!!","")</f>
        <v/>
      </c>
      <c r="F5968" s="23" t="str">
        <f>IF(OR(E5968="",E5968="!!!"),"",IF(NOT(ISNA(VLOOKUP(E5968,E$1:E5967,1,FALSE()))),"OLD",IF(AND(E5968&lt;&gt;"",E5968&lt;&gt;"!!!"),"NEW","")))</f>
        <v> </v>
      </c>
      <c r="G5968" s="24" t="str">
        <f>IF(OR(E5968="",E5968="!!!"),"",IF(OR(J5968=0,AND(J5968=1,K5968=1),AND(J5968=1,I5968="SBJ"),AND(J5968=1,I5968=0)),"?IN_FOCUS",IF(J5968&lt;=2,"?ACTIVATED",IF(J5968&lt;&gt;"","?FAMILIAR",IF(F5968="NEW",IF(ISNA(VLOOKUP(E5968,#REF!,1,FALSE())),"?TYPE_IDENTIFIABLE","?REFERENTIAL"),"_")))))</f>
        <v> </v>
      </c>
      <c r="H5968" s="25" t="str">
        <f>IF(J5968&lt;&gt;1,"",IF(I5968="SBJ","CB","?"))</f>
        <v> </v>
      </c>
      <c r="I5968" s="26" t="str">
        <f>IF(OR(E5968="",E5968="!!!",F5968="NEW"),"",INDEX(B5967:B$2,-1+SUMPRODUCT(MAX(ROW(E5967:E$2)*(E5968=E5967:E$2)))))</f>
        <v> </v>
      </c>
      <c r="J5968" s="26" t="str">
        <f>IF(OR(E5968="",E5968="!!!",F5968="NEW"),"",COUNTBLANK(OFFSET(A$1,,,SUMPRODUCT(MAX(ROW(E$2:E5968)*(E5968=E$2:E5968)))))-COUNTBLANK(OFFSET(A$1,,,SUMPRODUCT(MAX(ROW(E$1:E5967)*(E2=E$1:E5967))))))</f>
        <v> </v>
      </c>
      <c r="K5968" s="26" t="str">
        <f>IF(OR(E5968="",E5968="!!!",F5968="NEW"),"",INDEX(J$1:J5967,SUMPRODUCT(MAX(ROW(E$1:E5967)*(E5968=E$1:E5967)))))</f>
        <v> </v>
      </c>
      <c r="L5968" s="27"/>
    </row>
    <row r="5969" spans="1:12">
      <c r="A5969" s="20" t="s">
        <v>1022</v>
      </c>
      <c r="E5969" s="22">
        <f>IF(D5969="?OLD","!!!","")</f>
        <v/>
      </c>
      <c r="F5969" s="23" t="str">
        <f>IF(OR(E5969="",E5969="!!!"),"",IF(NOT(ISNA(VLOOKUP(E5969,E$1:E5968,1,FALSE()))),"OLD",IF(AND(E5969&lt;&gt;"",E5969&lt;&gt;"!!!"),"NEW","")))</f>
        <v> </v>
      </c>
      <c r="G5969" s="24" t="str">
        <f>IF(OR(E5969="",E5969="!!!"),"",IF(OR(J5969=0,AND(J5969=1,K5969=1),AND(J5969=1,I5969="SBJ"),AND(J5969=1,I5969=0)),"?IN_FOCUS",IF(J5969&lt;=2,"?ACTIVATED",IF(J5969&lt;&gt;"","?FAMILIAR",IF(F5969="NEW",IF(ISNA(VLOOKUP(E5969,#REF!,1,FALSE())),"?TYPE_IDENTIFIABLE","?REFERENTIAL"),"_")))))</f>
        <v> </v>
      </c>
      <c r="H5969" s="25" t="str">
        <f>IF(J5969&lt;&gt;1,"",IF(I5969="SBJ","CB","?"))</f>
        <v> </v>
      </c>
      <c r="I5969" s="26" t="str">
        <f>IF(OR(E5969="",E5969="!!!",F5969="NEW"),"",INDEX(B5968:B$2,-1+SUMPRODUCT(MAX(ROW(E5968:E$2)*(E5969=E5968:E$2)))))</f>
        <v> </v>
      </c>
      <c r="J5969" s="26" t="str">
        <f>IF(OR(E5969="",E5969="!!!",F5969="NEW"),"",COUNTBLANK(OFFSET(A$1,,,SUMPRODUCT(MAX(ROW(E$2:E5969)*(E5969=E$2:E5969)))))-COUNTBLANK(OFFSET(A$1,,,SUMPRODUCT(MAX(ROW(E$1:E5968)*(E2=E$1:E5968))))))</f>
        <v> </v>
      </c>
      <c r="K5969" s="26" t="str">
        <f>IF(OR(E5969="",E5969="!!!",F5969="NEW"),"",INDEX(J$1:J5968,SUMPRODUCT(MAX(ROW(E$1:E5968)*(E5969=E$1:E5968)))))</f>
        <v> </v>
      </c>
      <c r="L5969" s="27"/>
    </row>
    <row r="5970" spans="1:12">
      <c r="A5970" s="20"/>
    </row>
    <row r="5971" spans="1:12">
      <c r="A5971" s="20" t="s">
        <v>2483</v>
      </c>
    </row>
    <row r="5972" spans="1:12">
      <c r="A5972" s="20" t="s">
        <v>1752</v>
      </c>
      <c r="E5972" s="22">
        <f>IF(D5972="?OLD","!!!","")</f>
        <v/>
      </c>
      <c r="F5972" s="23" t="str">
        <f>IF(OR(E5972="",E5972="!!!"),"",IF(NOT(ISNA(VLOOKUP(E5972,E$1:E5971,1,FALSE()))),"OLD",IF(AND(E5972&lt;&gt;"",E5972&lt;&gt;"!!!"),"NEW","")))</f>
        <v> </v>
      </c>
      <c r="G5972" s="24" t="str">
        <f>IF(OR(E5972="",E5972="!!!"),"",IF(OR(J5972=0,AND(J5972=1,K5972=1),AND(J5972=1,I5972="SBJ"),AND(J5972=1,I5972=0)),"?IN_FOCUS",IF(J5972&lt;=2,"?ACTIVATED",IF(J5972&lt;&gt;"","?FAMILIAR",IF(F5972="NEW",IF(ISNA(VLOOKUP(E5972,#REF!,1,FALSE())),"?TYPE_IDENTIFIABLE","?REFERENTIAL"),"_")))))</f>
        <v> </v>
      </c>
      <c r="H5972" s="25" t="str">
        <f>IF(J5972&lt;&gt;1,"",IF(I5972="SBJ","CB","?"))</f>
        <v> </v>
      </c>
      <c r="I5972" s="26" t="str">
        <f>IF(OR(E5972="",E5972="!!!",F5972="NEW"),"",INDEX(B5971:B$2,-1+SUMPRODUCT(MAX(ROW(E5971:E$2)*(E5972=E5971:E$2)))))</f>
        <v> </v>
      </c>
      <c r="J5972" s="26" t="str">
        <f>IF(OR(E5972="",E5972="!!!",F5972="NEW"),"",COUNTBLANK(OFFSET(A$1,,,SUMPRODUCT(MAX(ROW(E$2:E5972)*(E5972=E$2:E5972)))))-COUNTBLANK(OFFSET(A$1,,,SUMPRODUCT(MAX(ROW(E$1:E5971)*(E2=E$1:E5971))))))</f>
        <v> </v>
      </c>
      <c r="K5972" s="26" t="str">
        <f>IF(OR(E5972="",E5972="!!!",F5972="NEW"),"",INDEX(J$1:J5971,SUMPRODUCT(MAX(ROW(E$1:E5971)*(E5972=E$1:E5971)))))</f>
        <v> </v>
      </c>
      <c r="L5972" s="27"/>
    </row>
    <row r="5973" spans="1:12">
      <c r="A5973" s="20" t="s">
        <v>2484</v>
      </c>
      <c r="B5973" s="21" t="s">
        <v>989</v>
      </c>
      <c r="C5973" s="21" t="s">
        <v>995</v>
      </c>
      <c r="D5973" s="21" t="s">
        <v>978</v>
      </c>
      <c r="E5973" s="22">
        <f>IF(D5973="?OLD","!!!","")</f>
        <v/>
      </c>
      <c r="F5973" s="23" t="str">
        <f>IF(OR(E5973="",E5973="!!!"),"",IF(NOT(ISNA(VLOOKUP(E5973,E$1:E5972,1,FALSE()))),"OLD",IF(AND(E5973&lt;&gt;"",E5973&lt;&gt;"!!!"),"NEW","")))</f>
        <v> </v>
      </c>
      <c r="G5973" s="24" t="str">
        <f>IF(OR(E5973="",E5973="!!!"),"",IF(OR(J5973=0,AND(J5973=1,K5973=1),AND(J5973=1,I5973="SBJ"),AND(J5973=1,I5973=0)),"?IN_FOCUS",IF(J5973&lt;=2,"?ACTIVATED",IF(J5973&lt;&gt;"","?FAMILIAR",IF(F5973="NEW",IF(ISNA(VLOOKUP(E5973,#REF!,1,FALSE())),"?TYPE_IDENTIFIABLE","?REFERENTIAL"),"_")))))</f>
        <v> </v>
      </c>
      <c r="H5973" s="25" t="str">
        <f>IF(J5973&lt;&gt;1,"",IF(I5973="SBJ","CB","?"))</f>
        <v> </v>
      </c>
      <c r="I5973" s="26" t="str">
        <f>IF(OR(E5973="",E5973="!!!",F5973="NEW"),"",INDEX(B5972:B$2,-1+SUMPRODUCT(MAX(ROW(E5972:E$2)*(E5973=E5972:E$2)))))</f>
        <v> </v>
      </c>
      <c r="J5973" s="26" t="str">
        <f>IF(OR(E5973="",E5973="!!!",F5973="NEW"),"",COUNTBLANK(OFFSET(A$1,,,SUMPRODUCT(MAX(ROW(E$2:E5973)*(E5973=E$2:E5973)))))-COUNTBLANK(OFFSET(A$1,,,SUMPRODUCT(MAX(ROW(E$1:E5972)*(E2=E$1:E5972))))))</f>
        <v> </v>
      </c>
      <c r="K5973" s="26" t="str">
        <f>IF(OR(E5973="",E5973="!!!",F5973="NEW"),"",INDEX(J$1:J5972,SUMPRODUCT(MAX(ROW(E$1:E5972)*(E5973=E$1:E5972)))))</f>
        <v> </v>
      </c>
      <c r="L5973" s="27"/>
    </row>
    <row r="5974" spans="1:12">
      <c r="A5974" s="20" t="s">
        <v>2485</v>
      </c>
      <c r="E5974" s="22">
        <f>IF(D5974="?OLD","!!!","")</f>
        <v/>
      </c>
      <c r="F5974" s="23" t="str">
        <f>IF(OR(E5974="",E5974="!!!"),"",IF(NOT(ISNA(VLOOKUP(E5974,E$1:E5973,1,FALSE()))),"OLD",IF(AND(E5974&lt;&gt;"",E5974&lt;&gt;"!!!"),"NEW","")))</f>
        <v> </v>
      </c>
      <c r="G5974" s="24" t="str">
        <f>IF(OR(E5974="",E5974="!!!"),"",IF(OR(J5974=0,AND(J5974=1,K5974=1),AND(J5974=1,I5974="SBJ"),AND(J5974=1,I5974=0)),"?IN_FOCUS",IF(J5974&lt;=2,"?ACTIVATED",IF(J5974&lt;&gt;"","?FAMILIAR",IF(F5974="NEW",IF(ISNA(VLOOKUP(E5974,#REF!,1,FALSE())),"?TYPE_IDENTIFIABLE","?REFERENTIAL"),"_")))))</f>
        <v> </v>
      </c>
      <c r="H5974" s="25" t="str">
        <f>IF(J5974&lt;&gt;1,"",IF(I5974="SBJ","CB","?"))</f>
        <v> </v>
      </c>
      <c r="I5974" s="26" t="str">
        <f>IF(OR(E5974="",E5974="!!!",F5974="NEW"),"",INDEX(B5973:B$2,-1+SUMPRODUCT(MAX(ROW(E5973:E$2)*(E5974=E5973:E$2)))))</f>
        <v> </v>
      </c>
      <c r="J5974" s="26" t="str">
        <f>IF(OR(E5974="",E5974="!!!",F5974="NEW"),"",COUNTBLANK(OFFSET(A$1,,,SUMPRODUCT(MAX(ROW(E$2:E5974)*(E5974=E$2:E5974)))))-COUNTBLANK(OFFSET(A$1,,,SUMPRODUCT(MAX(ROW(E$1:E5973)*(E2=E$1:E5973))))))</f>
        <v> </v>
      </c>
      <c r="K5974" s="26" t="str">
        <f>IF(OR(E5974="",E5974="!!!",F5974="NEW"),"",INDEX(J$1:J5973,SUMPRODUCT(MAX(ROW(E$1:E5973)*(E5974=E$1:E5973)))))</f>
        <v> </v>
      </c>
      <c r="L5974" s="27"/>
    </row>
    <row r="5975" spans="1:12">
      <c r="A5975" s="20" t="s">
        <v>1002</v>
      </c>
      <c r="E5975" s="22">
        <f>IF(D5975="?OLD","!!!","")</f>
        <v/>
      </c>
      <c r="F5975" s="23" t="str">
        <f>IF(OR(E5975="",E5975="!!!"),"",IF(NOT(ISNA(VLOOKUP(E5975,E$1:E5974,1,FALSE()))),"OLD",IF(AND(E5975&lt;&gt;"",E5975&lt;&gt;"!!!"),"NEW","")))</f>
        <v> </v>
      </c>
      <c r="G5975" s="24" t="str">
        <f>IF(OR(E5975="",E5975="!!!"),"",IF(OR(J5975=0,AND(J5975=1,K5975=1),AND(J5975=1,I5975="SBJ"),AND(J5975=1,I5975=0)),"?IN_FOCUS",IF(J5975&lt;=2,"?ACTIVATED",IF(J5975&lt;&gt;"","?FAMILIAR",IF(F5975="NEW",IF(ISNA(VLOOKUP(E5975,#REF!,1,FALSE())),"?TYPE_IDENTIFIABLE","?REFERENTIAL"),"_")))))</f>
        <v> </v>
      </c>
      <c r="H5975" s="25" t="str">
        <f>IF(J5975&lt;&gt;1,"",IF(I5975="SBJ","CB","?"))</f>
        <v> </v>
      </c>
      <c r="I5975" s="26" t="str">
        <f>IF(OR(E5975="",E5975="!!!",F5975="NEW"),"",INDEX(B5974:B$2,-1+SUMPRODUCT(MAX(ROW(E5974:E$2)*(E5975=E5974:E$2)))))</f>
        <v> </v>
      </c>
      <c r="J5975" s="26" t="str">
        <f>IF(OR(E5975="",E5975="!!!",F5975="NEW"),"",COUNTBLANK(OFFSET(A$1,,,SUMPRODUCT(MAX(ROW(E$2:E5975)*(E5975=E$2:E5975)))))-COUNTBLANK(OFFSET(A$1,,,SUMPRODUCT(MAX(ROW(E$1:E5974)*(E2=E$1:E5974))))))</f>
        <v> </v>
      </c>
      <c r="K5975" s="26" t="str">
        <f>IF(OR(E5975="",E5975="!!!",F5975="NEW"),"",INDEX(J$1:J5974,SUMPRODUCT(MAX(ROW(E$1:E5974)*(E5975=E$1:E5974)))))</f>
        <v> </v>
      </c>
      <c r="L5975" s="27"/>
    </row>
    <row r="5976" spans="1:12">
      <c r="A5976" s="20" t="s">
        <v>993</v>
      </c>
      <c r="E5976" s="22">
        <f>IF(D5976="?OLD","!!!","")</f>
        <v/>
      </c>
      <c r="F5976" s="23" t="str">
        <f>IF(OR(E5976="",E5976="!!!"),"",IF(NOT(ISNA(VLOOKUP(E5976,E$1:E5975,1,FALSE()))),"OLD",IF(AND(E5976&lt;&gt;"",E5976&lt;&gt;"!!!"),"NEW","")))</f>
        <v> </v>
      </c>
      <c r="G5976" s="24" t="str">
        <f>IF(OR(E5976="",E5976="!!!"),"",IF(OR(J5976=0,AND(J5976=1,K5976=1),AND(J5976=1,I5976="SBJ"),AND(J5976=1,I5976=0)),"?IN_FOCUS",IF(J5976&lt;=2,"?ACTIVATED",IF(J5976&lt;&gt;"","?FAMILIAR",IF(F5976="NEW",IF(ISNA(VLOOKUP(E5976,#REF!,1,FALSE())),"?TYPE_IDENTIFIABLE","?REFERENTIAL"),"_")))))</f>
        <v> </v>
      </c>
      <c r="H5976" s="25" t="str">
        <f>IF(J5976&lt;&gt;1,"",IF(I5976="SBJ","CB","?"))</f>
        <v> </v>
      </c>
      <c r="I5976" s="26" t="str">
        <f>IF(OR(E5976="",E5976="!!!",F5976="NEW"),"",INDEX(B5975:B$2,-1+SUMPRODUCT(MAX(ROW(E5975:E$2)*(E5976=E5975:E$2)))))</f>
        <v> </v>
      </c>
      <c r="J5976" s="26" t="str">
        <f>IF(OR(E5976="",E5976="!!!",F5976="NEW"),"",COUNTBLANK(OFFSET(A$1,,,SUMPRODUCT(MAX(ROW(E$2:E5976)*(E5976=E$2:E5976)))))-COUNTBLANK(OFFSET(A$1,,,SUMPRODUCT(MAX(ROW(E$1:E5975)*(E2=E$1:E5975))))))</f>
        <v> </v>
      </c>
      <c r="K5976" s="26" t="str">
        <f>IF(OR(E5976="",E5976="!!!",F5976="NEW"),"",INDEX(J$1:J5975,SUMPRODUCT(MAX(ROW(E$1:E5975)*(E5976=E$1:E5975)))))</f>
        <v> </v>
      </c>
      <c r="L5976" s="27"/>
    </row>
    <row r="5977" spans="1:12">
      <c r="A5977" s="20" t="s">
        <v>2486</v>
      </c>
      <c r="B5977" s="21" t="s">
        <v>989</v>
      </c>
      <c r="C5977" s="21" t="s">
        <v>995</v>
      </c>
      <c r="D5977" s="21" t="s">
        <v>978</v>
      </c>
      <c r="E5977" s="22">
        <f>IF(D5977="?OLD","!!!","")</f>
        <v/>
      </c>
      <c r="F5977" s="23" t="str">
        <f>IF(OR(E5977="",E5977="!!!"),"",IF(NOT(ISNA(VLOOKUP(E5977,E$1:E5976,1,FALSE()))),"OLD",IF(AND(E5977&lt;&gt;"",E5977&lt;&gt;"!!!"),"NEW","")))</f>
        <v> </v>
      </c>
      <c r="G5977" s="24" t="str">
        <f>IF(OR(E5977="",E5977="!!!"),"",IF(OR(J5977=0,AND(J5977=1,K5977=1),AND(J5977=1,I5977="SBJ"),AND(J5977=1,I5977=0)),"?IN_FOCUS",IF(J5977&lt;=2,"?ACTIVATED",IF(J5977&lt;&gt;"","?FAMILIAR",IF(F5977="NEW",IF(ISNA(VLOOKUP(E5977,#REF!,1,FALSE())),"?TYPE_IDENTIFIABLE","?REFERENTIAL"),"_")))))</f>
        <v> </v>
      </c>
      <c r="H5977" s="25" t="str">
        <f>IF(J5977&lt;&gt;1,"",IF(I5977="SBJ","CB","?"))</f>
        <v> </v>
      </c>
      <c r="I5977" s="26" t="str">
        <f>IF(OR(E5977="",E5977="!!!",F5977="NEW"),"",INDEX(B5976:B$2,-1+SUMPRODUCT(MAX(ROW(E5976:E$2)*(E5977=E5976:E$2)))))</f>
        <v> </v>
      </c>
      <c r="J5977" s="26" t="str">
        <f>IF(OR(E5977="",E5977="!!!",F5977="NEW"),"",COUNTBLANK(OFFSET(A$1,,,SUMPRODUCT(MAX(ROW(E$2:E5977)*(E5977=E$2:E5977)))))-COUNTBLANK(OFFSET(A$1,,,SUMPRODUCT(MAX(ROW(E$1:E5976)*(E2=E$1:E5976))))))</f>
        <v> </v>
      </c>
      <c r="K5977" s="26" t="str">
        <f>IF(OR(E5977="",E5977="!!!",F5977="NEW"),"",INDEX(J$1:J5976,SUMPRODUCT(MAX(ROW(E$1:E5976)*(E5977=E$1:E5976)))))</f>
        <v> </v>
      </c>
      <c r="L5977" s="27"/>
    </row>
    <row r="5978" spans="1:12">
      <c r="A5978" s="20" t="s">
        <v>2487</v>
      </c>
      <c r="E5978" s="22">
        <f>IF(D5978="?OLD","!!!","")</f>
        <v/>
      </c>
      <c r="F5978" s="23" t="str">
        <f>IF(OR(E5978="",E5978="!!!"),"",IF(NOT(ISNA(VLOOKUP(E5978,E$1:E5977,1,FALSE()))),"OLD",IF(AND(E5978&lt;&gt;"",E5978&lt;&gt;"!!!"),"NEW","")))</f>
        <v> </v>
      </c>
      <c r="G5978" s="24" t="str">
        <f>IF(OR(E5978="",E5978="!!!"),"",IF(OR(J5978=0,AND(J5978=1,K5978=1),AND(J5978=1,I5978="SBJ"),AND(J5978=1,I5978=0)),"?IN_FOCUS",IF(J5978&lt;=2,"?ACTIVATED",IF(J5978&lt;&gt;"","?FAMILIAR",IF(F5978="NEW",IF(ISNA(VLOOKUP(E5978,#REF!,1,FALSE())),"?TYPE_IDENTIFIABLE","?REFERENTIAL"),"_")))))</f>
        <v> </v>
      </c>
      <c r="H5978" s="25" t="str">
        <f>IF(J5978&lt;&gt;1,"",IF(I5978="SBJ","CB","?"))</f>
        <v> </v>
      </c>
      <c r="I5978" s="26" t="str">
        <f>IF(OR(E5978="",E5978="!!!",F5978="NEW"),"",INDEX(B5977:B$2,-1+SUMPRODUCT(MAX(ROW(E5977:E$2)*(E5978=E5977:E$2)))))</f>
        <v> </v>
      </c>
      <c r="J5978" s="26" t="str">
        <f>IF(OR(E5978="",E5978="!!!",F5978="NEW"),"",COUNTBLANK(OFFSET(A$1,,,SUMPRODUCT(MAX(ROW(E$2:E5978)*(E5978=E$2:E5978)))))-COUNTBLANK(OFFSET(A$1,,,SUMPRODUCT(MAX(ROW(E$1:E5977)*(E2=E$1:E5977))))))</f>
        <v> </v>
      </c>
      <c r="K5978" s="26" t="str">
        <f>IF(OR(E5978="",E5978="!!!",F5978="NEW"),"",INDEX(J$1:J5977,SUMPRODUCT(MAX(ROW(E$1:E5977)*(E5978=E$1:E5977)))))</f>
        <v> </v>
      </c>
      <c r="L5978" s="27"/>
    </row>
    <row r="5979" spans="1:12">
      <c r="A5979" s="20" t="s">
        <v>1002</v>
      </c>
      <c r="E5979" s="22">
        <f>IF(D5979="?OLD","!!!","")</f>
        <v/>
      </c>
      <c r="F5979" s="23" t="str">
        <f>IF(OR(E5979="",E5979="!!!"),"",IF(NOT(ISNA(VLOOKUP(E5979,E$1:E5978,1,FALSE()))),"OLD",IF(AND(E5979&lt;&gt;"",E5979&lt;&gt;"!!!"),"NEW","")))</f>
        <v> </v>
      </c>
      <c r="G5979" s="24" t="str">
        <f>IF(OR(E5979="",E5979="!!!"),"",IF(OR(J5979=0,AND(J5979=1,K5979=1),AND(J5979=1,I5979="SBJ"),AND(J5979=1,I5979=0)),"?IN_FOCUS",IF(J5979&lt;=2,"?ACTIVATED",IF(J5979&lt;&gt;"","?FAMILIAR",IF(F5979="NEW",IF(ISNA(VLOOKUP(E5979,#REF!,1,FALSE())),"?TYPE_IDENTIFIABLE","?REFERENTIAL"),"_")))))</f>
        <v> </v>
      </c>
      <c r="H5979" s="25" t="str">
        <f>IF(J5979&lt;&gt;1,"",IF(I5979="SBJ","CB","?"))</f>
        <v> </v>
      </c>
      <c r="I5979" s="26" t="str">
        <f>IF(OR(E5979="",E5979="!!!",F5979="NEW"),"",INDEX(B5978:B$2,-1+SUMPRODUCT(MAX(ROW(E5978:E$2)*(E5979=E5978:E$2)))))</f>
        <v> </v>
      </c>
      <c r="J5979" s="26" t="str">
        <f>IF(OR(E5979="",E5979="!!!",F5979="NEW"),"",COUNTBLANK(OFFSET(A$1,,,SUMPRODUCT(MAX(ROW(E$2:E5979)*(E5979=E$2:E5979)))))-COUNTBLANK(OFFSET(A$1,,,SUMPRODUCT(MAX(ROW(E$1:E5978)*(E2=E$1:E5978))))))</f>
        <v> </v>
      </c>
      <c r="K5979" s="26" t="str">
        <f>IF(OR(E5979="",E5979="!!!",F5979="NEW"),"",INDEX(J$1:J5978,SUMPRODUCT(MAX(ROW(E$1:E5978)*(E5979=E$1:E5978)))))</f>
        <v> </v>
      </c>
      <c r="L5979" s="27"/>
    </row>
    <row r="5980" spans="1:12">
      <c r="A5980" s="20" t="s">
        <v>1000</v>
      </c>
      <c r="E5980" s="22">
        <f>IF(D5980="?OLD","!!!","")</f>
        <v/>
      </c>
      <c r="F5980" s="23" t="str">
        <f>IF(OR(E5980="",E5980="!!!"),"",IF(NOT(ISNA(VLOOKUP(E5980,E$1:E5979,1,FALSE()))),"OLD",IF(AND(E5980&lt;&gt;"",E5980&lt;&gt;"!!!"),"NEW","")))</f>
        <v> </v>
      </c>
      <c r="G5980" s="24" t="str">
        <f>IF(OR(E5980="",E5980="!!!"),"",IF(OR(J5980=0,AND(J5980=1,K5980=1),AND(J5980=1,I5980="SBJ"),AND(J5980=1,I5980=0)),"?IN_FOCUS",IF(J5980&lt;=2,"?ACTIVATED",IF(J5980&lt;&gt;"","?FAMILIAR",IF(F5980="NEW",IF(ISNA(VLOOKUP(E5980,#REF!,1,FALSE())),"?TYPE_IDENTIFIABLE","?REFERENTIAL"),"_")))))</f>
        <v> </v>
      </c>
      <c r="H5980" s="25" t="str">
        <f>IF(J5980&lt;&gt;1,"",IF(I5980="SBJ","CB","?"))</f>
        <v> </v>
      </c>
      <c r="I5980" s="26" t="str">
        <f>IF(OR(E5980="",E5980="!!!",F5980="NEW"),"",INDEX(B5979:B$2,-1+SUMPRODUCT(MAX(ROW(E5979:E$2)*(E5980=E5979:E$2)))))</f>
        <v> </v>
      </c>
      <c r="J5980" s="26" t="str">
        <f>IF(OR(E5980="",E5980="!!!",F5980="NEW"),"",COUNTBLANK(OFFSET(A$1,,,SUMPRODUCT(MAX(ROW(E$2:E5980)*(E5980=E$2:E5980)))))-COUNTBLANK(OFFSET(A$1,,,SUMPRODUCT(MAX(ROW(E$1:E5979)*(E2=E$1:E5979))))))</f>
        <v> </v>
      </c>
      <c r="K5980" s="26" t="str">
        <f>IF(OR(E5980="",E5980="!!!",F5980="NEW"),"",INDEX(J$1:J5979,SUMPRODUCT(MAX(ROW(E$1:E5979)*(E5980=E$1:E5979)))))</f>
        <v> </v>
      </c>
      <c r="L5980" s="27"/>
    </row>
    <row r="5981" spans="1:12">
      <c r="A5981" s="20" t="s">
        <v>997</v>
      </c>
      <c r="E5981" s="22">
        <f>IF(D5981="?OLD","!!!","")</f>
        <v/>
      </c>
      <c r="F5981" s="23" t="str">
        <f>IF(OR(E5981="",E5981="!!!"),"",IF(NOT(ISNA(VLOOKUP(E5981,E$1:E5980,1,FALSE()))),"OLD",IF(AND(E5981&lt;&gt;"",E5981&lt;&gt;"!!!"),"NEW","")))</f>
        <v> </v>
      </c>
      <c r="G5981" s="24" t="str">
        <f>IF(OR(E5981="",E5981="!!!"),"",IF(OR(J5981=0,AND(J5981=1,K5981=1),AND(J5981=1,I5981="SBJ"),AND(J5981=1,I5981=0)),"?IN_FOCUS",IF(J5981&lt;=2,"?ACTIVATED",IF(J5981&lt;&gt;"","?FAMILIAR",IF(F5981="NEW",IF(ISNA(VLOOKUP(E5981,#REF!,1,FALSE())),"?TYPE_IDENTIFIABLE","?REFERENTIAL"),"_")))))</f>
        <v> </v>
      </c>
      <c r="H5981" s="25" t="str">
        <f>IF(J5981&lt;&gt;1,"",IF(I5981="SBJ","CB","?"))</f>
        <v> </v>
      </c>
      <c r="I5981" s="26" t="str">
        <f>IF(OR(E5981="",E5981="!!!",F5981="NEW"),"",INDEX(B5980:B$2,-1+SUMPRODUCT(MAX(ROW(E5980:E$2)*(E5981=E5980:E$2)))))</f>
        <v> </v>
      </c>
      <c r="J5981" s="26" t="str">
        <f>IF(OR(E5981="",E5981="!!!",F5981="NEW"),"",COUNTBLANK(OFFSET(A$1,,,SUMPRODUCT(MAX(ROW(E$2:E5981)*(E5981=E$2:E5981)))))-COUNTBLANK(OFFSET(A$1,,,SUMPRODUCT(MAX(ROW(E$1:E5980)*(E2=E$1:E5980))))))</f>
        <v> </v>
      </c>
      <c r="K5981" s="26" t="str">
        <f>IF(OR(E5981="",E5981="!!!",F5981="NEW"),"",INDEX(J$1:J5980,SUMPRODUCT(MAX(ROW(E$1:E5980)*(E5981=E$1:E5980)))))</f>
        <v> </v>
      </c>
      <c r="L5981" s="27"/>
    </row>
    <row r="5982" spans="1:12">
      <c r="A5982" s="20" t="s">
        <v>2488</v>
      </c>
      <c r="B5982" s="21" t="s">
        <v>1095</v>
      </c>
      <c r="C5982" s="21" t="s">
        <v>995</v>
      </c>
      <c r="D5982" s="21" t="s">
        <v>978</v>
      </c>
      <c r="E5982" s="22">
        <f>IF(D5982="?OLD","!!!","")</f>
        <v/>
      </c>
      <c r="F5982" s="23" t="str">
        <f>IF(OR(E5982="",E5982="!!!"),"",IF(NOT(ISNA(VLOOKUP(E5982,E$1:E5981,1,FALSE()))),"OLD",IF(AND(E5982&lt;&gt;"",E5982&lt;&gt;"!!!"),"NEW","")))</f>
        <v> </v>
      </c>
      <c r="G5982" s="24" t="str">
        <f>IF(OR(E5982="",E5982="!!!"),"",IF(OR(J5982=0,AND(J5982=1,K5982=1),AND(J5982=1,I5982="SBJ"),AND(J5982=1,I5982=0)),"?IN_FOCUS",IF(J5982&lt;=2,"?ACTIVATED",IF(J5982&lt;&gt;"","?FAMILIAR",IF(F5982="NEW",IF(ISNA(VLOOKUP(E5982,#REF!,1,FALSE())),"?TYPE_IDENTIFIABLE","?REFERENTIAL"),"_")))))</f>
        <v> </v>
      </c>
      <c r="H5982" s="25" t="str">
        <f>IF(J5982&lt;&gt;1,"",IF(I5982="SBJ","CB","?"))</f>
        <v> </v>
      </c>
      <c r="I5982" s="26" t="str">
        <f>IF(OR(E5982="",E5982="!!!",F5982="NEW"),"",INDEX(B5981:B$2,-1+SUMPRODUCT(MAX(ROW(E5981:E$2)*(E5982=E5981:E$2)))))</f>
        <v> </v>
      </c>
      <c r="J5982" s="26" t="str">
        <f>IF(OR(E5982="",E5982="!!!",F5982="NEW"),"",COUNTBLANK(OFFSET(A$1,,,SUMPRODUCT(MAX(ROW(E$2:E5982)*(E5982=E$2:E5982)))))-COUNTBLANK(OFFSET(A$1,,,SUMPRODUCT(MAX(ROW(E$1:E5981)*(E2=E$1:E5981))))))</f>
        <v> </v>
      </c>
      <c r="K5982" s="26" t="str">
        <f>IF(OR(E5982="",E5982="!!!",F5982="NEW"),"",INDEX(J$1:J5981,SUMPRODUCT(MAX(ROW(E$1:E5981)*(E5982=E$1:E5981)))))</f>
        <v> </v>
      </c>
      <c r="L5982" s="27"/>
    </row>
    <row r="5983" spans="1:12">
      <c r="A5983" s="20" t="s">
        <v>2489</v>
      </c>
      <c r="E5983" s="22">
        <f>IF(D5983="?OLD","!!!","")</f>
        <v/>
      </c>
      <c r="F5983" s="23" t="str">
        <f>IF(OR(E5983="",E5983="!!!"),"",IF(NOT(ISNA(VLOOKUP(E5983,E$1:E5982,1,FALSE()))),"OLD",IF(AND(E5983&lt;&gt;"",E5983&lt;&gt;"!!!"),"NEW","")))</f>
        <v> </v>
      </c>
      <c r="G5983" s="24" t="str">
        <f>IF(OR(E5983="",E5983="!!!"),"",IF(OR(J5983=0,AND(J5983=1,K5983=1),AND(J5983=1,I5983="SBJ"),AND(J5983=1,I5983=0)),"?IN_FOCUS",IF(J5983&lt;=2,"?ACTIVATED",IF(J5983&lt;&gt;"","?FAMILIAR",IF(F5983="NEW",IF(ISNA(VLOOKUP(E5983,#REF!,1,FALSE())),"?TYPE_IDENTIFIABLE","?REFERENTIAL"),"_")))))</f>
        <v> </v>
      </c>
      <c r="H5983" s="25" t="str">
        <f>IF(J5983&lt;&gt;1,"",IF(I5983="SBJ","CB","?"))</f>
        <v> </v>
      </c>
      <c r="I5983" s="26" t="str">
        <f>IF(OR(E5983="",E5983="!!!",F5983="NEW"),"",INDEX(B5982:B$2,-1+SUMPRODUCT(MAX(ROW(E5982:E$2)*(E5983=E5982:E$2)))))</f>
        <v> </v>
      </c>
      <c r="J5983" s="26" t="str">
        <f>IF(OR(E5983="",E5983="!!!",F5983="NEW"),"",COUNTBLANK(OFFSET(A$1,,,SUMPRODUCT(MAX(ROW(E$2:E5983)*(E5983=E$2:E5983)))))-COUNTBLANK(OFFSET(A$1,,,SUMPRODUCT(MAX(ROW(E$1:E5982)*(E2=E$1:E5982))))))</f>
        <v> </v>
      </c>
      <c r="K5983" s="26" t="str">
        <f>IF(OR(E5983="",E5983="!!!",F5983="NEW"),"",INDEX(J$1:J5982,SUMPRODUCT(MAX(ROW(E$1:E5982)*(E5983=E$1:E5982)))))</f>
        <v> </v>
      </c>
      <c r="L5983" s="27"/>
    </row>
    <row r="5984" spans="1:12">
      <c r="A5984" s="20" t="s">
        <v>1011</v>
      </c>
      <c r="B5984" s="21" t="s">
        <v>1052</v>
      </c>
      <c r="C5984" s="21" t="s">
        <v>977</v>
      </c>
      <c r="D5984" s="21" t="s">
        <v>978</v>
      </c>
      <c r="E5984" s="22">
        <f>IF(D5984="?OLD","!!!","")</f>
        <v/>
      </c>
      <c r="F5984" s="23" t="str">
        <f>IF(OR(E5984="",E5984="!!!"),"",IF(NOT(ISNA(VLOOKUP(E5984,E$1:E5983,1,FALSE()))),"OLD",IF(AND(E5984&lt;&gt;"",E5984&lt;&gt;"!!!"),"NEW","")))</f>
        <v> </v>
      </c>
      <c r="G5984" s="24" t="str">
        <f>IF(OR(E5984="",E5984="!!!"),"",IF(OR(J5984=0,AND(J5984=1,K5984=1),AND(J5984=1,I5984="SBJ"),AND(J5984=1,I5984=0)),"?IN_FOCUS",IF(J5984&lt;=2,"?ACTIVATED",IF(J5984&lt;&gt;"","?FAMILIAR",IF(F5984="NEW",IF(ISNA(VLOOKUP(E5984,#REF!,1,FALSE())),"?TYPE_IDENTIFIABLE","?REFERENTIAL"),"_")))))</f>
        <v> </v>
      </c>
      <c r="H5984" s="25" t="str">
        <f>IF(J5984&lt;&gt;1,"",IF(I5984="SBJ","CB","?"))</f>
        <v> </v>
      </c>
      <c r="I5984" s="26" t="str">
        <f>IF(OR(E5984="",E5984="!!!",F5984="NEW"),"",INDEX(B5983:B$2,-1+SUMPRODUCT(MAX(ROW(E5983:E$2)*(E5984=E5983:E$2)))))</f>
        <v> </v>
      </c>
      <c r="J5984" s="26" t="str">
        <f>IF(OR(E5984="",E5984="!!!",F5984="NEW"),"",COUNTBLANK(OFFSET(A$1,,,SUMPRODUCT(MAX(ROW(E$2:E5984)*(E5984=E$2:E5984)))))-COUNTBLANK(OFFSET(A$1,,,SUMPRODUCT(MAX(ROW(E$1:E5983)*(E2=E$1:E5983))))))</f>
        <v> </v>
      </c>
      <c r="K5984" s="26" t="str">
        <f>IF(OR(E5984="",E5984="!!!",F5984="NEW"),"",INDEX(J$1:J5983,SUMPRODUCT(MAX(ROW(E$1:E5983)*(E5984=E$1:E5983)))))</f>
        <v> </v>
      </c>
      <c r="L5984" s="27"/>
    </row>
    <row r="5985" spans="1:12">
      <c r="A5985" s="20" t="s">
        <v>2490</v>
      </c>
      <c r="E5985" s="22">
        <f>IF(D5985="?OLD","!!!","")</f>
        <v/>
      </c>
      <c r="F5985" s="23" t="str">
        <f>IF(OR(E5985="",E5985="!!!"),"",IF(NOT(ISNA(VLOOKUP(E5985,E$1:E5984,1,FALSE()))),"OLD",IF(AND(E5985&lt;&gt;"",E5985&lt;&gt;"!!!"),"NEW","")))</f>
        <v> </v>
      </c>
      <c r="G5985" s="24" t="str">
        <f>IF(OR(E5985="",E5985="!!!"),"",IF(OR(J5985=0,AND(J5985=1,K5985=1),AND(J5985=1,I5985="SBJ"),AND(J5985=1,I5985=0)),"?IN_FOCUS",IF(J5985&lt;=2,"?ACTIVATED",IF(J5985&lt;&gt;"","?FAMILIAR",IF(F5985="NEW",IF(ISNA(VLOOKUP(E5985,#REF!,1,FALSE())),"?TYPE_IDENTIFIABLE","?REFERENTIAL"),"_")))))</f>
        <v> </v>
      </c>
      <c r="H5985" s="25" t="str">
        <f>IF(J5985&lt;&gt;1,"",IF(I5985="SBJ","CB","?"))</f>
        <v> </v>
      </c>
      <c r="I5985" s="26" t="str">
        <f>IF(OR(E5985="",E5985="!!!",F5985="NEW"),"",INDEX(B5984:B$2,-1+SUMPRODUCT(MAX(ROW(E5984:E$2)*(E5985=E5984:E$2)))))</f>
        <v> </v>
      </c>
      <c r="J5985" s="26" t="str">
        <f>IF(OR(E5985="",E5985="!!!",F5985="NEW"),"",COUNTBLANK(OFFSET(A$1,,,SUMPRODUCT(MAX(ROW(E$2:E5985)*(E5985=E$2:E5985)))))-COUNTBLANK(OFFSET(A$1,,,SUMPRODUCT(MAX(ROW(E$1:E5984)*(E2=E$1:E5984))))))</f>
        <v> </v>
      </c>
      <c r="K5985" s="26" t="str">
        <f>IF(OR(E5985="",E5985="!!!",F5985="NEW"),"",INDEX(J$1:J5984,SUMPRODUCT(MAX(ROW(E$1:E5984)*(E5985=E$1:E5984)))))</f>
        <v> </v>
      </c>
      <c r="L5985" s="27"/>
    </row>
    <row r="5986" spans="1:12">
      <c r="A5986" s="20" t="s">
        <v>1546</v>
      </c>
      <c r="E5986" s="22">
        <f>IF(D5986="?OLD","!!!","")</f>
        <v/>
      </c>
      <c r="F5986" s="23" t="str">
        <f>IF(OR(E5986="",E5986="!!!"),"",IF(NOT(ISNA(VLOOKUP(E5986,E$1:E5985,1,FALSE()))),"OLD",IF(AND(E5986&lt;&gt;"",E5986&lt;&gt;"!!!"),"NEW","")))</f>
        <v> </v>
      </c>
      <c r="G5986" s="24" t="str">
        <f>IF(OR(E5986="",E5986="!!!"),"",IF(OR(J5986=0,AND(J5986=1,K5986=1),AND(J5986=1,I5986="SBJ"),AND(J5986=1,I5986=0)),"?IN_FOCUS",IF(J5986&lt;=2,"?ACTIVATED",IF(J5986&lt;&gt;"","?FAMILIAR",IF(F5986="NEW",IF(ISNA(VLOOKUP(E5986,#REF!,1,FALSE())),"?TYPE_IDENTIFIABLE","?REFERENTIAL"),"_")))))</f>
        <v> </v>
      </c>
      <c r="H5986" s="25" t="str">
        <f>IF(J5986&lt;&gt;1,"",IF(I5986="SBJ","CB","?"))</f>
        <v> </v>
      </c>
      <c r="I5986" s="26" t="str">
        <f>IF(OR(E5986="",E5986="!!!",F5986="NEW"),"",INDEX(B5985:B$2,-1+SUMPRODUCT(MAX(ROW(E5985:E$2)*(E5986=E5985:E$2)))))</f>
        <v> </v>
      </c>
      <c r="J5986" s="26" t="str">
        <f>IF(OR(E5986="",E5986="!!!",F5986="NEW"),"",COUNTBLANK(OFFSET(A$1,,,SUMPRODUCT(MAX(ROW(E$2:E5986)*(E5986=E$2:E5986)))))-COUNTBLANK(OFFSET(A$1,,,SUMPRODUCT(MAX(ROW(E$1:E5985)*(E2=E$1:E5985))))))</f>
        <v> </v>
      </c>
      <c r="K5986" s="26" t="str">
        <f>IF(OR(E5986="",E5986="!!!",F5986="NEW"),"",INDEX(J$1:J5985,SUMPRODUCT(MAX(ROW(E$1:E5985)*(E5986=E$1:E5985)))))</f>
        <v> </v>
      </c>
      <c r="L5986" s="27"/>
    </row>
    <row r="5987" spans="1:12">
      <c r="A5987" s="20" t="s">
        <v>1022</v>
      </c>
      <c r="E5987" s="22">
        <f>IF(D5987="?OLD","!!!","")</f>
        <v/>
      </c>
      <c r="F5987" s="23" t="str">
        <f>IF(OR(E5987="",E5987="!!!"),"",IF(NOT(ISNA(VLOOKUP(E5987,E$1:E5986,1,FALSE()))),"OLD",IF(AND(E5987&lt;&gt;"",E5987&lt;&gt;"!!!"),"NEW","")))</f>
        <v> </v>
      </c>
      <c r="G5987" s="24" t="str">
        <f>IF(OR(E5987="",E5987="!!!"),"",IF(OR(J5987=0,AND(J5987=1,K5987=1),AND(J5987=1,I5987="SBJ"),AND(J5987=1,I5987=0)),"?IN_FOCUS",IF(J5987&lt;=2,"?ACTIVATED",IF(J5987&lt;&gt;"","?FAMILIAR",IF(F5987="NEW",IF(ISNA(VLOOKUP(E5987,#REF!,1,FALSE())),"?TYPE_IDENTIFIABLE","?REFERENTIAL"),"_")))))</f>
        <v> </v>
      </c>
      <c r="H5987" s="25" t="str">
        <f>IF(J5987&lt;&gt;1,"",IF(I5987="SBJ","CB","?"))</f>
        <v> </v>
      </c>
      <c r="I5987" s="26" t="str">
        <f>IF(OR(E5987="",E5987="!!!",F5987="NEW"),"",INDEX(B5986:B$2,-1+SUMPRODUCT(MAX(ROW(E5986:E$2)*(E5987=E5986:E$2)))))</f>
        <v> </v>
      </c>
      <c r="J5987" s="26" t="str">
        <f>IF(OR(E5987="",E5987="!!!",F5987="NEW"),"",COUNTBLANK(OFFSET(A$1,,,SUMPRODUCT(MAX(ROW(E$2:E5987)*(E5987=E$2:E5987)))))-COUNTBLANK(OFFSET(A$1,,,SUMPRODUCT(MAX(ROW(E$1:E5986)*(E2=E$1:E5986))))))</f>
        <v> </v>
      </c>
      <c r="K5987" s="26" t="str">
        <f>IF(OR(E5987="",E5987="!!!",F5987="NEW"),"",INDEX(J$1:J5986,SUMPRODUCT(MAX(ROW(E$1:E5986)*(E5987=E$1:E5986)))))</f>
        <v> </v>
      </c>
      <c r="L5987" s="27"/>
    </row>
    <row r="5988" spans="1:12">
      <c r="A5988" s="20"/>
    </row>
    <row r="5989" spans="1:12">
      <c r="A5989" s="20" t="s">
        <v>2491</v>
      </c>
    </row>
    <row r="5990" spans="1:12">
      <c r="A5990" s="20" t="s">
        <v>2492</v>
      </c>
      <c r="E5990" s="22">
        <f>IF(D5990="?OLD","!!!","")</f>
        <v/>
      </c>
      <c r="F5990" s="23" t="str">
        <f>IF(OR(E5990="",E5990="!!!"),"",IF(NOT(ISNA(VLOOKUP(E5990,E$1:E5989,1,FALSE()))),"OLD",IF(AND(E5990&lt;&gt;"",E5990&lt;&gt;"!!!"),"NEW","")))</f>
        <v> </v>
      </c>
      <c r="G5990" s="24" t="str">
        <f>IF(OR(E5990="",E5990="!!!"),"",IF(OR(J5990=0,AND(J5990=1,K5990=1),AND(J5990=1,I5990="SBJ"),AND(J5990=1,I5990=0)),"?IN_FOCUS",IF(J5990&lt;=2,"?ACTIVATED",IF(J5990&lt;&gt;"","?FAMILIAR",IF(F5990="NEW",IF(ISNA(VLOOKUP(E5990,#REF!,1,FALSE())),"?TYPE_IDENTIFIABLE","?REFERENTIAL"),"_")))))</f>
        <v> </v>
      </c>
      <c r="H5990" s="25" t="str">
        <f>IF(J5990&lt;&gt;1,"",IF(I5990="SBJ","CB","?"))</f>
        <v> </v>
      </c>
      <c r="I5990" s="26" t="str">
        <f>IF(OR(E5990="",E5990="!!!",F5990="NEW"),"",INDEX(B5989:B$2,-1+SUMPRODUCT(MAX(ROW(E5989:E$2)*(E5990=E5989:E$2)))))</f>
        <v> </v>
      </c>
      <c r="J5990" s="26" t="str">
        <f>IF(OR(E5990="",E5990="!!!",F5990="NEW"),"",COUNTBLANK(OFFSET(A$1,,,SUMPRODUCT(MAX(ROW(E$2:E5990)*(E5990=E$2:E5990)))))-COUNTBLANK(OFFSET(A$1,,,SUMPRODUCT(MAX(ROW(E$1:E5989)*(E2=E$1:E5989))))))</f>
        <v> </v>
      </c>
      <c r="K5990" s="26" t="str">
        <f>IF(OR(E5990="",E5990="!!!",F5990="NEW"),"",INDEX(J$1:J5989,SUMPRODUCT(MAX(ROW(E$1:E5989)*(E5990=E$1:E5989)))))</f>
        <v> </v>
      </c>
      <c r="L5990" s="27"/>
    </row>
    <row r="5991" spans="1:12">
      <c r="A5991" s="20" t="s">
        <v>993</v>
      </c>
      <c r="E5991" s="22">
        <f>IF(D5991="?OLD","!!!","")</f>
        <v/>
      </c>
      <c r="F5991" s="23" t="str">
        <f>IF(OR(E5991="",E5991="!!!"),"",IF(NOT(ISNA(VLOOKUP(E5991,E$1:E5990,1,FALSE()))),"OLD",IF(AND(E5991&lt;&gt;"",E5991&lt;&gt;"!!!"),"NEW","")))</f>
        <v> </v>
      </c>
      <c r="G5991" s="24" t="str">
        <f>IF(OR(E5991="",E5991="!!!"),"",IF(OR(J5991=0,AND(J5991=1,K5991=1),AND(J5991=1,I5991="SBJ"),AND(J5991=1,I5991=0)),"?IN_FOCUS",IF(J5991&lt;=2,"?ACTIVATED",IF(J5991&lt;&gt;"","?FAMILIAR",IF(F5991="NEW",IF(ISNA(VLOOKUP(E5991,#REF!,1,FALSE())),"?TYPE_IDENTIFIABLE","?REFERENTIAL"),"_")))))</f>
        <v> </v>
      </c>
      <c r="H5991" s="25" t="str">
        <f>IF(J5991&lt;&gt;1,"",IF(I5991="SBJ","CB","?"))</f>
        <v> </v>
      </c>
      <c r="I5991" s="26" t="str">
        <f>IF(OR(E5991="",E5991="!!!",F5991="NEW"),"",INDEX(B5990:B$2,-1+SUMPRODUCT(MAX(ROW(E5990:E$2)*(E5991=E5990:E$2)))))</f>
        <v> </v>
      </c>
      <c r="J5991" s="26" t="str">
        <f>IF(OR(E5991="",E5991="!!!",F5991="NEW"),"",COUNTBLANK(OFFSET(A$1,,,SUMPRODUCT(MAX(ROW(E$2:E5991)*(E5991=E$2:E5991)))))-COUNTBLANK(OFFSET(A$1,,,SUMPRODUCT(MAX(ROW(E$1:E5990)*(E2=E$1:E5990))))))</f>
        <v> </v>
      </c>
      <c r="K5991" s="26" t="str">
        <f>IF(OR(E5991="",E5991="!!!",F5991="NEW"),"",INDEX(J$1:J5990,SUMPRODUCT(MAX(ROW(E$1:E5990)*(E5991=E$1:E5990)))))</f>
        <v> </v>
      </c>
      <c r="L5991" s="27"/>
    </row>
    <row r="5992" spans="1:12">
      <c r="A5992" s="20" t="s">
        <v>1184</v>
      </c>
      <c r="B5992" s="21" t="s">
        <v>982</v>
      </c>
      <c r="C5992" s="21" t="s">
        <v>995</v>
      </c>
      <c r="D5992" s="21" t="s">
        <v>978</v>
      </c>
      <c r="E5992" s="22">
        <f>IF(D5992="?OLD","!!!","")</f>
        <v/>
      </c>
      <c r="F5992" s="23" t="str">
        <f>IF(OR(E5992="",E5992="!!!"),"",IF(NOT(ISNA(VLOOKUP(E5992,E$1:E5991,1,FALSE()))),"OLD",IF(AND(E5992&lt;&gt;"",E5992&lt;&gt;"!!!"),"NEW","")))</f>
        <v> </v>
      </c>
      <c r="G5992" s="24" t="str">
        <f>IF(OR(E5992="",E5992="!!!"),"",IF(OR(J5992=0,AND(J5992=1,K5992=1),AND(J5992=1,I5992="SBJ"),AND(J5992=1,I5992=0)),"?IN_FOCUS",IF(J5992&lt;=2,"?ACTIVATED",IF(J5992&lt;&gt;"","?FAMILIAR",IF(F5992="NEW",IF(ISNA(VLOOKUP(E5992,#REF!,1,FALSE())),"?TYPE_IDENTIFIABLE","?REFERENTIAL"),"_")))))</f>
        <v> </v>
      </c>
      <c r="H5992" s="25" t="str">
        <f>IF(J5992&lt;&gt;1,"",IF(I5992="SBJ","CB","?"))</f>
        <v> </v>
      </c>
      <c r="I5992" s="26" t="str">
        <f>IF(OR(E5992="",E5992="!!!",F5992="NEW"),"",INDEX(B5991:B$2,-1+SUMPRODUCT(MAX(ROW(E5991:E$2)*(E5992=E5991:E$2)))))</f>
        <v> </v>
      </c>
      <c r="J5992" s="26" t="str">
        <f>IF(OR(E5992="",E5992="!!!",F5992="NEW"),"",COUNTBLANK(OFFSET(A$1,,,SUMPRODUCT(MAX(ROW(E$2:E5992)*(E5992=E$2:E5992)))))-COUNTBLANK(OFFSET(A$1,,,SUMPRODUCT(MAX(ROW(E$1:E5991)*(E2=E$1:E5991))))))</f>
        <v> </v>
      </c>
      <c r="K5992" s="26" t="str">
        <f>IF(OR(E5992="",E5992="!!!",F5992="NEW"),"",INDEX(J$1:J5991,SUMPRODUCT(MAX(ROW(E$1:E5991)*(E5992=E$1:E5991)))))</f>
        <v> </v>
      </c>
      <c r="L5992" s="27"/>
    </row>
    <row r="5993" spans="1:12">
      <c r="A5993" s="20" t="s">
        <v>1142</v>
      </c>
      <c r="B5993" s="21" t="s">
        <v>1066</v>
      </c>
      <c r="E5993" s="22">
        <f>IF(D5993="?OLD","!!!","")</f>
        <v/>
      </c>
      <c r="F5993" s="23" t="str">
        <f>IF(OR(E5993="",E5993="!!!"),"",IF(NOT(ISNA(VLOOKUP(E5993,E$1:E5992,1,FALSE()))),"OLD",IF(AND(E5993&lt;&gt;"",E5993&lt;&gt;"!!!"),"NEW","")))</f>
        <v> </v>
      </c>
      <c r="G5993" s="24" t="str">
        <f>IF(OR(E5993="",E5993="!!!"),"",IF(OR(J5993=0,AND(J5993=1,K5993=1),AND(J5993=1,I5993="SBJ"),AND(J5993=1,I5993=0)),"?IN_FOCUS",IF(J5993&lt;=2,"?ACTIVATED",IF(J5993&lt;&gt;"","?FAMILIAR",IF(F5993="NEW",IF(ISNA(VLOOKUP(E5993,#REF!,1,FALSE())),"?TYPE_IDENTIFIABLE","?REFERENTIAL"),"_")))))</f>
        <v> </v>
      </c>
      <c r="H5993" s="25" t="str">
        <f>IF(J5993&lt;&gt;1,"",IF(I5993="SBJ","CB","?"))</f>
        <v> </v>
      </c>
      <c r="I5993" s="26" t="str">
        <f>IF(OR(E5993="",E5993="!!!",F5993="NEW"),"",INDEX(B5992:B$2,-1+SUMPRODUCT(MAX(ROW(E5992:E$2)*(E5993=E5992:E$2)))))</f>
        <v> </v>
      </c>
      <c r="J5993" s="26" t="str">
        <f>IF(OR(E5993="",E5993="!!!",F5993="NEW"),"",COUNTBLANK(OFFSET(A$1,,,SUMPRODUCT(MAX(ROW(E$2:E5993)*(E5993=E$2:E5993)))))-COUNTBLANK(OFFSET(A$1,,,SUMPRODUCT(MAX(ROW(E$1:E5992)*(E2=E$1:E5992))))))</f>
        <v> </v>
      </c>
      <c r="K5993" s="26" t="str">
        <f>IF(OR(E5993="",E5993="!!!",F5993="NEW"),"",INDEX(J$1:J5992,SUMPRODUCT(MAX(ROW(E$1:E5992)*(E5993=E$1:E5992)))))</f>
        <v> </v>
      </c>
      <c r="L5993" s="27"/>
    </row>
    <row r="5994" spans="1:12">
      <c r="A5994" s="20" t="s">
        <v>1011</v>
      </c>
      <c r="B5994" s="21" t="s">
        <v>1101</v>
      </c>
      <c r="C5994" s="21" t="s">
        <v>977</v>
      </c>
      <c r="D5994" s="21" t="s">
        <v>978</v>
      </c>
      <c r="E5994" s="22">
        <f>IF(D5994="?OLD","!!!","")</f>
        <v/>
      </c>
      <c r="F5994" s="23" t="str">
        <f>IF(OR(E5994="",E5994="!!!"),"",IF(NOT(ISNA(VLOOKUP(E5994,E$1:E5993,1,FALSE()))),"OLD",IF(AND(E5994&lt;&gt;"",E5994&lt;&gt;"!!!"),"NEW","")))</f>
        <v> </v>
      </c>
      <c r="G5994" s="24" t="str">
        <f>IF(OR(E5994="",E5994="!!!"),"",IF(OR(J5994=0,AND(J5994=1,K5994=1),AND(J5994=1,I5994="SBJ"),AND(J5994=1,I5994=0)),"?IN_FOCUS",IF(J5994&lt;=2,"?ACTIVATED",IF(J5994&lt;&gt;"","?FAMILIAR",IF(F5994="NEW",IF(ISNA(VLOOKUP(E5994,#REF!,1,FALSE())),"?TYPE_IDENTIFIABLE","?REFERENTIAL"),"_")))))</f>
        <v> </v>
      </c>
      <c r="H5994" s="25" t="str">
        <f>IF(J5994&lt;&gt;1,"",IF(I5994="SBJ","CB","?"))</f>
        <v> </v>
      </c>
      <c r="I5994" s="26" t="str">
        <f>IF(OR(E5994="",E5994="!!!",F5994="NEW"),"",INDEX(B5993:B$2,-1+SUMPRODUCT(MAX(ROW(E5993:E$2)*(E5994=E5993:E$2)))))</f>
        <v> </v>
      </c>
      <c r="J5994" s="26" t="str">
        <f>IF(OR(E5994="",E5994="!!!",F5994="NEW"),"",COUNTBLANK(OFFSET(A$1,,,SUMPRODUCT(MAX(ROW(E$2:E5994)*(E5994=E$2:E5994)))))-COUNTBLANK(OFFSET(A$1,,,SUMPRODUCT(MAX(ROW(E$1:E5993)*(E2=E$1:E5993))))))</f>
        <v> </v>
      </c>
      <c r="K5994" s="26" t="str">
        <f>IF(OR(E5994="",E5994="!!!",F5994="NEW"),"",INDEX(J$1:J5993,SUMPRODUCT(MAX(ROW(E$1:E5993)*(E5994=E$1:E5993)))))</f>
        <v> </v>
      </c>
      <c r="L5994" s="27"/>
    </row>
    <row r="5995" spans="1:12">
      <c r="A5995" s="20" t="s">
        <v>2490</v>
      </c>
      <c r="E5995" s="22">
        <f>IF(D5995="?OLD","!!!","")</f>
        <v/>
      </c>
      <c r="F5995" s="23" t="str">
        <f>IF(OR(E5995="",E5995="!!!"),"",IF(NOT(ISNA(VLOOKUP(E5995,E$1:E5994,1,FALSE()))),"OLD",IF(AND(E5995&lt;&gt;"",E5995&lt;&gt;"!!!"),"NEW","")))</f>
        <v> </v>
      </c>
      <c r="G5995" s="24" t="str">
        <f>IF(OR(E5995="",E5995="!!!"),"",IF(OR(J5995=0,AND(J5995=1,K5995=1),AND(J5995=1,I5995="SBJ"),AND(J5995=1,I5995=0)),"?IN_FOCUS",IF(J5995&lt;=2,"?ACTIVATED",IF(J5995&lt;&gt;"","?FAMILIAR",IF(F5995="NEW",IF(ISNA(VLOOKUP(E5995,#REF!,1,FALSE())),"?TYPE_IDENTIFIABLE","?REFERENTIAL"),"_")))))</f>
        <v> </v>
      </c>
      <c r="H5995" s="25" t="str">
        <f>IF(J5995&lt;&gt;1,"",IF(I5995="SBJ","CB","?"))</f>
        <v> </v>
      </c>
      <c r="I5995" s="26" t="str">
        <f>IF(OR(E5995="",E5995="!!!",F5995="NEW"),"",INDEX(B5994:B$2,-1+SUMPRODUCT(MAX(ROW(E5994:E$2)*(E5995=E5994:E$2)))))</f>
        <v> </v>
      </c>
      <c r="J5995" s="26" t="str">
        <f>IF(OR(E5995="",E5995="!!!",F5995="NEW"),"",COUNTBLANK(OFFSET(A$1,,,SUMPRODUCT(MAX(ROW(E$2:E5995)*(E5995=E$2:E5995)))))-COUNTBLANK(OFFSET(A$1,,,SUMPRODUCT(MAX(ROW(E$1:E5994)*(E2=E$1:E5994))))))</f>
        <v> </v>
      </c>
      <c r="K5995" s="26" t="str">
        <f>IF(OR(E5995="",E5995="!!!",F5995="NEW"),"",INDEX(J$1:J5994,SUMPRODUCT(MAX(ROW(E$1:E5994)*(E5995=E$1:E5994)))))</f>
        <v> </v>
      </c>
      <c r="L5995" s="27"/>
    </row>
    <row r="5996" spans="1:12">
      <c r="A5996" s="20" t="s">
        <v>1546</v>
      </c>
      <c r="E5996" s="22">
        <f>IF(D5996="?OLD","!!!","")</f>
        <v/>
      </c>
      <c r="F5996" s="23" t="str">
        <f>IF(OR(E5996="",E5996="!!!"),"",IF(NOT(ISNA(VLOOKUP(E5996,E$1:E5995,1,FALSE()))),"OLD",IF(AND(E5996&lt;&gt;"",E5996&lt;&gt;"!!!"),"NEW","")))</f>
        <v> </v>
      </c>
      <c r="G5996" s="24" t="str">
        <f>IF(OR(E5996="",E5996="!!!"),"",IF(OR(J5996=0,AND(J5996=1,K5996=1),AND(J5996=1,I5996="SBJ"),AND(J5996=1,I5996=0)),"?IN_FOCUS",IF(J5996&lt;=2,"?ACTIVATED",IF(J5996&lt;&gt;"","?FAMILIAR",IF(F5996="NEW",IF(ISNA(VLOOKUP(E5996,#REF!,1,FALSE())),"?TYPE_IDENTIFIABLE","?REFERENTIAL"),"_")))))</f>
        <v> </v>
      </c>
      <c r="H5996" s="25" t="str">
        <f>IF(J5996&lt;&gt;1,"",IF(I5996="SBJ","CB","?"))</f>
        <v> </v>
      </c>
      <c r="I5996" s="26" t="str">
        <f>IF(OR(E5996="",E5996="!!!",F5996="NEW"),"",INDEX(B5995:B$2,-1+SUMPRODUCT(MAX(ROW(E5995:E$2)*(E5996=E5995:E$2)))))</f>
        <v> </v>
      </c>
      <c r="J5996" s="26" t="str">
        <f>IF(OR(E5996="",E5996="!!!",F5996="NEW"),"",COUNTBLANK(OFFSET(A$1,,,SUMPRODUCT(MAX(ROW(E$2:E5996)*(E5996=E$2:E5996)))))-COUNTBLANK(OFFSET(A$1,,,SUMPRODUCT(MAX(ROW(E$1:E5995)*(E2=E$1:E5995))))))</f>
        <v> </v>
      </c>
      <c r="K5996" s="26" t="str">
        <f>IF(OR(E5996="",E5996="!!!",F5996="NEW"),"",INDEX(J$1:J5995,SUMPRODUCT(MAX(ROW(E$1:E5995)*(E5996=E$1:E5995)))))</f>
        <v> </v>
      </c>
      <c r="L5996" s="27"/>
    </row>
    <row r="5997" spans="1:12">
      <c r="A5997" s="20" t="s">
        <v>1725</v>
      </c>
      <c r="E5997" s="22">
        <f>IF(D5997="?OLD","!!!","")</f>
        <v/>
      </c>
      <c r="F5997" s="23" t="str">
        <f>IF(OR(E5997="",E5997="!!!"),"",IF(NOT(ISNA(VLOOKUP(E5997,E$1:E5996,1,FALSE()))),"OLD",IF(AND(E5997&lt;&gt;"",E5997&lt;&gt;"!!!"),"NEW","")))</f>
        <v> </v>
      </c>
      <c r="G5997" s="24" t="str">
        <f>IF(OR(E5997="",E5997="!!!"),"",IF(OR(J5997=0,AND(J5997=1,K5997=1),AND(J5997=1,I5997="SBJ"),AND(J5997=1,I5997=0)),"?IN_FOCUS",IF(J5997&lt;=2,"?ACTIVATED",IF(J5997&lt;&gt;"","?FAMILIAR",IF(F5997="NEW",IF(ISNA(VLOOKUP(E5997,#REF!,1,FALSE())),"?TYPE_IDENTIFIABLE","?REFERENTIAL"),"_")))))</f>
        <v> </v>
      </c>
      <c r="H5997" s="25" t="str">
        <f>IF(J5997&lt;&gt;1,"",IF(I5997="SBJ","CB","?"))</f>
        <v> </v>
      </c>
      <c r="I5997" s="26" t="str">
        <f>IF(OR(E5997="",E5997="!!!",F5997="NEW"),"",INDEX(B5996:B$2,-1+SUMPRODUCT(MAX(ROW(E5996:E$2)*(E5997=E5996:E$2)))))</f>
        <v> </v>
      </c>
      <c r="J5997" s="26" t="str">
        <f>IF(OR(E5997="",E5997="!!!",F5997="NEW"),"",COUNTBLANK(OFFSET(A$1,,,SUMPRODUCT(MAX(ROW(E$2:E5997)*(E5997=E$2:E5997)))))-COUNTBLANK(OFFSET(A$1,,,SUMPRODUCT(MAX(ROW(E$1:E5996)*(E2=E$1:E5996))))))</f>
        <v> </v>
      </c>
      <c r="K5997" s="26" t="str">
        <f>IF(OR(E5997="",E5997="!!!",F5997="NEW"),"",INDEX(J$1:J5996,SUMPRODUCT(MAX(ROW(E$1:E5996)*(E5997=E$1:E5996)))))</f>
        <v> </v>
      </c>
      <c r="L5997" s="27"/>
    </row>
    <row r="5998" spans="1:12">
      <c r="A5998" s="20" t="s">
        <v>1022</v>
      </c>
      <c r="E5998" s="22">
        <f>IF(D5998="?OLD","!!!","")</f>
        <v/>
      </c>
      <c r="F5998" s="23" t="str">
        <f>IF(OR(E5998="",E5998="!!!"),"",IF(NOT(ISNA(VLOOKUP(E5998,E$1:E5997,1,FALSE()))),"OLD",IF(AND(E5998&lt;&gt;"",E5998&lt;&gt;"!!!"),"NEW","")))</f>
        <v> </v>
      </c>
      <c r="G5998" s="24" t="str">
        <f>IF(OR(E5998="",E5998="!!!"),"",IF(OR(J5998=0,AND(J5998=1,K5998=1),AND(J5998=1,I5998="SBJ"),AND(J5998=1,I5998=0)),"?IN_FOCUS",IF(J5998&lt;=2,"?ACTIVATED",IF(J5998&lt;&gt;"","?FAMILIAR",IF(F5998="NEW",IF(ISNA(VLOOKUP(E5998,#REF!,1,FALSE())),"?TYPE_IDENTIFIABLE","?REFERENTIAL"),"_")))))</f>
        <v> </v>
      </c>
      <c r="H5998" s="25" t="str">
        <f>IF(J5998&lt;&gt;1,"",IF(I5998="SBJ","CB","?"))</f>
        <v> </v>
      </c>
      <c r="I5998" s="26" t="str">
        <f>IF(OR(E5998="",E5998="!!!",F5998="NEW"),"",INDEX(B5997:B$2,-1+SUMPRODUCT(MAX(ROW(E5997:E$2)*(E5998=E5997:E$2)))))</f>
        <v> </v>
      </c>
      <c r="J5998" s="26" t="str">
        <f>IF(OR(E5998="",E5998="!!!",F5998="NEW"),"",COUNTBLANK(OFFSET(A$1,,,SUMPRODUCT(MAX(ROW(E$2:E5998)*(E5998=E$2:E5998)))))-COUNTBLANK(OFFSET(A$1,,,SUMPRODUCT(MAX(ROW(E$1:E5997)*(E2=E$1:E5997))))))</f>
        <v> </v>
      </c>
      <c r="K5998" s="26" t="str">
        <f>IF(OR(E5998="",E5998="!!!",F5998="NEW"),"",INDEX(J$1:J5997,SUMPRODUCT(MAX(ROW(E$1:E5997)*(E5998=E$1:E5997)))))</f>
        <v> </v>
      </c>
      <c r="L5998" s="27"/>
    </row>
    <row r="5999" spans="1:12">
      <c r="A5999" s="20"/>
    </row>
    <row r="6000" spans="1:12">
      <c r="A6000" s="20" t="s">
        <v>2493</v>
      </c>
    </row>
    <row r="6001" spans="1:12">
      <c r="A6001" s="20" t="s">
        <v>1594</v>
      </c>
      <c r="E6001" s="22">
        <f>IF(D6001="?OLD","!!!","")</f>
        <v/>
      </c>
      <c r="F6001" s="23" t="str">
        <f>IF(OR(E6001="",E6001="!!!"),"",IF(NOT(ISNA(VLOOKUP(E6001,E$1:E6000,1,FALSE()))),"OLD",IF(AND(E6001&lt;&gt;"",E6001&lt;&gt;"!!!"),"NEW","")))</f>
        <v> </v>
      </c>
      <c r="G6001" s="24" t="str">
        <f>IF(OR(E6001="",E6001="!!!"),"",IF(OR(J6001=0,AND(J6001=1,K6001=1),AND(J6001=1,I6001="SBJ"),AND(J6001=1,I6001=0)),"?IN_FOCUS",IF(J6001&lt;=2,"?ACTIVATED",IF(J6001&lt;&gt;"","?FAMILIAR",IF(F6001="NEW",IF(ISNA(VLOOKUP(E6001,#REF!,1,FALSE())),"?TYPE_IDENTIFIABLE","?REFERENTIAL"),"_")))))</f>
        <v> </v>
      </c>
      <c r="H6001" s="25" t="str">
        <f>IF(J6001&lt;&gt;1,"",IF(I6001="SBJ","CB","?"))</f>
        <v> </v>
      </c>
      <c r="I6001" s="26" t="str">
        <f>IF(OR(E6001="",E6001="!!!",F6001="NEW"),"",INDEX(B6000:B$2,-1+SUMPRODUCT(MAX(ROW(E6000:E$2)*(E6001=E6000:E$2)))))</f>
        <v> </v>
      </c>
      <c r="J6001" s="26" t="str">
        <f>IF(OR(E6001="",E6001="!!!",F6001="NEW"),"",COUNTBLANK(OFFSET(A$1,,,SUMPRODUCT(MAX(ROW(E$2:E6001)*(E6001=E$2:E6001)))))-COUNTBLANK(OFFSET(A$1,,,SUMPRODUCT(MAX(ROW(E$1:E6000)*(E2=E$1:E6000))))))</f>
        <v> </v>
      </c>
      <c r="K6001" s="26" t="str">
        <f>IF(OR(E6001="",E6001="!!!",F6001="NEW"),"",INDEX(J$1:J6000,SUMPRODUCT(MAX(ROW(E$1:E6000)*(E6001=E$1:E6000)))))</f>
        <v> </v>
      </c>
      <c r="L6001" s="27"/>
    </row>
    <row r="6002" spans="1:12">
      <c r="A6002" s="20" t="s">
        <v>1002</v>
      </c>
      <c r="E6002" s="22">
        <f>IF(D6002="?OLD","!!!","")</f>
        <v/>
      </c>
      <c r="F6002" s="23" t="str">
        <f>IF(OR(E6002="",E6002="!!!"),"",IF(NOT(ISNA(VLOOKUP(E6002,E$1:E6001,1,FALSE()))),"OLD",IF(AND(E6002&lt;&gt;"",E6002&lt;&gt;"!!!"),"NEW","")))</f>
        <v> </v>
      </c>
      <c r="G6002" s="24" t="str">
        <f>IF(OR(E6002="",E6002="!!!"),"",IF(OR(J6002=0,AND(J6002=1,K6002=1),AND(J6002=1,I6002="SBJ"),AND(J6002=1,I6002=0)),"?IN_FOCUS",IF(J6002&lt;=2,"?ACTIVATED",IF(J6002&lt;&gt;"","?FAMILIAR",IF(F6002="NEW",IF(ISNA(VLOOKUP(E6002,#REF!,1,FALSE())),"?TYPE_IDENTIFIABLE","?REFERENTIAL"),"_")))))</f>
        <v> </v>
      </c>
      <c r="H6002" s="25" t="str">
        <f>IF(J6002&lt;&gt;1,"",IF(I6002="SBJ","CB","?"))</f>
        <v> </v>
      </c>
      <c r="I6002" s="26" t="str">
        <f>IF(OR(E6002="",E6002="!!!",F6002="NEW"),"",INDEX(B6001:B$2,-1+SUMPRODUCT(MAX(ROW(E6001:E$2)*(E6002=E6001:E$2)))))</f>
        <v> </v>
      </c>
      <c r="J6002" s="26" t="str">
        <f>IF(OR(E6002="",E6002="!!!",F6002="NEW"),"",COUNTBLANK(OFFSET(A$1,,,SUMPRODUCT(MAX(ROW(E$2:E6002)*(E6002=E$2:E6002)))))-COUNTBLANK(OFFSET(A$1,,,SUMPRODUCT(MAX(ROW(E$1:E6001)*(E2=E$1:E6001))))))</f>
        <v> </v>
      </c>
      <c r="K6002" s="26" t="str">
        <f>IF(OR(E6002="",E6002="!!!",F6002="NEW"),"",INDEX(J$1:J6001,SUMPRODUCT(MAX(ROW(E$1:E6001)*(E6002=E$1:E6001)))))</f>
        <v> </v>
      </c>
      <c r="L6002" s="27"/>
    </row>
    <row r="6003" spans="1:12">
      <c r="A6003" s="20" t="s">
        <v>1047</v>
      </c>
      <c r="B6003" s="21" t="s">
        <v>976</v>
      </c>
      <c r="C6003" s="21" t="s">
        <v>977</v>
      </c>
      <c r="D6003" s="21" t="s">
        <v>978</v>
      </c>
      <c r="E6003" s="22">
        <f>IF(D6003="?OLD","!!!","")</f>
        <v/>
      </c>
      <c r="F6003" s="23" t="str">
        <f>IF(OR(E6003="",E6003="!!!"),"",IF(NOT(ISNA(VLOOKUP(E6003,E$1:E6002,1,FALSE()))),"OLD",IF(AND(E6003&lt;&gt;"",E6003&lt;&gt;"!!!"),"NEW","")))</f>
        <v> </v>
      </c>
      <c r="G6003" s="24" t="str">
        <f>IF(OR(E6003="",E6003="!!!"),"",IF(OR(J6003=0,AND(J6003=1,K6003=1),AND(J6003=1,I6003="SBJ"),AND(J6003=1,I6003=0)),"?IN_FOCUS",IF(J6003&lt;=2,"?ACTIVATED",IF(J6003&lt;&gt;"","?FAMILIAR",IF(F6003="NEW",IF(ISNA(VLOOKUP(E6003,#REF!,1,FALSE())),"?TYPE_IDENTIFIABLE","?REFERENTIAL"),"_")))))</f>
        <v> </v>
      </c>
      <c r="H6003" s="25" t="str">
        <f>IF(J6003&lt;&gt;1,"",IF(I6003="SBJ","CB","?"))</f>
        <v> </v>
      </c>
      <c r="I6003" s="26" t="str">
        <f>IF(OR(E6003="",E6003="!!!",F6003="NEW"),"",INDEX(B6002:B$2,-1+SUMPRODUCT(MAX(ROW(E6002:E$2)*(E6003=E6002:E$2)))))</f>
        <v> </v>
      </c>
      <c r="J6003" s="26" t="str">
        <f>IF(OR(E6003="",E6003="!!!",F6003="NEW"),"",COUNTBLANK(OFFSET(A$1,,,SUMPRODUCT(MAX(ROW(E$2:E6003)*(E6003=E$2:E6003)))))-COUNTBLANK(OFFSET(A$1,,,SUMPRODUCT(MAX(ROW(E$1:E6002)*(E2=E$1:E6002))))))</f>
        <v> </v>
      </c>
      <c r="K6003" s="26" t="str">
        <f>IF(OR(E6003="",E6003="!!!",F6003="NEW"),"",INDEX(J$1:J6002,SUMPRODUCT(MAX(ROW(E$1:E6002)*(E6003=E$1:E6002)))))</f>
        <v> </v>
      </c>
      <c r="L6003" s="27"/>
    </row>
    <row r="6004" spans="1:12">
      <c r="A6004" s="20" t="s">
        <v>1011</v>
      </c>
      <c r="B6004" s="21" t="s">
        <v>982</v>
      </c>
      <c r="C6004" s="21" t="s">
        <v>977</v>
      </c>
      <c r="D6004" s="21" t="s">
        <v>978</v>
      </c>
      <c r="E6004" s="22">
        <f>IF(D6004="?OLD","!!!","")</f>
        <v/>
      </c>
      <c r="F6004" s="23" t="str">
        <f>IF(OR(E6004="",E6004="!!!"),"",IF(NOT(ISNA(VLOOKUP(E6004,E$1:E6003,1,FALSE()))),"OLD",IF(AND(E6004&lt;&gt;"",E6004&lt;&gt;"!!!"),"NEW","")))</f>
        <v> </v>
      </c>
      <c r="G6004" s="24" t="str">
        <f>IF(OR(E6004="",E6004="!!!"),"",IF(OR(J6004=0,AND(J6004=1,K6004=1),AND(J6004=1,I6004="SBJ"),AND(J6004=1,I6004=0)),"?IN_FOCUS",IF(J6004&lt;=2,"?ACTIVATED",IF(J6004&lt;&gt;"","?FAMILIAR",IF(F6004="NEW",IF(ISNA(VLOOKUP(E6004,#REF!,1,FALSE())),"?TYPE_IDENTIFIABLE","?REFERENTIAL"),"_")))))</f>
        <v> </v>
      </c>
      <c r="H6004" s="25" t="str">
        <f>IF(J6004&lt;&gt;1,"",IF(I6004="SBJ","CB","?"))</f>
        <v> </v>
      </c>
      <c r="I6004" s="26" t="str">
        <f>IF(OR(E6004="",E6004="!!!",F6004="NEW"),"",INDEX(B6003:B$2,-1+SUMPRODUCT(MAX(ROW(E6003:E$2)*(E6004=E6003:E$2)))))</f>
        <v> </v>
      </c>
      <c r="J6004" s="26" t="str">
        <f>IF(OR(E6004="",E6004="!!!",F6004="NEW"),"",COUNTBLANK(OFFSET(A$1,,,SUMPRODUCT(MAX(ROW(E$2:E6004)*(E6004=E$2:E6004)))))-COUNTBLANK(OFFSET(A$1,,,SUMPRODUCT(MAX(ROW(E$1:E6003)*(E2=E$1:E6003))))))</f>
        <v> </v>
      </c>
      <c r="K6004" s="26" t="str">
        <f>IF(OR(E6004="",E6004="!!!",F6004="NEW"),"",INDEX(J$1:J6003,SUMPRODUCT(MAX(ROW(E$1:E6003)*(E6004=E$1:E6003)))))</f>
        <v> </v>
      </c>
      <c r="L6004" s="27"/>
    </row>
    <row r="6005" spans="1:12">
      <c r="A6005" s="20" t="s">
        <v>1164</v>
      </c>
      <c r="E6005" s="22">
        <f>IF(D6005="?OLD","!!!","")</f>
        <v/>
      </c>
      <c r="F6005" s="23" t="str">
        <f>IF(OR(E6005="",E6005="!!!"),"",IF(NOT(ISNA(VLOOKUP(E6005,E$1:E6004,1,FALSE()))),"OLD",IF(AND(E6005&lt;&gt;"",E6005&lt;&gt;"!!!"),"NEW","")))</f>
        <v> </v>
      </c>
      <c r="G6005" s="24" t="str">
        <f>IF(OR(E6005="",E6005="!!!"),"",IF(OR(J6005=0,AND(J6005=1,K6005=1),AND(J6005=1,I6005="SBJ"),AND(J6005=1,I6005=0)),"?IN_FOCUS",IF(J6005&lt;=2,"?ACTIVATED",IF(J6005&lt;&gt;"","?FAMILIAR",IF(F6005="NEW",IF(ISNA(VLOOKUP(E6005,#REF!,1,FALSE())),"?TYPE_IDENTIFIABLE","?REFERENTIAL"),"_")))))</f>
        <v> </v>
      </c>
      <c r="H6005" s="25" t="str">
        <f>IF(J6005&lt;&gt;1,"",IF(I6005="SBJ","CB","?"))</f>
        <v> </v>
      </c>
      <c r="I6005" s="26" t="str">
        <f>IF(OR(E6005="",E6005="!!!",F6005="NEW"),"",INDEX(B6004:B$2,-1+SUMPRODUCT(MAX(ROW(E6004:E$2)*(E6005=E6004:E$2)))))</f>
        <v> </v>
      </c>
      <c r="J6005" s="26" t="str">
        <f>IF(OR(E6005="",E6005="!!!",F6005="NEW"),"",COUNTBLANK(OFFSET(A$1,,,SUMPRODUCT(MAX(ROW(E$2:E6005)*(E6005=E$2:E6005)))))-COUNTBLANK(OFFSET(A$1,,,SUMPRODUCT(MAX(ROW(E$1:E6004)*(E2=E$1:E6004))))))</f>
        <v> </v>
      </c>
      <c r="K6005" s="26" t="str">
        <f>IF(OR(E6005="",E6005="!!!",F6005="NEW"),"",INDEX(J$1:J6004,SUMPRODUCT(MAX(ROW(E$1:E6004)*(E6005=E$1:E6004)))))</f>
        <v> </v>
      </c>
      <c r="L6005" s="27"/>
    </row>
    <row r="6006" spans="1:12">
      <c r="A6006" s="20" t="s">
        <v>1804</v>
      </c>
      <c r="E6006" s="22">
        <f>IF(D6006="?OLD","!!!","")</f>
        <v/>
      </c>
      <c r="F6006" s="23" t="str">
        <f>IF(OR(E6006="",E6006="!!!"),"",IF(NOT(ISNA(VLOOKUP(E6006,E$1:E6005,1,FALSE()))),"OLD",IF(AND(E6006&lt;&gt;"",E6006&lt;&gt;"!!!"),"NEW","")))</f>
        <v> </v>
      </c>
      <c r="G6006" s="24" t="str">
        <f>IF(OR(E6006="",E6006="!!!"),"",IF(OR(J6006=0,AND(J6006=1,K6006=1),AND(J6006=1,I6006="SBJ"),AND(J6006=1,I6006=0)),"?IN_FOCUS",IF(J6006&lt;=2,"?ACTIVATED",IF(J6006&lt;&gt;"","?FAMILIAR",IF(F6006="NEW",IF(ISNA(VLOOKUP(E6006,#REF!,1,FALSE())),"?TYPE_IDENTIFIABLE","?REFERENTIAL"),"_")))))</f>
        <v> </v>
      </c>
      <c r="H6006" s="25" t="str">
        <f>IF(J6006&lt;&gt;1,"",IF(I6006="SBJ","CB","?"))</f>
        <v> </v>
      </c>
      <c r="I6006" s="26" t="str">
        <f>IF(OR(E6006="",E6006="!!!",F6006="NEW"),"",INDEX(B6005:B$2,-1+SUMPRODUCT(MAX(ROW(E6005:E$2)*(E6006=E6005:E$2)))))</f>
        <v> </v>
      </c>
      <c r="J6006" s="26" t="str">
        <f>IF(OR(E6006="",E6006="!!!",F6006="NEW"),"",COUNTBLANK(OFFSET(A$1,,,SUMPRODUCT(MAX(ROW(E$2:E6006)*(E6006=E$2:E6006)))))-COUNTBLANK(OFFSET(A$1,,,SUMPRODUCT(MAX(ROW(E$1:E6005)*(E2=E$1:E6005))))))</f>
        <v> </v>
      </c>
      <c r="K6006" s="26" t="str">
        <f>IF(OR(E6006="",E6006="!!!",F6006="NEW"),"",INDEX(J$1:J6005,SUMPRODUCT(MAX(ROW(E$1:E6005)*(E6006=E$1:E6005)))))</f>
        <v> </v>
      </c>
      <c r="L6006" s="27"/>
    </row>
    <row r="6007" spans="1:12">
      <c r="A6007" s="20" t="s">
        <v>1002</v>
      </c>
      <c r="E6007" s="22">
        <f>IF(D6007="?OLD","!!!","")</f>
        <v/>
      </c>
      <c r="F6007" s="23" t="str">
        <f>IF(OR(E6007="",E6007="!!!"),"",IF(NOT(ISNA(VLOOKUP(E6007,E$1:E6006,1,FALSE()))),"OLD",IF(AND(E6007&lt;&gt;"",E6007&lt;&gt;"!!!"),"NEW","")))</f>
        <v> </v>
      </c>
      <c r="G6007" s="24" t="str">
        <f>IF(OR(E6007="",E6007="!!!"),"",IF(OR(J6007=0,AND(J6007=1,K6007=1),AND(J6007=1,I6007="SBJ"),AND(J6007=1,I6007=0)),"?IN_FOCUS",IF(J6007&lt;=2,"?ACTIVATED",IF(J6007&lt;&gt;"","?FAMILIAR",IF(F6007="NEW",IF(ISNA(VLOOKUP(E6007,#REF!,1,FALSE())),"?TYPE_IDENTIFIABLE","?REFERENTIAL"),"_")))))</f>
        <v> </v>
      </c>
      <c r="H6007" s="25" t="str">
        <f>IF(J6007&lt;&gt;1,"",IF(I6007="SBJ","CB","?"))</f>
        <v> </v>
      </c>
      <c r="I6007" s="26" t="str">
        <f>IF(OR(E6007="",E6007="!!!",F6007="NEW"),"",INDEX(B6006:B$2,-1+SUMPRODUCT(MAX(ROW(E6006:E$2)*(E6007=E6006:E$2)))))</f>
        <v> </v>
      </c>
      <c r="J6007" s="26" t="str">
        <f>IF(OR(E6007="",E6007="!!!",F6007="NEW"),"",COUNTBLANK(OFFSET(A$1,,,SUMPRODUCT(MAX(ROW(E$2:E6007)*(E6007=E$2:E6007)))))-COUNTBLANK(OFFSET(A$1,,,SUMPRODUCT(MAX(ROW(E$1:E6006)*(E2=E$1:E6006))))))</f>
        <v> </v>
      </c>
      <c r="K6007" s="26" t="str">
        <f>IF(OR(E6007="",E6007="!!!",F6007="NEW"),"",INDEX(J$1:J6006,SUMPRODUCT(MAX(ROW(E$1:E6006)*(E6007=E$1:E6006)))))</f>
        <v> </v>
      </c>
      <c r="L6007" s="27"/>
    </row>
    <row r="6008" spans="1:12">
      <c r="A6008" s="20" t="s">
        <v>2494</v>
      </c>
      <c r="B6008" s="21" t="s">
        <v>1095</v>
      </c>
      <c r="C6008" s="21" t="s">
        <v>1020</v>
      </c>
      <c r="D6008" s="21" t="s">
        <v>978</v>
      </c>
      <c r="E6008" s="22">
        <f>IF(D6008="?OLD","!!!","")</f>
        <v/>
      </c>
      <c r="F6008" s="23" t="str">
        <f>IF(OR(E6008="",E6008="!!!"),"",IF(NOT(ISNA(VLOOKUP(E6008,E$1:E6007,1,FALSE()))),"OLD",IF(AND(E6008&lt;&gt;"",E6008&lt;&gt;"!!!"),"NEW","")))</f>
        <v> </v>
      </c>
      <c r="G6008" s="24" t="str">
        <f>IF(OR(E6008="",E6008="!!!"),"",IF(OR(J6008=0,AND(J6008=1,K6008=1),AND(J6008=1,I6008="SBJ"),AND(J6008=1,I6008=0)),"?IN_FOCUS",IF(J6008&lt;=2,"?ACTIVATED",IF(J6008&lt;&gt;"","?FAMILIAR",IF(F6008="NEW",IF(ISNA(VLOOKUP(E6008,#REF!,1,FALSE())),"?TYPE_IDENTIFIABLE","?REFERENTIAL"),"_")))))</f>
        <v> </v>
      </c>
      <c r="H6008" s="25" t="str">
        <f>IF(J6008&lt;&gt;1,"",IF(I6008="SBJ","CB","?"))</f>
        <v> </v>
      </c>
      <c r="I6008" s="26" t="str">
        <f>IF(OR(E6008="",E6008="!!!",F6008="NEW"),"",INDEX(B6007:B$2,-1+SUMPRODUCT(MAX(ROW(E6007:E$2)*(E6008=E6007:E$2)))))</f>
        <v> </v>
      </c>
      <c r="J6008" s="26" t="str">
        <f>IF(OR(E6008="",E6008="!!!",F6008="NEW"),"",COUNTBLANK(OFFSET(A$1,,,SUMPRODUCT(MAX(ROW(E$2:E6008)*(E6008=E$2:E6008)))))-COUNTBLANK(OFFSET(A$1,,,SUMPRODUCT(MAX(ROW(E$1:E6007)*(E2=E$1:E6007))))))</f>
        <v> </v>
      </c>
      <c r="K6008" s="26" t="str">
        <f>IF(OR(E6008="",E6008="!!!",F6008="NEW"),"",INDEX(J$1:J6007,SUMPRODUCT(MAX(ROW(E$1:E6007)*(E6008=E$1:E6007)))))</f>
        <v> </v>
      </c>
      <c r="L6008" s="27"/>
    </row>
    <row r="6009" spans="1:12">
      <c r="A6009" s="20" t="s">
        <v>1018</v>
      </c>
      <c r="B6009" s="21" t="s">
        <v>1054</v>
      </c>
      <c r="C6009" s="21" t="s">
        <v>1020</v>
      </c>
      <c r="D6009" s="21" t="s">
        <v>978</v>
      </c>
      <c r="E6009" s="22">
        <f>IF(D6009="?OLD","!!!","")</f>
        <v/>
      </c>
      <c r="F6009" s="23" t="str">
        <f>IF(OR(E6009="",E6009="!!!"),"",IF(NOT(ISNA(VLOOKUP(E6009,E$1:E6008,1,FALSE()))),"OLD",IF(AND(E6009&lt;&gt;"",E6009&lt;&gt;"!!!"),"NEW","")))</f>
        <v> </v>
      </c>
      <c r="G6009" s="24" t="str">
        <f>IF(OR(E6009="",E6009="!!!"),"",IF(OR(J6009=0,AND(J6009=1,K6009=1),AND(J6009=1,I6009="SBJ"),AND(J6009=1,I6009=0)),"?IN_FOCUS",IF(J6009&lt;=2,"?ACTIVATED",IF(J6009&lt;&gt;"","?FAMILIAR",IF(F6009="NEW",IF(ISNA(VLOOKUP(E6009,#REF!,1,FALSE())),"?TYPE_IDENTIFIABLE","?REFERENTIAL"),"_")))))</f>
        <v> </v>
      </c>
      <c r="H6009" s="25" t="str">
        <f>IF(J6009&lt;&gt;1,"",IF(I6009="SBJ","CB","?"))</f>
        <v> </v>
      </c>
      <c r="I6009" s="26" t="str">
        <f>IF(OR(E6009="",E6009="!!!",F6009="NEW"),"",INDEX(B6008:B$2,-1+SUMPRODUCT(MAX(ROW(E6008:E$2)*(E6009=E6008:E$2)))))</f>
        <v> </v>
      </c>
      <c r="J6009" s="26" t="str">
        <f>IF(OR(E6009="",E6009="!!!",F6009="NEW"),"",COUNTBLANK(OFFSET(A$1,,,SUMPRODUCT(MAX(ROW(E$2:E6009)*(E6009=E$2:E6009)))))-COUNTBLANK(OFFSET(A$1,,,SUMPRODUCT(MAX(ROW(E$1:E6008)*(E2=E$1:E6008))))))</f>
        <v> </v>
      </c>
      <c r="K6009" s="26" t="str">
        <f>IF(OR(E6009="",E6009="!!!",F6009="NEW"),"",INDEX(J$1:J6008,SUMPRODUCT(MAX(ROW(E$1:E6008)*(E6009=E$1:E6008)))))</f>
        <v> </v>
      </c>
      <c r="L6009" s="27"/>
    </row>
    <row r="6010" spans="1:12">
      <c r="A6010" s="20" t="s">
        <v>1067</v>
      </c>
      <c r="E6010" s="22">
        <f>IF(D6010="?OLD","!!!","")</f>
        <v/>
      </c>
      <c r="F6010" s="23" t="str">
        <f>IF(OR(E6010="",E6010="!!!"),"",IF(NOT(ISNA(VLOOKUP(E6010,E$1:E6009,1,FALSE()))),"OLD",IF(AND(E6010&lt;&gt;"",E6010&lt;&gt;"!!!"),"NEW","")))</f>
        <v> </v>
      </c>
      <c r="G6010" s="24" t="str">
        <f>IF(OR(E6010="",E6010="!!!"),"",IF(OR(J6010=0,AND(J6010=1,K6010=1),AND(J6010=1,I6010="SBJ"),AND(J6010=1,I6010=0)),"?IN_FOCUS",IF(J6010&lt;=2,"?ACTIVATED",IF(J6010&lt;&gt;"","?FAMILIAR",IF(F6010="NEW",IF(ISNA(VLOOKUP(E6010,#REF!,1,FALSE())),"?TYPE_IDENTIFIABLE","?REFERENTIAL"),"_")))))</f>
        <v> </v>
      </c>
      <c r="H6010" s="25" t="str">
        <f>IF(J6010&lt;&gt;1,"",IF(I6010="SBJ","CB","?"))</f>
        <v> </v>
      </c>
      <c r="I6010" s="26" t="str">
        <f>IF(OR(E6010="",E6010="!!!",F6010="NEW"),"",INDEX(B6009:B$2,-1+SUMPRODUCT(MAX(ROW(E6009:E$2)*(E6010=E6009:E$2)))))</f>
        <v> </v>
      </c>
      <c r="J6010" s="26" t="str">
        <f>IF(OR(E6010="",E6010="!!!",F6010="NEW"),"",COUNTBLANK(OFFSET(A$1,,,SUMPRODUCT(MAX(ROW(E$2:E6010)*(E6010=E$2:E6010)))))-COUNTBLANK(OFFSET(A$1,,,SUMPRODUCT(MAX(ROW(E$1:E6009)*(E2=E$1:E6009))))))</f>
        <v> </v>
      </c>
      <c r="K6010" s="26" t="str">
        <f>IF(OR(E6010="",E6010="!!!",F6010="NEW"),"",INDEX(J$1:J6009,SUMPRODUCT(MAX(ROW(E$1:E6009)*(E6010=E$1:E6009)))))</f>
        <v> </v>
      </c>
      <c r="L6010" s="27"/>
    </row>
    <row r="6011" spans="1:12">
      <c r="A6011" s="20" t="s">
        <v>1092</v>
      </c>
      <c r="E6011" s="22">
        <f>IF(D6011="?OLD","!!!","")</f>
        <v/>
      </c>
      <c r="F6011" s="23" t="str">
        <f>IF(OR(E6011="",E6011="!!!"),"",IF(NOT(ISNA(VLOOKUP(E6011,E$1:E6010,1,FALSE()))),"OLD",IF(AND(E6011&lt;&gt;"",E6011&lt;&gt;"!!!"),"NEW","")))</f>
        <v> </v>
      </c>
      <c r="G6011" s="24" t="str">
        <f>IF(OR(E6011="",E6011="!!!"),"",IF(OR(J6011=0,AND(J6011=1,K6011=1),AND(J6011=1,I6011="SBJ"),AND(J6011=1,I6011=0)),"?IN_FOCUS",IF(J6011&lt;=2,"?ACTIVATED",IF(J6011&lt;&gt;"","?FAMILIAR",IF(F6011="NEW",IF(ISNA(VLOOKUP(E6011,#REF!,1,FALSE())),"?TYPE_IDENTIFIABLE","?REFERENTIAL"),"_")))))</f>
        <v> </v>
      </c>
      <c r="H6011" s="25" t="str">
        <f>IF(J6011&lt;&gt;1,"",IF(I6011="SBJ","CB","?"))</f>
        <v> </v>
      </c>
      <c r="I6011" s="26" t="str">
        <f>IF(OR(E6011="",E6011="!!!",F6011="NEW"),"",INDEX(B6010:B$2,-1+SUMPRODUCT(MAX(ROW(E6010:E$2)*(E6011=E6010:E$2)))))</f>
        <v> </v>
      </c>
      <c r="J6011" s="26" t="str">
        <f>IF(OR(E6011="",E6011="!!!",F6011="NEW"),"",COUNTBLANK(OFFSET(A$1,,,SUMPRODUCT(MAX(ROW(E$2:E6011)*(E6011=E$2:E6011)))))-COUNTBLANK(OFFSET(A$1,,,SUMPRODUCT(MAX(ROW(E$1:E6010)*(E2=E$1:E6010))))))</f>
        <v> </v>
      </c>
      <c r="K6011" s="26" t="str">
        <f>IF(OR(E6011="",E6011="!!!",F6011="NEW"),"",INDEX(J$1:J6010,SUMPRODUCT(MAX(ROW(E$1:E6010)*(E6011=E$1:E6010)))))</f>
        <v> </v>
      </c>
      <c r="L6011" s="27"/>
    </row>
    <row r="6012" spans="1:12">
      <c r="A6012" s="20" t="s">
        <v>2495</v>
      </c>
      <c r="B6012" s="21" t="s">
        <v>989</v>
      </c>
      <c r="C6012" s="21" t="s">
        <v>995</v>
      </c>
      <c r="D6012" s="21" t="s">
        <v>978</v>
      </c>
      <c r="E6012" s="22">
        <f>IF(D6012="?OLD","!!!","")</f>
        <v/>
      </c>
      <c r="F6012" s="23" t="str">
        <f>IF(OR(E6012="",E6012="!!!"),"",IF(NOT(ISNA(VLOOKUP(E6012,E$1:E6011,1,FALSE()))),"OLD",IF(AND(E6012&lt;&gt;"",E6012&lt;&gt;"!!!"),"NEW","")))</f>
        <v> </v>
      </c>
      <c r="G6012" s="24" t="str">
        <f>IF(OR(E6012="",E6012="!!!"),"",IF(OR(J6012=0,AND(J6012=1,K6012=1),AND(J6012=1,I6012="SBJ"),AND(J6012=1,I6012=0)),"?IN_FOCUS",IF(J6012&lt;=2,"?ACTIVATED",IF(J6012&lt;&gt;"","?FAMILIAR",IF(F6012="NEW",IF(ISNA(VLOOKUP(E6012,#REF!,1,FALSE())),"?TYPE_IDENTIFIABLE","?REFERENTIAL"),"_")))))</f>
        <v> </v>
      </c>
      <c r="H6012" s="25" t="str">
        <f>IF(J6012&lt;&gt;1,"",IF(I6012="SBJ","CB","?"))</f>
        <v> </v>
      </c>
      <c r="I6012" s="26" t="str">
        <f>IF(OR(E6012="",E6012="!!!",F6012="NEW"),"",INDEX(B6011:B$2,-1+SUMPRODUCT(MAX(ROW(E6011:E$2)*(E6012=E6011:E$2)))))</f>
        <v> </v>
      </c>
      <c r="J6012" s="26" t="str">
        <f>IF(OR(E6012="",E6012="!!!",F6012="NEW"),"",COUNTBLANK(OFFSET(A$1,,,SUMPRODUCT(MAX(ROW(E$2:E6012)*(E6012=E$2:E6012)))))-COUNTBLANK(OFFSET(A$1,,,SUMPRODUCT(MAX(ROW(E$1:E6011)*(E2=E$1:E6011))))))</f>
        <v> </v>
      </c>
      <c r="K6012" s="26" t="str">
        <f>IF(OR(E6012="",E6012="!!!",F6012="NEW"),"",INDEX(J$1:J6011,SUMPRODUCT(MAX(ROW(E$1:E6011)*(E6012=E$1:E6011)))))</f>
        <v> </v>
      </c>
      <c r="L6012" s="27"/>
    </row>
    <row r="6013" spans="1:12">
      <c r="A6013" s="20" t="s">
        <v>1404</v>
      </c>
      <c r="E6013" s="22">
        <f>IF(D6013="?OLD","!!!","")</f>
        <v/>
      </c>
      <c r="F6013" s="23" t="str">
        <f>IF(OR(E6013="",E6013="!!!"),"",IF(NOT(ISNA(VLOOKUP(E6013,E$1:E6012,1,FALSE()))),"OLD",IF(AND(E6013&lt;&gt;"",E6013&lt;&gt;"!!!"),"NEW","")))</f>
        <v> </v>
      </c>
      <c r="G6013" s="24" t="str">
        <f>IF(OR(E6013="",E6013="!!!"),"",IF(OR(J6013=0,AND(J6013=1,K6013=1),AND(J6013=1,I6013="SBJ"),AND(J6013=1,I6013=0)),"?IN_FOCUS",IF(J6013&lt;=2,"?ACTIVATED",IF(J6013&lt;&gt;"","?FAMILIAR",IF(F6013="NEW",IF(ISNA(VLOOKUP(E6013,#REF!,1,FALSE())),"?TYPE_IDENTIFIABLE","?REFERENTIAL"),"_")))))</f>
        <v> </v>
      </c>
      <c r="H6013" s="25" t="str">
        <f>IF(J6013&lt;&gt;1,"",IF(I6013="SBJ","CB","?"))</f>
        <v> </v>
      </c>
      <c r="I6013" s="26" t="str">
        <f>IF(OR(E6013="",E6013="!!!",F6013="NEW"),"",INDEX(B6012:B$2,-1+SUMPRODUCT(MAX(ROW(E6012:E$2)*(E6013=E6012:E$2)))))</f>
        <v> </v>
      </c>
      <c r="J6013" s="26" t="str">
        <f>IF(OR(E6013="",E6013="!!!",F6013="NEW"),"",COUNTBLANK(OFFSET(A$1,,,SUMPRODUCT(MAX(ROW(E$2:E6013)*(E6013=E$2:E6013)))))-COUNTBLANK(OFFSET(A$1,,,SUMPRODUCT(MAX(ROW(E$1:E6012)*(E2=E$1:E6012))))))</f>
        <v> </v>
      </c>
      <c r="K6013" s="26" t="str">
        <f>IF(OR(E6013="",E6013="!!!",F6013="NEW"),"",INDEX(J$1:J6012,SUMPRODUCT(MAX(ROW(E$1:E6012)*(E6013=E$1:E6012)))))</f>
        <v> </v>
      </c>
      <c r="L6013" s="27"/>
    </row>
    <row r="6014" spans="1:12">
      <c r="A6014" s="20"/>
    </row>
    <row r="6015" spans="1:12">
      <c r="A6015" s="20" t="s">
        <v>2496</v>
      </c>
    </row>
    <row r="6016" spans="1:12">
      <c r="A6016" s="20" t="s">
        <v>2497</v>
      </c>
      <c r="E6016" s="22">
        <f>IF(D6016="?OLD","!!!","")</f>
        <v/>
      </c>
      <c r="F6016" s="23" t="str">
        <f>IF(OR(E6016="",E6016="!!!"),"",IF(NOT(ISNA(VLOOKUP(E6016,E$1:E6015,1,FALSE()))),"OLD",IF(AND(E6016&lt;&gt;"",E6016&lt;&gt;"!!!"),"NEW","")))</f>
        <v> </v>
      </c>
      <c r="G6016" s="24" t="str">
        <f>IF(OR(E6016="",E6016="!!!"),"",IF(OR(J6016=0,AND(J6016=1,K6016=1),AND(J6016=1,I6016="SBJ"),AND(J6016=1,I6016=0)),"?IN_FOCUS",IF(J6016&lt;=2,"?ACTIVATED",IF(J6016&lt;&gt;"","?FAMILIAR",IF(F6016="NEW",IF(ISNA(VLOOKUP(E6016,#REF!,1,FALSE())),"?TYPE_IDENTIFIABLE","?REFERENTIAL"),"_")))))</f>
        <v> </v>
      </c>
      <c r="H6016" s="25" t="str">
        <f>IF(J6016&lt;&gt;1,"",IF(I6016="SBJ","CB","?"))</f>
        <v> </v>
      </c>
      <c r="I6016" s="26" t="str">
        <f>IF(OR(E6016="",E6016="!!!",F6016="NEW"),"",INDEX(B6015:B$2,-1+SUMPRODUCT(MAX(ROW(E6015:E$2)*(E6016=E6015:E$2)))))</f>
        <v> </v>
      </c>
      <c r="J6016" s="26" t="str">
        <f>IF(OR(E6016="",E6016="!!!",F6016="NEW"),"",COUNTBLANK(OFFSET(A$1,,,SUMPRODUCT(MAX(ROW(E$2:E6016)*(E6016=E$2:E6016)))))-COUNTBLANK(OFFSET(A$1,,,SUMPRODUCT(MAX(ROW(E$1:E6015)*(E2=E$1:E6015))))))</f>
        <v> </v>
      </c>
      <c r="K6016" s="26" t="str">
        <f>IF(OR(E6016="",E6016="!!!",F6016="NEW"),"",INDEX(J$1:J6015,SUMPRODUCT(MAX(ROW(E$1:E6015)*(E6016=E$1:E6015)))))</f>
        <v> </v>
      </c>
      <c r="L6016" s="27"/>
    </row>
    <row r="6017" spans="1:12">
      <c r="A6017" s="20" t="s">
        <v>1017</v>
      </c>
      <c r="E6017" s="22">
        <f>IF(D6017="?OLD","!!!","")</f>
        <v/>
      </c>
      <c r="F6017" s="23" t="str">
        <f>IF(OR(E6017="",E6017="!!!"),"",IF(NOT(ISNA(VLOOKUP(E6017,E$1:E6016,1,FALSE()))),"OLD",IF(AND(E6017&lt;&gt;"",E6017&lt;&gt;"!!!"),"NEW","")))</f>
        <v> </v>
      </c>
      <c r="G6017" s="24" t="str">
        <f>IF(OR(E6017="",E6017="!!!"),"",IF(OR(J6017=0,AND(J6017=1,K6017=1),AND(J6017=1,I6017="SBJ"),AND(J6017=1,I6017=0)),"?IN_FOCUS",IF(J6017&lt;=2,"?ACTIVATED",IF(J6017&lt;&gt;"","?FAMILIAR",IF(F6017="NEW",IF(ISNA(VLOOKUP(E6017,#REF!,1,FALSE())),"?TYPE_IDENTIFIABLE","?REFERENTIAL"),"_")))))</f>
        <v> </v>
      </c>
      <c r="H6017" s="25" t="str">
        <f>IF(J6017&lt;&gt;1,"",IF(I6017="SBJ","CB","?"))</f>
        <v> </v>
      </c>
      <c r="I6017" s="26" t="str">
        <f>IF(OR(E6017="",E6017="!!!",F6017="NEW"),"",INDEX(B6016:B$2,-1+SUMPRODUCT(MAX(ROW(E6016:E$2)*(E6017=E6016:E$2)))))</f>
        <v> </v>
      </c>
      <c r="J6017" s="26" t="str">
        <f>IF(OR(E6017="",E6017="!!!",F6017="NEW"),"",COUNTBLANK(OFFSET(A$1,,,SUMPRODUCT(MAX(ROW(E$2:E6017)*(E6017=E$2:E6017)))))-COUNTBLANK(OFFSET(A$1,,,SUMPRODUCT(MAX(ROW(E$1:E6016)*(E2=E$1:E6016))))))</f>
        <v> </v>
      </c>
      <c r="K6017" s="26" t="str">
        <f>IF(OR(E6017="",E6017="!!!",F6017="NEW"),"",INDEX(J$1:J6016,SUMPRODUCT(MAX(ROW(E$1:E6016)*(E6017=E$1:E6016)))))</f>
        <v> </v>
      </c>
      <c r="L6017" s="27"/>
    </row>
    <row r="6018" spans="1:12">
      <c r="A6018" s="20" t="s">
        <v>1018</v>
      </c>
      <c r="B6018" s="21" t="s">
        <v>982</v>
      </c>
      <c r="C6018" s="21" t="s">
        <v>1020</v>
      </c>
      <c r="D6018" s="21" t="s">
        <v>978</v>
      </c>
      <c r="E6018" s="22">
        <f>IF(D6018="?OLD","!!!","")</f>
        <v/>
      </c>
      <c r="F6018" s="23" t="str">
        <f>IF(OR(E6018="",E6018="!!!"),"",IF(NOT(ISNA(VLOOKUP(E6018,E$1:E6017,1,FALSE()))),"OLD",IF(AND(E6018&lt;&gt;"",E6018&lt;&gt;"!!!"),"NEW","")))</f>
        <v> </v>
      </c>
      <c r="G6018" s="24" t="str">
        <f>IF(OR(E6018="",E6018="!!!"),"",IF(OR(J6018=0,AND(J6018=1,K6018=1),AND(J6018=1,I6018="SBJ"),AND(J6018=1,I6018=0)),"?IN_FOCUS",IF(J6018&lt;=2,"?ACTIVATED",IF(J6018&lt;&gt;"","?FAMILIAR",IF(F6018="NEW",IF(ISNA(VLOOKUP(E6018,#REF!,1,FALSE())),"?TYPE_IDENTIFIABLE","?REFERENTIAL"),"_")))))</f>
        <v> </v>
      </c>
      <c r="H6018" s="25" t="str">
        <f>IF(J6018&lt;&gt;1,"",IF(I6018="SBJ","CB","?"))</f>
        <v> </v>
      </c>
      <c r="I6018" s="26" t="str">
        <f>IF(OR(E6018="",E6018="!!!",F6018="NEW"),"",INDEX(B6017:B$2,-1+SUMPRODUCT(MAX(ROW(E6017:E$2)*(E6018=E6017:E$2)))))</f>
        <v> </v>
      </c>
      <c r="J6018" s="26" t="str">
        <f>IF(OR(E6018="",E6018="!!!",F6018="NEW"),"",COUNTBLANK(OFFSET(A$1,,,SUMPRODUCT(MAX(ROW(E$2:E6018)*(E6018=E$2:E6018)))))-COUNTBLANK(OFFSET(A$1,,,SUMPRODUCT(MAX(ROW(E$1:E6017)*(E2=E$1:E6017))))))</f>
        <v> </v>
      </c>
      <c r="K6018" s="26" t="str">
        <f>IF(OR(E6018="",E6018="!!!",F6018="NEW"),"",INDEX(J$1:J6017,SUMPRODUCT(MAX(ROW(E$1:E6017)*(E6018=E$1:E6017)))))</f>
        <v> </v>
      </c>
      <c r="L6018" s="27"/>
    </row>
    <row r="6019" spans="1:12">
      <c r="A6019" s="20" t="s">
        <v>2498</v>
      </c>
      <c r="E6019" s="22">
        <f>IF(D6019="?OLD","!!!","")</f>
        <v/>
      </c>
      <c r="F6019" s="23" t="str">
        <f>IF(OR(E6019="",E6019="!!!"),"",IF(NOT(ISNA(VLOOKUP(E6019,E$1:E6018,1,FALSE()))),"OLD",IF(AND(E6019&lt;&gt;"",E6019&lt;&gt;"!!!"),"NEW","")))</f>
        <v> </v>
      </c>
      <c r="G6019" s="24" t="str">
        <f>IF(OR(E6019="",E6019="!!!"),"",IF(OR(J6019=0,AND(J6019=1,K6019=1),AND(J6019=1,I6019="SBJ"),AND(J6019=1,I6019=0)),"?IN_FOCUS",IF(J6019&lt;=2,"?ACTIVATED",IF(J6019&lt;&gt;"","?FAMILIAR",IF(F6019="NEW",IF(ISNA(VLOOKUP(E6019,#REF!,1,FALSE())),"?TYPE_IDENTIFIABLE","?REFERENTIAL"),"_")))))</f>
        <v> </v>
      </c>
      <c r="H6019" s="25" t="str">
        <f>IF(J6019&lt;&gt;1,"",IF(I6019="SBJ","CB","?"))</f>
        <v> </v>
      </c>
      <c r="I6019" s="26" t="str">
        <f>IF(OR(E6019="",E6019="!!!",F6019="NEW"),"",INDEX(B6018:B$2,-1+SUMPRODUCT(MAX(ROW(E6018:E$2)*(E6019=E6018:E$2)))))</f>
        <v> </v>
      </c>
      <c r="J6019" s="26" t="str">
        <f>IF(OR(E6019="",E6019="!!!",F6019="NEW"),"",COUNTBLANK(OFFSET(A$1,,,SUMPRODUCT(MAX(ROW(E$2:E6019)*(E6019=E$2:E6019)))))-COUNTBLANK(OFFSET(A$1,,,SUMPRODUCT(MAX(ROW(E$1:E6018)*(E2=E$1:E6018))))))</f>
        <v> </v>
      </c>
      <c r="K6019" s="26" t="str">
        <f>IF(OR(E6019="",E6019="!!!",F6019="NEW"),"",INDEX(J$1:J6018,SUMPRODUCT(MAX(ROW(E$1:E6018)*(E6019=E$1:E6018)))))</f>
        <v> </v>
      </c>
      <c r="L6019" s="27"/>
    </row>
    <row r="6020" spans="1:12">
      <c r="A6020" s="20" t="s">
        <v>1675</v>
      </c>
      <c r="B6020" s="21" t="s">
        <v>986</v>
      </c>
      <c r="C6020" s="21" t="s">
        <v>987</v>
      </c>
      <c r="D6020" s="21" t="s">
        <v>978</v>
      </c>
      <c r="E6020" s="22">
        <f>IF(D6020="?OLD","!!!","")</f>
        <v/>
      </c>
      <c r="F6020" s="23" t="str">
        <f>IF(OR(E6020="",E6020="!!!"),"",IF(NOT(ISNA(VLOOKUP(E6020,E$1:E6019,1,FALSE()))),"OLD",IF(AND(E6020&lt;&gt;"",E6020&lt;&gt;"!!!"),"NEW","")))</f>
        <v> </v>
      </c>
      <c r="G6020" s="24" t="str">
        <f>IF(OR(E6020="",E6020="!!!"),"",IF(OR(J6020=0,AND(J6020=1,K6020=1),AND(J6020=1,I6020="SBJ"),AND(J6020=1,I6020=0)),"?IN_FOCUS",IF(J6020&lt;=2,"?ACTIVATED",IF(J6020&lt;&gt;"","?FAMILIAR",IF(F6020="NEW",IF(ISNA(VLOOKUP(E6020,#REF!,1,FALSE())),"?TYPE_IDENTIFIABLE","?REFERENTIAL"),"_")))))</f>
        <v> </v>
      </c>
      <c r="H6020" s="25" t="str">
        <f>IF(J6020&lt;&gt;1,"",IF(I6020="SBJ","CB","?"))</f>
        <v> </v>
      </c>
      <c r="I6020" s="26" t="str">
        <f>IF(OR(E6020="",E6020="!!!",F6020="NEW"),"",INDEX(B6019:B$2,-1+SUMPRODUCT(MAX(ROW(E6019:E$2)*(E6020=E6019:E$2)))))</f>
        <v> </v>
      </c>
      <c r="J6020" s="26" t="str">
        <f>IF(OR(E6020="",E6020="!!!",F6020="NEW"),"",COUNTBLANK(OFFSET(A$1,,,SUMPRODUCT(MAX(ROW(E$2:E6020)*(E6020=E$2:E6020)))))-COUNTBLANK(OFFSET(A$1,,,SUMPRODUCT(MAX(ROW(E$1:E6019)*(E2=E$1:E6019))))))</f>
        <v> </v>
      </c>
      <c r="K6020" s="26" t="str">
        <f>IF(OR(E6020="",E6020="!!!",F6020="NEW"),"",INDEX(J$1:J6019,SUMPRODUCT(MAX(ROW(E$1:E6019)*(E6020=E$1:E6019)))))</f>
        <v> </v>
      </c>
      <c r="L6020" s="27"/>
    </row>
    <row r="6021" spans="1:12">
      <c r="A6021" s="20" t="s">
        <v>750</v>
      </c>
      <c r="B6021" s="21" t="s">
        <v>976</v>
      </c>
      <c r="C6021" s="21" t="s">
        <v>990</v>
      </c>
      <c r="D6021" s="21" t="s">
        <v>978</v>
      </c>
      <c r="E6021" s="22">
        <f>IF(D6021="?OLD","!!!","")</f>
        <v/>
      </c>
      <c r="F6021" s="23" t="str">
        <f>IF(OR(E6021="",E6021="!!!"),"",IF(NOT(ISNA(VLOOKUP(E6021,E$1:E6020,1,FALSE()))),"OLD",IF(AND(E6021&lt;&gt;"",E6021&lt;&gt;"!!!"),"NEW","")))</f>
        <v> </v>
      </c>
      <c r="G6021" s="24" t="str">
        <f>IF(OR(E6021="",E6021="!!!"),"",IF(OR(J6021=0,AND(J6021=1,K6021=1),AND(J6021=1,I6021="SBJ"),AND(J6021=1,I6021=0)),"?IN_FOCUS",IF(J6021&lt;=2,"?ACTIVATED",IF(J6021&lt;&gt;"","?FAMILIAR",IF(F6021="NEW",IF(ISNA(VLOOKUP(E6021,#REF!,1,FALSE())),"?TYPE_IDENTIFIABLE","?REFERENTIAL"),"_")))))</f>
        <v> </v>
      </c>
      <c r="H6021" s="25" t="str">
        <f>IF(J6021&lt;&gt;1,"",IF(I6021="SBJ","CB","?"))</f>
        <v> </v>
      </c>
      <c r="I6021" s="26" t="str">
        <f>IF(OR(E6021="",E6021="!!!",F6021="NEW"),"",INDEX(B6020:B$2,-1+SUMPRODUCT(MAX(ROW(E6020:E$2)*(E6021=E6020:E$2)))))</f>
        <v> </v>
      </c>
      <c r="J6021" s="26" t="str">
        <f>IF(OR(E6021="",E6021="!!!",F6021="NEW"),"",COUNTBLANK(OFFSET(A$1,,,SUMPRODUCT(MAX(ROW(E$2:E6021)*(E6021=E$2:E6021)))))-COUNTBLANK(OFFSET(A$1,,,SUMPRODUCT(MAX(ROW(E$1:E6020)*(E2=E$1:E6020))))))</f>
        <v> </v>
      </c>
      <c r="K6021" s="26" t="str">
        <f>IF(OR(E6021="",E6021="!!!",F6021="NEW"),"",INDEX(J$1:J6020,SUMPRODUCT(MAX(ROW(E$1:E6020)*(E6021=E$1:E6020)))))</f>
        <v> </v>
      </c>
      <c r="L6021" s="27"/>
    </row>
    <row r="6022" spans="1:12">
      <c r="A6022" s="20" t="s">
        <v>1142</v>
      </c>
      <c r="B6022" s="21" t="s">
        <v>1066</v>
      </c>
      <c r="E6022" s="22">
        <f>IF(D6022="?OLD","!!!","")</f>
        <v/>
      </c>
      <c r="F6022" s="23" t="str">
        <f>IF(OR(E6022="",E6022="!!!"),"",IF(NOT(ISNA(VLOOKUP(E6022,E$1:E6021,1,FALSE()))),"OLD",IF(AND(E6022&lt;&gt;"",E6022&lt;&gt;"!!!"),"NEW","")))</f>
        <v> </v>
      </c>
      <c r="G6022" s="24" t="str">
        <f>IF(OR(E6022="",E6022="!!!"),"",IF(OR(J6022=0,AND(J6022=1,K6022=1),AND(J6022=1,I6022="SBJ"),AND(J6022=1,I6022=0)),"?IN_FOCUS",IF(J6022&lt;=2,"?ACTIVATED",IF(J6022&lt;&gt;"","?FAMILIAR",IF(F6022="NEW",IF(ISNA(VLOOKUP(E6022,#REF!,1,FALSE())),"?TYPE_IDENTIFIABLE","?REFERENTIAL"),"_")))))</f>
        <v> </v>
      </c>
      <c r="H6022" s="25" t="str">
        <f>IF(J6022&lt;&gt;1,"",IF(I6022="SBJ","CB","?"))</f>
        <v> </v>
      </c>
      <c r="I6022" s="26" t="str">
        <f>IF(OR(E6022="",E6022="!!!",F6022="NEW"),"",INDEX(B6021:B$2,-1+SUMPRODUCT(MAX(ROW(E6021:E$2)*(E6022=E6021:E$2)))))</f>
        <v> </v>
      </c>
      <c r="J6022" s="26" t="str">
        <f>IF(OR(E6022="",E6022="!!!",F6022="NEW"),"",COUNTBLANK(OFFSET(A$1,,,SUMPRODUCT(MAX(ROW(E$2:E6022)*(E6022=E$2:E6022)))))-COUNTBLANK(OFFSET(A$1,,,SUMPRODUCT(MAX(ROW(E$1:E6021)*(E2=E$1:E6021))))))</f>
        <v> </v>
      </c>
      <c r="K6022" s="26" t="str">
        <f>IF(OR(E6022="",E6022="!!!",F6022="NEW"),"",INDEX(J$1:J6021,SUMPRODUCT(MAX(ROW(E$1:E6021)*(E6022=E$1:E6021)))))</f>
        <v> </v>
      </c>
      <c r="L6022" s="27"/>
    </row>
    <row r="6023" spans="1:12">
      <c r="A6023" s="20" t="s">
        <v>1828</v>
      </c>
      <c r="E6023" s="22">
        <f>IF(D6023="?OLD","!!!","")</f>
        <v/>
      </c>
      <c r="F6023" s="23" t="str">
        <f>IF(OR(E6023="",E6023="!!!"),"",IF(NOT(ISNA(VLOOKUP(E6023,E$1:E6022,1,FALSE()))),"OLD",IF(AND(E6023&lt;&gt;"",E6023&lt;&gt;"!!!"),"NEW","")))</f>
        <v> </v>
      </c>
      <c r="G6023" s="24" t="str">
        <f>IF(OR(E6023="",E6023="!!!"),"",IF(OR(J6023=0,AND(J6023=1,K6023=1),AND(J6023=1,I6023="SBJ"),AND(J6023=1,I6023=0)),"?IN_FOCUS",IF(J6023&lt;=2,"?ACTIVATED",IF(J6023&lt;&gt;"","?FAMILIAR",IF(F6023="NEW",IF(ISNA(VLOOKUP(E6023,#REF!,1,FALSE())),"?TYPE_IDENTIFIABLE","?REFERENTIAL"),"_")))))</f>
        <v> </v>
      </c>
      <c r="H6023" s="25" t="str">
        <f>IF(J6023&lt;&gt;1,"",IF(I6023="SBJ","CB","?"))</f>
        <v> </v>
      </c>
      <c r="I6023" s="26" t="str">
        <f>IF(OR(E6023="",E6023="!!!",F6023="NEW"),"",INDEX(B6022:B$2,-1+SUMPRODUCT(MAX(ROW(E6022:E$2)*(E6023=E6022:E$2)))))</f>
        <v> </v>
      </c>
      <c r="J6023" s="26" t="str">
        <f>IF(OR(E6023="",E6023="!!!",F6023="NEW"),"",COUNTBLANK(OFFSET(A$1,,,SUMPRODUCT(MAX(ROW(E$2:E6023)*(E6023=E$2:E6023)))))-COUNTBLANK(OFFSET(A$1,,,SUMPRODUCT(MAX(ROW(E$1:E6022)*(E2=E$1:E6022))))))</f>
        <v> </v>
      </c>
      <c r="K6023" s="26" t="str">
        <f>IF(OR(E6023="",E6023="!!!",F6023="NEW"),"",INDEX(J$1:J6022,SUMPRODUCT(MAX(ROW(E$1:E6022)*(E6023=E$1:E6022)))))</f>
        <v> </v>
      </c>
      <c r="L6023" s="27"/>
    </row>
    <row r="6024" spans="1:12">
      <c r="A6024" s="20" t="s">
        <v>996</v>
      </c>
      <c r="E6024" s="22">
        <f>IF(D6024="?OLD","!!!","")</f>
        <v/>
      </c>
      <c r="F6024" s="23" t="str">
        <f>IF(OR(E6024="",E6024="!!!"),"",IF(NOT(ISNA(VLOOKUP(E6024,E$1:E6023,1,FALSE()))),"OLD",IF(AND(E6024&lt;&gt;"",E6024&lt;&gt;"!!!"),"NEW","")))</f>
        <v> </v>
      </c>
      <c r="G6024" s="24" t="str">
        <f>IF(OR(E6024="",E6024="!!!"),"",IF(OR(J6024=0,AND(J6024=1,K6024=1),AND(J6024=1,I6024="SBJ"),AND(J6024=1,I6024=0)),"?IN_FOCUS",IF(J6024&lt;=2,"?ACTIVATED",IF(J6024&lt;&gt;"","?FAMILIAR",IF(F6024="NEW",IF(ISNA(VLOOKUP(E6024,#REF!,1,FALSE())),"?TYPE_IDENTIFIABLE","?REFERENTIAL"),"_")))))</f>
        <v> </v>
      </c>
      <c r="H6024" s="25" t="str">
        <f>IF(J6024&lt;&gt;1,"",IF(I6024="SBJ","CB","?"))</f>
        <v> </v>
      </c>
      <c r="I6024" s="26" t="str">
        <f>IF(OR(E6024="",E6024="!!!",F6024="NEW"),"",INDEX(B6023:B$2,-1+SUMPRODUCT(MAX(ROW(E6023:E$2)*(E6024=E6023:E$2)))))</f>
        <v> </v>
      </c>
      <c r="J6024" s="26" t="str">
        <f>IF(OR(E6024="",E6024="!!!",F6024="NEW"),"",COUNTBLANK(OFFSET(A$1,,,SUMPRODUCT(MAX(ROW(E$2:E6024)*(E6024=E$2:E6024)))))-COUNTBLANK(OFFSET(A$1,,,SUMPRODUCT(MAX(ROW(E$1:E6023)*(E2=E$1:E6023))))))</f>
        <v> </v>
      </c>
      <c r="K6024" s="26" t="str">
        <f>IF(OR(E6024="",E6024="!!!",F6024="NEW"),"",INDEX(J$1:J6023,SUMPRODUCT(MAX(ROW(E$1:E6023)*(E6024=E$1:E6023)))))</f>
        <v> </v>
      </c>
      <c r="L6024" s="27"/>
    </row>
    <row r="6025" spans="1:12">
      <c r="A6025" s="20" t="s">
        <v>2499</v>
      </c>
      <c r="E6025" s="22">
        <f>IF(D6025="?OLD","!!!","")</f>
        <v/>
      </c>
      <c r="F6025" s="23" t="str">
        <f>IF(OR(E6025="",E6025="!!!"),"",IF(NOT(ISNA(VLOOKUP(E6025,E$1:E6024,1,FALSE()))),"OLD",IF(AND(E6025&lt;&gt;"",E6025&lt;&gt;"!!!"),"NEW","")))</f>
        <v> </v>
      </c>
      <c r="G6025" s="24" t="str">
        <f>IF(OR(E6025="",E6025="!!!"),"",IF(OR(J6025=0,AND(J6025=1,K6025=1),AND(J6025=1,I6025="SBJ"),AND(J6025=1,I6025=0)),"?IN_FOCUS",IF(J6025&lt;=2,"?ACTIVATED",IF(J6025&lt;&gt;"","?FAMILIAR",IF(F6025="NEW",IF(ISNA(VLOOKUP(E6025,#REF!,1,FALSE())),"?TYPE_IDENTIFIABLE","?REFERENTIAL"),"_")))))</f>
        <v> </v>
      </c>
      <c r="H6025" s="25" t="str">
        <f>IF(J6025&lt;&gt;1,"",IF(I6025="SBJ","CB","?"))</f>
        <v> </v>
      </c>
      <c r="I6025" s="26" t="str">
        <f>IF(OR(E6025="",E6025="!!!",F6025="NEW"),"",INDEX(B6024:B$2,-1+SUMPRODUCT(MAX(ROW(E6024:E$2)*(E6025=E6024:E$2)))))</f>
        <v> </v>
      </c>
      <c r="J6025" s="26" t="str">
        <f>IF(OR(E6025="",E6025="!!!",F6025="NEW"),"",COUNTBLANK(OFFSET(A$1,,,SUMPRODUCT(MAX(ROW(E$2:E6025)*(E6025=E$2:E6025)))))-COUNTBLANK(OFFSET(A$1,,,SUMPRODUCT(MAX(ROW(E$1:E6024)*(E2=E$1:E6024))))))</f>
        <v> </v>
      </c>
      <c r="K6025" s="26" t="str">
        <f>IF(OR(E6025="",E6025="!!!",F6025="NEW"),"",INDEX(J$1:J6024,SUMPRODUCT(MAX(ROW(E$1:E6024)*(E6025=E$1:E6024)))))</f>
        <v> </v>
      </c>
      <c r="L6025" s="27"/>
    </row>
    <row r="6026" spans="1:12">
      <c r="A6026" s="20" t="s">
        <v>1589</v>
      </c>
      <c r="B6026" s="21" t="s">
        <v>1101</v>
      </c>
      <c r="C6026" s="21" t="s">
        <v>983</v>
      </c>
      <c r="E6026" s="22">
        <f>IF(D6026="?OLD","!!!","")</f>
        <v/>
      </c>
      <c r="F6026" s="23" t="str">
        <f>IF(OR(E6026="",E6026="!!!"),"",IF(NOT(ISNA(VLOOKUP(E6026,E$1:E6025,1,FALSE()))),"OLD",IF(AND(E6026&lt;&gt;"",E6026&lt;&gt;"!!!"),"NEW","")))</f>
        <v> </v>
      </c>
      <c r="G6026" s="24" t="str">
        <f>IF(OR(E6026="",E6026="!!!"),"",IF(OR(J6026=0,AND(J6026=1,K6026=1),AND(J6026=1,I6026="SBJ"),AND(J6026=1,I6026=0)),"?IN_FOCUS",IF(J6026&lt;=2,"?ACTIVATED",IF(J6026&lt;&gt;"","?FAMILIAR",IF(F6026="NEW",IF(ISNA(VLOOKUP(E6026,#REF!,1,FALSE())),"?TYPE_IDENTIFIABLE","?REFERENTIAL"),"_")))))</f>
        <v> </v>
      </c>
      <c r="H6026" s="25" t="str">
        <f>IF(J6026&lt;&gt;1,"",IF(I6026="SBJ","CB","?"))</f>
        <v> </v>
      </c>
      <c r="I6026" s="26" t="str">
        <f>IF(OR(E6026="",E6026="!!!",F6026="NEW"),"",INDEX(B6025:B$2,-1+SUMPRODUCT(MAX(ROW(E6025:E$2)*(E6026=E6025:E$2)))))</f>
        <v> </v>
      </c>
      <c r="J6026" s="26" t="str">
        <f>IF(OR(E6026="",E6026="!!!",F6026="NEW"),"",COUNTBLANK(OFFSET(A$1,,,SUMPRODUCT(MAX(ROW(E$2:E6026)*(E6026=E$2:E6026)))))-COUNTBLANK(OFFSET(A$1,,,SUMPRODUCT(MAX(ROW(E$1:E6025)*(E2=E$1:E6025))))))</f>
        <v> </v>
      </c>
      <c r="K6026" s="26" t="str">
        <f>IF(OR(E6026="",E6026="!!!",F6026="NEW"),"",INDEX(J$1:J6025,SUMPRODUCT(MAX(ROW(E$1:E6025)*(E6026=E$1:E6025)))))</f>
        <v> </v>
      </c>
      <c r="L6026" s="27"/>
    </row>
    <row r="6027" spans="1:12">
      <c r="A6027" s="20" t="s">
        <v>1018</v>
      </c>
      <c r="E6027" s="22">
        <f>IF(D6027="?OLD","!!!","")</f>
        <v/>
      </c>
      <c r="F6027" s="23" t="str">
        <f>IF(OR(E6027="",E6027="!!!"),"",IF(NOT(ISNA(VLOOKUP(E6027,E$1:E6026,1,FALSE()))),"OLD",IF(AND(E6027&lt;&gt;"",E6027&lt;&gt;"!!!"),"NEW","")))</f>
        <v> </v>
      </c>
      <c r="G6027" s="24" t="str">
        <f>IF(OR(E6027="",E6027="!!!"),"",IF(OR(J6027=0,AND(J6027=1,K6027=1),AND(J6027=1,I6027="SBJ"),AND(J6027=1,I6027=0)),"?IN_FOCUS",IF(J6027&lt;=2,"?ACTIVATED",IF(J6027&lt;&gt;"","?FAMILIAR",IF(F6027="NEW",IF(ISNA(VLOOKUP(E6027,#REF!,1,FALSE())),"?TYPE_IDENTIFIABLE","?REFERENTIAL"),"_")))))</f>
        <v> </v>
      </c>
      <c r="H6027" s="25" t="str">
        <f>IF(J6027&lt;&gt;1,"",IF(I6027="SBJ","CB","?"))</f>
        <v> </v>
      </c>
      <c r="I6027" s="26" t="str">
        <f>IF(OR(E6027="",E6027="!!!",F6027="NEW"),"",INDEX(B6026:B$2,-1+SUMPRODUCT(MAX(ROW(E6026:E$2)*(E6027=E6026:E$2)))))</f>
        <v> </v>
      </c>
      <c r="J6027" s="26" t="str">
        <f>IF(OR(E6027="",E6027="!!!",F6027="NEW"),"",COUNTBLANK(OFFSET(A$1,,,SUMPRODUCT(MAX(ROW(E$2:E6027)*(E6027=E$2:E6027)))))-COUNTBLANK(OFFSET(A$1,,,SUMPRODUCT(MAX(ROW(E$1:E6026)*(E2=E$1:E6026))))))</f>
        <v> </v>
      </c>
      <c r="K6027" s="26" t="str">
        <f>IF(OR(E6027="",E6027="!!!",F6027="NEW"),"",INDEX(J$1:J6026,SUMPRODUCT(MAX(ROW(E$1:E6026)*(E6027=E$1:E6026)))))</f>
        <v> </v>
      </c>
      <c r="L6027" s="27"/>
    </row>
    <row r="6028" spans="1:12">
      <c r="A6028" s="20" t="s">
        <v>2500</v>
      </c>
      <c r="B6028" s="21" t="s">
        <v>1054</v>
      </c>
      <c r="C6028" s="21" t="s">
        <v>1057</v>
      </c>
      <c r="E6028" s="22">
        <f>IF(D6028="?OLD","!!!","")</f>
        <v/>
      </c>
      <c r="F6028" s="23" t="str">
        <f>IF(OR(E6028="",E6028="!!!"),"",IF(NOT(ISNA(VLOOKUP(E6028,E$1:E6027,1,FALSE()))),"OLD",IF(AND(E6028&lt;&gt;"",E6028&lt;&gt;"!!!"),"NEW","")))</f>
        <v> </v>
      </c>
      <c r="G6028" s="24" t="str">
        <f>IF(OR(E6028="",E6028="!!!"),"",IF(OR(J6028=0,AND(J6028=1,K6028=1),AND(J6028=1,I6028="SBJ"),AND(J6028=1,I6028=0)),"?IN_FOCUS",IF(J6028&lt;=2,"?ACTIVATED",IF(J6028&lt;&gt;"","?FAMILIAR",IF(F6028="NEW",IF(ISNA(VLOOKUP(E6028,#REF!,1,FALSE())),"?TYPE_IDENTIFIABLE","?REFERENTIAL"),"_")))))</f>
        <v> </v>
      </c>
      <c r="H6028" s="25" t="str">
        <f>IF(J6028&lt;&gt;1,"",IF(I6028="SBJ","CB","?"))</f>
        <v> </v>
      </c>
      <c r="I6028" s="26" t="str">
        <f>IF(OR(E6028="",E6028="!!!",F6028="NEW"),"",INDEX(B6027:B$2,-1+SUMPRODUCT(MAX(ROW(E6027:E$2)*(E6028=E6027:E$2)))))</f>
        <v> </v>
      </c>
      <c r="J6028" s="26" t="str">
        <f>IF(OR(E6028="",E6028="!!!",F6028="NEW"),"",COUNTBLANK(OFFSET(A$1,,,SUMPRODUCT(MAX(ROW(E$2:E6028)*(E6028=E$2:E6028)))))-COUNTBLANK(OFFSET(A$1,,,SUMPRODUCT(MAX(ROW(E$1:E6027)*(E2=E$1:E6027))))))</f>
        <v> </v>
      </c>
      <c r="K6028" s="26" t="str">
        <f>IF(OR(E6028="",E6028="!!!",F6028="NEW"),"",INDEX(J$1:J6027,SUMPRODUCT(MAX(ROW(E$1:E6027)*(E6028=E$1:E6027)))))</f>
        <v> </v>
      </c>
      <c r="L6028" s="27"/>
    </row>
    <row r="6029" spans="1:12">
      <c r="A6029" s="20" t="s">
        <v>1081</v>
      </c>
      <c r="E6029" s="22">
        <f>IF(D6029="?OLD","!!!","")</f>
        <v/>
      </c>
      <c r="F6029" s="23" t="str">
        <f>IF(OR(E6029="",E6029="!!!"),"",IF(NOT(ISNA(VLOOKUP(E6029,E$1:E6028,1,FALSE()))),"OLD",IF(AND(E6029&lt;&gt;"",E6029&lt;&gt;"!!!"),"NEW","")))</f>
        <v> </v>
      </c>
      <c r="G6029" s="24" t="str">
        <f>IF(OR(E6029="",E6029="!!!"),"",IF(OR(J6029=0,AND(J6029=1,K6029=1),AND(J6029=1,I6029="SBJ"),AND(J6029=1,I6029=0)),"?IN_FOCUS",IF(J6029&lt;=2,"?ACTIVATED",IF(J6029&lt;&gt;"","?FAMILIAR",IF(F6029="NEW",IF(ISNA(VLOOKUP(E6029,#REF!,1,FALSE())),"?TYPE_IDENTIFIABLE","?REFERENTIAL"),"_")))))</f>
        <v> </v>
      </c>
      <c r="H6029" s="25" t="str">
        <f>IF(J6029&lt;&gt;1,"",IF(I6029="SBJ","CB","?"))</f>
        <v> </v>
      </c>
      <c r="I6029" s="26" t="str">
        <f>IF(OR(E6029="",E6029="!!!",F6029="NEW"),"",INDEX(B6028:B$2,-1+SUMPRODUCT(MAX(ROW(E6028:E$2)*(E6029=E6028:E$2)))))</f>
        <v> </v>
      </c>
      <c r="J6029" s="26" t="str">
        <f>IF(OR(E6029="",E6029="!!!",F6029="NEW"),"",COUNTBLANK(OFFSET(A$1,,,SUMPRODUCT(MAX(ROW(E$2:E6029)*(E6029=E$2:E6029)))))-COUNTBLANK(OFFSET(A$1,,,SUMPRODUCT(MAX(ROW(E$1:E6028)*(E2=E$1:E6028))))))</f>
        <v> </v>
      </c>
      <c r="K6029" s="26" t="str">
        <f>IF(OR(E6029="",E6029="!!!",F6029="NEW"),"",INDEX(J$1:J6028,SUMPRODUCT(MAX(ROW(E$1:E6028)*(E6029=E$1:E6028)))))</f>
        <v> </v>
      </c>
      <c r="L6029" s="27"/>
    </row>
    <row r="6030" spans="1:12">
      <c r="A6030" s="20" t="s">
        <v>1050</v>
      </c>
      <c r="E6030" s="22">
        <f>IF(D6030="?OLD","!!!","")</f>
        <v/>
      </c>
      <c r="F6030" s="23" t="str">
        <f>IF(OR(E6030="",E6030="!!!"),"",IF(NOT(ISNA(VLOOKUP(E6030,E$1:E6029,1,FALSE()))),"OLD",IF(AND(E6030&lt;&gt;"",E6030&lt;&gt;"!!!"),"NEW","")))</f>
        <v> </v>
      </c>
      <c r="G6030" s="24" t="str">
        <f>IF(OR(E6030="",E6030="!!!"),"",IF(OR(J6030=0,AND(J6030=1,K6030=1),AND(J6030=1,I6030="SBJ"),AND(J6030=1,I6030=0)),"?IN_FOCUS",IF(J6030&lt;=2,"?ACTIVATED",IF(J6030&lt;&gt;"","?FAMILIAR",IF(F6030="NEW",IF(ISNA(VLOOKUP(E6030,#REF!,1,FALSE())),"?TYPE_IDENTIFIABLE","?REFERENTIAL"),"_")))))</f>
        <v> </v>
      </c>
      <c r="H6030" s="25" t="str">
        <f>IF(J6030&lt;&gt;1,"",IF(I6030="SBJ","CB","?"))</f>
        <v> </v>
      </c>
      <c r="I6030" s="26" t="str">
        <f>IF(OR(E6030="",E6030="!!!",F6030="NEW"),"",INDEX(B6029:B$2,-1+SUMPRODUCT(MAX(ROW(E6029:E$2)*(E6030=E6029:E$2)))))</f>
        <v> </v>
      </c>
      <c r="J6030" s="26" t="str">
        <f>IF(OR(E6030="",E6030="!!!",F6030="NEW"),"",COUNTBLANK(OFFSET(A$1,,,SUMPRODUCT(MAX(ROW(E$2:E6030)*(E6030=E$2:E6030)))))-COUNTBLANK(OFFSET(A$1,,,SUMPRODUCT(MAX(ROW(E$1:E6029)*(E2=E$1:E6029))))))</f>
        <v> </v>
      </c>
      <c r="K6030" s="26" t="str">
        <f>IF(OR(E6030="",E6030="!!!",F6030="NEW"),"",INDEX(J$1:J6029,SUMPRODUCT(MAX(ROW(E$1:E6029)*(E6030=E$1:E6029)))))</f>
        <v> </v>
      </c>
      <c r="L6030" s="27"/>
    </row>
    <row r="6031" spans="1:12">
      <c r="A6031" s="20" t="s">
        <v>1111</v>
      </c>
      <c r="B6031" s="21" t="s">
        <v>1007</v>
      </c>
      <c r="C6031" s="21" t="s">
        <v>983</v>
      </c>
      <c r="E6031" s="22">
        <f>IF(D6031="?OLD","!!!","")</f>
        <v/>
      </c>
      <c r="F6031" s="23" t="str">
        <f>IF(OR(E6031="",E6031="!!!"),"",IF(NOT(ISNA(VLOOKUP(E6031,E$1:E6030,1,FALSE()))),"OLD",IF(AND(E6031&lt;&gt;"",E6031&lt;&gt;"!!!"),"NEW","")))</f>
        <v> </v>
      </c>
      <c r="G6031" s="24" t="str">
        <f>IF(OR(E6031="",E6031="!!!"),"",IF(OR(J6031=0,AND(J6031=1,K6031=1),AND(J6031=1,I6031="SBJ"),AND(J6031=1,I6031=0)),"?IN_FOCUS",IF(J6031&lt;=2,"?ACTIVATED",IF(J6031&lt;&gt;"","?FAMILIAR",IF(F6031="NEW",IF(ISNA(VLOOKUP(E6031,#REF!,1,FALSE())),"?TYPE_IDENTIFIABLE","?REFERENTIAL"),"_")))))</f>
        <v> </v>
      </c>
      <c r="H6031" s="25" t="str">
        <f>IF(J6031&lt;&gt;1,"",IF(I6031="SBJ","CB","?"))</f>
        <v> </v>
      </c>
      <c r="I6031" s="26" t="str">
        <f>IF(OR(E6031="",E6031="!!!",F6031="NEW"),"",INDEX(B6030:B$2,-1+SUMPRODUCT(MAX(ROW(E6030:E$2)*(E6031=E6030:E$2)))))</f>
        <v> </v>
      </c>
      <c r="J6031" s="26" t="str">
        <f>IF(OR(E6031="",E6031="!!!",F6031="NEW"),"",COUNTBLANK(OFFSET(A$1,,,SUMPRODUCT(MAX(ROW(E$2:E6031)*(E6031=E$2:E6031)))))-COUNTBLANK(OFFSET(A$1,,,SUMPRODUCT(MAX(ROW(E$1:E6030)*(E2=E$1:E6030))))))</f>
        <v> </v>
      </c>
      <c r="K6031" s="26" t="str">
        <f>IF(OR(E6031="",E6031="!!!",F6031="NEW"),"",INDEX(J$1:J6030,SUMPRODUCT(MAX(ROW(E$1:E6030)*(E6031=E$1:E6030)))))</f>
        <v> </v>
      </c>
      <c r="L6031" s="27"/>
    </row>
    <row r="6032" spans="1:12">
      <c r="A6032" s="20" t="s">
        <v>1183</v>
      </c>
      <c r="E6032" s="22">
        <f>IF(D6032="?OLD","!!!","")</f>
        <v/>
      </c>
      <c r="F6032" s="23" t="str">
        <f>IF(OR(E6032="",E6032="!!!"),"",IF(NOT(ISNA(VLOOKUP(E6032,E$1:E6031,1,FALSE()))),"OLD",IF(AND(E6032&lt;&gt;"",E6032&lt;&gt;"!!!"),"NEW","")))</f>
        <v> </v>
      </c>
      <c r="G6032" s="24" t="str">
        <f>IF(OR(E6032="",E6032="!!!"),"",IF(OR(J6032=0,AND(J6032=1,K6032=1),AND(J6032=1,I6032="SBJ"),AND(J6032=1,I6032=0)),"?IN_FOCUS",IF(J6032&lt;=2,"?ACTIVATED",IF(J6032&lt;&gt;"","?FAMILIAR",IF(F6032="NEW",IF(ISNA(VLOOKUP(E6032,#REF!,1,FALSE())),"?TYPE_IDENTIFIABLE","?REFERENTIAL"),"_")))))</f>
        <v> </v>
      </c>
      <c r="H6032" s="25" t="str">
        <f>IF(J6032&lt;&gt;1,"",IF(I6032="SBJ","CB","?"))</f>
        <v> </v>
      </c>
      <c r="I6032" s="26" t="str">
        <f>IF(OR(E6032="",E6032="!!!",F6032="NEW"),"",INDEX(B6031:B$2,-1+SUMPRODUCT(MAX(ROW(E6031:E$2)*(E6032=E6031:E$2)))))</f>
        <v> </v>
      </c>
      <c r="J6032" s="26" t="str">
        <f>IF(OR(E6032="",E6032="!!!",F6032="NEW"),"",COUNTBLANK(OFFSET(A$1,,,SUMPRODUCT(MAX(ROW(E$2:E6032)*(E6032=E$2:E6032)))))-COUNTBLANK(OFFSET(A$1,,,SUMPRODUCT(MAX(ROW(E$1:E6031)*(E2=E$1:E6031))))))</f>
        <v> </v>
      </c>
      <c r="K6032" s="26" t="str">
        <f>IF(OR(E6032="",E6032="!!!",F6032="NEW"),"",INDEX(J$1:J6031,SUMPRODUCT(MAX(ROW(E$1:E6031)*(E6032=E$1:E6031)))))</f>
        <v> </v>
      </c>
      <c r="L6032" s="27"/>
    </row>
    <row r="6033" spans="1:12">
      <c r="A6033" s="20" t="s">
        <v>1647</v>
      </c>
      <c r="E6033" s="22">
        <f>IF(D6033="?OLD","!!!","")</f>
        <v/>
      </c>
      <c r="F6033" s="23" t="str">
        <f>IF(OR(E6033="",E6033="!!!"),"",IF(NOT(ISNA(VLOOKUP(E6033,E$1:E6032,1,FALSE()))),"OLD",IF(AND(E6033&lt;&gt;"",E6033&lt;&gt;"!!!"),"NEW","")))</f>
        <v> </v>
      </c>
      <c r="G6033" s="24" t="str">
        <f>IF(OR(E6033="",E6033="!!!"),"",IF(OR(J6033=0,AND(J6033=1,K6033=1),AND(J6033=1,I6033="SBJ"),AND(J6033=1,I6033=0)),"?IN_FOCUS",IF(J6033&lt;=2,"?ACTIVATED",IF(J6033&lt;&gt;"","?FAMILIAR",IF(F6033="NEW",IF(ISNA(VLOOKUP(E6033,#REF!,1,FALSE())),"?TYPE_IDENTIFIABLE","?REFERENTIAL"),"_")))))</f>
        <v> </v>
      </c>
      <c r="H6033" s="25" t="str">
        <f>IF(J6033&lt;&gt;1,"",IF(I6033="SBJ","CB","?"))</f>
        <v> </v>
      </c>
      <c r="I6033" s="26" t="str">
        <f>IF(OR(E6033="",E6033="!!!",F6033="NEW"),"",INDEX(B6032:B$2,-1+SUMPRODUCT(MAX(ROW(E6032:E$2)*(E6033=E6032:E$2)))))</f>
        <v> </v>
      </c>
      <c r="J6033" s="26" t="str">
        <f>IF(OR(E6033="",E6033="!!!",F6033="NEW"),"",COUNTBLANK(OFFSET(A$1,,,SUMPRODUCT(MAX(ROW(E$2:E6033)*(E6033=E$2:E6033)))))-COUNTBLANK(OFFSET(A$1,,,SUMPRODUCT(MAX(ROW(E$1:E6032)*(E2=E$1:E6032))))))</f>
        <v> </v>
      </c>
      <c r="K6033" s="26" t="str">
        <f>IF(OR(E6033="",E6033="!!!",F6033="NEW"),"",INDEX(J$1:J6032,SUMPRODUCT(MAX(ROW(E$1:E6032)*(E6033=E$1:E6032)))))</f>
        <v> </v>
      </c>
      <c r="L6033" s="27"/>
    </row>
    <row r="6034" spans="1:12">
      <c r="A6034" s="20" t="s">
        <v>1022</v>
      </c>
      <c r="E6034" s="22">
        <f>IF(D6034="?OLD","!!!","")</f>
        <v/>
      </c>
      <c r="F6034" s="23" t="str">
        <f>IF(OR(E6034="",E6034="!!!"),"",IF(NOT(ISNA(VLOOKUP(E6034,E$1:E6033,1,FALSE()))),"OLD",IF(AND(E6034&lt;&gt;"",E6034&lt;&gt;"!!!"),"NEW","")))</f>
        <v> </v>
      </c>
      <c r="G6034" s="24" t="str">
        <f>IF(OR(E6034="",E6034="!!!"),"",IF(OR(J6034=0,AND(J6034=1,K6034=1),AND(J6034=1,I6034="SBJ"),AND(J6034=1,I6034=0)),"?IN_FOCUS",IF(J6034&lt;=2,"?ACTIVATED",IF(J6034&lt;&gt;"","?FAMILIAR",IF(F6034="NEW",IF(ISNA(VLOOKUP(E6034,#REF!,1,FALSE())),"?TYPE_IDENTIFIABLE","?REFERENTIAL"),"_")))))</f>
        <v> </v>
      </c>
      <c r="H6034" s="25" t="str">
        <f>IF(J6034&lt;&gt;1,"",IF(I6034="SBJ","CB","?"))</f>
        <v> </v>
      </c>
      <c r="I6034" s="26" t="str">
        <f>IF(OR(E6034="",E6034="!!!",F6034="NEW"),"",INDEX(B6033:B$2,-1+SUMPRODUCT(MAX(ROW(E6033:E$2)*(E6034=E6033:E$2)))))</f>
        <v> </v>
      </c>
      <c r="J6034" s="26" t="str">
        <f>IF(OR(E6034="",E6034="!!!",F6034="NEW"),"",COUNTBLANK(OFFSET(A$1,,,SUMPRODUCT(MAX(ROW(E$2:E6034)*(E6034=E$2:E6034)))))-COUNTBLANK(OFFSET(A$1,,,SUMPRODUCT(MAX(ROW(E$1:E6033)*(E2=E$1:E6033))))))</f>
        <v> </v>
      </c>
      <c r="K6034" s="26" t="str">
        <f>IF(OR(E6034="",E6034="!!!",F6034="NEW"),"",INDEX(J$1:J6033,SUMPRODUCT(MAX(ROW(E$1:E6033)*(E6034=E$1:E6033)))))</f>
        <v> </v>
      </c>
      <c r="L6034" s="27"/>
    </row>
    <row r="6035" spans="1:12">
      <c r="A6035" s="20"/>
    </row>
    <row r="6036" spans="1:12">
      <c r="A6036" s="20" t="s">
        <v>2501</v>
      </c>
    </row>
    <row r="6037" spans="1:12">
      <c r="A6037" s="20" t="s">
        <v>2502</v>
      </c>
      <c r="B6037" s="21" t="s">
        <v>976</v>
      </c>
      <c r="C6037" s="21" t="s">
        <v>1020</v>
      </c>
      <c r="D6037" s="21" t="s">
        <v>978</v>
      </c>
      <c r="E6037" s="22">
        <f>IF(D6037="?OLD","!!!","")</f>
        <v/>
      </c>
      <c r="F6037" s="23" t="str">
        <f>IF(OR(E6037="",E6037="!!!"),"",IF(NOT(ISNA(VLOOKUP(E6037,E$1:E6036,1,FALSE()))),"OLD",IF(AND(E6037&lt;&gt;"",E6037&lt;&gt;"!!!"),"NEW","")))</f>
        <v> </v>
      </c>
      <c r="G6037" s="24" t="str">
        <f>IF(OR(E6037="",E6037="!!!"),"",IF(OR(J6037=0,AND(J6037=1,K6037=1),AND(J6037=1,I6037="SBJ"),AND(J6037=1,I6037=0)),"?IN_FOCUS",IF(J6037&lt;=2,"?ACTIVATED",IF(J6037&lt;&gt;"","?FAMILIAR",IF(F6037="NEW",IF(ISNA(VLOOKUP(E6037,#REF!,1,FALSE())),"?TYPE_IDENTIFIABLE","?REFERENTIAL"),"_")))))</f>
        <v> </v>
      </c>
      <c r="H6037" s="25" t="str">
        <f>IF(J6037&lt;&gt;1,"",IF(I6037="SBJ","CB","?"))</f>
        <v> </v>
      </c>
      <c r="I6037" s="26" t="str">
        <f>IF(OR(E6037="",E6037="!!!",F6037="NEW"),"",INDEX(B6036:B$2,-1+SUMPRODUCT(MAX(ROW(E6036:E$2)*(E6037=E6036:E$2)))))</f>
        <v> </v>
      </c>
      <c r="J6037" s="26" t="str">
        <f>IF(OR(E6037="",E6037="!!!",F6037="NEW"),"",COUNTBLANK(OFFSET(A$1,,,SUMPRODUCT(MAX(ROW(E$2:E6037)*(E6037=E$2:E6037)))))-COUNTBLANK(OFFSET(A$1,,,SUMPRODUCT(MAX(ROW(E$1:E6036)*(E2=E$1:E6036))))))</f>
        <v> </v>
      </c>
      <c r="K6037" s="26" t="str">
        <f>IF(OR(E6037="",E6037="!!!",F6037="NEW"),"",INDEX(J$1:J6036,SUMPRODUCT(MAX(ROW(E$1:E6036)*(E6037=E$1:E6036)))))</f>
        <v> </v>
      </c>
      <c r="L6037" s="27"/>
    </row>
    <row r="6038" spans="1:12">
      <c r="A6038" s="20" t="s">
        <v>1067</v>
      </c>
      <c r="E6038" s="22">
        <f>IF(D6038="?OLD","!!!","")</f>
        <v/>
      </c>
      <c r="F6038" s="23" t="str">
        <f>IF(OR(E6038="",E6038="!!!"),"",IF(NOT(ISNA(VLOOKUP(E6038,E$1:E6037,1,FALSE()))),"OLD",IF(AND(E6038&lt;&gt;"",E6038&lt;&gt;"!!!"),"NEW","")))</f>
        <v> </v>
      </c>
      <c r="G6038" s="24" t="str">
        <f>IF(OR(E6038="",E6038="!!!"),"",IF(OR(J6038=0,AND(J6038=1,K6038=1),AND(J6038=1,I6038="SBJ"),AND(J6038=1,I6038=0)),"?IN_FOCUS",IF(J6038&lt;=2,"?ACTIVATED",IF(J6038&lt;&gt;"","?FAMILIAR",IF(F6038="NEW",IF(ISNA(VLOOKUP(E6038,#REF!,1,FALSE())),"?TYPE_IDENTIFIABLE","?REFERENTIAL"),"_")))))</f>
        <v> </v>
      </c>
      <c r="H6038" s="25" t="str">
        <f>IF(J6038&lt;&gt;1,"",IF(I6038="SBJ","CB","?"))</f>
        <v> </v>
      </c>
      <c r="I6038" s="26" t="str">
        <f>IF(OR(E6038="",E6038="!!!",F6038="NEW"),"",INDEX(B6037:B$2,-1+SUMPRODUCT(MAX(ROW(E6037:E$2)*(E6038=E6037:E$2)))))</f>
        <v> </v>
      </c>
      <c r="J6038" s="26" t="str">
        <f>IF(OR(E6038="",E6038="!!!",F6038="NEW"),"",COUNTBLANK(OFFSET(A$1,,,SUMPRODUCT(MAX(ROW(E$2:E6038)*(E6038=E$2:E6038)))))-COUNTBLANK(OFFSET(A$1,,,SUMPRODUCT(MAX(ROW(E$1:E6037)*(E2=E$1:E6037))))))</f>
        <v> </v>
      </c>
      <c r="K6038" s="26" t="str">
        <f>IF(OR(E6038="",E6038="!!!",F6038="NEW"),"",INDEX(J$1:J6037,SUMPRODUCT(MAX(ROW(E$1:E6037)*(E6038=E$1:E6037)))))</f>
        <v> </v>
      </c>
      <c r="L6038" s="27"/>
    </row>
    <row r="6039" spans="1:12">
      <c r="A6039" s="20" t="s">
        <v>997</v>
      </c>
      <c r="E6039" s="22">
        <f>IF(D6039="?OLD","!!!","")</f>
        <v/>
      </c>
      <c r="F6039" s="23" t="str">
        <f>IF(OR(E6039="",E6039="!!!"),"",IF(NOT(ISNA(VLOOKUP(E6039,E$1:E6038,1,FALSE()))),"OLD",IF(AND(E6039&lt;&gt;"",E6039&lt;&gt;"!!!"),"NEW","")))</f>
        <v> </v>
      </c>
      <c r="G6039" s="24" t="str">
        <f>IF(OR(E6039="",E6039="!!!"),"",IF(OR(J6039=0,AND(J6039=1,K6039=1),AND(J6039=1,I6039="SBJ"),AND(J6039=1,I6039=0)),"?IN_FOCUS",IF(J6039&lt;=2,"?ACTIVATED",IF(J6039&lt;&gt;"","?FAMILIAR",IF(F6039="NEW",IF(ISNA(VLOOKUP(E6039,#REF!,1,FALSE())),"?TYPE_IDENTIFIABLE","?REFERENTIAL"),"_")))))</f>
        <v> </v>
      </c>
      <c r="H6039" s="25" t="str">
        <f>IF(J6039&lt;&gt;1,"",IF(I6039="SBJ","CB","?"))</f>
        <v> </v>
      </c>
      <c r="I6039" s="26" t="str">
        <f>IF(OR(E6039="",E6039="!!!",F6039="NEW"),"",INDEX(B6038:B$2,-1+SUMPRODUCT(MAX(ROW(E6038:E$2)*(E6039=E6038:E$2)))))</f>
        <v> </v>
      </c>
      <c r="J6039" s="26" t="str">
        <f>IF(OR(E6039="",E6039="!!!",F6039="NEW"),"",COUNTBLANK(OFFSET(A$1,,,SUMPRODUCT(MAX(ROW(E$2:E6039)*(E6039=E$2:E6039)))))-COUNTBLANK(OFFSET(A$1,,,SUMPRODUCT(MAX(ROW(E$1:E6038)*(E2=E$1:E6038))))))</f>
        <v> </v>
      </c>
      <c r="K6039" s="26" t="str">
        <f>IF(OR(E6039="",E6039="!!!",F6039="NEW"),"",INDEX(J$1:J6038,SUMPRODUCT(MAX(ROW(E$1:E6038)*(E6039=E$1:E6038)))))</f>
        <v> </v>
      </c>
      <c r="L6039" s="27"/>
    </row>
    <row r="6040" spans="1:12">
      <c r="A6040" s="20" t="s">
        <v>2503</v>
      </c>
      <c r="B6040" s="21" t="s">
        <v>989</v>
      </c>
      <c r="C6040" s="21" t="s">
        <v>995</v>
      </c>
      <c r="D6040" s="21" t="s">
        <v>978</v>
      </c>
      <c r="E6040" s="22">
        <f>IF(D6040="?OLD","!!!","")</f>
        <v/>
      </c>
      <c r="F6040" s="23" t="str">
        <f>IF(OR(E6040="",E6040="!!!"),"",IF(NOT(ISNA(VLOOKUP(E6040,E$1:E6039,1,FALSE()))),"OLD",IF(AND(E6040&lt;&gt;"",E6040&lt;&gt;"!!!"),"NEW","")))</f>
        <v> </v>
      </c>
      <c r="G6040" s="24" t="str">
        <f>IF(OR(E6040="",E6040="!!!"),"",IF(OR(J6040=0,AND(J6040=1,K6040=1),AND(J6040=1,I6040="SBJ"),AND(J6040=1,I6040=0)),"?IN_FOCUS",IF(J6040&lt;=2,"?ACTIVATED",IF(J6040&lt;&gt;"","?FAMILIAR",IF(F6040="NEW",IF(ISNA(VLOOKUP(E6040,#REF!,1,FALSE())),"?TYPE_IDENTIFIABLE","?REFERENTIAL"),"_")))))</f>
        <v> </v>
      </c>
      <c r="H6040" s="25" t="str">
        <f>IF(J6040&lt;&gt;1,"",IF(I6040="SBJ","CB","?"))</f>
        <v> </v>
      </c>
      <c r="I6040" s="26" t="str">
        <f>IF(OR(E6040="",E6040="!!!",F6040="NEW"),"",INDEX(B6039:B$2,-1+SUMPRODUCT(MAX(ROW(E6039:E$2)*(E6040=E6039:E$2)))))</f>
        <v> </v>
      </c>
      <c r="J6040" s="26" t="str">
        <f>IF(OR(E6040="",E6040="!!!",F6040="NEW"),"",COUNTBLANK(OFFSET(A$1,,,SUMPRODUCT(MAX(ROW(E$2:E6040)*(E6040=E$2:E6040)))))-COUNTBLANK(OFFSET(A$1,,,SUMPRODUCT(MAX(ROW(E$1:E6039)*(E2=E$1:E6039))))))</f>
        <v> </v>
      </c>
      <c r="K6040" s="26" t="str">
        <f>IF(OR(E6040="",E6040="!!!",F6040="NEW"),"",INDEX(J$1:J6039,SUMPRODUCT(MAX(ROW(E$1:E6039)*(E6040=E$1:E6039)))))</f>
        <v> </v>
      </c>
      <c r="L6040" s="27"/>
    </row>
    <row r="6041" spans="1:12">
      <c r="A6041" s="20" t="s">
        <v>996</v>
      </c>
      <c r="E6041" s="22">
        <f>IF(D6041="?OLD","!!!","")</f>
        <v/>
      </c>
      <c r="F6041" s="23" t="str">
        <f>IF(OR(E6041="",E6041="!!!"),"",IF(NOT(ISNA(VLOOKUP(E6041,E$1:E6040,1,FALSE()))),"OLD",IF(AND(E6041&lt;&gt;"",E6041&lt;&gt;"!!!"),"NEW","")))</f>
        <v> </v>
      </c>
      <c r="G6041" s="24" t="str">
        <f>IF(OR(E6041="",E6041="!!!"),"",IF(OR(J6041=0,AND(J6041=1,K6041=1),AND(J6041=1,I6041="SBJ"),AND(J6041=1,I6041=0)),"?IN_FOCUS",IF(J6041&lt;=2,"?ACTIVATED",IF(J6041&lt;&gt;"","?FAMILIAR",IF(F6041="NEW",IF(ISNA(VLOOKUP(E6041,#REF!,1,FALSE())),"?TYPE_IDENTIFIABLE","?REFERENTIAL"),"_")))))</f>
        <v> </v>
      </c>
      <c r="H6041" s="25" t="str">
        <f>IF(J6041&lt;&gt;1,"",IF(I6041="SBJ","CB","?"))</f>
        <v> </v>
      </c>
      <c r="I6041" s="26" t="str">
        <f>IF(OR(E6041="",E6041="!!!",F6041="NEW"),"",INDEX(B6040:B$2,-1+SUMPRODUCT(MAX(ROW(E6040:E$2)*(E6041=E6040:E$2)))))</f>
        <v> </v>
      </c>
      <c r="J6041" s="26" t="str">
        <f>IF(OR(E6041="",E6041="!!!",F6041="NEW"),"",COUNTBLANK(OFFSET(A$1,,,SUMPRODUCT(MAX(ROW(E$2:E6041)*(E6041=E$2:E6041)))))-COUNTBLANK(OFFSET(A$1,,,SUMPRODUCT(MAX(ROW(E$1:E6040)*(E2=E$1:E6040))))))</f>
        <v> </v>
      </c>
      <c r="K6041" s="26" t="str">
        <f>IF(OR(E6041="",E6041="!!!",F6041="NEW"),"",INDEX(J$1:J6040,SUMPRODUCT(MAX(ROW(E$1:E6040)*(E6041=E$1:E6040)))))</f>
        <v> </v>
      </c>
      <c r="L6041" s="27"/>
    </row>
    <row r="6042" spans="1:12">
      <c r="A6042" s="20" t="s">
        <v>2504</v>
      </c>
      <c r="B6042" s="21" t="s">
        <v>989</v>
      </c>
      <c r="C6042" s="21" t="s">
        <v>1057</v>
      </c>
      <c r="E6042" s="22">
        <f>IF(D6042="?OLD","!!!","")</f>
        <v/>
      </c>
      <c r="F6042" s="23" t="str">
        <f>IF(OR(E6042="",E6042="!!!"),"",IF(NOT(ISNA(VLOOKUP(E6042,E$1:E6041,1,FALSE()))),"OLD",IF(AND(E6042&lt;&gt;"",E6042&lt;&gt;"!!!"),"NEW","")))</f>
        <v> </v>
      </c>
      <c r="G6042" s="24" t="str">
        <f>IF(OR(E6042="",E6042="!!!"),"",IF(OR(J6042=0,AND(J6042=1,K6042=1),AND(J6042=1,I6042="SBJ"),AND(J6042=1,I6042=0)),"?IN_FOCUS",IF(J6042&lt;=2,"?ACTIVATED",IF(J6042&lt;&gt;"","?FAMILIAR",IF(F6042="NEW",IF(ISNA(VLOOKUP(E6042,#REF!,1,FALSE())),"?TYPE_IDENTIFIABLE","?REFERENTIAL"),"_")))))</f>
        <v> </v>
      </c>
      <c r="H6042" s="25" t="str">
        <f>IF(J6042&lt;&gt;1,"",IF(I6042="SBJ","CB","?"))</f>
        <v> </v>
      </c>
      <c r="I6042" s="26" t="str">
        <f>IF(OR(E6042="",E6042="!!!",F6042="NEW"),"",INDEX(B6041:B$2,-1+SUMPRODUCT(MAX(ROW(E6041:E$2)*(E6042=E6041:E$2)))))</f>
        <v> </v>
      </c>
      <c r="J6042" s="26" t="str">
        <f>IF(OR(E6042="",E6042="!!!",F6042="NEW"),"",COUNTBLANK(OFFSET(A$1,,,SUMPRODUCT(MAX(ROW(E$2:E6042)*(E6042=E$2:E6042)))))-COUNTBLANK(OFFSET(A$1,,,SUMPRODUCT(MAX(ROW(E$1:E6041)*(E2=E$1:E6041))))))</f>
        <v> </v>
      </c>
      <c r="K6042" s="26" t="str">
        <f>IF(OR(E6042="",E6042="!!!",F6042="NEW"),"",INDEX(J$1:J6041,SUMPRODUCT(MAX(ROW(E$1:E6041)*(E6042=E$1:E6041)))))</f>
        <v> </v>
      </c>
      <c r="L6042" s="27"/>
    </row>
    <row r="6043" spans="1:12">
      <c r="A6043" s="20" t="s">
        <v>1404</v>
      </c>
      <c r="E6043" s="22">
        <f>IF(D6043="?OLD","!!!","")</f>
        <v/>
      </c>
      <c r="F6043" s="23" t="str">
        <f>IF(OR(E6043="",E6043="!!!"),"",IF(NOT(ISNA(VLOOKUP(E6043,E$1:E6042,1,FALSE()))),"OLD",IF(AND(E6043&lt;&gt;"",E6043&lt;&gt;"!!!"),"NEW","")))</f>
        <v> </v>
      </c>
      <c r="G6043" s="24" t="str">
        <f>IF(OR(E6043="",E6043="!!!"),"",IF(OR(J6043=0,AND(J6043=1,K6043=1),AND(J6043=1,I6043="SBJ"),AND(J6043=1,I6043=0)),"?IN_FOCUS",IF(J6043&lt;=2,"?ACTIVATED",IF(J6043&lt;&gt;"","?FAMILIAR",IF(F6043="NEW",IF(ISNA(VLOOKUP(E6043,#REF!,1,FALSE())),"?TYPE_IDENTIFIABLE","?REFERENTIAL"),"_")))))</f>
        <v> </v>
      </c>
      <c r="H6043" s="25" t="str">
        <f>IF(J6043&lt;&gt;1,"",IF(I6043="SBJ","CB","?"))</f>
        <v> </v>
      </c>
      <c r="I6043" s="26" t="str">
        <f>IF(OR(E6043="",E6043="!!!",F6043="NEW"),"",INDEX(B6042:B$2,-1+SUMPRODUCT(MAX(ROW(E6042:E$2)*(E6043=E6042:E$2)))))</f>
        <v> </v>
      </c>
      <c r="J6043" s="26" t="str">
        <f>IF(OR(E6043="",E6043="!!!",F6043="NEW"),"",COUNTBLANK(OFFSET(A$1,,,SUMPRODUCT(MAX(ROW(E$2:E6043)*(E6043=E$2:E6043)))))-COUNTBLANK(OFFSET(A$1,,,SUMPRODUCT(MAX(ROW(E$1:E6042)*(E2=E$1:E6042))))))</f>
        <v> </v>
      </c>
      <c r="K6043" s="26" t="str">
        <f>IF(OR(E6043="",E6043="!!!",F6043="NEW"),"",INDEX(J$1:J6042,SUMPRODUCT(MAX(ROW(E$1:E6042)*(E6043=E$1:E6042)))))</f>
        <v> </v>
      </c>
      <c r="L6043" s="27"/>
    </row>
    <row r="6044" spans="1:12">
      <c r="A6044" s="20"/>
    </row>
    <row r="6045" spans="1:12">
      <c r="A6045" s="20" t="s">
        <v>2505</v>
      </c>
    </row>
    <row r="6046" spans="1:12">
      <c r="A6046" s="20" t="s">
        <v>992</v>
      </c>
      <c r="E6046" s="22">
        <f>IF(D6046="?OLD","!!!","")</f>
        <v/>
      </c>
      <c r="F6046" s="23" t="str">
        <f>IF(OR(E6046="",E6046="!!!"),"",IF(NOT(ISNA(VLOOKUP(E6046,E$1:E6045,1,FALSE()))),"OLD",IF(AND(E6046&lt;&gt;"",E6046&lt;&gt;"!!!"),"NEW","")))</f>
        <v> </v>
      </c>
      <c r="G6046" s="24" t="str">
        <f>IF(OR(E6046="",E6046="!!!"),"",IF(OR(J6046=0,AND(J6046=1,K6046=1),AND(J6046=1,I6046="SBJ"),AND(J6046=1,I6046=0)),"?IN_FOCUS",IF(J6046&lt;=2,"?ACTIVATED",IF(J6046&lt;&gt;"","?FAMILIAR",IF(F6046="NEW",IF(ISNA(VLOOKUP(E6046,#REF!,1,FALSE())),"?TYPE_IDENTIFIABLE","?REFERENTIAL"),"_")))))</f>
        <v> </v>
      </c>
      <c r="H6046" s="25" t="str">
        <f>IF(J6046&lt;&gt;1,"",IF(I6046="SBJ","CB","?"))</f>
        <v> </v>
      </c>
      <c r="I6046" s="26" t="str">
        <f>IF(OR(E6046="",E6046="!!!",F6046="NEW"),"",INDEX(B6045:B$2,-1+SUMPRODUCT(MAX(ROW(E6045:E$2)*(E6046=E6045:E$2)))))</f>
        <v> </v>
      </c>
      <c r="J6046" s="26" t="str">
        <f>IF(OR(E6046="",E6046="!!!",F6046="NEW"),"",COUNTBLANK(OFFSET(A$1,,,SUMPRODUCT(MAX(ROW(E$2:E6046)*(E6046=E$2:E6046)))))-COUNTBLANK(OFFSET(A$1,,,SUMPRODUCT(MAX(ROW(E$1:E6045)*(E2=E$1:E6045))))))</f>
        <v> </v>
      </c>
      <c r="K6046" s="26" t="str">
        <f>IF(OR(E6046="",E6046="!!!",F6046="NEW"),"",INDEX(J$1:J6045,SUMPRODUCT(MAX(ROW(E$1:E6045)*(E6046=E$1:E6045)))))</f>
        <v> </v>
      </c>
      <c r="L6046" s="27"/>
    </row>
    <row r="6047" spans="1:12">
      <c r="A6047" s="20" t="s">
        <v>1862</v>
      </c>
      <c r="E6047" s="22">
        <f>IF(D6047="?OLD","!!!","")</f>
        <v/>
      </c>
      <c r="F6047" s="23" t="str">
        <f>IF(OR(E6047="",E6047="!!!"),"",IF(NOT(ISNA(VLOOKUP(E6047,E$1:E6046,1,FALSE()))),"OLD",IF(AND(E6047&lt;&gt;"",E6047&lt;&gt;"!!!"),"NEW","")))</f>
        <v> </v>
      </c>
      <c r="G6047" s="24" t="str">
        <f>IF(OR(E6047="",E6047="!!!"),"",IF(OR(J6047=0,AND(J6047=1,K6047=1),AND(J6047=1,I6047="SBJ"),AND(J6047=1,I6047=0)),"?IN_FOCUS",IF(J6047&lt;=2,"?ACTIVATED",IF(J6047&lt;&gt;"","?FAMILIAR",IF(F6047="NEW",IF(ISNA(VLOOKUP(E6047,#REF!,1,FALSE())),"?TYPE_IDENTIFIABLE","?REFERENTIAL"),"_")))))</f>
        <v> </v>
      </c>
      <c r="H6047" s="25" t="str">
        <f>IF(J6047&lt;&gt;1,"",IF(I6047="SBJ","CB","?"))</f>
        <v> </v>
      </c>
      <c r="I6047" s="26" t="str">
        <f>IF(OR(E6047="",E6047="!!!",F6047="NEW"),"",INDEX(B6046:B$2,-1+SUMPRODUCT(MAX(ROW(E6046:E$2)*(E6047=E6046:E$2)))))</f>
        <v> </v>
      </c>
      <c r="J6047" s="26" t="str">
        <f>IF(OR(E6047="",E6047="!!!",F6047="NEW"),"",COUNTBLANK(OFFSET(A$1,,,SUMPRODUCT(MAX(ROW(E$2:E6047)*(E6047=E$2:E6047)))))-COUNTBLANK(OFFSET(A$1,,,SUMPRODUCT(MAX(ROW(E$1:E6046)*(E2=E$1:E6046))))))</f>
        <v> </v>
      </c>
      <c r="K6047" s="26" t="str">
        <f>IF(OR(E6047="",E6047="!!!",F6047="NEW"),"",INDEX(J$1:J6046,SUMPRODUCT(MAX(ROW(E$1:E6046)*(E6047=E$1:E6046)))))</f>
        <v> </v>
      </c>
      <c r="L6047" s="27"/>
    </row>
    <row r="6048" spans="1:12">
      <c r="A6048" s="20" t="s">
        <v>1004</v>
      </c>
      <c r="E6048" s="22">
        <f>IF(D6048="?OLD","!!!","")</f>
        <v/>
      </c>
      <c r="F6048" s="23" t="str">
        <f>IF(OR(E6048="",E6048="!!!"),"",IF(NOT(ISNA(VLOOKUP(E6048,E$1:E6047,1,FALSE()))),"OLD",IF(AND(E6048&lt;&gt;"",E6048&lt;&gt;"!!!"),"NEW","")))</f>
        <v> </v>
      </c>
      <c r="G6048" s="24" t="str">
        <f>IF(OR(E6048="",E6048="!!!"),"",IF(OR(J6048=0,AND(J6048=1,K6048=1),AND(J6048=1,I6048="SBJ"),AND(J6048=1,I6048=0)),"?IN_FOCUS",IF(J6048&lt;=2,"?ACTIVATED",IF(J6048&lt;&gt;"","?FAMILIAR",IF(F6048="NEW",IF(ISNA(VLOOKUP(E6048,#REF!,1,FALSE())),"?TYPE_IDENTIFIABLE","?REFERENTIAL"),"_")))))</f>
        <v> </v>
      </c>
      <c r="H6048" s="25" t="str">
        <f>IF(J6048&lt;&gt;1,"",IF(I6048="SBJ","CB","?"))</f>
        <v> </v>
      </c>
      <c r="I6048" s="26" t="str">
        <f>IF(OR(E6048="",E6048="!!!",F6048="NEW"),"",INDEX(B6047:B$2,-1+SUMPRODUCT(MAX(ROW(E6047:E$2)*(E6048=E6047:E$2)))))</f>
        <v> </v>
      </c>
      <c r="J6048" s="26" t="str">
        <f>IF(OR(E6048="",E6048="!!!",F6048="NEW"),"",COUNTBLANK(OFFSET(A$1,,,SUMPRODUCT(MAX(ROW(E$2:E6048)*(E6048=E$2:E6048)))))-COUNTBLANK(OFFSET(A$1,,,SUMPRODUCT(MAX(ROW(E$1:E6047)*(E2=E$1:E6047))))))</f>
        <v> </v>
      </c>
      <c r="K6048" s="26" t="str">
        <f>IF(OR(E6048="",E6048="!!!",F6048="NEW"),"",INDEX(J$1:J6047,SUMPRODUCT(MAX(ROW(E$1:E6047)*(E6048=E$1:E6047)))))</f>
        <v> </v>
      </c>
      <c r="L6048" s="27"/>
    </row>
    <row r="6049" spans="1:12">
      <c r="A6049" s="20" t="s">
        <v>1862</v>
      </c>
      <c r="E6049" s="22">
        <f>IF(D6049="?OLD","!!!","")</f>
        <v/>
      </c>
      <c r="F6049" s="23" t="str">
        <f>IF(OR(E6049="",E6049="!!!"),"",IF(NOT(ISNA(VLOOKUP(E6049,E$1:E6048,1,FALSE()))),"OLD",IF(AND(E6049&lt;&gt;"",E6049&lt;&gt;"!!!"),"NEW","")))</f>
        <v> </v>
      </c>
      <c r="G6049" s="24" t="str">
        <f>IF(OR(E6049="",E6049="!!!"),"",IF(OR(J6049=0,AND(J6049=1,K6049=1),AND(J6049=1,I6049="SBJ"),AND(J6049=1,I6049=0)),"?IN_FOCUS",IF(J6049&lt;=2,"?ACTIVATED",IF(J6049&lt;&gt;"","?FAMILIAR",IF(F6049="NEW",IF(ISNA(VLOOKUP(E6049,#REF!,1,FALSE())),"?TYPE_IDENTIFIABLE","?REFERENTIAL"),"_")))))</f>
        <v> </v>
      </c>
      <c r="H6049" s="25" t="str">
        <f>IF(J6049&lt;&gt;1,"",IF(I6049="SBJ","CB","?"))</f>
        <v> </v>
      </c>
      <c r="I6049" s="26" t="str">
        <f>IF(OR(E6049="",E6049="!!!",F6049="NEW"),"",INDEX(B6048:B$2,-1+SUMPRODUCT(MAX(ROW(E6048:E$2)*(E6049=E6048:E$2)))))</f>
        <v> </v>
      </c>
      <c r="J6049" s="26" t="str">
        <f>IF(OR(E6049="",E6049="!!!",F6049="NEW"),"",COUNTBLANK(OFFSET(A$1,,,SUMPRODUCT(MAX(ROW(E$2:E6049)*(E6049=E$2:E6049)))))-COUNTBLANK(OFFSET(A$1,,,SUMPRODUCT(MAX(ROW(E$1:E6048)*(E2=E$1:E6048))))))</f>
        <v> </v>
      </c>
      <c r="K6049" s="26" t="str">
        <f>IF(OR(E6049="",E6049="!!!",F6049="NEW"),"",INDEX(J$1:J6048,SUMPRODUCT(MAX(ROW(E$1:E6048)*(E6049=E$1:E6048)))))</f>
        <v> </v>
      </c>
      <c r="L6049" s="27"/>
    </row>
    <row r="6050" spans="1:12">
      <c r="A6050" s="20" t="s">
        <v>1002</v>
      </c>
      <c r="E6050" s="22">
        <f>IF(D6050="?OLD","!!!","")</f>
        <v/>
      </c>
      <c r="F6050" s="23" t="str">
        <f>IF(OR(E6050="",E6050="!!!"),"",IF(NOT(ISNA(VLOOKUP(E6050,E$1:E6049,1,FALSE()))),"OLD",IF(AND(E6050&lt;&gt;"",E6050&lt;&gt;"!!!"),"NEW","")))</f>
        <v> </v>
      </c>
      <c r="G6050" s="24" t="str">
        <f>IF(OR(E6050="",E6050="!!!"),"",IF(OR(J6050=0,AND(J6050=1,K6050=1),AND(J6050=1,I6050="SBJ"),AND(J6050=1,I6050=0)),"?IN_FOCUS",IF(J6050&lt;=2,"?ACTIVATED",IF(J6050&lt;&gt;"","?FAMILIAR",IF(F6050="NEW",IF(ISNA(VLOOKUP(E6050,#REF!,1,FALSE())),"?TYPE_IDENTIFIABLE","?REFERENTIAL"),"_")))))</f>
        <v> </v>
      </c>
      <c r="H6050" s="25" t="str">
        <f>IF(J6050&lt;&gt;1,"",IF(I6050="SBJ","CB","?"))</f>
        <v> </v>
      </c>
      <c r="I6050" s="26" t="str">
        <f>IF(OR(E6050="",E6050="!!!",F6050="NEW"),"",INDEX(B6049:B$2,-1+SUMPRODUCT(MAX(ROW(E6049:E$2)*(E6050=E6049:E$2)))))</f>
        <v> </v>
      </c>
      <c r="J6050" s="26" t="str">
        <f>IF(OR(E6050="",E6050="!!!",F6050="NEW"),"",COUNTBLANK(OFFSET(A$1,,,SUMPRODUCT(MAX(ROW(E$2:E6050)*(E6050=E$2:E6050)))))-COUNTBLANK(OFFSET(A$1,,,SUMPRODUCT(MAX(ROW(E$1:E6049)*(E2=E$1:E6049))))))</f>
        <v> </v>
      </c>
      <c r="K6050" s="26" t="str">
        <f>IF(OR(E6050="",E6050="!!!",F6050="NEW"),"",INDEX(J$1:J6049,SUMPRODUCT(MAX(ROW(E$1:E6049)*(E6050=E$1:E6049)))))</f>
        <v> </v>
      </c>
      <c r="L6050" s="27"/>
    </row>
    <row r="6051" spans="1:12">
      <c r="A6051" s="20" t="s">
        <v>1154</v>
      </c>
      <c r="B6051" s="21" t="s">
        <v>976</v>
      </c>
      <c r="C6051" s="21" t="s">
        <v>977</v>
      </c>
      <c r="D6051" s="21" t="s">
        <v>978</v>
      </c>
      <c r="E6051" s="22">
        <f>IF(D6051="?OLD","!!!","")</f>
        <v/>
      </c>
      <c r="F6051" s="23" t="str">
        <f>IF(OR(E6051="",E6051="!!!"),"",IF(NOT(ISNA(VLOOKUP(E6051,E$1:E6050,1,FALSE()))),"OLD",IF(AND(E6051&lt;&gt;"",E6051&lt;&gt;"!!!"),"NEW","")))</f>
        <v> </v>
      </c>
      <c r="G6051" s="24" t="str">
        <f>IF(OR(E6051="",E6051="!!!"),"",IF(OR(J6051=0,AND(J6051=1,K6051=1),AND(J6051=1,I6051="SBJ"),AND(J6051=1,I6051=0)),"?IN_FOCUS",IF(J6051&lt;=2,"?ACTIVATED",IF(J6051&lt;&gt;"","?FAMILIAR",IF(F6051="NEW",IF(ISNA(VLOOKUP(E6051,#REF!,1,FALSE())),"?TYPE_IDENTIFIABLE","?REFERENTIAL"),"_")))))</f>
        <v> </v>
      </c>
      <c r="H6051" s="25" t="str">
        <f>IF(J6051&lt;&gt;1,"",IF(I6051="SBJ","CB","?"))</f>
        <v> </v>
      </c>
      <c r="I6051" s="26" t="str">
        <f>IF(OR(E6051="",E6051="!!!",F6051="NEW"),"",INDEX(B6050:B$2,-1+SUMPRODUCT(MAX(ROW(E6050:E$2)*(E6051=E6050:E$2)))))</f>
        <v> </v>
      </c>
      <c r="J6051" s="26" t="str">
        <f>IF(OR(E6051="",E6051="!!!",F6051="NEW"),"",COUNTBLANK(OFFSET(A$1,,,SUMPRODUCT(MAX(ROW(E$2:E6051)*(E6051=E$2:E6051)))))-COUNTBLANK(OFFSET(A$1,,,SUMPRODUCT(MAX(ROW(E$1:E6050)*(E2=E$1:E6050))))))</f>
        <v> </v>
      </c>
      <c r="K6051" s="26" t="str">
        <f>IF(OR(E6051="",E6051="!!!",F6051="NEW"),"",INDEX(J$1:J6050,SUMPRODUCT(MAX(ROW(E$1:E6050)*(E6051=E$1:E6050)))))</f>
        <v> </v>
      </c>
      <c r="L6051" s="27"/>
    </row>
    <row r="6052" spans="1:12">
      <c r="A6052" s="20" t="s">
        <v>979</v>
      </c>
      <c r="E6052" s="22">
        <f>IF(D6052="?OLD","!!!","")</f>
        <v/>
      </c>
      <c r="F6052" s="23" t="str">
        <f>IF(OR(E6052="",E6052="!!!"),"",IF(NOT(ISNA(VLOOKUP(E6052,E$1:E6051,1,FALSE()))),"OLD",IF(AND(E6052&lt;&gt;"",E6052&lt;&gt;"!!!"),"NEW","")))</f>
        <v> </v>
      </c>
      <c r="G6052" s="24" t="str">
        <f>IF(OR(E6052="",E6052="!!!"),"",IF(OR(J6052=0,AND(J6052=1,K6052=1),AND(J6052=1,I6052="SBJ"),AND(J6052=1,I6052=0)),"?IN_FOCUS",IF(J6052&lt;=2,"?ACTIVATED",IF(J6052&lt;&gt;"","?FAMILIAR",IF(F6052="NEW",IF(ISNA(VLOOKUP(E6052,#REF!,1,FALSE())),"?TYPE_IDENTIFIABLE","?REFERENTIAL"),"_")))))</f>
        <v> </v>
      </c>
      <c r="H6052" s="25" t="str">
        <f>IF(J6052&lt;&gt;1,"",IF(I6052="SBJ","CB","?"))</f>
        <v> </v>
      </c>
      <c r="I6052" s="26" t="str">
        <f>IF(OR(E6052="",E6052="!!!",F6052="NEW"),"",INDEX(B6051:B$2,-1+SUMPRODUCT(MAX(ROW(E6051:E$2)*(E6052=E6051:E$2)))))</f>
        <v> </v>
      </c>
      <c r="J6052" s="26" t="str">
        <f>IF(OR(E6052="",E6052="!!!",F6052="NEW"),"",COUNTBLANK(OFFSET(A$1,,,SUMPRODUCT(MAX(ROW(E$2:E6052)*(E6052=E$2:E6052)))))-COUNTBLANK(OFFSET(A$1,,,SUMPRODUCT(MAX(ROW(E$1:E6051)*(E2=E$1:E6051))))))</f>
        <v> </v>
      </c>
      <c r="K6052" s="26" t="str">
        <f>IF(OR(E6052="",E6052="!!!",F6052="NEW"),"",INDEX(J$1:J6051,SUMPRODUCT(MAX(ROW(E$1:E6051)*(E6052=E$1:E6051)))))</f>
        <v> </v>
      </c>
      <c r="L6052" s="27"/>
    </row>
    <row r="6053" spans="1:12">
      <c r="A6053" s="20" t="s">
        <v>1138</v>
      </c>
      <c r="E6053" s="22">
        <f>IF(D6053="?OLD","!!!","")</f>
        <v/>
      </c>
      <c r="F6053" s="23" t="str">
        <f>IF(OR(E6053="",E6053="!!!"),"",IF(NOT(ISNA(VLOOKUP(E6053,E$1:E6052,1,FALSE()))),"OLD",IF(AND(E6053&lt;&gt;"",E6053&lt;&gt;"!!!"),"NEW","")))</f>
        <v> </v>
      </c>
      <c r="G6053" s="24" t="str">
        <f>IF(OR(E6053="",E6053="!!!"),"",IF(OR(J6053=0,AND(J6053=1,K6053=1),AND(J6053=1,I6053="SBJ"),AND(J6053=1,I6053=0)),"?IN_FOCUS",IF(J6053&lt;=2,"?ACTIVATED",IF(J6053&lt;&gt;"","?FAMILIAR",IF(F6053="NEW",IF(ISNA(VLOOKUP(E6053,#REF!,1,FALSE())),"?TYPE_IDENTIFIABLE","?REFERENTIAL"),"_")))))</f>
        <v> </v>
      </c>
      <c r="H6053" s="25" t="str">
        <f>IF(J6053&lt;&gt;1,"",IF(I6053="SBJ","CB","?"))</f>
        <v> </v>
      </c>
      <c r="I6053" s="26" t="str">
        <f>IF(OR(E6053="",E6053="!!!",F6053="NEW"),"",INDEX(B6052:B$2,-1+SUMPRODUCT(MAX(ROW(E6052:E$2)*(E6053=E6052:E$2)))))</f>
        <v> </v>
      </c>
      <c r="J6053" s="26" t="str">
        <f>IF(OR(E6053="",E6053="!!!",F6053="NEW"),"",COUNTBLANK(OFFSET(A$1,,,SUMPRODUCT(MAX(ROW(E$2:E6053)*(E6053=E$2:E6053)))))-COUNTBLANK(OFFSET(A$1,,,SUMPRODUCT(MAX(ROW(E$1:E6052)*(E2=E$1:E6052))))))</f>
        <v> </v>
      </c>
      <c r="K6053" s="26" t="str">
        <f>IF(OR(E6053="",E6053="!!!",F6053="NEW"),"",INDEX(J$1:J6052,SUMPRODUCT(MAX(ROW(E$1:E6052)*(E6053=E$1:E6052)))))</f>
        <v> </v>
      </c>
      <c r="L6053" s="27"/>
    </row>
    <row r="6054" spans="1:12">
      <c r="A6054" s="20" t="s">
        <v>1038</v>
      </c>
      <c r="E6054" s="22">
        <f>IF(D6054="?OLD","!!!","")</f>
        <v/>
      </c>
      <c r="F6054" s="23" t="str">
        <f>IF(OR(E6054="",E6054="!!!"),"",IF(NOT(ISNA(VLOOKUP(E6054,E$1:E6053,1,FALSE()))),"OLD",IF(AND(E6054&lt;&gt;"",E6054&lt;&gt;"!!!"),"NEW","")))</f>
        <v> </v>
      </c>
      <c r="G6054" s="24" t="str">
        <f>IF(OR(E6054="",E6054="!!!"),"",IF(OR(J6054=0,AND(J6054=1,K6054=1),AND(J6054=1,I6054="SBJ"),AND(J6054=1,I6054=0)),"?IN_FOCUS",IF(J6054&lt;=2,"?ACTIVATED",IF(J6054&lt;&gt;"","?FAMILIAR",IF(F6054="NEW",IF(ISNA(VLOOKUP(E6054,#REF!,1,FALSE())),"?TYPE_IDENTIFIABLE","?REFERENTIAL"),"_")))))</f>
        <v> </v>
      </c>
      <c r="H6054" s="25" t="str">
        <f>IF(J6054&lt;&gt;1,"",IF(I6054="SBJ","CB","?"))</f>
        <v> </v>
      </c>
      <c r="I6054" s="26" t="str">
        <f>IF(OR(E6054="",E6054="!!!",F6054="NEW"),"",INDEX(B6053:B$2,-1+SUMPRODUCT(MAX(ROW(E6053:E$2)*(E6054=E6053:E$2)))))</f>
        <v> </v>
      </c>
      <c r="J6054" s="26" t="str">
        <f>IF(OR(E6054="",E6054="!!!",F6054="NEW"),"",COUNTBLANK(OFFSET(A$1,,,SUMPRODUCT(MAX(ROW(E$2:E6054)*(E6054=E$2:E6054)))))-COUNTBLANK(OFFSET(A$1,,,SUMPRODUCT(MAX(ROW(E$1:E6053)*(E2=E$1:E6053))))))</f>
        <v> </v>
      </c>
      <c r="K6054" s="26" t="str">
        <f>IF(OR(E6054="",E6054="!!!",F6054="NEW"),"",INDEX(J$1:J6053,SUMPRODUCT(MAX(ROW(E$1:E6053)*(E6054=E$1:E6053)))))</f>
        <v> </v>
      </c>
      <c r="L6054" s="27"/>
    </row>
    <row r="6055" spans="1:12">
      <c r="A6055" s="20" t="s">
        <v>1141</v>
      </c>
      <c r="B6055" s="21" t="s">
        <v>989</v>
      </c>
      <c r="C6055" s="21" t="s">
        <v>1008</v>
      </c>
      <c r="D6055" s="21" t="s">
        <v>978</v>
      </c>
      <c r="E6055" s="22">
        <f>IF(D6055="?OLD","!!!","")</f>
        <v/>
      </c>
      <c r="F6055" s="23" t="str">
        <f>IF(OR(E6055="",E6055="!!!"),"",IF(NOT(ISNA(VLOOKUP(E6055,E$1:E6054,1,FALSE()))),"OLD",IF(AND(E6055&lt;&gt;"",E6055&lt;&gt;"!!!"),"NEW","")))</f>
        <v> </v>
      </c>
      <c r="G6055" s="24" t="str">
        <f>IF(OR(E6055="",E6055="!!!"),"",IF(OR(J6055=0,AND(J6055=1,K6055=1),AND(J6055=1,I6055="SBJ"),AND(J6055=1,I6055=0)),"?IN_FOCUS",IF(J6055&lt;=2,"?ACTIVATED",IF(J6055&lt;&gt;"","?FAMILIAR",IF(F6055="NEW",IF(ISNA(VLOOKUP(E6055,#REF!,1,FALSE())),"?TYPE_IDENTIFIABLE","?REFERENTIAL"),"_")))))</f>
        <v> </v>
      </c>
      <c r="H6055" s="25" t="str">
        <f>IF(J6055&lt;&gt;1,"",IF(I6055="SBJ","CB","?"))</f>
        <v> </v>
      </c>
      <c r="I6055" s="26" t="str">
        <f>IF(OR(E6055="",E6055="!!!",F6055="NEW"),"",INDEX(B6054:B$2,-1+SUMPRODUCT(MAX(ROW(E6054:E$2)*(E6055=E6054:E$2)))))</f>
        <v> </v>
      </c>
      <c r="J6055" s="26" t="str">
        <f>IF(OR(E6055="",E6055="!!!",F6055="NEW"),"",COUNTBLANK(OFFSET(A$1,,,SUMPRODUCT(MAX(ROW(E$2:E6055)*(E6055=E$2:E6055)))))-COUNTBLANK(OFFSET(A$1,,,SUMPRODUCT(MAX(ROW(E$1:E6054)*(E2=E$1:E6054))))))</f>
        <v> </v>
      </c>
      <c r="K6055" s="26" t="str">
        <f>IF(OR(E6055="",E6055="!!!",F6055="NEW"),"",INDEX(J$1:J6054,SUMPRODUCT(MAX(ROW(E$1:E6054)*(E6055=E$1:E6054)))))</f>
        <v> </v>
      </c>
      <c r="L6055" s="27"/>
    </row>
    <row r="6056" spans="1:12">
      <c r="A6056" s="20" t="s">
        <v>1142</v>
      </c>
      <c r="B6056" s="21" t="s">
        <v>1066</v>
      </c>
      <c r="E6056" s="22">
        <f>IF(D6056="?OLD","!!!","")</f>
        <v/>
      </c>
      <c r="F6056" s="23" t="str">
        <f>IF(OR(E6056="",E6056="!!!"),"",IF(NOT(ISNA(VLOOKUP(E6056,E$1:E6055,1,FALSE()))),"OLD",IF(AND(E6056&lt;&gt;"",E6056&lt;&gt;"!!!"),"NEW","")))</f>
        <v> </v>
      </c>
      <c r="G6056" s="24" t="str">
        <f>IF(OR(E6056="",E6056="!!!"),"",IF(OR(J6056=0,AND(J6056=1,K6056=1),AND(J6056=1,I6056="SBJ"),AND(J6056=1,I6056=0)),"?IN_FOCUS",IF(J6056&lt;=2,"?ACTIVATED",IF(J6056&lt;&gt;"","?FAMILIAR",IF(F6056="NEW",IF(ISNA(VLOOKUP(E6056,#REF!,1,FALSE())),"?TYPE_IDENTIFIABLE","?REFERENTIAL"),"_")))))</f>
        <v> </v>
      </c>
      <c r="H6056" s="25" t="str">
        <f>IF(J6056&lt;&gt;1,"",IF(I6056="SBJ","CB","?"))</f>
        <v> </v>
      </c>
      <c r="I6056" s="26" t="str">
        <f>IF(OR(E6056="",E6056="!!!",F6056="NEW"),"",INDEX(B6055:B$2,-1+SUMPRODUCT(MAX(ROW(E6055:E$2)*(E6056=E6055:E$2)))))</f>
        <v> </v>
      </c>
      <c r="J6056" s="26" t="str">
        <f>IF(OR(E6056="",E6056="!!!",F6056="NEW"),"",COUNTBLANK(OFFSET(A$1,,,SUMPRODUCT(MAX(ROW(E$2:E6056)*(E6056=E$2:E6056)))))-COUNTBLANK(OFFSET(A$1,,,SUMPRODUCT(MAX(ROW(E$1:E6055)*(E2=E$1:E6055))))))</f>
        <v> </v>
      </c>
      <c r="K6056" s="26" t="str">
        <f>IF(OR(E6056="",E6056="!!!",F6056="NEW"),"",INDEX(J$1:J6055,SUMPRODUCT(MAX(ROW(E$1:E6055)*(E6056=E$1:E6055)))))</f>
        <v> </v>
      </c>
      <c r="L6056" s="27"/>
    </row>
    <row r="6057" spans="1:12">
      <c r="A6057" s="20" t="s">
        <v>2506</v>
      </c>
      <c r="E6057" s="22">
        <f>IF(D6057="?OLD","!!!","")</f>
        <v/>
      </c>
      <c r="F6057" s="23" t="str">
        <f>IF(OR(E6057="",E6057="!!!"),"",IF(NOT(ISNA(VLOOKUP(E6057,E$1:E6056,1,FALSE()))),"OLD",IF(AND(E6057&lt;&gt;"",E6057&lt;&gt;"!!!"),"NEW","")))</f>
        <v> </v>
      </c>
      <c r="G6057" s="24" t="str">
        <f>IF(OR(E6057="",E6057="!!!"),"",IF(OR(J6057=0,AND(J6057=1,K6057=1),AND(J6057=1,I6057="SBJ"),AND(J6057=1,I6057=0)),"?IN_FOCUS",IF(J6057&lt;=2,"?ACTIVATED",IF(J6057&lt;&gt;"","?FAMILIAR",IF(F6057="NEW",IF(ISNA(VLOOKUP(E6057,#REF!,1,FALSE())),"?TYPE_IDENTIFIABLE","?REFERENTIAL"),"_")))))</f>
        <v> </v>
      </c>
      <c r="H6057" s="25" t="str">
        <f>IF(J6057&lt;&gt;1,"",IF(I6057="SBJ","CB","?"))</f>
        <v> </v>
      </c>
      <c r="I6057" s="26" t="str">
        <f>IF(OR(E6057="",E6057="!!!",F6057="NEW"),"",INDEX(B6056:B$2,-1+SUMPRODUCT(MAX(ROW(E6056:E$2)*(E6057=E6056:E$2)))))</f>
        <v> </v>
      </c>
      <c r="J6057" s="26" t="str">
        <f>IF(OR(E6057="",E6057="!!!",F6057="NEW"),"",COUNTBLANK(OFFSET(A$1,,,SUMPRODUCT(MAX(ROW(E$2:E6057)*(E6057=E$2:E6057)))))-COUNTBLANK(OFFSET(A$1,,,SUMPRODUCT(MAX(ROW(E$1:E6056)*(E2=E$1:E6056))))))</f>
        <v> </v>
      </c>
      <c r="K6057" s="26" t="str">
        <f>IF(OR(E6057="",E6057="!!!",F6057="NEW"),"",INDEX(J$1:J6056,SUMPRODUCT(MAX(ROW(E$1:E6056)*(E6057=E$1:E6056)))))</f>
        <v> </v>
      </c>
      <c r="L6057" s="27"/>
    </row>
    <row r="6058" spans="1:12">
      <c r="A6058" s="20" t="s">
        <v>1253</v>
      </c>
      <c r="B6058" s="21" t="s">
        <v>1007</v>
      </c>
      <c r="C6058" s="21" t="s">
        <v>987</v>
      </c>
      <c r="D6058" s="21" t="s">
        <v>978</v>
      </c>
      <c r="E6058" s="22">
        <f>IF(D6058="?OLD","!!!","")</f>
        <v/>
      </c>
      <c r="F6058" s="23" t="str">
        <f>IF(OR(E6058="",E6058="!!!"),"",IF(NOT(ISNA(VLOOKUP(E6058,E$1:E6057,1,FALSE()))),"OLD",IF(AND(E6058&lt;&gt;"",E6058&lt;&gt;"!!!"),"NEW","")))</f>
        <v> </v>
      </c>
      <c r="G6058" s="24" t="str">
        <f>IF(OR(E6058="",E6058="!!!"),"",IF(OR(J6058=0,AND(J6058=1,K6058=1),AND(J6058=1,I6058="SBJ"),AND(J6058=1,I6058=0)),"?IN_FOCUS",IF(J6058&lt;=2,"?ACTIVATED",IF(J6058&lt;&gt;"","?FAMILIAR",IF(F6058="NEW",IF(ISNA(VLOOKUP(E6058,#REF!,1,FALSE())),"?TYPE_IDENTIFIABLE","?REFERENTIAL"),"_")))))</f>
        <v> </v>
      </c>
      <c r="H6058" s="25" t="str">
        <f>IF(J6058&lt;&gt;1,"",IF(I6058="SBJ","CB","?"))</f>
        <v> </v>
      </c>
      <c r="I6058" s="26" t="str">
        <f>IF(OR(E6058="",E6058="!!!",F6058="NEW"),"",INDEX(B6057:B$2,-1+SUMPRODUCT(MAX(ROW(E6057:E$2)*(E6058=E6057:E$2)))))</f>
        <v> </v>
      </c>
      <c r="J6058" s="26" t="str">
        <f>IF(OR(E6058="",E6058="!!!",F6058="NEW"),"",COUNTBLANK(OFFSET(A$1,,,SUMPRODUCT(MAX(ROW(E$2:E6058)*(E6058=E$2:E6058)))))-COUNTBLANK(OFFSET(A$1,,,SUMPRODUCT(MAX(ROW(E$1:E6057)*(E2=E$1:E6057))))))</f>
        <v> </v>
      </c>
      <c r="K6058" s="26" t="str">
        <f>IF(OR(E6058="",E6058="!!!",F6058="NEW"),"",INDEX(J$1:J6057,SUMPRODUCT(MAX(ROW(E$1:E6057)*(E6058=E$1:E6057)))))</f>
        <v> </v>
      </c>
      <c r="L6058" s="27"/>
    </row>
    <row r="6059" spans="1:12">
      <c r="A6059" s="20" t="s">
        <v>2104</v>
      </c>
      <c r="B6059" s="21" t="s">
        <v>1101</v>
      </c>
      <c r="C6059" s="21" t="s">
        <v>990</v>
      </c>
      <c r="D6059" s="21" t="s">
        <v>978</v>
      </c>
      <c r="E6059" s="22">
        <f>IF(D6059="?OLD","!!!","")</f>
        <v/>
      </c>
      <c r="F6059" s="23" t="str">
        <f>IF(OR(E6059="",E6059="!!!"),"",IF(NOT(ISNA(VLOOKUP(E6059,E$1:E6058,1,FALSE()))),"OLD",IF(AND(E6059&lt;&gt;"",E6059&lt;&gt;"!!!"),"NEW","")))</f>
        <v> </v>
      </c>
      <c r="G6059" s="24" t="str">
        <f>IF(OR(E6059="",E6059="!!!"),"",IF(OR(J6059=0,AND(J6059=1,K6059=1),AND(J6059=1,I6059="SBJ"),AND(J6059=1,I6059=0)),"?IN_FOCUS",IF(J6059&lt;=2,"?ACTIVATED",IF(J6059&lt;&gt;"","?FAMILIAR",IF(F6059="NEW",IF(ISNA(VLOOKUP(E6059,#REF!,1,FALSE())),"?TYPE_IDENTIFIABLE","?REFERENTIAL"),"_")))))</f>
        <v> </v>
      </c>
      <c r="H6059" s="25" t="str">
        <f>IF(J6059&lt;&gt;1,"",IF(I6059="SBJ","CB","?"))</f>
        <v> </v>
      </c>
      <c r="I6059" s="26" t="str">
        <f>IF(OR(E6059="",E6059="!!!",F6059="NEW"),"",INDEX(B6058:B$2,-1+SUMPRODUCT(MAX(ROW(E6058:E$2)*(E6059=E6058:E$2)))))</f>
        <v> </v>
      </c>
      <c r="J6059" s="26" t="str">
        <f>IF(OR(E6059="",E6059="!!!",F6059="NEW"),"",COUNTBLANK(OFFSET(A$1,,,SUMPRODUCT(MAX(ROW(E$2:E6059)*(E6059=E$2:E6059)))))-COUNTBLANK(OFFSET(A$1,,,SUMPRODUCT(MAX(ROW(E$1:E6058)*(E2=E$1:E6058))))))</f>
        <v> </v>
      </c>
      <c r="K6059" s="26" t="str">
        <f>IF(OR(E6059="",E6059="!!!",F6059="NEW"),"",INDEX(J$1:J6058,SUMPRODUCT(MAX(ROW(E$1:E6058)*(E6059=E$1:E6058)))))</f>
        <v> </v>
      </c>
      <c r="L6059" s="27"/>
    </row>
    <row r="6060" spans="1:12">
      <c r="A6060" s="20" t="s">
        <v>1002</v>
      </c>
      <c r="E6060" s="22">
        <f>IF(D6060="?OLD","!!!","")</f>
        <v/>
      </c>
      <c r="F6060" s="23" t="str">
        <f>IF(OR(E6060="",E6060="!!!"),"",IF(NOT(ISNA(VLOOKUP(E6060,E$1:E6059,1,FALSE()))),"OLD",IF(AND(E6060&lt;&gt;"",E6060&lt;&gt;"!!!"),"NEW","")))</f>
        <v> </v>
      </c>
      <c r="G6060" s="24" t="str">
        <f>IF(OR(E6060="",E6060="!!!"),"",IF(OR(J6060=0,AND(J6060=1,K6060=1),AND(J6060=1,I6060="SBJ"),AND(J6060=1,I6060=0)),"?IN_FOCUS",IF(J6060&lt;=2,"?ACTIVATED",IF(J6060&lt;&gt;"","?FAMILIAR",IF(F6060="NEW",IF(ISNA(VLOOKUP(E6060,#REF!,1,FALSE())),"?TYPE_IDENTIFIABLE","?REFERENTIAL"),"_")))))</f>
        <v> </v>
      </c>
      <c r="H6060" s="25" t="str">
        <f>IF(J6060&lt;&gt;1,"",IF(I6060="SBJ","CB","?"))</f>
        <v> </v>
      </c>
      <c r="I6060" s="26" t="str">
        <f>IF(OR(E6060="",E6060="!!!",F6060="NEW"),"",INDEX(B6059:B$2,-1+SUMPRODUCT(MAX(ROW(E6059:E$2)*(E6060=E6059:E$2)))))</f>
        <v> </v>
      </c>
      <c r="J6060" s="26" t="str">
        <f>IF(OR(E6060="",E6060="!!!",F6060="NEW"),"",COUNTBLANK(OFFSET(A$1,,,SUMPRODUCT(MAX(ROW(E$2:E6060)*(E6060=E$2:E6060)))))-COUNTBLANK(OFFSET(A$1,,,SUMPRODUCT(MAX(ROW(E$1:E6059)*(E2=E$1:E6059))))))</f>
        <v> </v>
      </c>
      <c r="K6060" s="26" t="str">
        <f>IF(OR(E6060="",E6060="!!!",F6060="NEW"),"",INDEX(J$1:J6059,SUMPRODUCT(MAX(ROW(E$1:E6059)*(E6060=E$1:E6059)))))</f>
        <v> </v>
      </c>
      <c r="L6060" s="27"/>
    </row>
    <row r="6061" spans="1:12">
      <c r="A6061" s="20" t="s">
        <v>1141</v>
      </c>
      <c r="B6061" s="21" t="s">
        <v>986</v>
      </c>
      <c r="C6061" s="21" t="s">
        <v>1008</v>
      </c>
      <c r="D6061" s="21" t="s">
        <v>978</v>
      </c>
      <c r="E6061" s="22">
        <f>IF(D6061="?OLD","!!!","")</f>
        <v/>
      </c>
      <c r="F6061" s="23" t="str">
        <f>IF(OR(E6061="",E6061="!!!"),"",IF(NOT(ISNA(VLOOKUP(E6061,E$1:E6060,1,FALSE()))),"OLD",IF(AND(E6061&lt;&gt;"",E6061&lt;&gt;"!!!"),"NEW","")))</f>
        <v> </v>
      </c>
      <c r="G6061" s="24" t="str">
        <f>IF(OR(E6061="",E6061="!!!"),"",IF(OR(J6061=0,AND(J6061=1,K6061=1),AND(J6061=1,I6061="SBJ"),AND(J6061=1,I6061=0)),"?IN_FOCUS",IF(J6061&lt;=2,"?ACTIVATED",IF(J6061&lt;&gt;"","?FAMILIAR",IF(F6061="NEW",IF(ISNA(VLOOKUP(E6061,#REF!,1,FALSE())),"?TYPE_IDENTIFIABLE","?REFERENTIAL"),"_")))))</f>
        <v> </v>
      </c>
      <c r="H6061" s="25" t="str">
        <f>IF(J6061&lt;&gt;1,"",IF(I6061="SBJ","CB","?"))</f>
        <v> </v>
      </c>
      <c r="I6061" s="26" t="str">
        <f>IF(OR(E6061="",E6061="!!!",F6061="NEW"),"",INDEX(B6060:B$2,-1+SUMPRODUCT(MAX(ROW(E6060:E$2)*(E6061=E6060:E$2)))))</f>
        <v> </v>
      </c>
      <c r="J6061" s="26" t="str">
        <f>IF(OR(E6061="",E6061="!!!",F6061="NEW"),"",COUNTBLANK(OFFSET(A$1,,,SUMPRODUCT(MAX(ROW(E$2:E6061)*(E6061=E$2:E6061)))))-COUNTBLANK(OFFSET(A$1,,,SUMPRODUCT(MAX(ROW(E$1:E6060)*(E2=E$1:E6060))))))</f>
        <v> </v>
      </c>
      <c r="K6061" s="26" t="str">
        <f>IF(OR(E6061="",E6061="!!!",F6061="NEW"),"",INDEX(J$1:J6060,SUMPRODUCT(MAX(ROW(E$1:E6060)*(E6061=E$1:E6060)))))</f>
        <v> </v>
      </c>
      <c r="L6061" s="27"/>
    </row>
    <row r="6062" spans="1:12">
      <c r="A6062" s="20" t="s">
        <v>1142</v>
      </c>
      <c r="B6062" s="21" t="s">
        <v>1035</v>
      </c>
      <c r="E6062" s="22">
        <f>IF(D6062="?OLD","!!!","")</f>
        <v/>
      </c>
      <c r="F6062" s="23" t="str">
        <f>IF(OR(E6062="",E6062="!!!"),"",IF(NOT(ISNA(VLOOKUP(E6062,E$1:E6061,1,FALSE()))),"OLD",IF(AND(E6062&lt;&gt;"",E6062&lt;&gt;"!!!"),"NEW","")))</f>
        <v> </v>
      </c>
      <c r="G6062" s="24" t="str">
        <f>IF(OR(E6062="",E6062="!!!"),"",IF(OR(J6062=0,AND(J6062=1,K6062=1),AND(J6062=1,I6062="SBJ"),AND(J6062=1,I6062=0)),"?IN_FOCUS",IF(J6062&lt;=2,"?ACTIVATED",IF(J6062&lt;&gt;"","?FAMILIAR",IF(F6062="NEW",IF(ISNA(VLOOKUP(E6062,#REF!,1,FALSE())),"?TYPE_IDENTIFIABLE","?REFERENTIAL"),"_")))))</f>
        <v> </v>
      </c>
      <c r="H6062" s="25" t="str">
        <f>IF(J6062&lt;&gt;1,"",IF(I6062="SBJ","CB","?"))</f>
        <v> </v>
      </c>
      <c r="I6062" s="26" t="str">
        <f>IF(OR(E6062="",E6062="!!!",F6062="NEW"),"",INDEX(B6061:B$2,-1+SUMPRODUCT(MAX(ROW(E6061:E$2)*(E6062=E6061:E$2)))))</f>
        <v> </v>
      </c>
      <c r="J6062" s="26" t="str">
        <f>IF(OR(E6062="",E6062="!!!",F6062="NEW"),"",COUNTBLANK(OFFSET(A$1,,,SUMPRODUCT(MAX(ROW(E$2:E6062)*(E6062=E$2:E6062)))))-COUNTBLANK(OFFSET(A$1,,,SUMPRODUCT(MAX(ROW(E$1:E6061)*(E2=E$1:E6061))))))</f>
        <v> </v>
      </c>
      <c r="K6062" s="26" t="str">
        <f>IF(OR(E6062="",E6062="!!!",F6062="NEW"),"",INDEX(J$1:J6061,SUMPRODUCT(MAX(ROW(E$1:E6061)*(E6062=E$1:E6061)))))</f>
        <v> </v>
      </c>
      <c r="L6062" s="27"/>
    </row>
    <row r="6063" spans="1:12">
      <c r="A6063" s="20" t="s">
        <v>1753</v>
      </c>
      <c r="E6063" s="22">
        <f>IF(D6063="?OLD","!!!","")</f>
        <v/>
      </c>
      <c r="F6063" s="23" t="str">
        <f>IF(OR(E6063="",E6063="!!!"),"",IF(NOT(ISNA(VLOOKUP(E6063,E$1:E6062,1,FALSE()))),"OLD",IF(AND(E6063&lt;&gt;"",E6063&lt;&gt;"!!!"),"NEW","")))</f>
        <v> </v>
      </c>
      <c r="G6063" s="24" t="str">
        <f>IF(OR(E6063="",E6063="!!!"),"",IF(OR(J6063=0,AND(J6063=1,K6063=1),AND(J6063=1,I6063="SBJ"),AND(J6063=1,I6063=0)),"?IN_FOCUS",IF(J6063&lt;=2,"?ACTIVATED",IF(J6063&lt;&gt;"","?FAMILIAR",IF(F6063="NEW",IF(ISNA(VLOOKUP(E6063,#REF!,1,FALSE())),"?TYPE_IDENTIFIABLE","?REFERENTIAL"),"_")))))</f>
        <v> </v>
      </c>
      <c r="H6063" s="25" t="str">
        <f>IF(J6063&lt;&gt;1,"",IF(I6063="SBJ","CB","?"))</f>
        <v> </v>
      </c>
      <c r="I6063" s="26" t="str">
        <f>IF(OR(E6063="",E6063="!!!",F6063="NEW"),"",INDEX(B6062:B$2,-1+SUMPRODUCT(MAX(ROW(E6062:E$2)*(E6063=E6062:E$2)))))</f>
        <v> </v>
      </c>
      <c r="J6063" s="26" t="str">
        <f>IF(OR(E6063="",E6063="!!!",F6063="NEW"),"",COUNTBLANK(OFFSET(A$1,,,SUMPRODUCT(MAX(ROW(E$2:E6063)*(E6063=E$2:E6063)))))-COUNTBLANK(OFFSET(A$1,,,SUMPRODUCT(MAX(ROW(E$1:E6062)*(E2=E$1:E6062))))))</f>
        <v> </v>
      </c>
      <c r="K6063" s="26" t="str">
        <f>IF(OR(E6063="",E6063="!!!",F6063="NEW"),"",INDEX(J$1:J6062,SUMPRODUCT(MAX(ROW(E$1:E6062)*(E6063=E$1:E6062)))))</f>
        <v> </v>
      </c>
      <c r="L6063" s="27"/>
    </row>
    <row r="6064" spans="1:12">
      <c r="A6064" s="20" t="s">
        <v>1216</v>
      </c>
      <c r="E6064" s="22">
        <f>IF(D6064="?OLD","!!!","")</f>
        <v/>
      </c>
      <c r="F6064" s="23" t="str">
        <f>IF(OR(E6064="",E6064="!!!"),"",IF(NOT(ISNA(VLOOKUP(E6064,E$1:E6063,1,FALSE()))),"OLD",IF(AND(E6064&lt;&gt;"",E6064&lt;&gt;"!!!"),"NEW","")))</f>
        <v> </v>
      </c>
      <c r="G6064" s="24" t="str">
        <f>IF(OR(E6064="",E6064="!!!"),"",IF(OR(J6064=0,AND(J6064=1,K6064=1),AND(J6064=1,I6064="SBJ"),AND(J6064=1,I6064=0)),"?IN_FOCUS",IF(J6064&lt;=2,"?ACTIVATED",IF(J6064&lt;&gt;"","?FAMILIAR",IF(F6064="NEW",IF(ISNA(VLOOKUP(E6064,#REF!,1,FALSE())),"?TYPE_IDENTIFIABLE","?REFERENTIAL"),"_")))))</f>
        <v> </v>
      </c>
      <c r="H6064" s="25" t="str">
        <f>IF(J6064&lt;&gt;1,"",IF(I6064="SBJ","CB","?"))</f>
        <v> </v>
      </c>
      <c r="I6064" s="26" t="str">
        <f>IF(OR(E6064="",E6064="!!!",F6064="NEW"),"",INDEX(B6063:B$2,-1+SUMPRODUCT(MAX(ROW(E6063:E$2)*(E6064=E6063:E$2)))))</f>
        <v> </v>
      </c>
      <c r="J6064" s="26" t="str">
        <f>IF(OR(E6064="",E6064="!!!",F6064="NEW"),"",COUNTBLANK(OFFSET(A$1,,,SUMPRODUCT(MAX(ROW(E$2:E6064)*(E6064=E$2:E6064)))))-COUNTBLANK(OFFSET(A$1,,,SUMPRODUCT(MAX(ROW(E$1:E6063)*(E2=E$1:E6063))))))</f>
        <v> </v>
      </c>
      <c r="K6064" s="26" t="str">
        <f>IF(OR(E6064="",E6064="!!!",F6064="NEW"),"",INDEX(J$1:J6063,SUMPRODUCT(MAX(ROW(E$1:E6063)*(E6064=E$1:E6063)))))</f>
        <v> </v>
      </c>
      <c r="L6064" s="27"/>
    </row>
    <row r="6065" spans="1:12">
      <c r="A6065" s="20" t="s">
        <v>1217</v>
      </c>
      <c r="E6065" s="22">
        <f>IF(D6065="?OLD","!!!","")</f>
        <v/>
      </c>
      <c r="F6065" s="23" t="str">
        <f>IF(OR(E6065="",E6065="!!!"),"",IF(NOT(ISNA(VLOOKUP(E6065,E$1:E6064,1,FALSE()))),"OLD",IF(AND(E6065&lt;&gt;"",E6065&lt;&gt;"!!!"),"NEW","")))</f>
        <v> </v>
      </c>
      <c r="G6065" s="24" t="str">
        <f>IF(OR(E6065="",E6065="!!!"),"",IF(OR(J6065=0,AND(J6065=1,K6065=1),AND(J6065=1,I6065="SBJ"),AND(J6065=1,I6065=0)),"?IN_FOCUS",IF(J6065&lt;=2,"?ACTIVATED",IF(J6065&lt;&gt;"","?FAMILIAR",IF(F6065="NEW",IF(ISNA(VLOOKUP(E6065,#REF!,1,FALSE())),"?TYPE_IDENTIFIABLE","?REFERENTIAL"),"_")))))</f>
        <v> </v>
      </c>
      <c r="H6065" s="25" t="str">
        <f>IF(J6065&lt;&gt;1,"",IF(I6065="SBJ","CB","?"))</f>
        <v> </v>
      </c>
      <c r="I6065" s="26" t="str">
        <f>IF(OR(E6065="",E6065="!!!",F6065="NEW"),"",INDEX(B6064:B$2,-1+SUMPRODUCT(MAX(ROW(E6064:E$2)*(E6065=E6064:E$2)))))</f>
        <v> </v>
      </c>
      <c r="J6065" s="26" t="str">
        <f>IF(OR(E6065="",E6065="!!!",F6065="NEW"),"",COUNTBLANK(OFFSET(A$1,,,SUMPRODUCT(MAX(ROW(E$2:E6065)*(E6065=E$2:E6065)))))-COUNTBLANK(OFFSET(A$1,,,SUMPRODUCT(MAX(ROW(E$1:E6064)*(E2=E$1:E6064))))))</f>
        <v> </v>
      </c>
      <c r="K6065" s="26" t="str">
        <f>IF(OR(E6065="",E6065="!!!",F6065="NEW"),"",INDEX(J$1:J6064,SUMPRODUCT(MAX(ROW(E$1:E6064)*(E6065=E$1:E6064)))))</f>
        <v> </v>
      </c>
      <c r="L6065" s="27"/>
    </row>
    <row r="6066" spans="1:12">
      <c r="A6066" s="20" t="s">
        <v>1357</v>
      </c>
      <c r="E6066" s="22">
        <f>IF(D6066="?OLD","!!!","")</f>
        <v/>
      </c>
      <c r="F6066" s="23" t="str">
        <f>IF(OR(E6066="",E6066="!!!"),"",IF(NOT(ISNA(VLOOKUP(E6066,E$1:E6065,1,FALSE()))),"OLD",IF(AND(E6066&lt;&gt;"",E6066&lt;&gt;"!!!"),"NEW","")))</f>
        <v> </v>
      </c>
      <c r="G6066" s="24" t="str">
        <f>IF(OR(E6066="",E6066="!!!"),"",IF(OR(J6066=0,AND(J6066=1,K6066=1),AND(J6066=1,I6066="SBJ"),AND(J6066=1,I6066=0)),"?IN_FOCUS",IF(J6066&lt;=2,"?ACTIVATED",IF(J6066&lt;&gt;"","?FAMILIAR",IF(F6066="NEW",IF(ISNA(VLOOKUP(E6066,#REF!,1,FALSE())),"?TYPE_IDENTIFIABLE","?REFERENTIAL"),"_")))))</f>
        <v> </v>
      </c>
      <c r="H6066" s="25" t="str">
        <f>IF(J6066&lt;&gt;1,"",IF(I6066="SBJ","CB","?"))</f>
        <v> </v>
      </c>
      <c r="I6066" s="26" t="str">
        <f>IF(OR(E6066="",E6066="!!!",F6066="NEW"),"",INDEX(B6065:B$2,-1+SUMPRODUCT(MAX(ROW(E6065:E$2)*(E6066=E6065:E$2)))))</f>
        <v> </v>
      </c>
      <c r="J6066" s="26" t="str">
        <f>IF(OR(E6066="",E6066="!!!",F6066="NEW"),"",COUNTBLANK(OFFSET(A$1,,,SUMPRODUCT(MAX(ROW(E$2:E6066)*(E6066=E$2:E6066)))))-COUNTBLANK(OFFSET(A$1,,,SUMPRODUCT(MAX(ROW(E$1:E6065)*(E2=E$1:E6065))))))</f>
        <v> </v>
      </c>
      <c r="K6066" s="26" t="str">
        <f>IF(OR(E6066="",E6066="!!!",F6066="NEW"),"",INDEX(J$1:J6065,SUMPRODUCT(MAX(ROW(E$1:E6065)*(E6066=E$1:E6065)))))</f>
        <v> </v>
      </c>
      <c r="L6066" s="27"/>
    </row>
    <row r="6067" spans="1:12">
      <c r="A6067" s="20" t="s">
        <v>1294</v>
      </c>
      <c r="E6067" s="22">
        <f>IF(D6067="?OLD","!!!","")</f>
        <v/>
      </c>
      <c r="F6067" s="23" t="str">
        <f>IF(OR(E6067="",E6067="!!!"),"",IF(NOT(ISNA(VLOOKUP(E6067,E$1:E6066,1,FALSE()))),"OLD",IF(AND(E6067&lt;&gt;"",E6067&lt;&gt;"!!!"),"NEW","")))</f>
        <v> </v>
      </c>
      <c r="G6067" s="24" t="str">
        <f>IF(OR(E6067="",E6067="!!!"),"",IF(OR(J6067=0,AND(J6067=1,K6067=1),AND(J6067=1,I6067="SBJ"),AND(J6067=1,I6067=0)),"?IN_FOCUS",IF(J6067&lt;=2,"?ACTIVATED",IF(J6067&lt;&gt;"","?FAMILIAR",IF(F6067="NEW",IF(ISNA(VLOOKUP(E6067,#REF!,1,FALSE())),"?TYPE_IDENTIFIABLE","?REFERENTIAL"),"_")))))</f>
        <v> </v>
      </c>
      <c r="H6067" s="25" t="str">
        <f>IF(J6067&lt;&gt;1,"",IF(I6067="SBJ","CB","?"))</f>
        <v> </v>
      </c>
      <c r="I6067" s="26" t="str">
        <f>IF(OR(E6067="",E6067="!!!",F6067="NEW"),"",INDEX(B6066:B$2,-1+SUMPRODUCT(MAX(ROW(E6066:E$2)*(E6067=E6066:E$2)))))</f>
        <v> </v>
      </c>
      <c r="J6067" s="26" t="str">
        <f>IF(OR(E6067="",E6067="!!!",F6067="NEW"),"",COUNTBLANK(OFFSET(A$1,,,SUMPRODUCT(MAX(ROW(E$2:E6067)*(E6067=E$2:E6067)))))-COUNTBLANK(OFFSET(A$1,,,SUMPRODUCT(MAX(ROW(E$1:E6066)*(E2=E$1:E6066))))))</f>
        <v> </v>
      </c>
      <c r="K6067" s="26" t="str">
        <f>IF(OR(E6067="",E6067="!!!",F6067="NEW"),"",INDEX(J$1:J6066,SUMPRODUCT(MAX(ROW(E$1:E6066)*(E6067=E$1:E6066)))))</f>
        <v> </v>
      </c>
      <c r="L6067" s="27"/>
    </row>
    <row r="6068" spans="1:12">
      <c r="A6068" s="20" t="s">
        <v>1323</v>
      </c>
      <c r="E6068" s="22">
        <f>IF(D6068="?OLD","!!!","")</f>
        <v/>
      </c>
      <c r="F6068" s="23" t="str">
        <f>IF(OR(E6068="",E6068="!!!"),"",IF(NOT(ISNA(VLOOKUP(E6068,E$1:E6067,1,FALSE()))),"OLD",IF(AND(E6068&lt;&gt;"",E6068&lt;&gt;"!!!"),"NEW","")))</f>
        <v> </v>
      </c>
      <c r="G6068" s="24" t="str">
        <f>IF(OR(E6068="",E6068="!!!"),"",IF(OR(J6068=0,AND(J6068=1,K6068=1),AND(J6068=1,I6068="SBJ"),AND(J6068=1,I6068=0)),"?IN_FOCUS",IF(J6068&lt;=2,"?ACTIVATED",IF(J6068&lt;&gt;"","?FAMILIAR",IF(F6068="NEW",IF(ISNA(VLOOKUP(E6068,#REF!,1,FALSE())),"?TYPE_IDENTIFIABLE","?REFERENTIAL"),"_")))))</f>
        <v> </v>
      </c>
      <c r="H6068" s="25" t="str">
        <f>IF(J6068&lt;&gt;1,"",IF(I6068="SBJ","CB","?"))</f>
        <v> </v>
      </c>
      <c r="I6068" s="26" t="str">
        <f>IF(OR(E6068="",E6068="!!!",F6068="NEW"),"",INDEX(B6067:B$2,-1+SUMPRODUCT(MAX(ROW(E6067:E$2)*(E6068=E6067:E$2)))))</f>
        <v> </v>
      </c>
      <c r="J6068" s="26" t="str">
        <f>IF(OR(E6068="",E6068="!!!",F6068="NEW"),"",COUNTBLANK(OFFSET(A$1,,,SUMPRODUCT(MAX(ROW(E$2:E6068)*(E6068=E$2:E6068)))))-COUNTBLANK(OFFSET(A$1,,,SUMPRODUCT(MAX(ROW(E$1:E6067)*(E2=E$1:E6067))))))</f>
        <v> </v>
      </c>
      <c r="K6068" s="26" t="str">
        <f>IF(OR(E6068="",E6068="!!!",F6068="NEW"),"",INDEX(J$1:J6067,SUMPRODUCT(MAX(ROW(E$1:E6067)*(E6068=E$1:E6067)))))</f>
        <v> </v>
      </c>
      <c r="L6068" s="27"/>
    </row>
    <row r="6069" spans="1:12">
      <c r="A6069" s="20" t="s">
        <v>1638</v>
      </c>
      <c r="E6069" s="22">
        <f>IF(D6069="?OLD","!!!","")</f>
        <v/>
      </c>
      <c r="F6069" s="23" t="str">
        <f>IF(OR(E6069="",E6069="!!!"),"",IF(NOT(ISNA(VLOOKUP(E6069,E$1:E6068,1,FALSE()))),"OLD",IF(AND(E6069&lt;&gt;"",E6069&lt;&gt;"!!!"),"NEW","")))</f>
        <v> </v>
      </c>
      <c r="G6069" s="24" t="str">
        <f>IF(OR(E6069="",E6069="!!!"),"",IF(OR(J6069=0,AND(J6069=1,K6069=1),AND(J6069=1,I6069="SBJ"),AND(J6069=1,I6069=0)),"?IN_FOCUS",IF(J6069&lt;=2,"?ACTIVATED",IF(J6069&lt;&gt;"","?FAMILIAR",IF(F6069="NEW",IF(ISNA(VLOOKUP(E6069,#REF!,1,FALSE())),"?TYPE_IDENTIFIABLE","?REFERENTIAL"),"_")))))</f>
        <v> </v>
      </c>
      <c r="H6069" s="25" t="str">
        <f>IF(J6069&lt;&gt;1,"",IF(I6069="SBJ","CB","?"))</f>
        <v> </v>
      </c>
      <c r="I6069" s="26" t="str">
        <f>IF(OR(E6069="",E6069="!!!",F6069="NEW"),"",INDEX(B6068:B$2,-1+SUMPRODUCT(MAX(ROW(E6068:E$2)*(E6069=E6068:E$2)))))</f>
        <v> </v>
      </c>
      <c r="J6069" s="26" t="str">
        <f>IF(OR(E6069="",E6069="!!!",F6069="NEW"),"",COUNTBLANK(OFFSET(A$1,,,SUMPRODUCT(MAX(ROW(E$2:E6069)*(E6069=E$2:E6069)))))-COUNTBLANK(OFFSET(A$1,,,SUMPRODUCT(MAX(ROW(E$1:E6068)*(E2=E$1:E6068))))))</f>
        <v> </v>
      </c>
      <c r="K6069" s="26" t="str">
        <f>IF(OR(E6069="",E6069="!!!",F6069="NEW"),"",INDEX(J$1:J6068,SUMPRODUCT(MAX(ROW(E$1:E6068)*(E6069=E$1:E6068)))))</f>
        <v> </v>
      </c>
      <c r="L6069" s="27"/>
    </row>
    <row r="6070" spans="1:12">
      <c r="A6070" s="20" t="s">
        <v>1154</v>
      </c>
      <c r="B6070" s="21" t="s">
        <v>1311</v>
      </c>
      <c r="C6070" s="21" t="s">
        <v>977</v>
      </c>
      <c r="D6070" s="21" t="s">
        <v>978</v>
      </c>
      <c r="E6070" s="22">
        <f>IF(D6070="?OLD","!!!","")</f>
        <v/>
      </c>
      <c r="F6070" s="23" t="str">
        <f>IF(OR(E6070="",E6070="!!!"),"",IF(NOT(ISNA(VLOOKUP(E6070,E$1:E6069,1,FALSE()))),"OLD",IF(AND(E6070&lt;&gt;"",E6070&lt;&gt;"!!!"),"NEW","")))</f>
        <v> </v>
      </c>
      <c r="G6070" s="24" t="str">
        <f>IF(OR(E6070="",E6070="!!!"),"",IF(OR(J6070=0,AND(J6070=1,K6070=1),AND(J6070=1,I6070="SBJ"),AND(J6070=1,I6070=0)),"?IN_FOCUS",IF(J6070&lt;=2,"?ACTIVATED",IF(J6070&lt;&gt;"","?FAMILIAR",IF(F6070="NEW",IF(ISNA(VLOOKUP(E6070,#REF!,1,FALSE())),"?TYPE_IDENTIFIABLE","?REFERENTIAL"),"_")))))</f>
        <v> </v>
      </c>
      <c r="H6070" s="25" t="str">
        <f>IF(J6070&lt;&gt;1,"",IF(I6070="SBJ","CB","?"))</f>
        <v> </v>
      </c>
      <c r="I6070" s="26" t="str">
        <f>IF(OR(E6070="",E6070="!!!",F6070="NEW"),"",INDEX(B6069:B$2,-1+SUMPRODUCT(MAX(ROW(E6069:E$2)*(E6070=E6069:E$2)))))</f>
        <v> </v>
      </c>
      <c r="J6070" s="26" t="str">
        <f>IF(OR(E6070="",E6070="!!!",F6070="NEW"),"",COUNTBLANK(OFFSET(A$1,,,SUMPRODUCT(MAX(ROW(E$2:E6070)*(E6070=E$2:E6070)))))-COUNTBLANK(OFFSET(A$1,,,SUMPRODUCT(MAX(ROW(E$1:E6069)*(E2=E$1:E6069))))))</f>
        <v> </v>
      </c>
      <c r="K6070" s="26" t="str">
        <f>IF(OR(E6070="",E6070="!!!",F6070="NEW"),"",INDEX(J$1:J6069,SUMPRODUCT(MAX(ROW(E$1:E6069)*(E6070=E$1:E6069)))))</f>
        <v> </v>
      </c>
      <c r="L6070" s="27"/>
    </row>
    <row r="6071" spans="1:12">
      <c r="A6071" s="20" t="s">
        <v>979</v>
      </c>
      <c r="E6071" s="22">
        <f>IF(D6071="?OLD","!!!","")</f>
        <v/>
      </c>
      <c r="F6071" s="23" t="str">
        <f>IF(OR(E6071="",E6071="!!!"),"",IF(NOT(ISNA(VLOOKUP(E6071,E$1:E6070,1,FALSE()))),"OLD",IF(AND(E6071&lt;&gt;"",E6071&lt;&gt;"!!!"),"NEW","")))</f>
        <v> </v>
      </c>
      <c r="G6071" s="24" t="str">
        <f>IF(OR(E6071="",E6071="!!!"),"",IF(OR(J6071=0,AND(J6071=1,K6071=1),AND(J6071=1,I6071="SBJ"),AND(J6071=1,I6071=0)),"?IN_FOCUS",IF(J6071&lt;=2,"?ACTIVATED",IF(J6071&lt;&gt;"","?FAMILIAR",IF(F6071="NEW",IF(ISNA(VLOOKUP(E6071,#REF!,1,FALSE())),"?TYPE_IDENTIFIABLE","?REFERENTIAL"),"_")))))</f>
        <v> </v>
      </c>
      <c r="H6071" s="25" t="str">
        <f>IF(J6071&lt;&gt;1,"",IF(I6071="SBJ","CB","?"))</f>
        <v> </v>
      </c>
      <c r="I6071" s="26" t="str">
        <f>IF(OR(E6071="",E6071="!!!",F6071="NEW"),"",INDEX(B6070:B$2,-1+SUMPRODUCT(MAX(ROW(E6070:E$2)*(E6071=E6070:E$2)))))</f>
        <v> </v>
      </c>
      <c r="J6071" s="26" t="str">
        <f>IF(OR(E6071="",E6071="!!!",F6071="NEW"),"",COUNTBLANK(OFFSET(A$1,,,SUMPRODUCT(MAX(ROW(E$2:E6071)*(E6071=E$2:E6071)))))-COUNTBLANK(OFFSET(A$1,,,SUMPRODUCT(MAX(ROW(E$1:E6070)*(E2=E$1:E6070))))))</f>
        <v> </v>
      </c>
      <c r="K6071" s="26" t="str">
        <f>IF(OR(E6071="",E6071="!!!",F6071="NEW"),"",INDEX(J$1:J6070,SUMPRODUCT(MAX(ROW(E$1:E6070)*(E6071=E$1:E6070)))))</f>
        <v> </v>
      </c>
      <c r="L6071" s="27"/>
    </row>
    <row r="6072" spans="1:12">
      <c r="A6072" s="20" t="s">
        <v>1219</v>
      </c>
      <c r="E6072" s="22">
        <f>IF(D6072="?OLD","!!!","")</f>
        <v/>
      </c>
      <c r="F6072" s="23" t="str">
        <f>IF(OR(E6072="",E6072="!!!"),"",IF(NOT(ISNA(VLOOKUP(E6072,E$1:E6071,1,FALSE()))),"OLD",IF(AND(E6072&lt;&gt;"",E6072&lt;&gt;"!!!"),"NEW","")))</f>
        <v> </v>
      </c>
      <c r="G6072" s="24" t="str">
        <f>IF(OR(E6072="",E6072="!!!"),"",IF(OR(J6072=0,AND(J6072=1,K6072=1),AND(J6072=1,I6072="SBJ"),AND(J6072=1,I6072=0)),"?IN_FOCUS",IF(J6072&lt;=2,"?ACTIVATED",IF(J6072&lt;&gt;"","?FAMILIAR",IF(F6072="NEW",IF(ISNA(VLOOKUP(E6072,#REF!,1,FALSE())),"?TYPE_IDENTIFIABLE","?REFERENTIAL"),"_")))))</f>
        <v> </v>
      </c>
      <c r="H6072" s="25" t="str">
        <f>IF(J6072&lt;&gt;1,"",IF(I6072="SBJ","CB","?"))</f>
        <v> </v>
      </c>
      <c r="I6072" s="26" t="str">
        <f>IF(OR(E6072="",E6072="!!!",F6072="NEW"),"",INDEX(B6071:B$2,-1+SUMPRODUCT(MAX(ROW(E6071:E$2)*(E6072=E6071:E$2)))))</f>
        <v> </v>
      </c>
      <c r="J6072" s="26" t="str">
        <f>IF(OR(E6072="",E6072="!!!",F6072="NEW"),"",COUNTBLANK(OFFSET(A$1,,,SUMPRODUCT(MAX(ROW(E$2:E6072)*(E6072=E$2:E6072)))))-COUNTBLANK(OFFSET(A$1,,,SUMPRODUCT(MAX(ROW(E$1:E6071)*(E2=E$1:E6071))))))</f>
        <v> </v>
      </c>
      <c r="K6072" s="26" t="str">
        <f>IF(OR(E6072="",E6072="!!!",F6072="NEW"),"",INDEX(J$1:J6071,SUMPRODUCT(MAX(ROW(E$1:E6071)*(E6072=E$1:E6071)))))</f>
        <v> </v>
      </c>
      <c r="L6072" s="27"/>
    </row>
    <row r="6073" spans="1:12">
      <c r="A6073" s="20" t="s">
        <v>1050</v>
      </c>
      <c r="E6073" s="22">
        <f>IF(D6073="?OLD","!!!","")</f>
        <v/>
      </c>
      <c r="F6073" s="23" t="str">
        <f>IF(OR(E6073="",E6073="!!!"),"",IF(NOT(ISNA(VLOOKUP(E6073,E$1:E6072,1,FALSE()))),"OLD",IF(AND(E6073&lt;&gt;"",E6073&lt;&gt;"!!!"),"NEW","")))</f>
        <v> </v>
      </c>
      <c r="G6073" s="24" t="str">
        <f>IF(OR(E6073="",E6073="!!!"),"",IF(OR(J6073=0,AND(J6073=1,K6073=1),AND(J6073=1,I6073="SBJ"),AND(J6073=1,I6073=0)),"?IN_FOCUS",IF(J6073&lt;=2,"?ACTIVATED",IF(J6073&lt;&gt;"","?FAMILIAR",IF(F6073="NEW",IF(ISNA(VLOOKUP(E6073,#REF!,1,FALSE())),"?TYPE_IDENTIFIABLE","?REFERENTIAL"),"_")))))</f>
        <v> </v>
      </c>
      <c r="H6073" s="25" t="str">
        <f>IF(J6073&lt;&gt;1,"",IF(I6073="SBJ","CB","?"))</f>
        <v> </v>
      </c>
      <c r="I6073" s="26" t="str">
        <f>IF(OR(E6073="",E6073="!!!",F6073="NEW"),"",INDEX(B6072:B$2,-1+SUMPRODUCT(MAX(ROW(E6072:E$2)*(E6073=E6072:E$2)))))</f>
        <v> </v>
      </c>
      <c r="J6073" s="26" t="str">
        <f>IF(OR(E6073="",E6073="!!!",F6073="NEW"),"",COUNTBLANK(OFFSET(A$1,,,SUMPRODUCT(MAX(ROW(E$2:E6073)*(E6073=E$2:E6073)))))-COUNTBLANK(OFFSET(A$1,,,SUMPRODUCT(MAX(ROW(E$1:E6072)*(E2=E$1:E6072))))))</f>
        <v> </v>
      </c>
      <c r="K6073" s="26" t="str">
        <f>IF(OR(E6073="",E6073="!!!",F6073="NEW"),"",INDEX(J$1:J6072,SUMPRODUCT(MAX(ROW(E$1:E6072)*(E6073=E$1:E6072)))))</f>
        <v> </v>
      </c>
      <c r="L6073" s="27"/>
    </row>
    <row r="6074" spans="1:12">
      <c r="A6074" s="20" t="s">
        <v>1111</v>
      </c>
      <c r="B6074" s="21" t="s">
        <v>1229</v>
      </c>
      <c r="C6074" s="21" t="s">
        <v>983</v>
      </c>
      <c r="E6074" s="22">
        <f>IF(D6074="?OLD","!!!","")</f>
        <v/>
      </c>
      <c r="F6074" s="23" t="str">
        <f>IF(OR(E6074="",E6074="!!!"),"",IF(NOT(ISNA(VLOOKUP(E6074,E$1:E6073,1,FALSE()))),"OLD",IF(AND(E6074&lt;&gt;"",E6074&lt;&gt;"!!!"),"NEW","")))</f>
        <v> </v>
      </c>
      <c r="G6074" s="24" t="str">
        <f>IF(OR(E6074="",E6074="!!!"),"",IF(OR(J6074=0,AND(J6074=1,K6074=1),AND(J6074=1,I6074="SBJ"),AND(J6074=1,I6074=0)),"?IN_FOCUS",IF(J6074&lt;=2,"?ACTIVATED",IF(J6074&lt;&gt;"","?FAMILIAR",IF(F6074="NEW",IF(ISNA(VLOOKUP(E6074,#REF!,1,FALSE())),"?TYPE_IDENTIFIABLE","?REFERENTIAL"),"_")))))</f>
        <v> </v>
      </c>
      <c r="H6074" s="25" t="str">
        <f>IF(J6074&lt;&gt;1,"",IF(I6074="SBJ","CB","?"))</f>
        <v> </v>
      </c>
      <c r="I6074" s="26" t="str">
        <f>IF(OR(E6074="",E6074="!!!",F6074="NEW"),"",INDEX(B6073:B$2,-1+SUMPRODUCT(MAX(ROW(E6073:E$2)*(E6074=E6073:E$2)))))</f>
        <v> </v>
      </c>
      <c r="J6074" s="26" t="str">
        <f>IF(OR(E6074="",E6074="!!!",F6074="NEW"),"",COUNTBLANK(OFFSET(A$1,,,SUMPRODUCT(MAX(ROW(E$2:E6074)*(E6074=E$2:E6074)))))-COUNTBLANK(OFFSET(A$1,,,SUMPRODUCT(MAX(ROW(E$1:E6073)*(E2=E$1:E6073))))))</f>
        <v> </v>
      </c>
      <c r="K6074" s="26" t="str">
        <f>IF(OR(E6074="",E6074="!!!",F6074="NEW"),"",INDEX(J$1:J6073,SUMPRODUCT(MAX(ROW(E$1:E6073)*(E6074=E$1:E6073)))))</f>
        <v> </v>
      </c>
      <c r="L6074" s="27"/>
    </row>
    <row r="6075" spans="1:12">
      <c r="A6075" s="20" t="s">
        <v>1000</v>
      </c>
      <c r="E6075" s="22">
        <f>IF(D6075="?OLD","!!!","")</f>
        <v/>
      </c>
      <c r="F6075" s="23" t="str">
        <f>IF(OR(E6075="",E6075="!!!"),"",IF(NOT(ISNA(VLOOKUP(E6075,E$1:E6074,1,FALSE()))),"OLD",IF(AND(E6075&lt;&gt;"",E6075&lt;&gt;"!!!"),"NEW","")))</f>
        <v> </v>
      </c>
      <c r="G6075" s="24" t="str">
        <f>IF(OR(E6075="",E6075="!!!"),"",IF(OR(J6075=0,AND(J6075=1,K6075=1),AND(J6075=1,I6075="SBJ"),AND(J6075=1,I6075=0)),"?IN_FOCUS",IF(J6075&lt;=2,"?ACTIVATED",IF(J6075&lt;&gt;"","?FAMILIAR",IF(F6075="NEW",IF(ISNA(VLOOKUP(E6075,#REF!,1,FALSE())),"?TYPE_IDENTIFIABLE","?REFERENTIAL"),"_")))))</f>
        <v> </v>
      </c>
      <c r="H6075" s="25" t="str">
        <f>IF(J6075&lt;&gt;1,"",IF(I6075="SBJ","CB","?"))</f>
        <v> </v>
      </c>
      <c r="I6075" s="26" t="str">
        <f>IF(OR(E6075="",E6075="!!!",F6075="NEW"),"",INDEX(B6074:B$2,-1+SUMPRODUCT(MAX(ROW(E6074:E$2)*(E6075=E6074:E$2)))))</f>
        <v> </v>
      </c>
      <c r="J6075" s="26" t="str">
        <f>IF(OR(E6075="",E6075="!!!",F6075="NEW"),"",COUNTBLANK(OFFSET(A$1,,,SUMPRODUCT(MAX(ROW(E$2:E6075)*(E6075=E$2:E6075)))))-COUNTBLANK(OFFSET(A$1,,,SUMPRODUCT(MAX(ROW(E$1:E6074)*(E2=E$1:E6074))))))</f>
        <v> </v>
      </c>
      <c r="K6075" s="26" t="str">
        <f>IF(OR(E6075="",E6075="!!!",F6075="NEW"),"",INDEX(J$1:J6074,SUMPRODUCT(MAX(ROW(E$1:E6074)*(E6075=E$1:E6074)))))</f>
        <v> </v>
      </c>
      <c r="L6075" s="27"/>
    </row>
    <row r="6076" spans="1:12">
      <c r="A6076" s="20" t="s">
        <v>1047</v>
      </c>
      <c r="B6076" s="21" t="s">
        <v>1016</v>
      </c>
      <c r="C6076" s="21" t="s">
        <v>977</v>
      </c>
      <c r="D6076" s="21" t="s">
        <v>978</v>
      </c>
      <c r="E6076" s="22">
        <f>IF(D6076="?OLD","!!!","")</f>
        <v/>
      </c>
      <c r="F6076" s="23" t="str">
        <f>IF(OR(E6076="",E6076="!!!"),"",IF(NOT(ISNA(VLOOKUP(E6076,E$1:E6075,1,FALSE()))),"OLD",IF(AND(E6076&lt;&gt;"",E6076&lt;&gt;"!!!"),"NEW","")))</f>
        <v> </v>
      </c>
      <c r="G6076" s="24" t="str">
        <f>IF(OR(E6076="",E6076="!!!"),"",IF(OR(J6076=0,AND(J6076=1,K6076=1),AND(J6076=1,I6076="SBJ"),AND(J6076=1,I6076=0)),"?IN_FOCUS",IF(J6076&lt;=2,"?ACTIVATED",IF(J6076&lt;&gt;"","?FAMILIAR",IF(F6076="NEW",IF(ISNA(VLOOKUP(E6076,#REF!,1,FALSE())),"?TYPE_IDENTIFIABLE","?REFERENTIAL"),"_")))))</f>
        <v> </v>
      </c>
      <c r="H6076" s="25" t="str">
        <f>IF(J6076&lt;&gt;1,"",IF(I6076="SBJ","CB","?"))</f>
        <v> </v>
      </c>
      <c r="I6076" s="26" t="str">
        <f>IF(OR(E6076="",E6076="!!!",F6076="NEW"),"",INDEX(B6075:B$2,-1+SUMPRODUCT(MAX(ROW(E6075:E$2)*(E6076=E6075:E$2)))))</f>
        <v> </v>
      </c>
      <c r="J6076" s="26" t="str">
        <f>IF(OR(E6076="",E6076="!!!",F6076="NEW"),"",COUNTBLANK(OFFSET(A$1,,,SUMPRODUCT(MAX(ROW(E$2:E6076)*(E6076=E$2:E6076)))))-COUNTBLANK(OFFSET(A$1,,,SUMPRODUCT(MAX(ROW(E$1:E6075)*(E2=E$1:E6075))))))</f>
        <v> </v>
      </c>
      <c r="K6076" s="26" t="str">
        <f>IF(OR(E6076="",E6076="!!!",F6076="NEW"),"",INDEX(J$1:J6075,SUMPRODUCT(MAX(ROW(E$1:E6075)*(E6076=E$1:E6075)))))</f>
        <v> </v>
      </c>
      <c r="L6076" s="27"/>
    </row>
    <row r="6077" spans="1:12">
      <c r="A6077" s="20" t="s">
        <v>1116</v>
      </c>
      <c r="E6077" s="22">
        <f>IF(D6077="?OLD","!!!","")</f>
        <v/>
      </c>
      <c r="F6077" s="23" t="str">
        <f>IF(OR(E6077="",E6077="!!!"),"",IF(NOT(ISNA(VLOOKUP(E6077,E$1:E6076,1,FALSE()))),"OLD",IF(AND(E6077&lt;&gt;"",E6077&lt;&gt;"!!!"),"NEW","")))</f>
        <v> </v>
      </c>
      <c r="G6077" s="24" t="str">
        <f>IF(OR(E6077="",E6077="!!!"),"",IF(OR(J6077=0,AND(J6077=1,K6077=1),AND(J6077=1,I6077="SBJ"),AND(J6077=1,I6077=0)),"?IN_FOCUS",IF(J6077&lt;=2,"?ACTIVATED",IF(J6077&lt;&gt;"","?FAMILIAR",IF(F6077="NEW",IF(ISNA(VLOOKUP(E6077,#REF!,1,FALSE())),"?TYPE_IDENTIFIABLE","?REFERENTIAL"),"_")))))</f>
        <v> </v>
      </c>
      <c r="H6077" s="25" t="str">
        <f>IF(J6077&lt;&gt;1,"",IF(I6077="SBJ","CB","?"))</f>
        <v> </v>
      </c>
      <c r="I6077" s="26" t="str">
        <f>IF(OR(E6077="",E6077="!!!",F6077="NEW"),"",INDEX(B6076:B$2,-1+SUMPRODUCT(MAX(ROW(E6076:E$2)*(E6077=E6076:E$2)))))</f>
        <v> </v>
      </c>
      <c r="J6077" s="26" t="str">
        <f>IF(OR(E6077="",E6077="!!!",F6077="NEW"),"",COUNTBLANK(OFFSET(A$1,,,SUMPRODUCT(MAX(ROW(E$2:E6077)*(E6077=E$2:E6077)))))-COUNTBLANK(OFFSET(A$1,,,SUMPRODUCT(MAX(ROW(E$1:E6076)*(E2=E$1:E6076))))))</f>
        <v> </v>
      </c>
      <c r="K6077" s="26" t="str">
        <f>IF(OR(E6077="",E6077="!!!",F6077="NEW"),"",INDEX(J$1:J6076,SUMPRODUCT(MAX(ROW(E$1:E6076)*(E6077=E$1:E6076)))))</f>
        <v> </v>
      </c>
      <c r="L6077" s="27"/>
    </row>
    <row r="6078" spans="1:12">
      <c r="A6078" s="20" t="s">
        <v>2507</v>
      </c>
      <c r="E6078" s="22">
        <f>IF(D6078="?OLD","!!!","")</f>
        <v/>
      </c>
      <c r="F6078" s="23" t="str">
        <f>IF(OR(E6078="",E6078="!!!"),"",IF(NOT(ISNA(VLOOKUP(E6078,E$1:E6077,1,FALSE()))),"OLD",IF(AND(E6078&lt;&gt;"",E6078&lt;&gt;"!!!"),"NEW","")))</f>
        <v> </v>
      </c>
      <c r="G6078" s="24" t="str">
        <f>IF(OR(E6078="",E6078="!!!"),"",IF(OR(J6078=0,AND(J6078=1,K6078=1),AND(J6078=1,I6078="SBJ"),AND(J6078=1,I6078=0)),"?IN_FOCUS",IF(J6078&lt;=2,"?ACTIVATED",IF(J6078&lt;&gt;"","?FAMILIAR",IF(F6078="NEW",IF(ISNA(VLOOKUP(E6078,#REF!,1,FALSE())),"?TYPE_IDENTIFIABLE","?REFERENTIAL"),"_")))))</f>
        <v> </v>
      </c>
      <c r="H6078" s="25" t="str">
        <f>IF(J6078&lt;&gt;1,"",IF(I6078="SBJ","CB","?"))</f>
        <v> </v>
      </c>
      <c r="I6078" s="26" t="str">
        <f>IF(OR(E6078="",E6078="!!!",F6078="NEW"),"",INDEX(B6077:B$2,-1+SUMPRODUCT(MAX(ROW(E6077:E$2)*(E6078=E6077:E$2)))))</f>
        <v> </v>
      </c>
      <c r="J6078" s="26" t="str">
        <f>IF(OR(E6078="",E6078="!!!",F6078="NEW"),"",COUNTBLANK(OFFSET(A$1,,,SUMPRODUCT(MAX(ROW(E$2:E6078)*(E6078=E$2:E6078)))))-COUNTBLANK(OFFSET(A$1,,,SUMPRODUCT(MAX(ROW(E$1:E6077)*(E2=E$1:E6077))))))</f>
        <v> </v>
      </c>
      <c r="K6078" s="26" t="str">
        <f>IF(OR(E6078="",E6078="!!!",F6078="NEW"),"",INDEX(J$1:J6077,SUMPRODUCT(MAX(ROW(E$1:E6077)*(E6078=E$1:E6077)))))</f>
        <v> </v>
      </c>
      <c r="L6078" s="27"/>
    </row>
    <row r="6079" spans="1:12">
      <c r="A6079" s="20" t="s">
        <v>1183</v>
      </c>
      <c r="E6079" s="22">
        <f>IF(D6079="?OLD","!!!","")</f>
        <v/>
      </c>
      <c r="F6079" s="23" t="str">
        <f>IF(OR(E6079="",E6079="!!!"),"",IF(NOT(ISNA(VLOOKUP(E6079,E$1:E6078,1,FALSE()))),"OLD",IF(AND(E6079&lt;&gt;"",E6079&lt;&gt;"!!!"),"NEW","")))</f>
        <v> </v>
      </c>
      <c r="G6079" s="24" t="str">
        <f>IF(OR(E6079="",E6079="!!!"),"",IF(OR(J6079=0,AND(J6079=1,K6079=1),AND(J6079=1,I6079="SBJ"),AND(J6079=1,I6079=0)),"?IN_FOCUS",IF(J6079&lt;=2,"?ACTIVATED",IF(J6079&lt;&gt;"","?FAMILIAR",IF(F6079="NEW",IF(ISNA(VLOOKUP(E6079,#REF!,1,FALSE())),"?TYPE_IDENTIFIABLE","?REFERENTIAL"),"_")))))</f>
        <v> </v>
      </c>
      <c r="H6079" s="25" t="str">
        <f>IF(J6079&lt;&gt;1,"",IF(I6079="SBJ","CB","?"))</f>
        <v> </v>
      </c>
      <c r="I6079" s="26" t="str">
        <f>IF(OR(E6079="",E6079="!!!",F6079="NEW"),"",INDEX(B6078:B$2,-1+SUMPRODUCT(MAX(ROW(E6078:E$2)*(E6079=E6078:E$2)))))</f>
        <v> </v>
      </c>
      <c r="J6079" s="26" t="str">
        <f>IF(OR(E6079="",E6079="!!!",F6079="NEW"),"",COUNTBLANK(OFFSET(A$1,,,SUMPRODUCT(MAX(ROW(E$2:E6079)*(E6079=E$2:E6079)))))-COUNTBLANK(OFFSET(A$1,,,SUMPRODUCT(MAX(ROW(E$1:E6078)*(E2=E$1:E6078))))))</f>
        <v> </v>
      </c>
      <c r="K6079" s="26" t="str">
        <f>IF(OR(E6079="",E6079="!!!",F6079="NEW"),"",INDEX(J$1:J6078,SUMPRODUCT(MAX(ROW(E$1:E6078)*(E6079=E$1:E6078)))))</f>
        <v> </v>
      </c>
      <c r="L6079" s="27"/>
    </row>
    <row r="6080" spans="1:12">
      <c r="A6080" s="20" t="s">
        <v>1670</v>
      </c>
      <c r="E6080" s="22">
        <f>IF(D6080="?OLD","!!!","")</f>
        <v/>
      </c>
      <c r="F6080" s="23" t="str">
        <f>IF(OR(E6080="",E6080="!!!"),"",IF(NOT(ISNA(VLOOKUP(E6080,E$1:E6079,1,FALSE()))),"OLD",IF(AND(E6080&lt;&gt;"",E6080&lt;&gt;"!!!"),"NEW","")))</f>
        <v> </v>
      </c>
      <c r="G6080" s="24" t="str">
        <f>IF(OR(E6080="",E6080="!!!"),"",IF(OR(J6080=0,AND(J6080=1,K6080=1),AND(J6080=1,I6080="SBJ"),AND(J6080=1,I6080=0)),"?IN_FOCUS",IF(J6080&lt;=2,"?ACTIVATED",IF(J6080&lt;&gt;"","?FAMILIAR",IF(F6080="NEW",IF(ISNA(VLOOKUP(E6080,#REF!,1,FALSE())),"?TYPE_IDENTIFIABLE","?REFERENTIAL"),"_")))))</f>
        <v> </v>
      </c>
      <c r="H6080" s="25" t="str">
        <f>IF(J6080&lt;&gt;1,"",IF(I6080="SBJ","CB","?"))</f>
        <v> </v>
      </c>
      <c r="I6080" s="26" t="str">
        <f>IF(OR(E6080="",E6080="!!!",F6080="NEW"),"",INDEX(B6079:B$2,-1+SUMPRODUCT(MAX(ROW(E6079:E$2)*(E6080=E6079:E$2)))))</f>
        <v> </v>
      </c>
      <c r="J6080" s="26" t="str">
        <f>IF(OR(E6080="",E6080="!!!",F6080="NEW"),"",COUNTBLANK(OFFSET(A$1,,,SUMPRODUCT(MAX(ROW(E$2:E6080)*(E6080=E$2:E6080)))))-COUNTBLANK(OFFSET(A$1,,,SUMPRODUCT(MAX(ROW(E$1:E6079)*(E2=E$1:E6079))))))</f>
        <v> </v>
      </c>
      <c r="K6080" s="26" t="str">
        <f>IF(OR(E6080="",E6080="!!!",F6080="NEW"),"",INDEX(J$1:J6079,SUMPRODUCT(MAX(ROW(E$1:E6079)*(E6080=E$1:E6079)))))</f>
        <v> </v>
      </c>
      <c r="L6080" s="27"/>
    </row>
    <row r="6081" spans="1:12">
      <c r="A6081" s="20" t="s">
        <v>1294</v>
      </c>
      <c r="B6081" s="21" t="s">
        <v>1014</v>
      </c>
      <c r="C6081" s="21" t="s">
        <v>1020</v>
      </c>
      <c r="D6081" s="21" t="s">
        <v>978</v>
      </c>
      <c r="E6081" s="22">
        <f>IF(D6081="?OLD","!!!","")</f>
        <v/>
      </c>
      <c r="F6081" s="23" t="str">
        <f>IF(OR(E6081="",E6081="!!!"),"",IF(NOT(ISNA(VLOOKUP(E6081,E$1:E6080,1,FALSE()))),"OLD",IF(AND(E6081&lt;&gt;"",E6081&lt;&gt;"!!!"),"NEW","")))</f>
        <v> </v>
      </c>
      <c r="G6081" s="24" t="str">
        <f>IF(OR(E6081="",E6081="!!!"),"",IF(OR(J6081=0,AND(J6081=1,K6081=1),AND(J6081=1,I6081="SBJ"),AND(J6081=1,I6081=0)),"?IN_FOCUS",IF(J6081&lt;=2,"?ACTIVATED",IF(J6081&lt;&gt;"","?FAMILIAR",IF(F6081="NEW",IF(ISNA(VLOOKUP(E6081,#REF!,1,FALSE())),"?TYPE_IDENTIFIABLE","?REFERENTIAL"),"_")))))</f>
        <v> </v>
      </c>
      <c r="H6081" s="25" t="str">
        <f>IF(J6081&lt;&gt;1,"",IF(I6081="SBJ","CB","?"))</f>
        <v> </v>
      </c>
      <c r="I6081" s="26" t="str">
        <f>IF(OR(E6081="",E6081="!!!",F6081="NEW"),"",INDEX(B6080:B$2,-1+SUMPRODUCT(MAX(ROW(E6080:E$2)*(E6081=E6080:E$2)))))</f>
        <v> </v>
      </c>
      <c r="J6081" s="26" t="str">
        <f>IF(OR(E6081="",E6081="!!!",F6081="NEW"),"",COUNTBLANK(OFFSET(A$1,,,SUMPRODUCT(MAX(ROW(E$2:E6081)*(E6081=E$2:E6081)))))-COUNTBLANK(OFFSET(A$1,,,SUMPRODUCT(MAX(ROW(E$1:E6080)*(E2=E$1:E6080))))))</f>
        <v> </v>
      </c>
      <c r="K6081" s="26" t="str">
        <f>IF(OR(E6081="",E6081="!!!",F6081="NEW"),"",INDEX(J$1:J6080,SUMPRODUCT(MAX(ROW(E$1:E6080)*(E6081=E$1:E6080)))))</f>
        <v> </v>
      </c>
      <c r="L6081" s="27"/>
    </row>
    <row r="6082" spans="1:12">
      <c r="A6082" s="20" t="s">
        <v>1794</v>
      </c>
      <c r="E6082" s="22">
        <f>IF(D6082="?OLD","!!!","")</f>
        <v/>
      </c>
      <c r="F6082" s="23" t="str">
        <f>IF(OR(E6082="",E6082="!!!"),"",IF(NOT(ISNA(VLOOKUP(E6082,E$1:E6081,1,FALSE()))),"OLD",IF(AND(E6082&lt;&gt;"",E6082&lt;&gt;"!!!"),"NEW","")))</f>
        <v> </v>
      </c>
      <c r="G6082" s="24" t="str">
        <f>IF(OR(E6082="",E6082="!!!"),"",IF(OR(J6082=0,AND(J6082=1,K6082=1),AND(J6082=1,I6082="SBJ"),AND(J6082=1,I6082=0)),"?IN_FOCUS",IF(J6082&lt;=2,"?ACTIVATED",IF(J6082&lt;&gt;"","?FAMILIAR",IF(F6082="NEW",IF(ISNA(VLOOKUP(E6082,#REF!,1,FALSE())),"?TYPE_IDENTIFIABLE","?REFERENTIAL"),"_")))))</f>
        <v> </v>
      </c>
      <c r="H6082" s="25" t="str">
        <f>IF(J6082&lt;&gt;1,"",IF(I6082="SBJ","CB","?"))</f>
        <v> </v>
      </c>
      <c r="I6082" s="26" t="str">
        <f>IF(OR(E6082="",E6082="!!!",F6082="NEW"),"",INDEX(B6081:B$2,-1+SUMPRODUCT(MAX(ROW(E6081:E$2)*(E6082=E6081:E$2)))))</f>
        <v> </v>
      </c>
      <c r="J6082" s="26" t="str">
        <f>IF(OR(E6082="",E6082="!!!",F6082="NEW"),"",COUNTBLANK(OFFSET(A$1,,,SUMPRODUCT(MAX(ROW(E$2:E6082)*(E6082=E$2:E6082)))))-COUNTBLANK(OFFSET(A$1,,,SUMPRODUCT(MAX(ROW(E$1:E6081)*(E2=E$1:E6081))))))</f>
        <v> </v>
      </c>
      <c r="K6082" s="26" t="str">
        <f>IF(OR(E6082="",E6082="!!!",F6082="NEW"),"",INDEX(J$1:J6081,SUMPRODUCT(MAX(ROW(E$1:E6081)*(E6082=E$1:E6081)))))</f>
        <v> </v>
      </c>
      <c r="L6082" s="27"/>
    </row>
    <row r="6083" spans="1:12">
      <c r="A6083" s="20" t="s">
        <v>1000</v>
      </c>
      <c r="E6083" s="22">
        <f>IF(D6083="?OLD","!!!","")</f>
        <v/>
      </c>
      <c r="F6083" s="23" t="str">
        <f>IF(OR(E6083="",E6083="!!!"),"",IF(NOT(ISNA(VLOOKUP(E6083,E$1:E6082,1,FALSE()))),"OLD",IF(AND(E6083&lt;&gt;"",E6083&lt;&gt;"!!!"),"NEW","")))</f>
        <v> </v>
      </c>
      <c r="G6083" s="24" t="str">
        <f>IF(OR(E6083="",E6083="!!!"),"",IF(OR(J6083=0,AND(J6083=1,K6083=1),AND(J6083=1,I6083="SBJ"),AND(J6083=1,I6083=0)),"?IN_FOCUS",IF(J6083&lt;=2,"?ACTIVATED",IF(J6083&lt;&gt;"","?FAMILIAR",IF(F6083="NEW",IF(ISNA(VLOOKUP(E6083,#REF!,1,FALSE())),"?TYPE_IDENTIFIABLE","?REFERENTIAL"),"_")))))</f>
        <v> </v>
      </c>
      <c r="H6083" s="25" t="str">
        <f>IF(J6083&lt;&gt;1,"",IF(I6083="SBJ","CB","?"))</f>
        <v> </v>
      </c>
      <c r="I6083" s="26" t="str">
        <f>IF(OR(E6083="",E6083="!!!",F6083="NEW"),"",INDEX(B6082:B$2,-1+SUMPRODUCT(MAX(ROW(E6082:E$2)*(E6083=E6082:E$2)))))</f>
        <v> </v>
      </c>
      <c r="J6083" s="26" t="str">
        <f>IF(OR(E6083="",E6083="!!!",F6083="NEW"),"",COUNTBLANK(OFFSET(A$1,,,SUMPRODUCT(MAX(ROW(E$2:E6083)*(E6083=E$2:E6083)))))-COUNTBLANK(OFFSET(A$1,,,SUMPRODUCT(MAX(ROW(E$1:E6082)*(E2=E$1:E6082))))))</f>
        <v> </v>
      </c>
      <c r="K6083" s="26" t="str">
        <f>IF(OR(E6083="",E6083="!!!",F6083="NEW"),"",INDEX(J$1:J6082,SUMPRODUCT(MAX(ROW(E$1:E6082)*(E6083=E$1:E6082)))))</f>
        <v> </v>
      </c>
      <c r="L6083" s="27"/>
    </row>
    <row r="6084" spans="1:12">
      <c r="A6084" s="20" t="s">
        <v>1047</v>
      </c>
      <c r="B6084" s="21" t="s">
        <v>1016</v>
      </c>
      <c r="C6084" s="21" t="s">
        <v>977</v>
      </c>
      <c r="D6084" s="21" t="s">
        <v>978</v>
      </c>
      <c r="E6084" s="22">
        <f>IF(D6084="?OLD","!!!","")</f>
        <v/>
      </c>
      <c r="F6084" s="23" t="str">
        <f>IF(OR(E6084="",E6084="!!!"),"",IF(NOT(ISNA(VLOOKUP(E6084,E$1:E6083,1,FALSE()))),"OLD",IF(AND(E6084&lt;&gt;"",E6084&lt;&gt;"!!!"),"NEW","")))</f>
        <v> </v>
      </c>
      <c r="G6084" s="24" t="str">
        <f>IF(OR(E6084="",E6084="!!!"),"",IF(OR(J6084=0,AND(J6084=1,K6084=1),AND(J6084=1,I6084="SBJ"),AND(J6084=1,I6084=0)),"?IN_FOCUS",IF(J6084&lt;=2,"?ACTIVATED",IF(J6084&lt;&gt;"","?FAMILIAR",IF(F6084="NEW",IF(ISNA(VLOOKUP(E6084,#REF!,1,FALSE())),"?TYPE_IDENTIFIABLE","?REFERENTIAL"),"_")))))</f>
        <v> </v>
      </c>
      <c r="H6084" s="25" t="str">
        <f>IF(J6084&lt;&gt;1,"",IF(I6084="SBJ","CB","?"))</f>
        <v> </v>
      </c>
      <c r="I6084" s="26" t="str">
        <f>IF(OR(E6084="",E6084="!!!",F6084="NEW"),"",INDEX(B6083:B$2,-1+SUMPRODUCT(MAX(ROW(E6083:E$2)*(E6084=E6083:E$2)))))</f>
        <v> </v>
      </c>
      <c r="J6084" s="26" t="str">
        <f>IF(OR(E6084="",E6084="!!!",F6084="NEW"),"",COUNTBLANK(OFFSET(A$1,,,SUMPRODUCT(MAX(ROW(E$2:E6084)*(E6084=E$2:E6084)))))-COUNTBLANK(OFFSET(A$1,,,SUMPRODUCT(MAX(ROW(E$1:E6083)*(E2=E$1:E6083))))))</f>
        <v> </v>
      </c>
      <c r="K6084" s="26" t="str">
        <f>IF(OR(E6084="",E6084="!!!",F6084="NEW"),"",INDEX(J$1:J6083,SUMPRODUCT(MAX(ROW(E$1:E6083)*(E6084=E$1:E6083)))))</f>
        <v> </v>
      </c>
      <c r="L6084" s="27"/>
    </row>
    <row r="6085" spans="1:12">
      <c r="A6085" s="20" t="s">
        <v>1116</v>
      </c>
      <c r="E6085" s="22">
        <f>IF(D6085="?OLD","!!!","")</f>
        <v/>
      </c>
      <c r="F6085" s="23" t="str">
        <f>IF(OR(E6085="",E6085="!!!"),"",IF(NOT(ISNA(VLOOKUP(E6085,E$1:E6084,1,FALSE()))),"OLD",IF(AND(E6085&lt;&gt;"",E6085&lt;&gt;"!!!"),"NEW","")))</f>
        <v> </v>
      </c>
      <c r="G6085" s="24" t="str">
        <f>IF(OR(E6085="",E6085="!!!"),"",IF(OR(J6085=0,AND(J6085=1,K6085=1),AND(J6085=1,I6085="SBJ"),AND(J6085=1,I6085=0)),"?IN_FOCUS",IF(J6085&lt;=2,"?ACTIVATED",IF(J6085&lt;&gt;"","?FAMILIAR",IF(F6085="NEW",IF(ISNA(VLOOKUP(E6085,#REF!,1,FALSE())),"?TYPE_IDENTIFIABLE","?REFERENTIAL"),"_")))))</f>
        <v> </v>
      </c>
      <c r="H6085" s="25" t="str">
        <f>IF(J6085&lt;&gt;1,"",IF(I6085="SBJ","CB","?"))</f>
        <v> </v>
      </c>
      <c r="I6085" s="26" t="str">
        <f>IF(OR(E6085="",E6085="!!!",F6085="NEW"),"",INDEX(B6084:B$2,-1+SUMPRODUCT(MAX(ROW(E6084:E$2)*(E6085=E6084:E$2)))))</f>
        <v> </v>
      </c>
      <c r="J6085" s="26" t="str">
        <f>IF(OR(E6085="",E6085="!!!",F6085="NEW"),"",COUNTBLANK(OFFSET(A$1,,,SUMPRODUCT(MAX(ROW(E$2:E6085)*(E6085=E$2:E6085)))))-COUNTBLANK(OFFSET(A$1,,,SUMPRODUCT(MAX(ROW(E$1:E6084)*(E2=E$1:E6084))))))</f>
        <v> </v>
      </c>
      <c r="K6085" s="26" t="str">
        <f>IF(OR(E6085="",E6085="!!!",F6085="NEW"),"",INDEX(J$1:J6084,SUMPRODUCT(MAX(ROW(E$1:E6084)*(E6085=E$1:E6084)))))</f>
        <v> </v>
      </c>
      <c r="L6085" s="27"/>
    </row>
    <row r="6086" spans="1:12">
      <c r="A6086" s="20" t="s">
        <v>1414</v>
      </c>
      <c r="E6086" s="22">
        <f>IF(D6086="?OLD","!!!","")</f>
        <v/>
      </c>
      <c r="F6086" s="23" t="str">
        <f>IF(OR(E6086="",E6086="!!!"),"",IF(NOT(ISNA(VLOOKUP(E6086,E$1:E6085,1,FALSE()))),"OLD",IF(AND(E6086&lt;&gt;"",E6086&lt;&gt;"!!!"),"NEW","")))</f>
        <v> </v>
      </c>
      <c r="G6086" s="24" t="str">
        <f>IF(OR(E6086="",E6086="!!!"),"",IF(OR(J6086=0,AND(J6086=1,K6086=1),AND(J6086=1,I6086="SBJ"),AND(J6086=1,I6086=0)),"?IN_FOCUS",IF(J6086&lt;=2,"?ACTIVATED",IF(J6086&lt;&gt;"","?FAMILIAR",IF(F6086="NEW",IF(ISNA(VLOOKUP(E6086,#REF!,1,FALSE())),"?TYPE_IDENTIFIABLE","?REFERENTIAL"),"_")))))</f>
        <v> </v>
      </c>
      <c r="H6086" s="25" t="str">
        <f>IF(J6086&lt;&gt;1,"",IF(I6086="SBJ","CB","?"))</f>
        <v> </v>
      </c>
      <c r="I6086" s="26" t="str">
        <f>IF(OR(E6086="",E6086="!!!",F6086="NEW"),"",INDEX(B6085:B$2,-1+SUMPRODUCT(MAX(ROW(E6085:E$2)*(E6086=E6085:E$2)))))</f>
        <v> </v>
      </c>
      <c r="J6086" s="26" t="str">
        <f>IF(OR(E6086="",E6086="!!!",F6086="NEW"),"",COUNTBLANK(OFFSET(A$1,,,SUMPRODUCT(MAX(ROW(E$2:E6086)*(E6086=E$2:E6086)))))-COUNTBLANK(OFFSET(A$1,,,SUMPRODUCT(MAX(ROW(E$1:E6085)*(E2=E$1:E6085))))))</f>
        <v> </v>
      </c>
      <c r="K6086" s="26" t="str">
        <f>IF(OR(E6086="",E6086="!!!",F6086="NEW"),"",INDEX(J$1:J6085,SUMPRODUCT(MAX(ROW(E$1:E6085)*(E6086=E$1:E6085)))))</f>
        <v> </v>
      </c>
      <c r="L6086" s="27"/>
    </row>
    <row r="6087" spans="1:12">
      <c r="A6087" s="20" t="s">
        <v>1189</v>
      </c>
      <c r="E6087" s="22">
        <f>IF(D6087="?OLD","!!!","")</f>
        <v/>
      </c>
      <c r="F6087" s="23" t="str">
        <f>IF(OR(E6087="",E6087="!!!"),"",IF(NOT(ISNA(VLOOKUP(E6087,E$1:E6086,1,FALSE()))),"OLD",IF(AND(E6087&lt;&gt;"",E6087&lt;&gt;"!!!"),"NEW","")))</f>
        <v> </v>
      </c>
      <c r="G6087" s="24" t="str">
        <f>IF(OR(E6087="",E6087="!!!"),"",IF(OR(J6087=0,AND(J6087=1,K6087=1),AND(J6087=1,I6087="SBJ"),AND(J6087=1,I6087=0)),"?IN_FOCUS",IF(J6087&lt;=2,"?ACTIVATED",IF(J6087&lt;&gt;"","?FAMILIAR",IF(F6087="NEW",IF(ISNA(VLOOKUP(E6087,#REF!,1,FALSE())),"?TYPE_IDENTIFIABLE","?REFERENTIAL"),"_")))))</f>
        <v> </v>
      </c>
      <c r="H6087" s="25" t="str">
        <f>IF(J6087&lt;&gt;1,"",IF(I6087="SBJ","CB","?"))</f>
        <v> </v>
      </c>
      <c r="I6087" s="26" t="str">
        <f>IF(OR(E6087="",E6087="!!!",F6087="NEW"),"",INDEX(B6086:B$2,-1+SUMPRODUCT(MAX(ROW(E6086:E$2)*(E6087=E6086:E$2)))))</f>
        <v> </v>
      </c>
      <c r="J6087" s="26" t="str">
        <f>IF(OR(E6087="",E6087="!!!",F6087="NEW"),"",COUNTBLANK(OFFSET(A$1,,,SUMPRODUCT(MAX(ROW(E$2:E6087)*(E6087=E$2:E6087)))))-COUNTBLANK(OFFSET(A$1,,,SUMPRODUCT(MAX(ROW(E$1:E6086)*(E2=E$1:E6086))))))</f>
        <v> </v>
      </c>
      <c r="K6087" s="26" t="str">
        <f>IF(OR(E6087="",E6087="!!!",F6087="NEW"),"",INDEX(J$1:J6086,SUMPRODUCT(MAX(ROW(E$1:E6086)*(E6087=E$1:E6086)))))</f>
        <v> </v>
      </c>
      <c r="L6087" s="27"/>
    </row>
    <row r="6088" spans="1:12">
      <c r="A6088" s="20" t="s">
        <v>1294</v>
      </c>
      <c r="B6088" s="21" t="s">
        <v>1810</v>
      </c>
      <c r="C6088" s="21" t="s">
        <v>1020</v>
      </c>
      <c r="D6088" s="21" t="s">
        <v>978</v>
      </c>
      <c r="E6088" s="22">
        <f>IF(D6088="?OLD","!!!","")</f>
        <v/>
      </c>
      <c r="F6088" s="23" t="str">
        <f>IF(OR(E6088="",E6088="!!!"),"",IF(NOT(ISNA(VLOOKUP(E6088,E$1:E6087,1,FALSE()))),"OLD",IF(AND(E6088&lt;&gt;"",E6088&lt;&gt;"!!!"),"NEW","")))</f>
        <v> </v>
      </c>
      <c r="G6088" s="24" t="str">
        <f>IF(OR(E6088="",E6088="!!!"),"",IF(OR(J6088=0,AND(J6088=1,K6088=1),AND(J6088=1,I6088="SBJ"),AND(J6088=1,I6088=0)),"?IN_FOCUS",IF(J6088&lt;=2,"?ACTIVATED",IF(J6088&lt;&gt;"","?FAMILIAR",IF(F6088="NEW",IF(ISNA(VLOOKUP(E6088,#REF!,1,FALSE())),"?TYPE_IDENTIFIABLE","?REFERENTIAL"),"_")))))</f>
        <v> </v>
      </c>
      <c r="H6088" s="25" t="str">
        <f>IF(J6088&lt;&gt;1,"",IF(I6088="SBJ","CB","?"))</f>
        <v> </v>
      </c>
      <c r="I6088" s="26" t="str">
        <f>IF(OR(E6088="",E6088="!!!",F6088="NEW"),"",INDEX(B6087:B$2,-1+SUMPRODUCT(MAX(ROW(E6087:E$2)*(E6088=E6087:E$2)))))</f>
        <v> </v>
      </c>
      <c r="J6088" s="26" t="str">
        <f>IF(OR(E6088="",E6088="!!!",F6088="NEW"),"",COUNTBLANK(OFFSET(A$1,,,SUMPRODUCT(MAX(ROW(E$2:E6088)*(E6088=E$2:E6088)))))-COUNTBLANK(OFFSET(A$1,,,SUMPRODUCT(MAX(ROW(E$1:E6087)*(E2=E$1:E6087))))))</f>
        <v> </v>
      </c>
      <c r="K6088" s="26" t="str">
        <f>IF(OR(E6088="",E6088="!!!",F6088="NEW"),"",INDEX(J$1:J6087,SUMPRODUCT(MAX(ROW(E$1:E6087)*(E6088=E$1:E6087)))))</f>
        <v> </v>
      </c>
      <c r="L6088" s="27"/>
    </row>
    <row r="6089" spans="1:12">
      <c r="A6089" s="20" t="s">
        <v>414</v>
      </c>
      <c r="E6089" s="22">
        <f>IF(D6089="?OLD","!!!","")</f>
        <v/>
      </c>
      <c r="F6089" s="23" t="str">
        <f>IF(OR(E6089="",E6089="!!!"),"",IF(NOT(ISNA(VLOOKUP(E6089,E$1:E6088,1,FALSE()))),"OLD",IF(AND(E6089&lt;&gt;"",E6089&lt;&gt;"!!!"),"NEW","")))</f>
        <v> </v>
      </c>
      <c r="G6089" s="24" t="str">
        <f>IF(OR(E6089="",E6089="!!!"),"",IF(OR(J6089=0,AND(J6089=1,K6089=1),AND(J6089=1,I6089="SBJ"),AND(J6089=1,I6089=0)),"?IN_FOCUS",IF(J6089&lt;=2,"?ACTIVATED",IF(J6089&lt;&gt;"","?FAMILIAR",IF(F6089="NEW",IF(ISNA(VLOOKUP(E6089,#REF!,1,FALSE())),"?TYPE_IDENTIFIABLE","?REFERENTIAL"),"_")))))</f>
        <v> </v>
      </c>
      <c r="H6089" s="25" t="str">
        <f>IF(J6089&lt;&gt;1,"",IF(I6089="SBJ","CB","?"))</f>
        <v> </v>
      </c>
      <c r="I6089" s="26" t="str">
        <f>IF(OR(E6089="",E6089="!!!",F6089="NEW"),"",INDEX(B6088:B$2,-1+SUMPRODUCT(MAX(ROW(E6088:E$2)*(E6089=E6088:E$2)))))</f>
        <v> </v>
      </c>
      <c r="J6089" s="26" t="str">
        <f>IF(OR(E6089="",E6089="!!!",F6089="NEW"),"",COUNTBLANK(OFFSET(A$1,,,SUMPRODUCT(MAX(ROW(E$2:E6089)*(E6089=E$2:E6089)))))-COUNTBLANK(OFFSET(A$1,,,SUMPRODUCT(MAX(ROW(E$1:E6088)*(E2=E$1:E6088))))))</f>
        <v> </v>
      </c>
      <c r="K6089" s="26" t="str">
        <f>IF(OR(E6089="",E6089="!!!",F6089="NEW"),"",INDEX(J$1:J6088,SUMPRODUCT(MAX(ROW(E$1:E6088)*(E6089=E$1:E6088)))))</f>
        <v> </v>
      </c>
      <c r="L6089" s="27"/>
    </row>
    <row r="6090" spans="1:12">
      <c r="A6090" s="20" t="s">
        <v>2508</v>
      </c>
      <c r="B6090" s="21" t="s">
        <v>1810</v>
      </c>
      <c r="C6090" s="21" t="s">
        <v>1057</v>
      </c>
      <c r="E6090" s="22">
        <f>IF(D6090="?OLD","!!!","")</f>
        <v/>
      </c>
      <c r="F6090" s="23" t="str">
        <f>IF(OR(E6090="",E6090="!!!"),"",IF(NOT(ISNA(VLOOKUP(E6090,E$1:E6089,1,FALSE()))),"OLD",IF(AND(E6090&lt;&gt;"",E6090&lt;&gt;"!!!"),"NEW","")))</f>
        <v> </v>
      </c>
      <c r="G6090" s="24" t="str">
        <f>IF(OR(E6090="",E6090="!!!"),"",IF(OR(J6090=0,AND(J6090=1,K6090=1),AND(J6090=1,I6090="SBJ"),AND(J6090=1,I6090=0)),"?IN_FOCUS",IF(J6090&lt;=2,"?ACTIVATED",IF(J6090&lt;&gt;"","?FAMILIAR",IF(F6090="NEW",IF(ISNA(VLOOKUP(E6090,#REF!,1,FALSE())),"?TYPE_IDENTIFIABLE","?REFERENTIAL"),"_")))))</f>
        <v> </v>
      </c>
      <c r="H6090" s="25" t="str">
        <f>IF(J6090&lt;&gt;1,"",IF(I6090="SBJ","CB","?"))</f>
        <v> </v>
      </c>
      <c r="I6090" s="26" t="str">
        <f>IF(OR(E6090="",E6090="!!!",F6090="NEW"),"",INDEX(B6089:B$2,-1+SUMPRODUCT(MAX(ROW(E6089:E$2)*(E6090=E6089:E$2)))))</f>
        <v> </v>
      </c>
      <c r="J6090" s="26" t="str">
        <f>IF(OR(E6090="",E6090="!!!",F6090="NEW"),"",COUNTBLANK(OFFSET(A$1,,,SUMPRODUCT(MAX(ROW(E$2:E6090)*(E6090=E$2:E6090)))))-COUNTBLANK(OFFSET(A$1,,,SUMPRODUCT(MAX(ROW(E$1:E6089)*(E2=E$1:E6089))))))</f>
        <v> </v>
      </c>
      <c r="K6090" s="26" t="str">
        <f>IF(OR(E6090="",E6090="!!!",F6090="NEW"),"",INDEX(J$1:J6089,SUMPRODUCT(MAX(ROW(E$1:E6089)*(E6090=E$1:E6089)))))</f>
        <v> </v>
      </c>
      <c r="L6090" s="27"/>
    </row>
    <row r="6091" spans="1:12">
      <c r="A6091" s="20" t="s">
        <v>1000</v>
      </c>
      <c r="E6091" s="22">
        <f>IF(D6091="?OLD","!!!","")</f>
        <v/>
      </c>
      <c r="F6091" s="23" t="str">
        <f>IF(OR(E6091="",E6091="!!!"),"",IF(NOT(ISNA(VLOOKUP(E6091,E$1:E6090,1,FALSE()))),"OLD",IF(AND(E6091&lt;&gt;"",E6091&lt;&gt;"!!!"),"NEW","")))</f>
        <v> </v>
      </c>
      <c r="G6091" s="24" t="str">
        <f>IF(OR(E6091="",E6091="!!!"),"",IF(OR(J6091=0,AND(J6091=1,K6091=1),AND(J6091=1,I6091="SBJ"),AND(J6091=1,I6091=0)),"?IN_FOCUS",IF(J6091&lt;=2,"?ACTIVATED",IF(J6091&lt;&gt;"","?FAMILIAR",IF(F6091="NEW",IF(ISNA(VLOOKUP(E6091,#REF!,1,FALSE())),"?TYPE_IDENTIFIABLE","?REFERENTIAL"),"_")))))</f>
        <v> </v>
      </c>
      <c r="H6091" s="25" t="str">
        <f>IF(J6091&lt;&gt;1,"",IF(I6091="SBJ","CB","?"))</f>
        <v> </v>
      </c>
      <c r="I6091" s="26" t="str">
        <f>IF(OR(E6091="",E6091="!!!",F6091="NEW"),"",INDEX(B6090:B$2,-1+SUMPRODUCT(MAX(ROW(E6090:E$2)*(E6091=E6090:E$2)))))</f>
        <v> </v>
      </c>
      <c r="J6091" s="26" t="str">
        <f>IF(OR(E6091="",E6091="!!!",F6091="NEW"),"",COUNTBLANK(OFFSET(A$1,,,SUMPRODUCT(MAX(ROW(E$2:E6091)*(E6091=E$2:E6091)))))-COUNTBLANK(OFFSET(A$1,,,SUMPRODUCT(MAX(ROW(E$1:E6090)*(E2=E$1:E6090))))))</f>
        <v> </v>
      </c>
      <c r="K6091" s="26" t="str">
        <f>IF(OR(E6091="",E6091="!!!",F6091="NEW"),"",INDEX(J$1:J6090,SUMPRODUCT(MAX(ROW(E$1:E6090)*(E6091=E$1:E6090)))))</f>
        <v> </v>
      </c>
      <c r="L6091" s="27"/>
    </row>
    <row r="6092" spans="1:12">
      <c r="A6092" s="20" t="s">
        <v>1047</v>
      </c>
      <c r="B6092" s="21" t="s">
        <v>1311</v>
      </c>
      <c r="C6092" s="21" t="s">
        <v>977</v>
      </c>
      <c r="D6092" s="21" t="s">
        <v>978</v>
      </c>
      <c r="E6092" s="22">
        <f>IF(D6092="?OLD","!!!","")</f>
        <v/>
      </c>
      <c r="F6092" s="23" t="str">
        <f>IF(OR(E6092="",E6092="!!!"),"",IF(NOT(ISNA(VLOOKUP(E6092,E$1:E6091,1,FALSE()))),"OLD",IF(AND(E6092&lt;&gt;"",E6092&lt;&gt;"!!!"),"NEW","")))</f>
        <v> </v>
      </c>
      <c r="G6092" s="24" t="str">
        <f>IF(OR(E6092="",E6092="!!!"),"",IF(OR(J6092=0,AND(J6092=1,K6092=1),AND(J6092=1,I6092="SBJ"),AND(J6092=1,I6092=0)),"?IN_FOCUS",IF(J6092&lt;=2,"?ACTIVATED",IF(J6092&lt;&gt;"","?FAMILIAR",IF(F6092="NEW",IF(ISNA(VLOOKUP(E6092,#REF!,1,FALSE())),"?TYPE_IDENTIFIABLE","?REFERENTIAL"),"_")))))</f>
        <v> </v>
      </c>
      <c r="H6092" s="25" t="str">
        <f>IF(J6092&lt;&gt;1,"",IF(I6092="SBJ","CB","?"))</f>
        <v> </v>
      </c>
      <c r="I6092" s="26" t="str">
        <f>IF(OR(E6092="",E6092="!!!",F6092="NEW"),"",INDEX(B6091:B$2,-1+SUMPRODUCT(MAX(ROW(E6091:E$2)*(E6092=E6091:E$2)))))</f>
        <v> </v>
      </c>
      <c r="J6092" s="26" t="str">
        <f>IF(OR(E6092="",E6092="!!!",F6092="NEW"),"",COUNTBLANK(OFFSET(A$1,,,SUMPRODUCT(MAX(ROW(E$2:E6092)*(E6092=E$2:E6092)))))-COUNTBLANK(OFFSET(A$1,,,SUMPRODUCT(MAX(ROW(E$1:E6091)*(E2=E$1:E6091))))))</f>
        <v> </v>
      </c>
      <c r="K6092" s="26" t="str">
        <f>IF(OR(E6092="",E6092="!!!",F6092="NEW"),"",INDEX(J$1:J6091,SUMPRODUCT(MAX(ROW(E$1:E6091)*(E6092=E$1:E6091)))))</f>
        <v> </v>
      </c>
      <c r="L6092" s="27"/>
    </row>
    <row r="6093" spans="1:12">
      <c r="A6093" s="20" t="s">
        <v>1414</v>
      </c>
      <c r="E6093" s="22">
        <f>IF(D6093="?OLD","!!!","")</f>
        <v/>
      </c>
      <c r="F6093" s="23" t="str">
        <f>IF(OR(E6093="",E6093="!!!"),"",IF(NOT(ISNA(VLOOKUP(E6093,E$1:E6092,1,FALSE()))),"OLD",IF(AND(E6093&lt;&gt;"",E6093&lt;&gt;"!!!"),"NEW","")))</f>
        <v> </v>
      </c>
      <c r="G6093" s="24" t="str">
        <f>IF(OR(E6093="",E6093="!!!"),"",IF(OR(J6093=0,AND(J6093=1,K6093=1),AND(J6093=1,I6093="SBJ"),AND(J6093=1,I6093=0)),"?IN_FOCUS",IF(J6093&lt;=2,"?ACTIVATED",IF(J6093&lt;&gt;"","?FAMILIAR",IF(F6093="NEW",IF(ISNA(VLOOKUP(E6093,#REF!,1,FALSE())),"?TYPE_IDENTIFIABLE","?REFERENTIAL"),"_")))))</f>
        <v> </v>
      </c>
      <c r="H6093" s="25" t="str">
        <f>IF(J6093&lt;&gt;1,"",IF(I6093="SBJ","CB","?"))</f>
        <v> </v>
      </c>
      <c r="I6093" s="26" t="str">
        <f>IF(OR(E6093="",E6093="!!!",F6093="NEW"),"",INDEX(B6092:B$2,-1+SUMPRODUCT(MAX(ROW(E6092:E$2)*(E6093=E6092:E$2)))))</f>
        <v> </v>
      </c>
      <c r="J6093" s="26" t="str">
        <f>IF(OR(E6093="",E6093="!!!",F6093="NEW"),"",COUNTBLANK(OFFSET(A$1,,,SUMPRODUCT(MAX(ROW(E$2:E6093)*(E6093=E$2:E6093)))))-COUNTBLANK(OFFSET(A$1,,,SUMPRODUCT(MAX(ROW(E$1:E6092)*(E2=E$1:E6092))))))</f>
        <v> </v>
      </c>
      <c r="K6093" s="26" t="str">
        <f>IF(OR(E6093="",E6093="!!!",F6093="NEW"),"",INDEX(J$1:J6092,SUMPRODUCT(MAX(ROW(E$1:E6092)*(E6093=E$1:E6092)))))</f>
        <v> </v>
      </c>
      <c r="L6093" s="27"/>
    </row>
    <row r="6094" spans="1:12">
      <c r="A6094" s="20" t="s">
        <v>1065</v>
      </c>
      <c r="E6094" s="22">
        <f>IF(D6094="?OLD","!!!","")</f>
        <v/>
      </c>
      <c r="F6094" s="23" t="str">
        <f>IF(OR(E6094="",E6094="!!!"),"",IF(NOT(ISNA(VLOOKUP(E6094,E$1:E6093,1,FALSE()))),"OLD",IF(AND(E6094&lt;&gt;"",E6094&lt;&gt;"!!!"),"NEW","")))</f>
        <v> </v>
      </c>
      <c r="G6094" s="24" t="str">
        <f>IF(OR(E6094="",E6094="!!!"),"",IF(OR(J6094=0,AND(J6094=1,K6094=1),AND(J6094=1,I6094="SBJ"),AND(J6094=1,I6094=0)),"?IN_FOCUS",IF(J6094&lt;=2,"?ACTIVATED",IF(J6094&lt;&gt;"","?FAMILIAR",IF(F6094="NEW",IF(ISNA(VLOOKUP(E6094,#REF!,1,FALSE())),"?TYPE_IDENTIFIABLE","?REFERENTIAL"),"_")))))</f>
        <v> </v>
      </c>
      <c r="H6094" s="25" t="str">
        <f>IF(J6094&lt;&gt;1,"",IF(I6094="SBJ","CB","?"))</f>
        <v> </v>
      </c>
      <c r="I6094" s="26" t="str">
        <f>IF(OR(E6094="",E6094="!!!",F6094="NEW"),"",INDEX(B6093:B$2,-1+SUMPRODUCT(MAX(ROW(E6093:E$2)*(E6094=E6093:E$2)))))</f>
        <v> </v>
      </c>
      <c r="J6094" s="26" t="str">
        <f>IF(OR(E6094="",E6094="!!!",F6094="NEW"),"",COUNTBLANK(OFFSET(A$1,,,SUMPRODUCT(MAX(ROW(E$2:E6094)*(E6094=E$2:E6094)))))-COUNTBLANK(OFFSET(A$1,,,SUMPRODUCT(MAX(ROW(E$1:E6093)*(E2=E$1:E6093))))))</f>
        <v> </v>
      </c>
      <c r="K6094" s="26" t="str">
        <f>IF(OR(E6094="",E6094="!!!",F6094="NEW"),"",INDEX(J$1:J6093,SUMPRODUCT(MAX(ROW(E$1:E6093)*(E6094=E$1:E6093)))))</f>
        <v> </v>
      </c>
      <c r="L6094" s="27"/>
    </row>
    <row r="6095" spans="1:12">
      <c r="A6095" s="20" t="s">
        <v>2353</v>
      </c>
      <c r="E6095" s="22">
        <f>IF(D6095="?OLD","!!!","")</f>
        <v/>
      </c>
      <c r="F6095" s="23" t="str">
        <f>IF(OR(E6095="",E6095="!!!"),"",IF(NOT(ISNA(VLOOKUP(E6095,E$1:E6094,1,FALSE()))),"OLD",IF(AND(E6095&lt;&gt;"",E6095&lt;&gt;"!!!"),"NEW","")))</f>
        <v> </v>
      </c>
      <c r="G6095" s="24" t="str">
        <f>IF(OR(E6095="",E6095="!!!"),"",IF(OR(J6095=0,AND(J6095=1,K6095=1),AND(J6095=1,I6095="SBJ"),AND(J6095=1,I6095=0)),"?IN_FOCUS",IF(J6095&lt;=2,"?ACTIVATED",IF(J6095&lt;&gt;"","?FAMILIAR",IF(F6095="NEW",IF(ISNA(VLOOKUP(E6095,#REF!,1,FALSE())),"?TYPE_IDENTIFIABLE","?REFERENTIAL"),"_")))))</f>
        <v> </v>
      </c>
      <c r="H6095" s="25" t="str">
        <f>IF(J6095&lt;&gt;1,"",IF(I6095="SBJ","CB","?"))</f>
        <v> </v>
      </c>
      <c r="I6095" s="26" t="str">
        <f>IF(OR(E6095="",E6095="!!!",F6095="NEW"),"",INDEX(B6094:B$2,-1+SUMPRODUCT(MAX(ROW(E6094:E$2)*(E6095=E6094:E$2)))))</f>
        <v> </v>
      </c>
      <c r="J6095" s="26" t="str">
        <f>IF(OR(E6095="",E6095="!!!",F6095="NEW"),"",COUNTBLANK(OFFSET(A$1,,,SUMPRODUCT(MAX(ROW(E$2:E6095)*(E6095=E$2:E6095)))))-COUNTBLANK(OFFSET(A$1,,,SUMPRODUCT(MAX(ROW(E$1:E6094)*(E2=E$1:E6094))))))</f>
        <v> </v>
      </c>
      <c r="K6095" s="26" t="str">
        <f>IF(OR(E6095="",E6095="!!!",F6095="NEW"),"",INDEX(J$1:J6094,SUMPRODUCT(MAX(ROW(E$1:E6094)*(E6095=E$1:E6094)))))</f>
        <v> </v>
      </c>
      <c r="L6095" s="27"/>
    </row>
    <row r="6096" spans="1:12">
      <c r="A6096" s="20" t="s">
        <v>2509</v>
      </c>
      <c r="E6096" s="22">
        <f>IF(D6096="?OLD","!!!","")</f>
        <v/>
      </c>
      <c r="F6096" s="23" t="str">
        <f>IF(OR(E6096="",E6096="!!!"),"",IF(NOT(ISNA(VLOOKUP(E6096,E$1:E6095,1,FALSE()))),"OLD",IF(AND(E6096&lt;&gt;"",E6096&lt;&gt;"!!!"),"NEW","")))</f>
        <v> </v>
      </c>
      <c r="G6096" s="24" t="str">
        <f>IF(OR(E6096="",E6096="!!!"),"",IF(OR(J6096=0,AND(J6096=1,K6096=1),AND(J6096=1,I6096="SBJ"),AND(J6096=1,I6096=0)),"?IN_FOCUS",IF(J6096&lt;=2,"?ACTIVATED",IF(J6096&lt;&gt;"","?FAMILIAR",IF(F6096="NEW",IF(ISNA(VLOOKUP(E6096,#REF!,1,FALSE())),"?TYPE_IDENTIFIABLE","?REFERENTIAL"),"_")))))</f>
        <v> </v>
      </c>
      <c r="H6096" s="25" t="str">
        <f>IF(J6096&lt;&gt;1,"",IF(I6096="SBJ","CB","?"))</f>
        <v> </v>
      </c>
      <c r="I6096" s="26" t="str">
        <f>IF(OR(E6096="",E6096="!!!",F6096="NEW"),"",INDEX(B6095:B$2,-1+SUMPRODUCT(MAX(ROW(E6095:E$2)*(E6096=E6095:E$2)))))</f>
        <v> </v>
      </c>
      <c r="J6096" s="26" t="str">
        <f>IF(OR(E6096="",E6096="!!!",F6096="NEW"),"",COUNTBLANK(OFFSET(A$1,,,SUMPRODUCT(MAX(ROW(E$2:E6096)*(E6096=E$2:E6096)))))-COUNTBLANK(OFFSET(A$1,,,SUMPRODUCT(MAX(ROW(E$1:E6095)*(E2=E$1:E6095))))))</f>
        <v> </v>
      </c>
      <c r="K6096" s="26" t="str">
        <f>IF(OR(E6096="",E6096="!!!",F6096="NEW"),"",INDEX(J$1:J6095,SUMPRODUCT(MAX(ROW(E$1:E6095)*(E6096=E$1:E6095)))))</f>
        <v> </v>
      </c>
      <c r="L6096" s="27"/>
    </row>
    <row r="6097" spans="1:12">
      <c r="A6097" s="20" t="s">
        <v>985</v>
      </c>
      <c r="B6097" s="21" t="s">
        <v>1014</v>
      </c>
      <c r="C6097" s="21" t="s">
        <v>987</v>
      </c>
      <c r="D6097" s="21" t="s">
        <v>978</v>
      </c>
      <c r="E6097" s="22">
        <f>IF(D6097="?OLD","!!!","")</f>
        <v/>
      </c>
      <c r="F6097" s="23" t="str">
        <f>IF(OR(E6097="",E6097="!!!"),"",IF(NOT(ISNA(VLOOKUP(E6097,E$1:E6096,1,FALSE()))),"OLD",IF(AND(E6097&lt;&gt;"",E6097&lt;&gt;"!!!"),"NEW","")))</f>
        <v> </v>
      </c>
      <c r="G6097" s="24" t="str">
        <f>IF(OR(E6097="",E6097="!!!"),"",IF(OR(J6097=0,AND(J6097=1,K6097=1),AND(J6097=1,I6097="SBJ"),AND(J6097=1,I6097=0)),"?IN_FOCUS",IF(J6097&lt;=2,"?ACTIVATED",IF(J6097&lt;&gt;"","?FAMILIAR",IF(F6097="NEW",IF(ISNA(VLOOKUP(E6097,#REF!,1,FALSE())),"?TYPE_IDENTIFIABLE","?REFERENTIAL"),"_")))))</f>
        <v> </v>
      </c>
      <c r="H6097" s="25" t="str">
        <f>IF(J6097&lt;&gt;1,"",IF(I6097="SBJ","CB","?"))</f>
        <v> </v>
      </c>
      <c r="I6097" s="26" t="str">
        <f>IF(OR(E6097="",E6097="!!!",F6097="NEW"),"",INDEX(B6096:B$2,-1+SUMPRODUCT(MAX(ROW(E6096:E$2)*(E6097=E6096:E$2)))))</f>
        <v> </v>
      </c>
      <c r="J6097" s="26" t="str">
        <f>IF(OR(E6097="",E6097="!!!",F6097="NEW"),"",COUNTBLANK(OFFSET(A$1,,,SUMPRODUCT(MAX(ROW(E$2:E6097)*(E6097=E$2:E6097)))))-COUNTBLANK(OFFSET(A$1,,,SUMPRODUCT(MAX(ROW(E$1:E6096)*(E2=E$1:E6096))))))</f>
        <v> </v>
      </c>
      <c r="K6097" s="26" t="str">
        <f>IF(OR(E6097="",E6097="!!!",F6097="NEW"),"",INDEX(J$1:J6096,SUMPRODUCT(MAX(ROW(E$1:E6096)*(E6097=E$1:E6096)))))</f>
        <v> </v>
      </c>
      <c r="L6097" s="27"/>
    </row>
    <row r="6098" spans="1:12">
      <c r="A6098" s="20" t="s">
        <v>1426</v>
      </c>
      <c r="B6098" s="21" t="s">
        <v>1019</v>
      </c>
      <c r="C6098" s="21" t="s">
        <v>990</v>
      </c>
      <c r="D6098" s="21" t="s">
        <v>978</v>
      </c>
      <c r="E6098" s="22">
        <f>IF(D6098="?OLD","!!!","")</f>
        <v/>
      </c>
      <c r="F6098" s="23" t="str">
        <f>IF(OR(E6098="",E6098="!!!"),"",IF(NOT(ISNA(VLOOKUP(E6098,E$1:E6097,1,FALSE()))),"OLD",IF(AND(E6098&lt;&gt;"",E6098&lt;&gt;"!!!"),"NEW","")))</f>
        <v> </v>
      </c>
      <c r="G6098" s="24" t="str">
        <f>IF(OR(E6098="",E6098="!!!"),"",IF(OR(J6098=0,AND(J6098=1,K6098=1),AND(J6098=1,I6098="SBJ"),AND(J6098=1,I6098=0)),"?IN_FOCUS",IF(J6098&lt;=2,"?ACTIVATED",IF(J6098&lt;&gt;"","?FAMILIAR",IF(F6098="NEW",IF(ISNA(VLOOKUP(E6098,#REF!,1,FALSE())),"?TYPE_IDENTIFIABLE","?REFERENTIAL"),"_")))))</f>
        <v> </v>
      </c>
      <c r="H6098" s="25" t="str">
        <f>IF(J6098&lt;&gt;1,"",IF(I6098="SBJ","CB","?"))</f>
        <v> </v>
      </c>
      <c r="I6098" s="26" t="str">
        <f>IF(OR(E6098="",E6098="!!!",F6098="NEW"),"",INDEX(B6097:B$2,-1+SUMPRODUCT(MAX(ROW(E6097:E$2)*(E6098=E6097:E$2)))))</f>
        <v> </v>
      </c>
      <c r="J6098" s="26" t="str">
        <f>IF(OR(E6098="",E6098="!!!",F6098="NEW"),"",COUNTBLANK(OFFSET(A$1,,,SUMPRODUCT(MAX(ROW(E$2:E6098)*(E6098=E$2:E6098)))))-COUNTBLANK(OFFSET(A$1,,,SUMPRODUCT(MAX(ROW(E$1:E6097)*(E2=E$1:E6097))))))</f>
        <v> </v>
      </c>
      <c r="K6098" s="26" t="str">
        <f>IF(OR(E6098="",E6098="!!!",F6098="NEW"),"",INDEX(J$1:J6097,SUMPRODUCT(MAX(ROW(E$1:E6097)*(E6098=E$1:E6097)))))</f>
        <v> </v>
      </c>
      <c r="L6098" s="27"/>
    </row>
    <row r="6099" spans="1:12">
      <c r="A6099" s="20" t="s">
        <v>1018</v>
      </c>
      <c r="E6099" s="22">
        <f>IF(D6099="?OLD","!!!","")</f>
        <v/>
      </c>
      <c r="F6099" s="23" t="str">
        <f>IF(OR(E6099="",E6099="!!!"),"",IF(NOT(ISNA(VLOOKUP(E6099,E$1:E6098,1,FALSE()))),"OLD",IF(AND(E6099&lt;&gt;"",E6099&lt;&gt;"!!!"),"NEW","")))</f>
        <v> </v>
      </c>
      <c r="G6099" s="24" t="str">
        <f>IF(OR(E6099="",E6099="!!!"),"",IF(OR(J6099=0,AND(J6099=1,K6099=1),AND(J6099=1,I6099="SBJ"),AND(J6099=1,I6099=0)),"?IN_FOCUS",IF(J6099&lt;=2,"?ACTIVATED",IF(J6099&lt;&gt;"","?FAMILIAR",IF(F6099="NEW",IF(ISNA(VLOOKUP(E6099,#REF!,1,FALSE())),"?TYPE_IDENTIFIABLE","?REFERENTIAL"),"_")))))</f>
        <v> </v>
      </c>
      <c r="H6099" s="25" t="str">
        <f>IF(J6099&lt;&gt;1,"",IF(I6099="SBJ","CB","?"))</f>
        <v> </v>
      </c>
      <c r="I6099" s="26" t="str">
        <f>IF(OR(E6099="",E6099="!!!",F6099="NEW"),"",INDEX(B6098:B$2,-1+SUMPRODUCT(MAX(ROW(E6098:E$2)*(E6099=E6098:E$2)))))</f>
        <v> </v>
      </c>
      <c r="J6099" s="26" t="str">
        <f>IF(OR(E6099="",E6099="!!!",F6099="NEW"),"",COUNTBLANK(OFFSET(A$1,,,SUMPRODUCT(MAX(ROW(E$2:E6099)*(E6099=E$2:E6099)))))-COUNTBLANK(OFFSET(A$1,,,SUMPRODUCT(MAX(ROW(E$1:E6098)*(E2=E$1:E6098))))))</f>
        <v> </v>
      </c>
      <c r="K6099" s="26" t="str">
        <f>IF(OR(E6099="",E6099="!!!",F6099="NEW"),"",INDEX(J$1:J6098,SUMPRODUCT(MAX(ROW(E$1:E6098)*(E6099=E$1:E6098)))))</f>
        <v> </v>
      </c>
      <c r="L6099" s="27"/>
    </row>
    <row r="6100" spans="1:12">
      <c r="A6100" s="20" t="s">
        <v>2510</v>
      </c>
      <c r="B6100" s="21" t="s">
        <v>1014</v>
      </c>
      <c r="C6100" s="21" t="s">
        <v>1057</v>
      </c>
      <c r="E6100" s="22">
        <f>IF(D6100="?OLD","!!!","")</f>
        <v/>
      </c>
      <c r="F6100" s="23" t="str">
        <f>IF(OR(E6100="",E6100="!!!"),"",IF(NOT(ISNA(VLOOKUP(E6100,E$1:E6099,1,FALSE()))),"OLD",IF(AND(E6100&lt;&gt;"",E6100&lt;&gt;"!!!"),"NEW","")))</f>
        <v> </v>
      </c>
      <c r="G6100" s="24" t="str">
        <f>IF(OR(E6100="",E6100="!!!"),"",IF(OR(J6100=0,AND(J6100=1,K6100=1),AND(J6100=1,I6100="SBJ"),AND(J6100=1,I6100=0)),"?IN_FOCUS",IF(J6100&lt;=2,"?ACTIVATED",IF(J6100&lt;&gt;"","?FAMILIAR",IF(F6100="NEW",IF(ISNA(VLOOKUP(E6100,#REF!,1,FALSE())),"?TYPE_IDENTIFIABLE","?REFERENTIAL"),"_")))))</f>
        <v> </v>
      </c>
      <c r="H6100" s="25" t="str">
        <f>IF(J6100&lt;&gt;1,"",IF(I6100="SBJ","CB","?"))</f>
        <v> </v>
      </c>
      <c r="I6100" s="26" t="str">
        <f>IF(OR(E6100="",E6100="!!!",F6100="NEW"),"",INDEX(B6099:B$2,-1+SUMPRODUCT(MAX(ROW(E6099:E$2)*(E6100=E6099:E$2)))))</f>
        <v> </v>
      </c>
      <c r="J6100" s="26" t="str">
        <f>IF(OR(E6100="",E6100="!!!",F6100="NEW"),"",COUNTBLANK(OFFSET(A$1,,,SUMPRODUCT(MAX(ROW(E$2:E6100)*(E6100=E$2:E6100)))))-COUNTBLANK(OFFSET(A$1,,,SUMPRODUCT(MAX(ROW(E$1:E6099)*(E2=E$1:E6099))))))</f>
        <v> </v>
      </c>
      <c r="K6100" s="26" t="str">
        <f>IF(OR(E6100="",E6100="!!!",F6100="NEW"),"",INDEX(J$1:J6099,SUMPRODUCT(MAX(ROW(E$1:E6099)*(E6100=E$1:E6099)))))</f>
        <v> </v>
      </c>
      <c r="L6100" s="27"/>
    </row>
    <row r="6101" spans="1:12">
      <c r="A6101" s="20" t="s">
        <v>1022</v>
      </c>
      <c r="E6101" s="22">
        <f>IF(D6101="?OLD","!!!","")</f>
        <v/>
      </c>
      <c r="F6101" s="23" t="str">
        <f>IF(OR(E6101="",E6101="!!!"),"",IF(NOT(ISNA(VLOOKUP(E6101,E$1:E6100,1,FALSE()))),"OLD",IF(AND(E6101&lt;&gt;"",E6101&lt;&gt;"!!!"),"NEW","")))</f>
        <v> </v>
      </c>
      <c r="G6101" s="24" t="str">
        <f>IF(OR(E6101="",E6101="!!!"),"",IF(OR(J6101=0,AND(J6101=1,K6101=1),AND(J6101=1,I6101="SBJ"),AND(J6101=1,I6101=0)),"?IN_FOCUS",IF(J6101&lt;=2,"?ACTIVATED",IF(J6101&lt;&gt;"","?FAMILIAR",IF(F6101="NEW",IF(ISNA(VLOOKUP(E6101,#REF!,1,FALSE())),"?TYPE_IDENTIFIABLE","?REFERENTIAL"),"_")))))</f>
        <v> </v>
      </c>
      <c r="H6101" s="25" t="str">
        <f>IF(J6101&lt;&gt;1,"",IF(I6101="SBJ","CB","?"))</f>
        <v> </v>
      </c>
      <c r="I6101" s="26" t="str">
        <f>IF(OR(E6101="",E6101="!!!",F6101="NEW"),"",INDEX(B6100:B$2,-1+SUMPRODUCT(MAX(ROW(E6100:E$2)*(E6101=E6100:E$2)))))</f>
        <v> </v>
      </c>
      <c r="J6101" s="26" t="str">
        <f>IF(OR(E6101="",E6101="!!!",F6101="NEW"),"",COUNTBLANK(OFFSET(A$1,,,SUMPRODUCT(MAX(ROW(E$2:E6101)*(E6101=E$2:E6101)))))-COUNTBLANK(OFFSET(A$1,,,SUMPRODUCT(MAX(ROW(E$1:E6100)*(E2=E$1:E6100))))))</f>
        <v> </v>
      </c>
      <c r="K6101" s="26" t="str">
        <f>IF(OR(E6101="",E6101="!!!",F6101="NEW"),"",INDEX(J$1:J6100,SUMPRODUCT(MAX(ROW(E$1:E6100)*(E6101=E$1:E6100)))))</f>
        <v> </v>
      </c>
      <c r="L6101" s="27"/>
    </row>
    <row r="6102" spans="1:12">
      <c r="A6102" s="20"/>
    </row>
    <row r="6103" spans="1:12">
      <c r="A6103" s="20" t="s">
        <v>2511</v>
      </c>
    </row>
    <row r="6104" spans="1:12">
      <c r="A6104" s="20" t="s">
        <v>190</v>
      </c>
      <c r="E6104" s="22">
        <f>IF(D6104="?OLD","!!!","")</f>
        <v/>
      </c>
      <c r="F6104" s="23" t="str">
        <f>IF(OR(E6104="",E6104="!!!"),"",IF(NOT(ISNA(VLOOKUP(E6104,E$1:E6103,1,FALSE()))),"OLD",IF(AND(E6104&lt;&gt;"",E6104&lt;&gt;"!!!"),"NEW","")))</f>
        <v> </v>
      </c>
      <c r="G6104" s="24" t="str">
        <f>IF(OR(E6104="",E6104="!!!"),"",IF(OR(J6104=0,AND(J6104=1,K6104=1),AND(J6104=1,I6104="SBJ"),AND(J6104=1,I6104=0)),"?IN_FOCUS",IF(J6104&lt;=2,"?ACTIVATED",IF(J6104&lt;&gt;"","?FAMILIAR",IF(F6104="NEW",IF(ISNA(VLOOKUP(E6104,#REF!,1,FALSE())),"?TYPE_IDENTIFIABLE","?REFERENTIAL"),"_")))))</f>
        <v> </v>
      </c>
      <c r="H6104" s="25" t="str">
        <f>IF(J6104&lt;&gt;1,"",IF(I6104="SBJ","CB","?"))</f>
        <v> </v>
      </c>
      <c r="I6104" s="26" t="str">
        <f>IF(OR(E6104="",E6104="!!!",F6104="NEW"),"",INDEX(B6103:B$2,-1+SUMPRODUCT(MAX(ROW(E6103:E$2)*(E6104=E6103:E$2)))))</f>
        <v> </v>
      </c>
      <c r="J6104" s="26" t="str">
        <f>IF(OR(E6104="",E6104="!!!",F6104="NEW"),"",COUNTBLANK(OFFSET(A$1,,,SUMPRODUCT(MAX(ROW(E$2:E6104)*(E6104=E$2:E6104)))))-COUNTBLANK(OFFSET(A$1,,,SUMPRODUCT(MAX(ROW(E$1:E6103)*(E2=E$1:E6103))))))</f>
        <v> </v>
      </c>
      <c r="K6104" s="26" t="str">
        <f>IF(OR(E6104="",E6104="!!!",F6104="NEW"),"",INDEX(J$1:J6103,SUMPRODUCT(MAX(ROW(E$1:E6103)*(E6104=E$1:E6103)))))</f>
        <v> </v>
      </c>
      <c r="L6104" s="27"/>
    </row>
    <row r="6105" spans="1:12">
      <c r="A6105" s="20" t="s">
        <v>2512</v>
      </c>
      <c r="E6105" s="22">
        <f>IF(D6105="?OLD","!!!","")</f>
        <v/>
      </c>
      <c r="F6105" s="23" t="str">
        <f>IF(OR(E6105="",E6105="!!!"),"",IF(NOT(ISNA(VLOOKUP(E6105,E$1:E6104,1,FALSE()))),"OLD",IF(AND(E6105&lt;&gt;"",E6105&lt;&gt;"!!!"),"NEW","")))</f>
        <v> </v>
      </c>
      <c r="G6105" s="24" t="str">
        <f>IF(OR(E6105="",E6105="!!!"),"",IF(OR(J6105=0,AND(J6105=1,K6105=1),AND(J6105=1,I6105="SBJ"),AND(J6105=1,I6105=0)),"?IN_FOCUS",IF(J6105&lt;=2,"?ACTIVATED",IF(J6105&lt;&gt;"","?FAMILIAR",IF(F6105="NEW",IF(ISNA(VLOOKUP(E6105,#REF!,1,FALSE())),"?TYPE_IDENTIFIABLE","?REFERENTIAL"),"_")))))</f>
        <v> </v>
      </c>
      <c r="H6105" s="25" t="str">
        <f>IF(J6105&lt;&gt;1,"",IF(I6105="SBJ","CB","?"))</f>
        <v> </v>
      </c>
      <c r="I6105" s="26" t="str">
        <f>IF(OR(E6105="",E6105="!!!",F6105="NEW"),"",INDEX(B6104:B$2,-1+SUMPRODUCT(MAX(ROW(E6104:E$2)*(E6105=E6104:E$2)))))</f>
        <v> </v>
      </c>
      <c r="J6105" s="26" t="str">
        <f>IF(OR(E6105="",E6105="!!!",F6105="NEW"),"",COUNTBLANK(OFFSET(A$1,,,SUMPRODUCT(MAX(ROW(E$2:E6105)*(E6105=E$2:E6105)))))-COUNTBLANK(OFFSET(A$1,,,SUMPRODUCT(MAX(ROW(E$1:E6104)*(E2=E$1:E6104))))))</f>
        <v> </v>
      </c>
      <c r="K6105" s="26" t="str">
        <f>IF(OR(E6105="",E6105="!!!",F6105="NEW"),"",INDEX(J$1:J6104,SUMPRODUCT(MAX(ROW(E$1:E6104)*(E6105=E$1:E6104)))))</f>
        <v> </v>
      </c>
      <c r="L6105" s="27"/>
    </row>
    <row r="6106" spans="1:12">
      <c r="A6106" s="20" t="s">
        <v>1002</v>
      </c>
      <c r="E6106" s="22">
        <f>IF(D6106="?OLD","!!!","")</f>
        <v/>
      </c>
      <c r="F6106" s="23" t="str">
        <f>IF(OR(E6106="",E6106="!!!"),"",IF(NOT(ISNA(VLOOKUP(E6106,E$1:E6105,1,FALSE()))),"OLD",IF(AND(E6106&lt;&gt;"",E6106&lt;&gt;"!!!"),"NEW","")))</f>
        <v> </v>
      </c>
      <c r="G6106" s="24" t="str">
        <f>IF(OR(E6106="",E6106="!!!"),"",IF(OR(J6106=0,AND(J6106=1,K6106=1),AND(J6106=1,I6106="SBJ"),AND(J6106=1,I6106=0)),"?IN_FOCUS",IF(J6106&lt;=2,"?ACTIVATED",IF(J6106&lt;&gt;"","?FAMILIAR",IF(F6106="NEW",IF(ISNA(VLOOKUP(E6106,#REF!,1,FALSE())),"?TYPE_IDENTIFIABLE","?REFERENTIAL"),"_")))))</f>
        <v> </v>
      </c>
      <c r="H6106" s="25" t="str">
        <f>IF(J6106&lt;&gt;1,"",IF(I6106="SBJ","CB","?"))</f>
        <v> </v>
      </c>
      <c r="I6106" s="26" t="str">
        <f>IF(OR(E6106="",E6106="!!!",F6106="NEW"),"",INDEX(B6105:B$2,-1+SUMPRODUCT(MAX(ROW(E6105:E$2)*(E6106=E6105:E$2)))))</f>
        <v> </v>
      </c>
      <c r="J6106" s="26" t="str">
        <f>IF(OR(E6106="",E6106="!!!",F6106="NEW"),"",COUNTBLANK(OFFSET(A$1,,,SUMPRODUCT(MAX(ROW(E$2:E6106)*(E6106=E$2:E6106)))))-COUNTBLANK(OFFSET(A$1,,,SUMPRODUCT(MAX(ROW(E$1:E6105)*(E2=E$1:E6105))))))</f>
        <v> </v>
      </c>
      <c r="K6106" s="26" t="str">
        <f>IF(OR(E6106="",E6106="!!!",F6106="NEW"),"",INDEX(J$1:J6105,SUMPRODUCT(MAX(ROW(E$1:E6105)*(E6106=E$1:E6105)))))</f>
        <v> </v>
      </c>
      <c r="L6106" s="27"/>
    </row>
    <row r="6107" spans="1:12">
      <c r="A6107" s="20" t="s">
        <v>1141</v>
      </c>
      <c r="B6107" s="21" t="s">
        <v>976</v>
      </c>
      <c r="C6107" s="21" t="s">
        <v>1008</v>
      </c>
      <c r="D6107" s="21" t="s">
        <v>978</v>
      </c>
      <c r="E6107" s="22">
        <f>IF(D6107="?OLD","!!!","")</f>
        <v/>
      </c>
      <c r="F6107" s="23" t="str">
        <f>IF(OR(E6107="",E6107="!!!"),"",IF(NOT(ISNA(VLOOKUP(E6107,E$1:E6106,1,FALSE()))),"OLD",IF(AND(E6107&lt;&gt;"",E6107&lt;&gt;"!!!"),"NEW","")))</f>
        <v> </v>
      </c>
      <c r="G6107" s="24" t="str">
        <f>IF(OR(E6107="",E6107="!!!"),"",IF(OR(J6107=0,AND(J6107=1,K6107=1),AND(J6107=1,I6107="SBJ"),AND(J6107=1,I6107=0)),"?IN_FOCUS",IF(J6107&lt;=2,"?ACTIVATED",IF(J6107&lt;&gt;"","?FAMILIAR",IF(F6107="NEW",IF(ISNA(VLOOKUP(E6107,#REF!,1,FALSE())),"?TYPE_IDENTIFIABLE","?REFERENTIAL"),"_")))))</f>
        <v> </v>
      </c>
      <c r="H6107" s="25" t="str">
        <f>IF(J6107&lt;&gt;1,"",IF(I6107="SBJ","CB","?"))</f>
        <v> </v>
      </c>
      <c r="I6107" s="26" t="str">
        <f>IF(OR(E6107="",E6107="!!!",F6107="NEW"),"",INDEX(B6106:B$2,-1+SUMPRODUCT(MAX(ROW(E6106:E$2)*(E6107=E6106:E$2)))))</f>
        <v> </v>
      </c>
      <c r="J6107" s="26" t="str">
        <f>IF(OR(E6107="",E6107="!!!",F6107="NEW"),"",COUNTBLANK(OFFSET(A$1,,,SUMPRODUCT(MAX(ROW(E$2:E6107)*(E6107=E$2:E6107)))))-COUNTBLANK(OFFSET(A$1,,,SUMPRODUCT(MAX(ROW(E$1:E6106)*(E2=E$1:E6106))))))</f>
        <v> </v>
      </c>
      <c r="K6107" s="26" t="str">
        <f>IF(OR(E6107="",E6107="!!!",F6107="NEW"),"",INDEX(J$1:J6106,SUMPRODUCT(MAX(ROW(E$1:E6106)*(E6107=E$1:E6106)))))</f>
        <v> </v>
      </c>
      <c r="L6107" s="27"/>
    </row>
    <row r="6108" spans="1:12">
      <c r="A6108" s="20" t="s">
        <v>1478</v>
      </c>
      <c r="E6108" s="22">
        <f>IF(D6108="?OLD","!!!","")</f>
        <v/>
      </c>
      <c r="F6108" s="23" t="str">
        <f>IF(OR(E6108="",E6108="!!!"),"",IF(NOT(ISNA(VLOOKUP(E6108,E$1:E6107,1,FALSE()))),"OLD",IF(AND(E6108&lt;&gt;"",E6108&lt;&gt;"!!!"),"NEW","")))</f>
        <v> </v>
      </c>
      <c r="G6108" s="24" t="str">
        <f>IF(OR(E6108="",E6108="!!!"),"",IF(OR(J6108=0,AND(J6108=1,K6108=1),AND(J6108=1,I6108="SBJ"),AND(J6108=1,I6108=0)),"?IN_FOCUS",IF(J6108&lt;=2,"?ACTIVATED",IF(J6108&lt;&gt;"","?FAMILIAR",IF(F6108="NEW",IF(ISNA(VLOOKUP(E6108,#REF!,1,FALSE())),"?TYPE_IDENTIFIABLE","?REFERENTIAL"),"_")))))</f>
        <v> </v>
      </c>
      <c r="H6108" s="25" t="str">
        <f>IF(J6108&lt;&gt;1,"",IF(I6108="SBJ","CB","?"))</f>
        <v> </v>
      </c>
      <c r="I6108" s="26" t="str">
        <f>IF(OR(E6108="",E6108="!!!",F6108="NEW"),"",INDEX(B6107:B$2,-1+SUMPRODUCT(MAX(ROW(E6107:E$2)*(E6108=E6107:E$2)))))</f>
        <v> </v>
      </c>
      <c r="J6108" s="26" t="str">
        <f>IF(OR(E6108="",E6108="!!!",F6108="NEW"),"",COUNTBLANK(OFFSET(A$1,,,SUMPRODUCT(MAX(ROW(E$2:E6108)*(E6108=E$2:E6108)))))-COUNTBLANK(OFFSET(A$1,,,SUMPRODUCT(MAX(ROW(E$1:E6107)*(E2=E$1:E6107))))))</f>
        <v> </v>
      </c>
      <c r="K6108" s="26" t="str">
        <f>IF(OR(E6108="",E6108="!!!",F6108="NEW"),"",INDEX(J$1:J6107,SUMPRODUCT(MAX(ROW(E$1:E6107)*(E6108=E$1:E6107)))))</f>
        <v> </v>
      </c>
      <c r="L6108" s="27"/>
    </row>
    <row r="6109" spans="1:12">
      <c r="A6109" s="20" t="s">
        <v>1060</v>
      </c>
      <c r="E6109" s="22">
        <f>IF(D6109="?OLD","!!!","")</f>
        <v/>
      </c>
      <c r="F6109" s="23" t="str">
        <f>IF(OR(E6109="",E6109="!!!"),"",IF(NOT(ISNA(VLOOKUP(E6109,E$1:E6108,1,FALSE()))),"OLD",IF(AND(E6109&lt;&gt;"",E6109&lt;&gt;"!!!"),"NEW","")))</f>
        <v> </v>
      </c>
      <c r="G6109" s="24" t="str">
        <f>IF(OR(E6109="",E6109="!!!"),"",IF(OR(J6109=0,AND(J6109=1,K6109=1),AND(J6109=1,I6109="SBJ"),AND(J6109=1,I6109=0)),"?IN_FOCUS",IF(J6109&lt;=2,"?ACTIVATED",IF(J6109&lt;&gt;"","?FAMILIAR",IF(F6109="NEW",IF(ISNA(VLOOKUP(E6109,#REF!,1,FALSE())),"?TYPE_IDENTIFIABLE","?REFERENTIAL"),"_")))))</f>
        <v> </v>
      </c>
      <c r="H6109" s="25" t="str">
        <f>IF(J6109&lt;&gt;1,"",IF(I6109="SBJ","CB","?"))</f>
        <v> </v>
      </c>
      <c r="I6109" s="26" t="str">
        <f>IF(OR(E6109="",E6109="!!!",F6109="NEW"),"",INDEX(B6108:B$2,-1+SUMPRODUCT(MAX(ROW(E6108:E$2)*(E6109=E6108:E$2)))))</f>
        <v> </v>
      </c>
      <c r="J6109" s="26" t="str">
        <f>IF(OR(E6109="",E6109="!!!",F6109="NEW"),"",COUNTBLANK(OFFSET(A$1,,,SUMPRODUCT(MAX(ROW(E$2:E6109)*(E6109=E$2:E6109)))))-COUNTBLANK(OFFSET(A$1,,,SUMPRODUCT(MAX(ROW(E$1:E6108)*(E2=E$1:E6108))))))</f>
        <v> </v>
      </c>
      <c r="K6109" s="26" t="str">
        <f>IF(OR(E6109="",E6109="!!!",F6109="NEW"),"",INDEX(J$1:J6108,SUMPRODUCT(MAX(ROW(E$1:E6108)*(E6109=E$1:E6108)))))</f>
        <v> </v>
      </c>
      <c r="L6109" s="27"/>
    </row>
    <row r="6110" spans="1:12">
      <c r="A6110" s="20" t="s">
        <v>750</v>
      </c>
      <c r="B6110" s="21" t="s">
        <v>989</v>
      </c>
      <c r="C6110" s="21" t="s">
        <v>1063</v>
      </c>
      <c r="D6110" s="21" t="s">
        <v>978</v>
      </c>
      <c r="E6110" s="22">
        <f>IF(D6110="?OLD","!!!","")</f>
        <v/>
      </c>
      <c r="F6110" s="23" t="str">
        <f>IF(OR(E6110="",E6110="!!!"),"",IF(NOT(ISNA(VLOOKUP(E6110,E$1:E6109,1,FALSE()))),"OLD",IF(AND(E6110&lt;&gt;"",E6110&lt;&gt;"!!!"),"NEW","")))</f>
        <v> </v>
      </c>
      <c r="G6110" s="24" t="str">
        <f>IF(OR(E6110="",E6110="!!!"),"",IF(OR(J6110=0,AND(J6110=1,K6110=1),AND(J6110=1,I6110="SBJ"),AND(J6110=1,I6110=0)),"?IN_FOCUS",IF(J6110&lt;=2,"?ACTIVATED",IF(J6110&lt;&gt;"","?FAMILIAR",IF(F6110="NEW",IF(ISNA(VLOOKUP(E6110,#REF!,1,FALSE())),"?TYPE_IDENTIFIABLE","?REFERENTIAL"),"_")))))</f>
        <v> </v>
      </c>
      <c r="H6110" s="25" t="str">
        <f>IF(J6110&lt;&gt;1,"",IF(I6110="SBJ","CB","?"))</f>
        <v> </v>
      </c>
      <c r="I6110" s="26" t="str">
        <f>IF(OR(E6110="",E6110="!!!",F6110="NEW"),"",INDEX(B6109:B$2,-1+SUMPRODUCT(MAX(ROW(E6109:E$2)*(E6110=E6109:E$2)))))</f>
        <v> </v>
      </c>
      <c r="J6110" s="26" t="str">
        <f>IF(OR(E6110="",E6110="!!!",F6110="NEW"),"",COUNTBLANK(OFFSET(A$1,,,SUMPRODUCT(MAX(ROW(E$2:E6110)*(E6110=E$2:E6110)))))-COUNTBLANK(OFFSET(A$1,,,SUMPRODUCT(MAX(ROW(E$1:E6109)*(E2=E$1:E6109))))))</f>
        <v> </v>
      </c>
      <c r="K6110" s="26" t="str">
        <f>IF(OR(E6110="",E6110="!!!",F6110="NEW"),"",INDEX(J$1:J6109,SUMPRODUCT(MAX(ROW(E$1:E6109)*(E6110=E$1:E6109)))))</f>
        <v> </v>
      </c>
      <c r="L6110" s="27"/>
    </row>
    <row r="6111" spans="1:12">
      <c r="A6111" s="20" t="s">
        <v>1200</v>
      </c>
      <c r="E6111" s="22">
        <f>IF(D6111="?OLD","!!!","")</f>
        <v/>
      </c>
      <c r="F6111" s="23" t="str">
        <f>IF(OR(E6111="",E6111="!!!"),"",IF(NOT(ISNA(VLOOKUP(E6111,E$1:E6110,1,FALSE()))),"OLD",IF(AND(E6111&lt;&gt;"",E6111&lt;&gt;"!!!"),"NEW","")))</f>
        <v> </v>
      </c>
      <c r="G6111" s="24" t="str">
        <f>IF(OR(E6111="",E6111="!!!"),"",IF(OR(J6111=0,AND(J6111=1,K6111=1),AND(J6111=1,I6111="SBJ"),AND(J6111=1,I6111=0)),"?IN_FOCUS",IF(J6111&lt;=2,"?ACTIVATED",IF(J6111&lt;&gt;"","?FAMILIAR",IF(F6111="NEW",IF(ISNA(VLOOKUP(E6111,#REF!,1,FALSE())),"?TYPE_IDENTIFIABLE","?REFERENTIAL"),"_")))))</f>
        <v> </v>
      </c>
      <c r="H6111" s="25" t="str">
        <f>IF(J6111&lt;&gt;1,"",IF(I6111="SBJ","CB","?"))</f>
        <v> </v>
      </c>
      <c r="I6111" s="26" t="str">
        <f>IF(OR(E6111="",E6111="!!!",F6111="NEW"),"",INDEX(B6110:B$2,-1+SUMPRODUCT(MAX(ROW(E6110:E$2)*(E6111=E6110:E$2)))))</f>
        <v> </v>
      </c>
      <c r="J6111" s="26" t="str">
        <f>IF(OR(E6111="",E6111="!!!",F6111="NEW"),"",COUNTBLANK(OFFSET(A$1,,,SUMPRODUCT(MAX(ROW(E$2:E6111)*(E6111=E$2:E6111)))))-COUNTBLANK(OFFSET(A$1,,,SUMPRODUCT(MAX(ROW(E$1:E6110)*(E2=E$1:E6110))))))</f>
        <v> </v>
      </c>
      <c r="K6111" s="26" t="str">
        <f>IF(OR(E6111="",E6111="!!!",F6111="NEW"),"",INDEX(J$1:J6110,SUMPRODUCT(MAX(ROW(E$1:E6110)*(E6111=E$1:E6110)))))</f>
        <v> </v>
      </c>
      <c r="L6111" s="27"/>
    </row>
    <row r="6112" spans="1:12">
      <c r="A6112" s="20" t="s">
        <v>1142</v>
      </c>
      <c r="B6112" s="21" t="s">
        <v>1095</v>
      </c>
      <c r="E6112" s="22">
        <f>IF(D6112="?OLD","!!!","")</f>
        <v/>
      </c>
      <c r="F6112" s="23" t="str">
        <f>IF(OR(E6112="",E6112="!!!"),"",IF(NOT(ISNA(VLOOKUP(E6112,E$1:E6111,1,FALSE()))),"OLD",IF(AND(E6112&lt;&gt;"",E6112&lt;&gt;"!!!"),"NEW","")))</f>
        <v> </v>
      </c>
      <c r="G6112" s="24" t="str">
        <f>IF(OR(E6112="",E6112="!!!"),"",IF(OR(J6112=0,AND(J6112=1,K6112=1),AND(J6112=1,I6112="SBJ"),AND(J6112=1,I6112=0)),"?IN_FOCUS",IF(J6112&lt;=2,"?ACTIVATED",IF(J6112&lt;&gt;"","?FAMILIAR",IF(F6112="NEW",IF(ISNA(VLOOKUP(E6112,#REF!,1,FALSE())),"?TYPE_IDENTIFIABLE","?REFERENTIAL"),"_")))))</f>
        <v> </v>
      </c>
      <c r="H6112" s="25" t="str">
        <f>IF(J6112&lt;&gt;1,"",IF(I6112="SBJ","CB","?"))</f>
        <v> </v>
      </c>
      <c r="I6112" s="26" t="str">
        <f>IF(OR(E6112="",E6112="!!!",F6112="NEW"),"",INDEX(B6111:B$2,-1+SUMPRODUCT(MAX(ROW(E6111:E$2)*(E6112=E6111:E$2)))))</f>
        <v> </v>
      </c>
      <c r="J6112" s="26" t="str">
        <f>IF(OR(E6112="",E6112="!!!",F6112="NEW"),"",COUNTBLANK(OFFSET(A$1,,,SUMPRODUCT(MAX(ROW(E$2:E6112)*(E6112=E$2:E6112)))))-COUNTBLANK(OFFSET(A$1,,,SUMPRODUCT(MAX(ROW(E$1:E6111)*(E2=E$1:E6111))))))</f>
        <v> </v>
      </c>
      <c r="K6112" s="26" t="str">
        <f>IF(OR(E6112="",E6112="!!!",F6112="NEW"),"",INDEX(J$1:J6111,SUMPRODUCT(MAX(ROW(E$1:E6111)*(E6112=E$1:E6111)))))</f>
        <v> </v>
      </c>
      <c r="L6112" s="27"/>
    </row>
    <row r="6113" spans="1:12">
      <c r="A6113" s="20" t="s">
        <v>1018</v>
      </c>
      <c r="B6113" s="21" t="s">
        <v>1052</v>
      </c>
      <c r="C6113" s="21" t="s">
        <v>1020</v>
      </c>
      <c r="D6113" s="21" t="s">
        <v>978</v>
      </c>
      <c r="E6113" s="22">
        <f>IF(D6113="?OLD","!!!","")</f>
        <v/>
      </c>
      <c r="F6113" s="23" t="str">
        <f>IF(OR(E6113="",E6113="!!!"),"",IF(NOT(ISNA(VLOOKUP(E6113,E$1:E6112,1,FALSE()))),"OLD",IF(AND(E6113&lt;&gt;"",E6113&lt;&gt;"!!!"),"NEW","")))</f>
        <v> </v>
      </c>
      <c r="G6113" s="24" t="str">
        <f>IF(OR(E6113="",E6113="!!!"),"",IF(OR(J6113=0,AND(J6113=1,K6113=1),AND(J6113=1,I6113="SBJ"),AND(J6113=1,I6113=0)),"?IN_FOCUS",IF(J6113&lt;=2,"?ACTIVATED",IF(J6113&lt;&gt;"","?FAMILIAR",IF(F6113="NEW",IF(ISNA(VLOOKUP(E6113,#REF!,1,FALSE())),"?TYPE_IDENTIFIABLE","?REFERENTIAL"),"_")))))</f>
        <v> </v>
      </c>
      <c r="H6113" s="25" t="str">
        <f>IF(J6113&lt;&gt;1,"",IF(I6113="SBJ","CB","?"))</f>
        <v> </v>
      </c>
      <c r="I6113" s="26" t="str">
        <f>IF(OR(E6113="",E6113="!!!",F6113="NEW"),"",INDEX(B6112:B$2,-1+SUMPRODUCT(MAX(ROW(E6112:E$2)*(E6113=E6112:E$2)))))</f>
        <v> </v>
      </c>
      <c r="J6113" s="26" t="str">
        <f>IF(OR(E6113="",E6113="!!!",F6113="NEW"),"",COUNTBLANK(OFFSET(A$1,,,SUMPRODUCT(MAX(ROW(E$2:E6113)*(E6113=E$2:E6113)))))-COUNTBLANK(OFFSET(A$1,,,SUMPRODUCT(MAX(ROW(E$1:E6112)*(E2=E$1:E6112))))))</f>
        <v> </v>
      </c>
      <c r="K6113" s="26" t="str">
        <f>IF(OR(E6113="",E6113="!!!",F6113="NEW"),"",INDEX(J$1:J6112,SUMPRODUCT(MAX(ROW(E$1:E6112)*(E6113=E$1:E6112)))))</f>
        <v> </v>
      </c>
      <c r="L6113" s="27"/>
    </row>
    <row r="6114" spans="1:12">
      <c r="A6114" s="20" t="s">
        <v>1478</v>
      </c>
      <c r="E6114" s="22">
        <f>IF(D6114="?OLD","!!!","")</f>
        <v/>
      </c>
      <c r="F6114" s="23" t="str">
        <f>IF(OR(E6114="",E6114="!!!"),"",IF(NOT(ISNA(VLOOKUP(E6114,E$1:E6113,1,FALSE()))),"OLD",IF(AND(E6114&lt;&gt;"",E6114&lt;&gt;"!!!"),"NEW","")))</f>
        <v> </v>
      </c>
      <c r="G6114" s="24" t="str">
        <f>IF(OR(E6114="",E6114="!!!"),"",IF(OR(J6114=0,AND(J6114=1,K6114=1),AND(J6114=1,I6114="SBJ"),AND(J6114=1,I6114=0)),"?IN_FOCUS",IF(J6114&lt;=2,"?ACTIVATED",IF(J6114&lt;&gt;"","?FAMILIAR",IF(F6114="NEW",IF(ISNA(VLOOKUP(E6114,#REF!,1,FALSE())),"?TYPE_IDENTIFIABLE","?REFERENTIAL"),"_")))))</f>
        <v> </v>
      </c>
      <c r="H6114" s="25" t="str">
        <f>IF(J6114&lt;&gt;1,"",IF(I6114="SBJ","CB","?"))</f>
        <v> </v>
      </c>
      <c r="I6114" s="26" t="str">
        <f>IF(OR(E6114="",E6114="!!!",F6114="NEW"),"",INDEX(B6113:B$2,-1+SUMPRODUCT(MAX(ROW(E6113:E$2)*(E6114=E6113:E$2)))))</f>
        <v> </v>
      </c>
      <c r="J6114" s="26" t="str">
        <f>IF(OR(E6114="",E6114="!!!",F6114="NEW"),"",COUNTBLANK(OFFSET(A$1,,,SUMPRODUCT(MAX(ROW(E$2:E6114)*(E6114=E$2:E6114)))))-COUNTBLANK(OFFSET(A$1,,,SUMPRODUCT(MAX(ROW(E$1:E6113)*(E2=E$1:E6113))))))</f>
        <v> </v>
      </c>
      <c r="K6114" s="26" t="str">
        <f>IF(OR(E6114="",E6114="!!!",F6114="NEW"),"",INDEX(J$1:J6113,SUMPRODUCT(MAX(ROW(E$1:E6113)*(E6114=E$1:E6113)))))</f>
        <v> </v>
      </c>
      <c r="L6114" s="27"/>
    </row>
    <row r="6115" spans="1:12">
      <c r="A6115" s="20" t="s">
        <v>993</v>
      </c>
      <c r="E6115" s="22">
        <f>IF(D6115="?OLD","!!!","")</f>
        <v/>
      </c>
      <c r="F6115" s="23" t="str">
        <f>IF(OR(E6115="",E6115="!!!"),"",IF(NOT(ISNA(VLOOKUP(E6115,E$1:E6114,1,FALSE()))),"OLD",IF(AND(E6115&lt;&gt;"",E6115&lt;&gt;"!!!"),"NEW","")))</f>
        <v> </v>
      </c>
      <c r="G6115" s="24" t="str">
        <f>IF(OR(E6115="",E6115="!!!"),"",IF(OR(J6115=0,AND(J6115=1,K6115=1),AND(J6115=1,I6115="SBJ"),AND(J6115=1,I6115=0)),"?IN_FOCUS",IF(J6115&lt;=2,"?ACTIVATED",IF(J6115&lt;&gt;"","?FAMILIAR",IF(F6115="NEW",IF(ISNA(VLOOKUP(E6115,#REF!,1,FALSE())),"?TYPE_IDENTIFIABLE","?REFERENTIAL"),"_")))))</f>
        <v> </v>
      </c>
      <c r="H6115" s="25" t="str">
        <f>IF(J6115&lt;&gt;1,"",IF(I6115="SBJ","CB","?"))</f>
        <v> </v>
      </c>
      <c r="I6115" s="26" t="str">
        <f>IF(OR(E6115="",E6115="!!!",F6115="NEW"),"",INDEX(B6114:B$2,-1+SUMPRODUCT(MAX(ROW(E6114:E$2)*(E6115=E6114:E$2)))))</f>
        <v> </v>
      </c>
      <c r="J6115" s="26" t="str">
        <f>IF(OR(E6115="",E6115="!!!",F6115="NEW"),"",COUNTBLANK(OFFSET(A$1,,,SUMPRODUCT(MAX(ROW(E$2:E6115)*(E6115=E$2:E6115)))))-COUNTBLANK(OFFSET(A$1,,,SUMPRODUCT(MAX(ROW(E$1:E6114)*(E2=E$1:E6114))))))</f>
        <v> </v>
      </c>
      <c r="K6115" s="26" t="str">
        <f>IF(OR(E6115="",E6115="!!!",F6115="NEW"),"",INDEX(J$1:J6114,SUMPRODUCT(MAX(ROW(E$1:E6114)*(E6115=E$1:E6114)))))</f>
        <v> </v>
      </c>
      <c r="L6115" s="27"/>
    </row>
    <row r="6116" spans="1:12">
      <c r="A6116" s="20" t="s">
        <v>1183</v>
      </c>
      <c r="E6116" s="22">
        <f>IF(D6116="?OLD","!!!","")</f>
        <v/>
      </c>
      <c r="F6116" s="23" t="str">
        <f>IF(OR(E6116="",E6116="!!!"),"",IF(NOT(ISNA(VLOOKUP(E6116,E$1:E6115,1,FALSE()))),"OLD",IF(AND(E6116&lt;&gt;"",E6116&lt;&gt;"!!!"),"NEW","")))</f>
        <v> </v>
      </c>
      <c r="G6116" s="24" t="str">
        <f>IF(OR(E6116="",E6116="!!!"),"",IF(OR(J6116=0,AND(J6116=1,K6116=1),AND(J6116=1,I6116="SBJ"),AND(J6116=1,I6116=0)),"?IN_FOCUS",IF(J6116&lt;=2,"?ACTIVATED",IF(J6116&lt;&gt;"","?FAMILIAR",IF(F6116="NEW",IF(ISNA(VLOOKUP(E6116,#REF!,1,FALSE())),"?TYPE_IDENTIFIABLE","?REFERENTIAL"),"_")))))</f>
        <v> </v>
      </c>
      <c r="H6116" s="25" t="str">
        <f>IF(J6116&lt;&gt;1,"",IF(I6116="SBJ","CB","?"))</f>
        <v> </v>
      </c>
      <c r="I6116" s="26" t="str">
        <f>IF(OR(E6116="",E6116="!!!",F6116="NEW"),"",INDEX(B6115:B$2,-1+SUMPRODUCT(MAX(ROW(E6115:E$2)*(E6116=E6115:E$2)))))</f>
        <v> </v>
      </c>
      <c r="J6116" s="26" t="str">
        <f>IF(OR(E6116="",E6116="!!!",F6116="NEW"),"",COUNTBLANK(OFFSET(A$1,,,SUMPRODUCT(MAX(ROW(E$2:E6116)*(E6116=E$2:E6116)))))-COUNTBLANK(OFFSET(A$1,,,SUMPRODUCT(MAX(ROW(E$1:E6115)*(E2=E$1:E6115))))))</f>
        <v> </v>
      </c>
      <c r="K6116" s="26" t="str">
        <f>IF(OR(E6116="",E6116="!!!",F6116="NEW"),"",INDEX(J$1:J6115,SUMPRODUCT(MAX(ROW(E$1:E6115)*(E6116=E$1:E6115)))))</f>
        <v> </v>
      </c>
      <c r="L6116" s="27"/>
    </row>
    <row r="6117" spans="1:12">
      <c r="A6117" s="20" t="s">
        <v>2513</v>
      </c>
      <c r="E6117" s="22">
        <f>IF(D6117="?OLD","!!!","")</f>
        <v/>
      </c>
      <c r="F6117" s="23" t="str">
        <f>IF(OR(E6117="",E6117="!!!"),"",IF(NOT(ISNA(VLOOKUP(E6117,E$1:E6116,1,FALSE()))),"OLD",IF(AND(E6117&lt;&gt;"",E6117&lt;&gt;"!!!"),"NEW","")))</f>
        <v> </v>
      </c>
      <c r="G6117" s="24" t="str">
        <f>IF(OR(E6117="",E6117="!!!"),"",IF(OR(J6117=0,AND(J6117=1,K6117=1),AND(J6117=1,I6117="SBJ"),AND(J6117=1,I6117=0)),"?IN_FOCUS",IF(J6117&lt;=2,"?ACTIVATED",IF(J6117&lt;&gt;"","?FAMILIAR",IF(F6117="NEW",IF(ISNA(VLOOKUP(E6117,#REF!,1,FALSE())),"?TYPE_IDENTIFIABLE","?REFERENTIAL"),"_")))))</f>
        <v> </v>
      </c>
      <c r="H6117" s="25" t="str">
        <f>IF(J6117&lt;&gt;1,"",IF(I6117="SBJ","CB","?"))</f>
        <v> </v>
      </c>
      <c r="I6117" s="26" t="str">
        <f>IF(OR(E6117="",E6117="!!!",F6117="NEW"),"",INDEX(B6116:B$2,-1+SUMPRODUCT(MAX(ROW(E6116:E$2)*(E6117=E6116:E$2)))))</f>
        <v> </v>
      </c>
      <c r="J6117" s="26" t="str">
        <f>IF(OR(E6117="",E6117="!!!",F6117="NEW"),"",COUNTBLANK(OFFSET(A$1,,,SUMPRODUCT(MAX(ROW(E$2:E6117)*(E6117=E$2:E6117)))))-COUNTBLANK(OFFSET(A$1,,,SUMPRODUCT(MAX(ROW(E$1:E6116)*(E2=E$1:E6116))))))</f>
        <v> </v>
      </c>
      <c r="K6117" s="26" t="str">
        <f>IF(OR(E6117="",E6117="!!!",F6117="NEW"),"",INDEX(J$1:J6116,SUMPRODUCT(MAX(ROW(E$1:E6116)*(E6117=E$1:E6116)))))</f>
        <v> </v>
      </c>
      <c r="L6117" s="27"/>
    </row>
    <row r="6118" spans="1:12">
      <c r="A6118" s="20" t="s">
        <v>1022</v>
      </c>
      <c r="E6118" s="22">
        <f>IF(D6118="?OLD","!!!","")</f>
        <v/>
      </c>
      <c r="F6118" s="23" t="str">
        <f>IF(OR(E6118="",E6118="!!!"),"",IF(NOT(ISNA(VLOOKUP(E6118,E$1:E6117,1,FALSE()))),"OLD",IF(AND(E6118&lt;&gt;"",E6118&lt;&gt;"!!!"),"NEW","")))</f>
        <v> </v>
      </c>
      <c r="G6118" s="24" t="str">
        <f>IF(OR(E6118="",E6118="!!!"),"",IF(OR(J6118=0,AND(J6118=1,K6118=1),AND(J6118=1,I6118="SBJ"),AND(J6118=1,I6118=0)),"?IN_FOCUS",IF(J6118&lt;=2,"?ACTIVATED",IF(J6118&lt;&gt;"","?FAMILIAR",IF(F6118="NEW",IF(ISNA(VLOOKUP(E6118,#REF!,1,FALSE())),"?TYPE_IDENTIFIABLE","?REFERENTIAL"),"_")))))</f>
        <v> </v>
      </c>
      <c r="H6118" s="25" t="str">
        <f>IF(J6118&lt;&gt;1,"",IF(I6118="SBJ","CB","?"))</f>
        <v> </v>
      </c>
      <c r="I6118" s="26" t="str">
        <f>IF(OR(E6118="",E6118="!!!",F6118="NEW"),"",INDEX(B6117:B$2,-1+SUMPRODUCT(MAX(ROW(E6117:E$2)*(E6118=E6117:E$2)))))</f>
        <v> </v>
      </c>
      <c r="J6118" s="26" t="str">
        <f>IF(OR(E6118="",E6118="!!!",F6118="NEW"),"",COUNTBLANK(OFFSET(A$1,,,SUMPRODUCT(MAX(ROW(E$2:E6118)*(E6118=E$2:E6118)))))-COUNTBLANK(OFFSET(A$1,,,SUMPRODUCT(MAX(ROW(E$1:E6117)*(E2=E$1:E6117))))))</f>
        <v> </v>
      </c>
      <c r="K6118" s="26" t="str">
        <f>IF(OR(E6118="",E6118="!!!",F6118="NEW"),"",INDEX(J$1:J6117,SUMPRODUCT(MAX(ROW(E$1:E6117)*(E6118=E$1:E6117)))))</f>
        <v> </v>
      </c>
      <c r="L6118" s="27"/>
    </row>
    <row r="6119" spans="1:12">
      <c r="A6119" s="20"/>
    </row>
    <row r="6120" spans="1:12">
      <c r="A6120" s="20" t="s">
        <v>2514</v>
      </c>
    </row>
    <row r="6121" spans="1:12">
      <c r="A6121" s="20" t="s">
        <v>2515</v>
      </c>
      <c r="B6121" s="21" t="s">
        <v>976</v>
      </c>
      <c r="E6121" s="22">
        <f>IF(D6121="?OLD","!!!","")</f>
        <v/>
      </c>
      <c r="F6121" s="23" t="str">
        <f>IF(OR(E6121="",E6121="!!!"),"",IF(NOT(ISNA(VLOOKUP(E6121,E$1:E6120,1,FALSE()))),"OLD",IF(AND(E6121&lt;&gt;"",E6121&lt;&gt;"!!!"),"NEW","")))</f>
        <v> </v>
      </c>
      <c r="G6121" s="24" t="str">
        <f>IF(OR(E6121="",E6121="!!!"),"",IF(OR(J6121=0,AND(J6121=1,K6121=1),AND(J6121=1,I6121="SBJ"),AND(J6121=1,I6121=0)),"?IN_FOCUS",IF(J6121&lt;=2,"?ACTIVATED",IF(J6121&lt;&gt;"","?FAMILIAR",IF(F6121="NEW",IF(ISNA(VLOOKUP(E6121,#REF!,1,FALSE())),"?TYPE_IDENTIFIABLE","?REFERENTIAL"),"_")))))</f>
        <v> </v>
      </c>
      <c r="H6121" s="25" t="str">
        <f>IF(J6121&lt;&gt;1,"",IF(I6121="SBJ","CB","?"))</f>
        <v> </v>
      </c>
      <c r="I6121" s="26" t="str">
        <f>IF(OR(E6121="",E6121="!!!",F6121="NEW"),"",INDEX(B6120:B$2,-1+SUMPRODUCT(MAX(ROW(E6120:E$2)*(E6121=E6120:E$2)))))</f>
        <v> </v>
      </c>
      <c r="J6121" s="26" t="str">
        <f>IF(OR(E6121="",E6121="!!!",F6121="NEW"),"",COUNTBLANK(OFFSET(A$1,,,SUMPRODUCT(MAX(ROW(E$2:E6121)*(E6121=E$2:E6121)))))-COUNTBLANK(OFFSET(A$1,,,SUMPRODUCT(MAX(ROW(E$1:E6120)*(E2=E$1:E6120))))))</f>
        <v> </v>
      </c>
      <c r="K6121" s="26" t="str">
        <f>IF(OR(E6121="",E6121="!!!",F6121="NEW"),"",INDEX(J$1:J6120,SUMPRODUCT(MAX(ROW(E$1:E6120)*(E6121=E$1:E6120)))))</f>
        <v> </v>
      </c>
      <c r="L6121" s="27"/>
    </row>
    <row r="6122" spans="1:12">
      <c r="A6122" s="20" t="s">
        <v>1092</v>
      </c>
      <c r="E6122" s="22">
        <f>IF(D6122="?OLD","!!!","")</f>
        <v/>
      </c>
      <c r="F6122" s="23" t="str">
        <f>IF(OR(E6122="",E6122="!!!"),"",IF(NOT(ISNA(VLOOKUP(E6122,E$1:E6121,1,FALSE()))),"OLD",IF(AND(E6122&lt;&gt;"",E6122&lt;&gt;"!!!"),"NEW","")))</f>
        <v> </v>
      </c>
      <c r="G6122" s="24" t="str">
        <f>IF(OR(E6122="",E6122="!!!"),"",IF(OR(J6122=0,AND(J6122=1,K6122=1),AND(J6122=1,I6122="SBJ"),AND(J6122=1,I6122=0)),"?IN_FOCUS",IF(J6122&lt;=2,"?ACTIVATED",IF(J6122&lt;&gt;"","?FAMILIAR",IF(F6122="NEW",IF(ISNA(VLOOKUP(E6122,#REF!,1,FALSE())),"?TYPE_IDENTIFIABLE","?REFERENTIAL"),"_")))))</f>
        <v> </v>
      </c>
      <c r="H6122" s="25" t="str">
        <f>IF(J6122&lt;&gt;1,"",IF(I6122="SBJ","CB","?"))</f>
        <v> </v>
      </c>
      <c r="I6122" s="26" t="str">
        <f>IF(OR(E6122="",E6122="!!!",F6122="NEW"),"",INDEX(B6121:B$2,-1+SUMPRODUCT(MAX(ROW(E6121:E$2)*(E6122=E6121:E$2)))))</f>
        <v> </v>
      </c>
      <c r="J6122" s="26" t="str">
        <f>IF(OR(E6122="",E6122="!!!",F6122="NEW"),"",COUNTBLANK(OFFSET(A$1,,,SUMPRODUCT(MAX(ROW(E$2:E6122)*(E6122=E$2:E6122)))))-COUNTBLANK(OFFSET(A$1,,,SUMPRODUCT(MAX(ROW(E$1:E6121)*(E2=E$1:E6121))))))</f>
        <v> </v>
      </c>
      <c r="K6122" s="26" t="str">
        <f>IF(OR(E6122="",E6122="!!!",F6122="NEW"),"",INDEX(J$1:J6121,SUMPRODUCT(MAX(ROW(E$1:E6121)*(E6122=E$1:E6121)))))</f>
        <v> </v>
      </c>
      <c r="L6122" s="27"/>
    </row>
    <row r="6123" spans="1:12">
      <c r="A6123" s="20" t="s">
        <v>1111</v>
      </c>
      <c r="B6123" s="21" t="s">
        <v>1052</v>
      </c>
      <c r="C6123" s="21" t="s">
        <v>995</v>
      </c>
      <c r="D6123" s="21" t="s">
        <v>978</v>
      </c>
      <c r="E6123" s="22">
        <f>IF(D6123="?OLD","!!!","")</f>
        <v/>
      </c>
      <c r="F6123" s="23" t="str">
        <f>IF(OR(E6123="",E6123="!!!"),"",IF(NOT(ISNA(VLOOKUP(E6123,E$1:E6122,1,FALSE()))),"OLD",IF(AND(E6123&lt;&gt;"",E6123&lt;&gt;"!!!"),"NEW","")))</f>
        <v> </v>
      </c>
      <c r="G6123" s="24" t="str">
        <f>IF(OR(E6123="",E6123="!!!"),"",IF(OR(J6123=0,AND(J6123=1,K6123=1),AND(J6123=1,I6123="SBJ"),AND(J6123=1,I6123=0)),"?IN_FOCUS",IF(J6123&lt;=2,"?ACTIVATED",IF(J6123&lt;&gt;"","?FAMILIAR",IF(F6123="NEW",IF(ISNA(VLOOKUP(E6123,#REF!,1,FALSE())),"?TYPE_IDENTIFIABLE","?REFERENTIAL"),"_")))))</f>
        <v> </v>
      </c>
      <c r="H6123" s="25" t="str">
        <f>IF(J6123&lt;&gt;1,"",IF(I6123="SBJ","CB","?"))</f>
        <v> </v>
      </c>
      <c r="I6123" s="26" t="str">
        <f>IF(OR(E6123="",E6123="!!!",F6123="NEW"),"",INDEX(B6122:B$2,-1+SUMPRODUCT(MAX(ROW(E6122:E$2)*(E6123=E6122:E$2)))))</f>
        <v> </v>
      </c>
      <c r="J6123" s="26" t="str">
        <f>IF(OR(E6123="",E6123="!!!",F6123="NEW"),"",COUNTBLANK(OFFSET(A$1,,,SUMPRODUCT(MAX(ROW(E$2:E6123)*(E6123=E$2:E6123)))))-COUNTBLANK(OFFSET(A$1,,,SUMPRODUCT(MAX(ROW(E$1:E6122)*(E2=E$1:E6122))))))</f>
        <v> </v>
      </c>
      <c r="K6123" s="26" t="str">
        <f>IF(OR(E6123="",E6123="!!!",F6123="NEW"),"",INDEX(J$1:J6122,SUMPRODUCT(MAX(ROW(E$1:E6122)*(E6123=E$1:E6122)))))</f>
        <v> </v>
      </c>
      <c r="L6123" s="27"/>
    </row>
    <row r="6124" spans="1:12">
      <c r="A6124" s="20" t="s">
        <v>1116</v>
      </c>
      <c r="E6124" s="22">
        <f>IF(D6124="?OLD","!!!","")</f>
        <v/>
      </c>
      <c r="F6124" s="23" t="str">
        <f>IF(OR(E6124="",E6124="!!!"),"",IF(NOT(ISNA(VLOOKUP(E6124,E$1:E6123,1,FALSE()))),"OLD",IF(AND(E6124&lt;&gt;"",E6124&lt;&gt;"!!!"),"NEW","")))</f>
        <v> </v>
      </c>
      <c r="G6124" s="24" t="str">
        <f>IF(OR(E6124="",E6124="!!!"),"",IF(OR(J6124=0,AND(J6124=1,K6124=1),AND(J6124=1,I6124="SBJ"),AND(J6124=1,I6124=0)),"?IN_FOCUS",IF(J6124&lt;=2,"?ACTIVATED",IF(J6124&lt;&gt;"","?FAMILIAR",IF(F6124="NEW",IF(ISNA(VLOOKUP(E6124,#REF!,1,FALSE())),"?TYPE_IDENTIFIABLE","?REFERENTIAL"),"_")))))</f>
        <v> </v>
      </c>
      <c r="H6124" s="25" t="str">
        <f>IF(J6124&lt;&gt;1,"",IF(I6124="SBJ","CB","?"))</f>
        <v> </v>
      </c>
      <c r="I6124" s="26" t="str">
        <f>IF(OR(E6124="",E6124="!!!",F6124="NEW"),"",INDEX(B6123:B$2,-1+SUMPRODUCT(MAX(ROW(E6123:E$2)*(E6124=E6123:E$2)))))</f>
        <v> </v>
      </c>
      <c r="J6124" s="26" t="str">
        <f>IF(OR(E6124="",E6124="!!!",F6124="NEW"),"",COUNTBLANK(OFFSET(A$1,,,SUMPRODUCT(MAX(ROW(E$2:E6124)*(E6124=E$2:E6124)))))-COUNTBLANK(OFFSET(A$1,,,SUMPRODUCT(MAX(ROW(E$1:E6123)*(E2=E$1:E6123))))))</f>
        <v> </v>
      </c>
      <c r="K6124" s="26" t="str">
        <f>IF(OR(E6124="",E6124="!!!",F6124="NEW"),"",INDEX(J$1:J6123,SUMPRODUCT(MAX(ROW(E$1:E6123)*(E6124=E$1:E6123)))))</f>
        <v> </v>
      </c>
      <c r="L6124" s="27"/>
    </row>
    <row r="6125" spans="1:12">
      <c r="A6125" s="20" t="s">
        <v>1219</v>
      </c>
      <c r="E6125" s="22">
        <f>IF(D6125="?OLD","!!!","")</f>
        <v/>
      </c>
      <c r="F6125" s="23" t="str">
        <f>IF(OR(E6125="",E6125="!!!"),"",IF(NOT(ISNA(VLOOKUP(E6125,E$1:E6124,1,FALSE()))),"OLD",IF(AND(E6125&lt;&gt;"",E6125&lt;&gt;"!!!"),"NEW","")))</f>
        <v> </v>
      </c>
      <c r="G6125" s="24" t="str">
        <f>IF(OR(E6125="",E6125="!!!"),"",IF(OR(J6125=0,AND(J6125=1,K6125=1),AND(J6125=1,I6125="SBJ"),AND(J6125=1,I6125=0)),"?IN_FOCUS",IF(J6125&lt;=2,"?ACTIVATED",IF(J6125&lt;&gt;"","?FAMILIAR",IF(F6125="NEW",IF(ISNA(VLOOKUP(E6125,#REF!,1,FALSE())),"?TYPE_IDENTIFIABLE","?REFERENTIAL"),"_")))))</f>
        <v> </v>
      </c>
      <c r="H6125" s="25" t="str">
        <f>IF(J6125&lt;&gt;1,"",IF(I6125="SBJ","CB","?"))</f>
        <v> </v>
      </c>
      <c r="I6125" s="26" t="str">
        <f>IF(OR(E6125="",E6125="!!!",F6125="NEW"),"",INDEX(B6124:B$2,-1+SUMPRODUCT(MAX(ROW(E6124:E$2)*(E6125=E6124:E$2)))))</f>
        <v> </v>
      </c>
      <c r="J6125" s="26" t="str">
        <f>IF(OR(E6125="",E6125="!!!",F6125="NEW"),"",COUNTBLANK(OFFSET(A$1,,,SUMPRODUCT(MAX(ROW(E$2:E6125)*(E6125=E$2:E6125)))))-COUNTBLANK(OFFSET(A$1,,,SUMPRODUCT(MAX(ROW(E$1:E6124)*(E2=E$1:E6124))))))</f>
        <v> </v>
      </c>
      <c r="K6125" s="26" t="str">
        <f>IF(OR(E6125="",E6125="!!!",F6125="NEW"),"",INDEX(J$1:J6124,SUMPRODUCT(MAX(ROW(E$1:E6124)*(E6125=E$1:E6124)))))</f>
        <v> </v>
      </c>
      <c r="L6125" s="27"/>
    </row>
    <row r="6126" spans="1:12">
      <c r="A6126" s="20" t="s">
        <v>1038</v>
      </c>
      <c r="E6126" s="22">
        <f>IF(D6126="?OLD","!!!","")</f>
        <v/>
      </c>
      <c r="F6126" s="23" t="str">
        <f>IF(OR(E6126="",E6126="!!!"),"",IF(NOT(ISNA(VLOOKUP(E6126,E$1:E6125,1,FALSE()))),"OLD",IF(AND(E6126&lt;&gt;"",E6126&lt;&gt;"!!!"),"NEW","")))</f>
        <v> </v>
      </c>
      <c r="G6126" s="24" t="str">
        <f>IF(OR(E6126="",E6126="!!!"),"",IF(OR(J6126=0,AND(J6126=1,K6126=1),AND(J6126=1,I6126="SBJ"),AND(J6126=1,I6126=0)),"?IN_FOCUS",IF(J6126&lt;=2,"?ACTIVATED",IF(J6126&lt;&gt;"","?FAMILIAR",IF(F6126="NEW",IF(ISNA(VLOOKUP(E6126,#REF!,1,FALSE())),"?TYPE_IDENTIFIABLE","?REFERENTIAL"),"_")))))</f>
        <v> </v>
      </c>
      <c r="H6126" s="25" t="str">
        <f>IF(J6126&lt;&gt;1,"",IF(I6126="SBJ","CB","?"))</f>
        <v> </v>
      </c>
      <c r="I6126" s="26" t="str">
        <f>IF(OR(E6126="",E6126="!!!",F6126="NEW"),"",INDEX(B6125:B$2,-1+SUMPRODUCT(MAX(ROW(E6125:E$2)*(E6126=E6125:E$2)))))</f>
        <v> </v>
      </c>
      <c r="J6126" s="26" t="str">
        <f>IF(OR(E6126="",E6126="!!!",F6126="NEW"),"",COUNTBLANK(OFFSET(A$1,,,SUMPRODUCT(MAX(ROW(E$2:E6126)*(E6126=E$2:E6126)))))-COUNTBLANK(OFFSET(A$1,,,SUMPRODUCT(MAX(ROW(E$1:E6125)*(E2=E$1:E6125))))))</f>
        <v> </v>
      </c>
      <c r="K6126" s="26" t="str">
        <f>IF(OR(E6126="",E6126="!!!",F6126="NEW"),"",INDEX(J$1:J6125,SUMPRODUCT(MAX(ROW(E$1:E6125)*(E6126=E$1:E6125)))))</f>
        <v> </v>
      </c>
      <c r="L6126" s="27"/>
    </row>
    <row r="6127" spans="1:12">
      <c r="A6127" s="20" t="s">
        <v>1092</v>
      </c>
      <c r="B6127" s="21" t="s">
        <v>1052</v>
      </c>
      <c r="C6127" s="21" t="s">
        <v>977</v>
      </c>
      <c r="D6127" s="21" t="s">
        <v>978</v>
      </c>
      <c r="E6127" s="22">
        <f>IF(D6127="?OLD","!!!","")</f>
        <v/>
      </c>
      <c r="F6127" s="23" t="str">
        <f>IF(OR(E6127="",E6127="!!!"),"",IF(NOT(ISNA(VLOOKUP(E6127,E$1:E6126,1,FALSE()))),"OLD",IF(AND(E6127&lt;&gt;"",E6127&lt;&gt;"!!!"),"NEW","")))</f>
        <v> </v>
      </c>
      <c r="G6127" s="24" t="str">
        <f>IF(OR(E6127="",E6127="!!!"),"",IF(OR(J6127=0,AND(J6127=1,K6127=1),AND(J6127=1,I6127="SBJ"),AND(J6127=1,I6127=0)),"?IN_FOCUS",IF(J6127&lt;=2,"?ACTIVATED",IF(J6127&lt;&gt;"","?FAMILIAR",IF(F6127="NEW",IF(ISNA(VLOOKUP(E6127,#REF!,1,FALSE())),"?TYPE_IDENTIFIABLE","?REFERENTIAL"),"_")))))</f>
        <v> </v>
      </c>
      <c r="H6127" s="25" t="str">
        <f>IF(J6127&lt;&gt;1,"",IF(I6127="SBJ","CB","?"))</f>
        <v> </v>
      </c>
      <c r="I6127" s="26" t="str">
        <f>IF(OR(E6127="",E6127="!!!",F6127="NEW"),"",INDEX(B6126:B$2,-1+SUMPRODUCT(MAX(ROW(E6126:E$2)*(E6127=E6126:E$2)))))</f>
        <v> </v>
      </c>
      <c r="J6127" s="26" t="str">
        <f>IF(OR(E6127="",E6127="!!!",F6127="NEW"),"",COUNTBLANK(OFFSET(A$1,,,SUMPRODUCT(MAX(ROW(E$2:E6127)*(E6127=E$2:E6127)))))-COUNTBLANK(OFFSET(A$1,,,SUMPRODUCT(MAX(ROW(E$1:E6126)*(E2=E$1:E6126))))))</f>
        <v> </v>
      </c>
      <c r="K6127" s="26" t="str">
        <f>IF(OR(E6127="",E6127="!!!",F6127="NEW"),"",INDEX(J$1:J6126,SUMPRODUCT(MAX(ROW(E$1:E6126)*(E6127=E$1:E6126)))))</f>
        <v> </v>
      </c>
      <c r="L6127" s="27"/>
    </row>
    <row r="6128" spans="1:12">
      <c r="A6128" s="20" t="s">
        <v>2516</v>
      </c>
      <c r="E6128" s="22">
        <f>IF(D6128="?OLD","!!!","")</f>
        <v/>
      </c>
      <c r="F6128" s="23" t="str">
        <f>IF(OR(E6128="",E6128="!!!"),"",IF(NOT(ISNA(VLOOKUP(E6128,E$1:E6127,1,FALSE()))),"OLD",IF(AND(E6128&lt;&gt;"",E6128&lt;&gt;"!!!"),"NEW","")))</f>
        <v> </v>
      </c>
      <c r="G6128" s="24" t="str">
        <f>IF(OR(E6128="",E6128="!!!"),"",IF(OR(J6128=0,AND(J6128=1,K6128=1),AND(J6128=1,I6128="SBJ"),AND(J6128=1,I6128=0)),"?IN_FOCUS",IF(J6128&lt;=2,"?ACTIVATED",IF(J6128&lt;&gt;"","?FAMILIAR",IF(F6128="NEW",IF(ISNA(VLOOKUP(E6128,#REF!,1,FALSE())),"?TYPE_IDENTIFIABLE","?REFERENTIAL"),"_")))))</f>
        <v> </v>
      </c>
      <c r="H6128" s="25" t="str">
        <f>IF(J6128&lt;&gt;1,"",IF(I6128="SBJ","CB","?"))</f>
        <v> </v>
      </c>
      <c r="I6128" s="26" t="str">
        <f>IF(OR(E6128="",E6128="!!!",F6128="NEW"),"",INDEX(B6127:B$2,-1+SUMPRODUCT(MAX(ROW(E6127:E$2)*(E6128=E6127:E$2)))))</f>
        <v> </v>
      </c>
      <c r="J6128" s="26" t="str">
        <f>IF(OR(E6128="",E6128="!!!",F6128="NEW"),"",COUNTBLANK(OFFSET(A$1,,,SUMPRODUCT(MAX(ROW(E$2:E6128)*(E6128=E$2:E6128)))))-COUNTBLANK(OFFSET(A$1,,,SUMPRODUCT(MAX(ROW(E$1:E6127)*(E2=E$1:E6127))))))</f>
        <v> </v>
      </c>
      <c r="K6128" s="26" t="str">
        <f>IF(OR(E6128="",E6128="!!!",F6128="NEW"),"",INDEX(J$1:J6127,SUMPRODUCT(MAX(ROW(E$1:E6127)*(E6128=E$1:E6127)))))</f>
        <v> </v>
      </c>
      <c r="L6128" s="27"/>
    </row>
    <row r="6129" spans="1:12">
      <c r="A6129" s="20" t="s">
        <v>1022</v>
      </c>
      <c r="E6129" s="22">
        <f>IF(D6129="?OLD","!!!","")</f>
        <v/>
      </c>
      <c r="F6129" s="23" t="str">
        <f>IF(OR(E6129="",E6129="!!!"),"",IF(NOT(ISNA(VLOOKUP(E6129,E$1:E6128,1,FALSE()))),"OLD",IF(AND(E6129&lt;&gt;"",E6129&lt;&gt;"!!!"),"NEW","")))</f>
        <v> </v>
      </c>
      <c r="G6129" s="24" t="str">
        <f>IF(OR(E6129="",E6129="!!!"),"",IF(OR(J6129=0,AND(J6129=1,K6129=1),AND(J6129=1,I6129="SBJ"),AND(J6129=1,I6129=0)),"?IN_FOCUS",IF(J6129&lt;=2,"?ACTIVATED",IF(J6129&lt;&gt;"","?FAMILIAR",IF(F6129="NEW",IF(ISNA(VLOOKUP(E6129,#REF!,1,FALSE())),"?TYPE_IDENTIFIABLE","?REFERENTIAL"),"_")))))</f>
        <v> </v>
      </c>
      <c r="H6129" s="25" t="str">
        <f>IF(J6129&lt;&gt;1,"",IF(I6129="SBJ","CB","?"))</f>
        <v> </v>
      </c>
      <c r="I6129" s="26" t="str">
        <f>IF(OR(E6129="",E6129="!!!",F6129="NEW"),"",INDEX(B6128:B$2,-1+SUMPRODUCT(MAX(ROW(E6128:E$2)*(E6129=E6128:E$2)))))</f>
        <v> </v>
      </c>
      <c r="J6129" s="26" t="str">
        <f>IF(OR(E6129="",E6129="!!!",F6129="NEW"),"",COUNTBLANK(OFFSET(A$1,,,SUMPRODUCT(MAX(ROW(E$2:E6129)*(E6129=E$2:E6129)))))-COUNTBLANK(OFFSET(A$1,,,SUMPRODUCT(MAX(ROW(E$1:E6128)*(E2=E$1:E6128))))))</f>
        <v> </v>
      </c>
      <c r="K6129" s="26" t="str">
        <f>IF(OR(E6129="",E6129="!!!",F6129="NEW"),"",INDEX(J$1:J6128,SUMPRODUCT(MAX(ROW(E$1:E6128)*(E6129=E$1:E6128)))))</f>
        <v> </v>
      </c>
      <c r="L6129" s="27"/>
    </row>
    <row r="6130" spans="1:12">
      <c r="A6130" s="20"/>
    </row>
    <row r="6131" spans="1:12">
      <c r="A6131" s="20" t="s">
        <v>2517</v>
      </c>
    </row>
    <row r="6132" spans="1:12">
      <c r="A6132" s="20" t="s">
        <v>2518</v>
      </c>
      <c r="E6132" s="22">
        <f>IF(D6132="?OLD","!!!","")</f>
        <v/>
      </c>
      <c r="F6132" s="23" t="str">
        <f>IF(OR(E6132="",E6132="!!!"),"",IF(NOT(ISNA(VLOOKUP(E6132,E$1:E6131,1,FALSE()))),"OLD",IF(AND(E6132&lt;&gt;"",E6132&lt;&gt;"!!!"),"NEW","")))</f>
        <v> </v>
      </c>
      <c r="G6132" s="24" t="str">
        <f>IF(OR(E6132="",E6132="!!!"),"",IF(OR(J6132=0,AND(J6132=1,K6132=1),AND(J6132=1,I6132="SBJ"),AND(J6132=1,I6132=0)),"?IN_FOCUS",IF(J6132&lt;=2,"?ACTIVATED",IF(J6132&lt;&gt;"","?FAMILIAR",IF(F6132="NEW",IF(ISNA(VLOOKUP(E6132,#REF!,1,FALSE())),"?TYPE_IDENTIFIABLE","?REFERENTIAL"),"_")))))</f>
        <v> </v>
      </c>
      <c r="H6132" s="25" t="str">
        <f>IF(J6132&lt;&gt;1,"",IF(I6132="SBJ","CB","?"))</f>
        <v> </v>
      </c>
      <c r="I6132" s="26" t="str">
        <f>IF(OR(E6132="",E6132="!!!",F6132="NEW"),"",INDEX(B6131:B$2,-1+SUMPRODUCT(MAX(ROW(E6131:E$2)*(E6132=E6131:E$2)))))</f>
        <v> </v>
      </c>
      <c r="J6132" s="26" t="str">
        <f>IF(OR(E6132="",E6132="!!!",F6132="NEW"),"",COUNTBLANK(OFFSET(A$1,,,SUMPRODUCT(MAX(ROW(E$2:E6132)*(E6132=E$2:E6132)))))-COUNTBLANK(OFFSET(A$1,,,SUMPRODUCT(MAX(ROW(E$1:E6131)*(E2=E$1:E6131))))))</f>
        <v> </v>
      </c>
      <c r="K6132" s="26" t="str">
        <f>IF(OR(E6132="",E6132="!!!",F6132="NEW"),"",INDEX(J$1:J6131,SUMPRODUCT(MAX(ROW(E$1:E6131)*(E6132=E$1:E6131)))))</f>
        <v> </v>
      </c>
      <c r="L6132" s="27"/>
    </row>
    <row r="6133" spans="1:12">
      <c r="A6133" s="20" t="s">
        <v>1038</v>
      </c>
      <c r="E6133" s="22">
        <f>IF(D6133="?OLD","!!!","")</f>
        <v/>
      </c>
      <c r="F6133" s="23" t="str">
        <f>IF(OR(E6133="",E6133="!!!"),"",IF(NOT(ISNA(VLOOKUP(E6133,E$1:E6132,1,FALSE()))),"OLD",IF(AND(E6133&lt;&gt;"",E6133&lt;&gt;"!!!"),"NEW","")))</f>
        <v> </v>
      </c>
      <c r="G6133" s="24" t="str">
        <f>IF(OR(E6133="",E6133="!!!"),"",IF(OR(J6133=0,AND(J6133=1,K6133=1),AND(J6133=1,I6133="SBJ"),AND(J6133=1,I6133=0)),"?IN_FOCUS",IF(J6133&lt;=2,"?ACTIVATED",IF(J6133&lt;&gt;"","?FAMILIAR",IF(F6133="NEW",IF(ISNA(VLOOKUP(E6133,#REF!,1,FALSE())),"?TYPE_IDENTIFIABLE","?REFERENTIAL"),"_")))))</f>
        <v> </v>
      </c>
      <c r="H6133" s="25" t="str">
        <f>IF(J6133&lt;&gt;1,"",IF(I6133="SBJ","CB","?"))</f>
        <v> </v>
      </c>
      <c r="I6133" s="26" t="str">
        <f>IF(OR(E6133="",E6133="!!!",F6133="NEW"),"",INDEX(B6132:B$2,-1+SUMPRODUCT(MAX(ROW(E6132:E$2)*(E6133=E6132:E$2)))))</f>
        <v> </v>
      </c>
      <c r="J6133" s="26" t="str">
        <f>IF(OR(E6133="",E6133="!!!",F6133="NEW"),"",COUNTBLANK(OFFSET(A$1,,,SUMPRODUCT(MAX(ROW(E$2:E6133)*(E6133=E$2:E6133)))))-COUNTBLANK(OFFSET(A$1,,,SUMPRODUCT(MAX(ROW(E$1:E6132)*(E2=E$1:E6132))))))</f>
        <v> </v>
      </c>
      <c r="K6133" s="26" t="str">
        <f>IF(OR(E6133="",E6133="!!!",F6133="NEW"),"",INDEX(J$1:J6132,SUMPRODUCT(MAX(ROW(E$1:E6132)*(E6133=E$1:E6132)))))</f>
        <v> </v>
      </c>
      <c r="L6133" s="27"/>
    </row>
    <row r="6134" spans="1:12">
      <c r="A6134" s="20" t="s">
        <v>1865</v>
      </c>
      <c r="B6134" s="21" t="s">
        <v>1095</v>
      </c>
      <c r="C6134" s="21" t="s">
        <v>977</v>
      </c>
      <c r="D6134" s="21" t="s">
        <v>978</v>
      </c>
      <c r="E6134" s="22">
        <f>IF(D6134="?OLD","!!!","")</f>
        <v/>
      </c>
      <c r="F6134" s="23" t="str">
        <f>IF(OR(E6134="",E6134="!!!"),"",IF(NOT(ISNA(VLOOKUP(E6134,E$1:E6133,1,FALSE()))),"OLD",IF(AND(E6134&lt;&gt;"",E6134&lt;&gt;"!!!"),"NEW","")))</f>
        <v> </v>
      </c>
      <c r="G6134" s="24" t="str">
        <f>IF(OR(E6134="",E6134="!!!"),"",IF(OR(J6134=0,AND(J6134=1,K6134=1),AND(J6134=1,I6134="SBJ"),AND(J6134=1,I6134=0)),"?IN_FOCUS",IF(J6134&lt;=2,"?ACTIVATED",IF(J6134&lt;&gt;"","?FAMILIAR",IF(F6134="NEW",IF(ISNA(VLOOKUP(E6134,#REF!,1,FALSE())),"?TYPE_IDENTIFIABLE","?REFERENTIAL"),"_")))))</f>
        <v> </v>
      </c>
      <c r="H6134" s="25" t="str">
        <f>IF(J6134&lt;&gt;1,"",IF(I6134="SBJ","CB","?"))</f>
        <v> </v>
      </c>
      <c r="I6134" s="26" t="str">
        <f>IF(OR(E6134="",E6134="!!!",F6134="NEW"),"",INDEX(B6133:B$2,-1+SUMPRODUCT(MAX(ROW(E6133:E$2)*(E6134=E6133:E$2)))))</f>
        <v> </v>
      </c>
      <c r="J6134" s="26" t="str">
        <f>IF(OR(E6134="",E6134="!!!",F6134="NEW"),"",COUNTBLANK(OFFSET(A$1,,,SUMPRODUCT(MAX(ROW(E$2:E6134)*(E6134=E$2:E6134)))))-COUNTBLANK(OFFSET(A$1,,,SUMPRODUCT(MAX(ROW(E$1:E6133)*(E2=E$1:E6133))))))</f>
        <v> </v>
      </c>
      <c r="K6134" s="26" t="str">
        <f>IF(OR(E6134="",E6134="!!!",F6134="NEW"),"",INDEX(J$1:J6133,SUMPRODUCT(MAX(ROW(E$1:E6133)*(E6134=E$1:E6133)))))</f>
        <v> </v>
      </c>
      <c r="L6134" s="27"/>
    </row>
    <row r="6135" spans="1:12">
      <c r="A6135" s="20" t="s">
        <v>1092</v>
      </c>
      <c r="B6135" s="21" t="s">
        <v>1052</v>
      </c>
      <c r="C6135" s="21" t="s">
        <v>977</v>
      </c>
      <c r="D6135" s="21" t="s">
        <v>978</v>
      </c>
      <c r="E6135" s="22">
        <f>IF(D6135="?OLD","!!!","")</f>
        <v/>
      </c>
      <c r="F6135" s="23" t="str">
        <f>IF(OR(E6135="",E6135="!!!"),"",IF(NOT(ISNA(VLOOKUP(E6135,E$1:E6134,1,FALSE()))),"OLD",IF(AND(E6135&lt;&gt;"",E6135&lt;&gt;"!!!"),"NEW","")))</f>
        <v> </v>
      </c>
      <c r="G6135" s="24" t="str">
        <f>IF(OR(E6135="",E6135="!!!"),"",IF(OR(J6135=0,AND(J6135=1,K6135=1),AND(J6135=1,I6135="SBJ"),AND(J6135=1,I6135=0)),"?IN_FOCUS",IF(J6135&lt;=2,"?ACTIVATED",IF(J6135&lt;&gt;"","?FAMILIAR",IF(F6135="NEW",IF(ISNA(VLOOKUP(E6135,#REF!,1,FALSE())),"?TYPE_IDENTIFIABLE","?REFERENTIAL"),"_")))))</f>
        <v> </v>
      </c>
      <c r="H6135" s="25" t="str">
        <f>IF(J6135&lt;&gt;1,"",IF(I6135="SBJ","CB","?"))</f>
        <v> </v>
      </c>
      <c r="I6135" s="26" t="str">
        <f>IF(OR(E6135="",E6135="!!!",F6135="NEW"),"",INDEX(B6134:B$2,-1+SUMPRODUCT(MAX(ROW(E6134:E$2)*(E6135=E6134:E$2)))))</f>
        <v> </v>
      </c>
      <c r="J6135" s="26" t="str">
        <f>IF(OR(E6135="",E6135="!!!",F6135="NEW"),"",COUNTBLANK(OFFSET(A$1,,,SUMPRODUCT(MAX(ROW(E$2:E6135)*(E6135=E$2:E6135)))))-COUNTBLANK(OFFSET(A$1,,,SUMPRODUCT(MAX(ROW(E$1:E6134)*(E2=E$1:E6134))))))</f>
        <v> </v>
      </c>
      <c r="K6135" s="26" t="str">
        <f>IF(OR(E6135="",E6135="!!!",F6135="NEW"),"",INDEX(J$1:J6134,SUMPRODUCT(MAX(ROW(E$1:E6134)*(E6135=E$1:E6134)))))</f>
        <v> </v>
      </c>
      <c r="L6135" s="27"/>
    </row>
    <row r="6136" spans="1:12">
      <c r="A6136" s="20" t="s">
        <v>2519</v>
      </c>
      <c r="E6136" s="22">
        <f>IF(D6136="?OLD","!!!","")</f>
        <v/>
      </c>
      <c r="F6136" s="23" t="str">
        <f>IF(OR(E6136="",E6136="!!!"),"",IF(NOT(ISNA(VLOOKUP(E6136,E$1:E6135,1,FALSE()))),"OLD",IF(AND(E6136&lt;&gt;"",E6136&lt;&gt;"!!!"),"NEW","")))</f>
        <v> </v>
      </c>
      <c r="G6136" s="24" t="str">
        <f>IF(OR(E6136="",E6136="!!!"),"",IF(OR(J6136=0,AND(J6136=1,K6136=1),AND(J6136=1,I6136="SBJ"),AND(J6136=1,I6136=0)),"?IN_FOCUS",IF(J6136&lt;=2,"?ACTIVATED",IF(J6136&lt;&gt;"","?FAMILIAR",IF(F6136="NEW",IF(ISNA(VLOOKUP(E6136,#REF!,1,FALSE())),"?TYPE_IDENTIFIABLE","?REFERENTIAL"),"_")))))</f>
        <v> </v>
      </c>
      <c r="H6136" s="25" t="str">
        <f>IF(J6136&lt;&gt;1,"",IF(I6136="SBJ","CB","?"))</f>
        <v> </v>
      </c>
      <c r="I6136" s="26" t="str">
        <f>IF(OR(E6136="",E6136="!!!",F6136="NEW"),"",INDEX(B6135:B$2,-1+SUMPRODUCT(MAX(ROW(E6135:E$2)*(E6136=E6135:E$2)))))</f>
        <v> </v>
      </c>
      <c r="J6136" s="26" t="str">
        <f>IF(OR(E6136="",E6136="!!!",F6136="NEW"),"",COUNTBLANK(OFFSET(A$1,,,SUMPRODUCT(MAX(ROW(E$2:E6136)*(E6136=E$2:E6136)))))-COUNTBLANK(OFFSET(A$1,,,SUMPRODUCT(MAX(ROW(E$1:E6135)*(E2=E$1:E6135))))))</f>
        <v> </v>
      </c>
      <c r="K6136" s="26" t="str">
        <f>IF(OR(E6136="",E6136="!!!",F6136="NEW"),"",INDEX(J$1:J6135,SUMPRODUCT(MAX(ROW(E$1:E6135)*(E6136=E$1:E6135)))))</f>
        <v> </v>
      </c>
      <c r="L6136" s="27"/>
    </row>
    <row r="6137" spans="1:12">
      <c r="A6137" s="20" t="s">
        <v>1002</v>
      </c>
      <c r="E6137" s="22">
        <f>IF(D6137="?OLD","!!!","")</f>
        <v/>
      </c>
      <c r="F6137" s="23" t="str">
        <f>IF(OR(E6137="",E6137="!!!"),"",IF(NOT(ISNA(VLOOKUP(E6137,E$1:E6136,1,FALSE()))),"OLD",IF(AND(E6137&lt;&gt;"",E6137&lt;&gt;"!!!"),"NEW","")))</f>
        <v> </v>
      </c>
      <c r="G6137" s="24" t="str">
        <f>IF(OR(E6137="",E6137="!!!"),"",IF(OR(J6137=0,AND(J6137=1,K6137=1),AND(J6137=1,I6137="SBJ"),AND(J6137=1,I6137=0)),"?IN_FOCUS",IF(J6137&lt;=2,"?ACTIVATED",IF(J6137&lt;&gt;"","?FAMILIAR",IF(F6137="NEW",IF(ISNA(VLOOKUP(E6137,#REF!,1,FALSE())),"?TYPE_IDENTIFIABLE","?REFERENTIAL"),"_")))))</f>
        <v> </v>
      </c>
      <c r="H6137" s="25" t="str">
        <f>IF(J6137&lt;&gt;1,"",IF(I6137="SBJ","CB","?"))</f>
        <v> </v>
      </c>
      <c r="I6137" s="26" t="str">
        <f>IF(OR(E6137="",E6137="!!!",F6137="NEW"),"",INDEX(B6136:B$2,-1+SUMPRODUCT(MAX(ROW(E6136:E$2)*(E6137=E6136:E$2)))))</f>
        <v> </v>
      </c>
      <c r="J6137" s="26" t="str">
        <f>IF(OR(E6137="",E6137="!!!",F6137="NEW"),"",COUNTBLANK(OFFSET(A$1,,,SUMPRODUCT(MAX(ROW(E$2:E6137)*(E6137=E$2:E6137)))))-COUNTBLANK(OFFSET(A$1,,,SUMPRODUCT(MAX(ROW(E$1:E6136)*(E2=E$1:E6136))))))</f>
        <v> </v>
      </c>
      <c r="K6137" s="26" t="str">
        <f>IF(OR(E6137="",E6137="!!!",F6137="NEW"),"",INDEX(J$1:J6136,SUMPRODUCT(MAX(ROW(E$1:E6136)*(E6137=E$1:E6136)))))</f>
        <v> </v>
      </c>
      <c r="L6137" s="27"/>
    </row>
    <row r="6138" spans="1:12">
      <c r="A6138" s="20" t="s">
        <v>1468</v>
      </c>
      <c r="B6138" s="21" t="s">
        <v>976</v>
      </c>
      <c r="C6138" s="21" t="s">
        <v>977</v>
      </c>
      <c r="D6138" s="21" t="s">
        <v>978</v>
      </c>
      <c r="E6138" s="22">
        <f>IF(D6138="?OLD","!!!","")</f>
        <v/>
      </c>
      <c r="F6138" s="23" t="str">
        <f>IF(OR(E6138="",E6138="!!!"),"",IF(NOT(ISNA(VLOOKUP(E6138,E$1:E6137,1,FALSE()))),"OLD",IF(AND(E6138&lt;&gt;"",E6138&lt;&gt;"!!!"),"NEW","")))</f>
        <v> </v>
      </c>
      <c r="G6138" s="24" t="str">
        <f>IF(OR(E6138="",E6138="!!!"),"",IF(OR(J6138=0,AND(J6138=1,K6138=1),AND(J6138=1,I6138="SBJ"),AND(J6138=1,I6138=0)),"?IN_FOCUS",IF(J6138&lt;=2,"?ACTIVATED",IF(J6138&lt;&gt;"","?FAMILIAR",IF(F6138="NEW",IF(ISNA(VLOOKUP(E6138,#REF!,1,FALSE())),"?TYPE_IDENTIFIABLE","?REFERENTIAL"),"_")))))</f>
        <v> </v>
      </c>
      <c r="H6138" s="25" t="str">
        <f>IF(J6138&lt;&gt;1,"",IF(I6138="SBJ","CB","?"))</f>
        <v> </v>
      </c>
      <c r="I6138" s="26" t="str">
        <f>IF(OR(E6138="",E6138="!!!",F6138="NEW"),"",INDEX(B6137:B$2,-1+SUMPRODUCT(MAX(ROW(E6137:E$2)*(E6138=E6137:E$2)))))</f>
        <v> </v>
      </c>
      <c r="J6138" s="26" t="str">
        <f>IF(OR(E6138="",E6138="!!!",F6138="NEW"),"",COUNTBLANK(OFFSET(A$1,,,SUMPRODUCT(MAX(ROW(E$2:E6138)*(E6138=E$2:E6138)))))-COUNTBLANK(OFFSET(A$1,,,SUMPRODUCT(MAX(ROW(E$1:E6137)*(E2=E$1:E6137))))))</f>
        <v> </v>
      </c>
      <c r="K6138" s="26" t="str">
        <f>IF(OR(E6138="",E6138="!!!",F6138="NEW"),"",INDEX(J$1:J6137,SUMPRODUCT(MAX(ROW(E$1:E6137)*(E6138=E$1:E6137)))))</f>
        <v> </v>
      </c>
      <c r="L6138" s="27"/>
    </row>
    <row r="6139" spans="1:12">
      <c r="A6139" s="20" t="s">
        <v>2520</v>
      </c>
      <c r="E6139" s="22">
        <f>IF(D6139="?OLD","!!!","")</f>
        <v/>
      </c>
      <c r="F6139" s="23" t="str">
        <f>IF(OR(E6139="",E6139="!!!"),"",IF(NOT(ISNA(VLOOKUP(E6139,E$1:E6138,1,FALSE()))),"OLD",IF(AND(E6139&lt;&gt;"",E6139&lt;&gt;"!!!"),"NEW","")))</f>
        <v> </v>
      </c>
      <c r="G6139" s="24" t="str">
        <f>IF(OR(E6139="",E6139="!!!"),"",IF(OR(J6139=0,AND(J6139=1,K6139=1),AND(J6139=1,I6139="SBJ"),AND(J6139=1,I6139=0)),"?IN_FOCUS",IF(J6139&lt;=2,"?ACTIVATED",IF(J6139&lt;&gt;"","?FAMILIAR",IF(F6139="NEW",IF(ISNA(VLOOKUP(E6139,#REF!,1,FALSE())),"?TYPE_IDENTIFIABLE","?REFERENTIAL"),"_")))))</f>
        <v> </v>
      </c>
      <c r="H6139" s="25" t="str">
        <f>IF(J6139&lt;&gt;1,"",IF(I6139="SBJ","CB","?"))</f>
        <v> </v>
      </c>
      <c r="I6139" s="26" t="str">
        <f>IF(OR(E6139="",E6139="!!!",F6139="NEW"),"",INDEX(B6138:B$2,-1+SUMPRODUCT(MAX(ROW(E6138:E$2)*(E6139=E6138:E$2)))))</f>
        <v> </v>
      </c>
      <c r="J6139" s="26" t="str">
        <f>IF(OR(E6139="",E6139="!!!",F6139="NEW"),"",COUNTBLANK(OFFSET(A$1,,,SUMPRODUCT(MAX(ROW(E$2:E6139)*(E6139=E$2:E6139)))))-COUNTBLANK(OFFSET(A$1,,,SUMPRODUCT(MAX(ROW(E$1:E6138)*(E2=E$1:E6138))))))</f>
        <v> </v>
      </c>
      <c r="K6139" s="26" t="str">
        <f>IF(OR(E6139="",E6139="!!!",F6139="NEW"),"",INDEX(J$1:J6138,SUMPRODUCT(MAX(ROW(E$1:E6138)*(E6139=E$1:E6138)))))</f>
        <v> </v>
      </c>
      <c r="L6139" s="27"/>
    </row>
    <row r="6140" spans="1:12">
      <c r="A6140" s="20" t="s">
        <v>1022</v>
      </c>
      <c r="E6140" s="22">
        <f>IF(D6140="?OLD","!!!","")</f>
        <v/>
      </c>
      <c r="F6140" s="23" t="str">
        <f>IF(OR(E6140="",E6140="!!!"),"",IF(NOT(ISNA(VLOOKUP(E6140,E$1:E6139,1,FALSE()))),"OLD",IF(AND(E6140&lt;&gt;"",E6140&lt;&gt;"!!!"),"NEW","")))</f>
        <v> </v>
      </c>
      <c r="G6140" s="24" t="str">
        <f>IF(OR(E6140="",E6140="!!!"),"",IF(OR(J6140=0,AND(J6140=1,K6140=1),AND(J6140=1,I6140="SBJ"),AND(J6140=1,I6140=0)),"?IN_FOCUS",IF(J6140&lt;=2,"?ACTIVATED",IF(J6140&lt;&gt;"","?FAMILIAR",IF(F6140="NEW",IF(ISNA(VLOOKUP(E6140,#REF!,1,FALSE())),"?TYPE_IDENTIFIABLE","?REFERENTIAL"),"_")))))</f>
        <v> </v>
      </c>
      <c r="H6140" s="25" t="str">
        <f>IF(J6140&lt;&gt;1,"",IF(I6140="SBJ","CB","?"))</f>
        <v> </v>
      </c>
      <c r="I6140" s="26" t="str">
        <f>IF(OR(E6140="",E6140="!!!",F6140="NEW"),"",INDEX(B6139:B$2,-1+SUMPRODUCT(MAX(ROW(E6139:E$2)*(E6140=E6139:E$2)))))</f>
        <v> </v>
      </c>
      <c r="J6140" s="26" t="str">
        <f>IF(OR(E6140="",E6140="!!!",F6140="NEW"),"",COUNTBLANK(OFFSET(A$1,,,SUMPRODUCT(MAX(ROW(E$2:E6140)*(E6140=E$2:E6140)))))-COUNTBLANK(OFFSET(A$1,,,SUMPRODUCT(MAX(ROW(E$1:E6139)*(E2=E$1:E6139))))))</f>
        <v> </v>
      </c>
      <c r="K6140" s="26" t="str">
        <f>IF(OR(E6140="",E6140="!!!",F6140="NEW"),"",INDEX(J$1:J6139,SUMPRODUCT(MAX(ROW(E$1:E6139)*(E6140=E$1:E6139)))))</f>
        <v> </v>
      </c>
      <c r="L6140" s="27"/>
    </row>
    <row r="6141" spans="1:12">
      <c r="A6141" s="20"/>
    </row>
    <row r="6142" spans="1:12">
      <c r="A6142" s="20" t="s">
        <v>2521</v>
      </c>
    </row>
    <row r="6143" spans="1:12">
      <c r="A6143" s="20" t="s">
        <v>992</v>
      </c>
      <c r="E6143" s="22">
        <f>IF(D6143="?OLD","!!!","")</f>
        <v/>
      </c>
      <c r="F6143" s="23" t="str">
        <f>IF(OR(E6143="",E6143="!!!"),"",IF(NOT(ISNA(VLOOKUP(E6143,E$1:E6142,1,FALSE()))),"OLD",IF(AND(E6143&lt;&gt;"",E6143&lt;&gt;"!!!"),"NEW","")))</f>
        <v> </v>
      </c>
      <c r="G6143" s="24" t="str">
        <f>IF(OR(E6143="",E6143="!!!"),"",IF(OR(J6143=0,AND(J6143=1,K6143=1),AND(J6143=1,I6143="SBJ"),AND(J6143=1,I6143=0)),"?IN_FOCUS",IF(J6143&lt;=2,"?ACTIVATED",IF(J6143&lt;&gt;"","?FAMILIAR",IF(F6143="NEW",IF(ISNA(VLOOKUP(E6143,#REF!,1,FALSE())),"?TYPE_IDENTIFIABLE","?REFERENTIAL"),"_")))))</f>
        <v> </v>
      </c>
      <c r="H6143" s="25" t="str">
        <f>IF(J6143&lt;&gt;1,"",IF(I6143="SBJ","CB","?"))</f>
        <v> </v>
      </c>
      <c r="I6143" s="26" t="str">
        <f>IF(OR(E6143="",E6143="!!!",F6143="NEW"),"",INDEX(B6142:B$2,-1+SUMPRODUCT(MAX(ROW(E6142:E$2)*(E6143=E6142:E$2)))))</f>
        <v> </v>
      </c>
      <c r="J6143" s="26" t="str">
        <f>IF(OR(E6143="",E6143="!!!",F6143="NEW"),"",COUNTBLANK(OFFSET(A$1,,,SUMPRODUCT(MAX(ROW(E$2:E6143)*(E6143=E$2:E6143)))))-COUNTBLANK(OFFSET(A$1,,,SUMPRODUCT(MAX(ROW(E$1:E6142)*(E2=E$1:E6142))))))</f>
        <v> </v>
      </c>
      <c r="K6143" s="26" t="str">
        <f>IF(OR(E6143="",E6143="!!!",F6143="NEW"),"",INDEX(J$1:J6142,SUMPRODUCT(MAX(ROW(E$1:E6142)*(E6143=E$1:E6142)))))</f>
        <v> </v>
      </c>
      <c r="L6143" s="27"/>
    </row>
    <row r="6144" spans="1:12">
      <c r="A6144" s="20" t="s">
        <v>1141</v>
      </c>
      <c r="B6144" s="21" t="s">
        <v>989</v>
      </c>
      <c r="C6144" s="21" t="s">
        <v>1008</v>
      </c>
      <c r="D6144" s="21" t="s">
        <v>978</v>
      </c>
      <c r="E6144" s="22">
        <f>IF(D6144="?OLD","!!!","")</f>
        <v/>
      </c>
      <c r="F6144" s="23" t="str">
        <f>IF(OR(E6144="",E6144="!!!"),"",IF(NOT(ISNA(VLOOKUP(E6144,E$1:E6143,1,FALSE()))),"OLD",IF(AND(E6144&lt;&gt;"",E6144&lt;&gt;"!!!"),"NEW","")))</f>
        <v> </v>
      </c>
      <c r="G6144" s="24" t="str">
        <f>IF(OR(E6144="",E6144="!!!"),"",IF(OR(J6144=0,AND(J6144=1,K6144=1),AND(J6144=1,I6144="SBJ"),AND(J6144=1,I6144=0)),"?IN_FOCUS",IF(J6144&lt;=2,"?ACTIVATED",IF(J6144&lt;&gt;"","?FAMILIAR",IF(F6144="NEW",IF(ISNA(VLOOKUP(E6144,#REF!,1,FALSE())),"?TYPE_IDENTIFIABLE","?REFERENTIAL"),"_")))))</f>
        <v> </v>
      </c>
      <c r="H6144" s="25" t="str">
        <f>IF(J6144&lt;&gt;1,"",IF(I6144="SBJ","CB","?"))</f>
        <v> </v>
      </c>
      <c r="I6144" s="26" t="str">
        <f>IF(OR(E6144="",E6144="!!!",F6144="NEW"),"",INDEX(B6143:B$2,-1+SUMPRODUCT(MAX(ROW(E6143:E$2)*(E6144=E6143:E$2)))))</f>
        <v> </v>
      </c>
      <c r="J6144" s="26" t="str">
        <f>IF(OR(E6144="",E6144="!!!",F6144="NEW"),"",COUNTBLANK(OFFSET(A$1,,,SUMPRODUCT(MAX(ROW(E$2:E6144)*(E6144=E$2:E6144)))))-COUNTBLANK(OFFSET(A$1,,,SUMPRODUCT(MAX(ROW(E$1:E6143)*(E2=E$1:E6143))))))</f>
        <v> </v>
      </c>
      <c r="K6144" s="26" t="str">
        <f>IF(OR(E6144="",E6144="!!!",F6144="NEW"),"",INDEX(J$1:J6143,SUMPRODUCT(MAX(ROW(E$1:E6143)*(E6144=E$1:E6143)))))</f>
        <v> </v>
      </c>
      <c r="L6144" s="27"/>
    </row>
    <row r="6145" spans="1:12">
      <c r="A6145" s="20" t="s">
        <v>1142</v>
      </c>
      <c r="B6145" s="21" t="s">
        <v>1095</v>
      </c>
      <c r="E6145" s="22">
        <f>IF(D6145="?OLD","!!!","")</f>
        <v/>
      </c>
      <c r="F6145" s="23" t="str">
        <f>IF(OR(E6145="",E6145="!!!"),"",IF(NOT(ISNA(VLOOKUP(E6145,E$1:E6144,1,FALSE()))),"OLD",IF(AND(E6145&lt;&gt;"",E6145&lt;&gt;"!!!"),"NEW","")))</f>
        <v> </v>
      </c>
      <c r="G6145" s="24" t="str">
        <f>IF(OR(E6145="",E6145="!!!"),"",IF(OR(J6145=0,AND(J6145=1,K6145=1),AND(J6145=1,I6145="SBJ"),AND(J6145=1,I6145=0)),"?IN_FOCUS",IF(J6145&lt;=2,"?ACTIVATED",IF(J6145&lt;&gt;"","?FAMILIAR",IF(F6145="NEW",IF(ISNA(VLOOKUP(E6145,#REF!,1,FALSE())),"?TYPE_IDENTIFIABLE","?REFERENTIAL"),"_")))))</f>
        <v> </v>
      </c>
      <c r="H6145" s="25" t="str">
        <f>IF(J6145&lt;&gt;1,"",IF(I6145="SBJ","CB","?"))</f>
        <v> </v>
      </c>
      <c r="I6145" s="26" t="str">
        <f>IF(OR(E6145="",E6145="!!!",F6145="NEW"),"",INDEX(B6144:B$2,-1+SUMPRODUCT(MAX(ROW(E6144:E$2)*(E6145=E6144:E$2)))))</f>
        <v> </v>
      </c>
      <c r="J6145" s="26" t="str">
        <f>IF(OR(E6145="",E6145="!!!",F6145="NEW"),"",COUNTBLANK(OFFSET(A$1,,,SUMPRODUCT(MAX(ROW(E$2:E6145)*(E6145=E$2:E6145)))))-COUNTBLANK(OFFSET(A$1,,,SUMPRODUCT(MAX(ROW(E$1:E6144)*(E2=E$1:E6144))))))</f>
        <v> </v>
      </c>
      <c r="K6145" s="26" t="str">
        <f>IF(OR(E6145="",E6145="!!!",F6145="NEW"),"",INDEX(J$1:J6144,SUMPRODUCT(MAX(ROW(E$1:E6144)*(E6145=E$1:E6144)))))</f>
        <v> </v>
      </c>
      <c r="L6145" s="27"/>
    </row>
    <row r="6146" spans="1:12">
      <c r="A6146" s="20" t="s">
        <v>2522</v>
      </c>
      <c r="E6146" s="22">
        <f>IF(D6146="?OLD","!!!","")</f>
        <v/>
      </c>
      <c r="F6146" s="23" t="str">
        <f>IF(OR(E6146="",E6146="!!!"),"",IF(NOT(ISNA(VLOOKUP(E6146,E$1:E6145,1,FALSE()))),"OLD",IF(AND(E6146&lt;&gt;"",E6146&lt;&gt;"!!!"),"NEW","")))</f>
        <v> </v>
      </c>
      <c r="G6146" s="24" t="str">
        <f>IF(OR(E6146="",E6146="!!!"),"",IF(OR(J6146=0,AND(J6146=1,K6146=1),AND(J6146=1,I6146="SBJ"),AND(J6146=1,I6146=0)),"?IN_FOCUS",IF(J6146&lt;=2,"?ACTIVATED",IF(J6146&lt;&gt;"","?FAMILIAR",IF(F6146="NEW",IF(ISNA(VLOOKUP(E6146,#REF!,1,FALSE())),"?TYPE_IDENTIFIABLE","?REFERENTIAL"),"_")))))</f>
        <v> </v>
      </c>
      <c r="H6146" s="25" t="str">
        <f>IF(J6146&lt;&gt;1,"",IF(I6146="SBJ","CB","?"))</f>
        <v> </v>
      </c>
      <c r="I6146" s="26" t="str">
        <f>IF(OR(E6146="",E6146="!!!",F6146="NEW"),"",INDEX(B6145:B$2,-1+SUMPRODUCT(MAX(ROW(E6145:E$2)*(E6146=E6145:E$2)))))</f>
        <v> </v>
      </c>
      <c r="J6146" s="26" t="str">
        <f>IF(OR(E6146="",E6146="!!!",F6146="NEW"),"",COUNTBLANK(OFFSET(A$1,,,SUMPRODUCT(MAX(ROW(E$2:E6146)*(E6146=E$2:E6146)))))-COUNTBLANK(OFFSET(A$1,,,SUMPRODUCT(MAX(ROW(E$1:E6145)*(E2=E$1:E6145))))))</f>
        <v> </v>
      </c>
      <c r="K6146" s="26" t="str">
        <f>IF(OR(E6146="",E6146="!!!",F6146="NEW"),"",INDEX(J$1:J6145,SUMPRODUCT(MAX(ROW(E$1:E6145)*(E6146=E$1:E6145)))))</f>
        <v> </v>
      </c>
      <c r="L6146" s="27"/>
    </row>
    <row r="6147" spans="1:12">
      <c r="A6147" s="20" t="s">
        <v>997</v>
      </c>
      <c r="E6147" s="22">
        <f>IF(D6147="?OLD","!!!","")</f>
        <v/>
      </c>
      <c r="F6147" s="23" t="str">
        <f>IF(OR(E6147="",E6147="!!!"),"",IF(NOT(ISNA(VLOOKUP(E6147,E$1:E6146,1,FALSE()))),"OLD",IF(AND(E6147&lt;&gt;"",E6147&lt;&gt;"!!!"),"NEW","")))</f>
        <v> </v>
      </c>
      <c r="G6147" s="24" t="str">
        <f>IF(OR(E6147="",E6147="!!!"),"",IF(OR(J6147=0,AND(J6147=1,K6147=1),AND(J6147=1,I6147="SBJ"),AND(J6147=1,I6147=0)),"?IN_FOCUS",IF(J6147&lt;=2,"?ACTIVATED",IF(J6147&lt;&gt;"","?FAMILIAR",IF(F6147="NEW",IF(ISNA(VLOOKUP(E6147,#REF!,1,FALSE())),"?TYPE_IDENTIFIABLE","?REFERENTIAL"),"_")))))</f>
        <v> </v>
      </c>
      <c r="H6147" s="25" t="str">
        <f>IF(J6147&lt;&gt;1,"",IF(I6147="SBJ","CB","?"))</f>
        <v> </v>
      </c>
      <c r="I6147" s="26" t="str">
        <f>IF(OR(E6147="",E6147="!!!",F6147="NEW"),"",INDEX(B6146:B$2,-1+SUMPRODUCT(MAX(ROW(E6146:E$2)*(E6147=E6146:E$2)))))</f>
        <v> </v>
      </c>
      <c r="J6147" s="26" t="str">
        <f>IF(OR(E6147="",E6147="!!!",F6147="NEW"),"",COUNTBLANK(OFFSET(A$1,,,SUMPRODUCT(MAX(ROW(E$2:E6147)*(E6147=E$2:E6147)))))-COUNTBLANK(OFFSET(A$1,,,SUMPRODUCT(MAX(ROW(E$1:E6146)*(E2=E$1:E6146))))))</f>
        <v> </v>
      </c>
      <c r="K6147" s="26" t="str">
        <f>IF(OR(E6147="",E6147="!!!",F6147="NEW"),"",INDEX(J$1:J6146,SUMPRODUCT(MAX(ROW(E$1:E6146)*(E6147=E$1:E6146)))))</f>
        <v> </v>
      </c>
      <c r="L6147" s="27"/>
    </row>
    <row r="6148" spans="1:12">
      <c r="A6148" s="20" t="s">
        <v>1439</v>
      </c>
      <c r="B6148" s="21" t="s">
        <v>1052</v>
      </c>
      <c r="C6148" s="21" t="s">
        <v>995</v>
      </c>
      <c r="D6148" s="21" t="s">
        <v>978</v>
      </c>
      <c r="E6148" s="22">
        <f>IF(D6148="?OLD","!!!","")</f>
        <v/>
      </c>
      <c r="F6148" s="23" t="str">
        <f>IF(OR(E6148="",E6148="!!!"),"",IF(NOT(ISNA(VLOOKUP(E6148,E$1:E6147,1,FALSE()))),"OLD",IF(AND(E6148&lt;&gt;"",E6148&lt;&gt;"!!!"),"NEW","")))</f>
        <v> </v>
      </c>
      <c r="G6148" s="24" t="str">
        <f>IF(OR(E6148="",E6148="!!!"),"",IF(OR(J6148=0,AND(J6148=1,K6148=1),AND(J6148=1,I6148="SBJ"),AND(J6148=1,I6148=0)),"?IN_FOCUS",IF(J6148&lt;=2,"?ACTIVATED",IF(J6148&lt;&gt;"","?FAMILIAR",IF(F6148="NEW",IF(ISNA(VLOOKUP(E6148,#REF!,1,FALSE())),"?TYPE_IDENTIFIABLE","?REFERENTIAL"),"_")))))</f>
        <v> </v>
      </c>
      <c r="H6148" s="25" t="str">
        <f>IF(J6148&lt;&gt;1,"",IF(I6148="SBJ","CB","?"))</f>
        <v> </v>
      </c>
      <c r="I6148" s="26" t="str">
        <f>IF(OR(E6148="",E6148="!!!",F6148="NEW"),"",INDEX(B6147:B$2,-1+SUMPRODUCT(MAX(ROW(E6147:E$2)*(E6148=E6147:E$2)))))</f>
        <v> </v>
      </c>
      <c r="J6148" s="26" t="str">
        <f>IF(OR(E6148="",E6148="!!!",F6148="NEW"),"",COUNTBLANK(OFFSET(A$1,,,SUMPRODUCT(MAX(ROW(E$2:E6148)*(E6148=E$2:E6148)))))-COUNTBLANK(OFFSET(A$1,,,SUMPRODUCT(MAX(ROW(E$1:E6147)*(E2=E$1:E6147))))))</f>
        <v> </v>
      </c>
      <c r="K6148" s="26" t="str">
        <f>IF(OR(E6148="",E6148="!!!",F6148="NEW"),"",INDEX(J$1:J6147,SUMPRODUCT(MAX(ROW(E$1:E6147)*(E6148=E$1:E6147)))))</f>
        <v> </v>
      </c>
      <c r="L6148" s="27"/>
    </row>
    <row r="6149" spans="1:12">
      <c r="A6149" s="20" t="s">
        <v>1196</v>
      </c>
      <c r="B6149" s="21" t="s">
        <v>1095</v>
      </c>
      <c r="C6149" s="21" t="s">
        <v>1008</v>
      </c>
      <c r="D6149" s="21" t="s">
        <v>978</v>
      </c>
      <c r="E6149" s="22">
        <f>IF(D6149="?OLD","!!!","")</f>
        <v/>
      </c>
      <c r="F6149" s="23" t="str">
        <f>IF(OR(E6149="",E6149="!!!"),"",IF(NOT(ISNA(VLOOKUP(E6149,E$1:E6148,1,FALSE()))),"OLD",IF(AND(E6149&lt;&gt;"",E6149&lt;&gt;"!!!"),"NEW","")))</f>
        <v> </v>
      </c>
      <c r="G6149" s="24" t="str">
        <f>IF(OR(E6149="",E6149="!!!"),"",IF(OR(J6149=0,AND(J6149=1,K6149=1),AND(J6149=1,I6149="SBJ"),AND(J6149=1,I6149=0)),"?IN_FOCUS",IF(J6149&lt;=2,"?ACTIVATED",IF(J6149&lt;&gt;"","?FAMILIAR",IF(F6149="NEW",IF(ISNA(VLOOKUP(E6149,#REF!,1,FALSE())),"?TYPE_IDENTIFIABLE","?REFERENTIAL"),"_")))))</f>
        <v> </v>
      </c>
      <c r="H6149" s="25" t="str">
        <f>IF(J6149&lt;&gt;1,"",IF(I6149="SBJ","CB","?"))</f>
        <v> </v>
      </c>
      <c r="I6149" s="26" t="str">
        <f>IF(OR(E6149="",E6149="!!!",F6149="NEW"),"",INDEX(B6148:B$2,-1+SUMPRODUCT(MAX(ROW(E6148:E$2)*(E6149=E6148:E$2)))))</f>
        <v> </v>
      </c>
      <c r="J6149" s="26" t="str">
        <f>IF(OR(E6149="",E6149="!!!",F6149="NEW"),"",COUNTBLANK(OFFSET(A$1,,,SUMPRODUCT(MAX(ROW(E$2:E6149)*(E6149=E$2:E6149)))))-COUNTBLANK(OFFSET(A$1,,,SUMPRODUCT(MAX(ROW(E$1:E6148)*(E2=E$1:E6148))))))</f>
        <v> </v>
      </c>
      <c r="K6149" s="26" t="str">
        <f>IF(OR(E6149="",E6149="!!!",F6149="NEW"),"",INDEX(J$1:J6148,SUMPRODUCT(MAX(ROW(E$1:E6148)*(E6149=E$1:E6148)))))</f>
        <v> </v>
      </c>
      <c r="L6149" s="27"/>
    </row>
    <row r="6150" spans="1:12">
      <c r="A6150" s="20" t="s">
        <v>1067</v>
      </c>
      <c r="E6150" s="22">
        <f>IF(D6150="?OLD","!!!","")</f>
        <v/>
      </c>
      <c r="F6150" s="23" t="str">
        <f>IF(OR(E6150="",E6150="!!!"),"",IF(NOT(ISNA(VLOOKUP(E6150,E$1:E6149,1,FALSE()))),"OLD",IF(AND(E6150&lt;&gt;"",E6150&lt;&gt;"!!!"),"NEW","")))</f>
        <v> </v>
      </c>
      <c r="G6150" s="24" t="str">
        <f>IF(OR(E6150="",E6150="!!!"),"",IF(OR(J6150=0,AND(J6150=1,K6150=1),AND(J6150=1,I6150="SBJ"),AND(J6150=1,I6150=0)),"?IN_FOCUS",IF(J6150&lt;=2,"?ACTIVATED",IF(J6150&lt;&gt;"","?FAMILIAR",IF(F6150="NEW",IF(ISNA(VLOOKUP(E6150,#REF!,1,FALSE())),"?TYPE_IDENTIFIABLE","?REFERENTIAL"),"_")))))</f>
        <v> </v>
      </c>
      <c r="H6150" s="25" t="str">
        <f>IF(J6150&lt;&gt;1,"",IF(I6150="SBJ","CB","?"))</f>
        <v> </v>
      </c>
      <c r="I6150" s="26" t="str">
        <f>IF(OR(E6150="",E6150="!!!",F6150="NEW"),"",INDEX(B6149:B$2,-1+SUMPRODUCT(MAX(ROW(E6149:E$2)*(E6150=E6149:E$2)))))</f>
        <v> </v>
      </c>
      <c r="J6150" s="26" t="str">
        <f>IF(OR(E6150="",E6150="!!!",F6150="NEW"),"",COUNTBLANK(OFFSET(A$1,,,SUMPRODUCT(MAX(ROW(E$2:E6150)*(E6150=E$2:E6150)))))-COUNTBLANK(OFFSET(A$1,,,SUMPRODUCT(MAX(ROW(E$1:E6149)*(E2=E$1:E6149))))))</f>
        <v> </v>
      </c>
      <c r="K6150" s="26" t="str">
        <f>IF(OR(E6150="",E6150="!!!",F6150="NEW"),"",INDEX(J$1:J6149,SUMPRODUCT(MAX(ROW(E$1:E6149)*(E6150=E$1:E6149)))))</f>
        <v> </v>
      </c>
      <c r="L6150" s="27"/>
    </row>
    <row r="6151" spans="1:12">
      <c r="A6151" s="20" t="s">
        <v>1141</v>
      </c>
      <c r="B6151" s="21" t="s">
        <v>989</v>
      </c>
      <c r="C6151" s="21" t="s">
        <v>1008</v>
      </c>
      <c r="D6151" s="21" t="s">
        <v>978</v>
      </c>
      <c r="E6151" s="22">
        <f>IF(D6151="?OLD","!!!","")</f>
        <v/>
      </c>
      <c r="F6151" s="23" t="str">
        <f>IF(OR(E6151="",E6151="!!!"),"",IF(NOT(ISNA(VLOOKUP(E6151,E$1:E6150,1,FALSE()))),"OLD",IF(AND(E6151&lt;&gt;"",E6151&lt;&gt;"!!!"),"NEW","")))</f>
        <v> </v>
      </c>
      <c r="G6151" s="24" t="str">
        <f>IF(OR(E6151="",E6151="!!!"),"",IF(OR(J6151=0,AND(J6151=1,K6151=1),AND(J6151=1,I6151="SBJ"),AND(J6151=1,I6151=0)),"?IN_FOCUS",IF(J6151&lt;=2,"?ACTIVATED",IF(J6151&lt;&gt;"","?FAMILIAR",IF(F6151="NEW",IF(ISNA(VLOOKUP(E6151,#REF!,1,FALSE())),"?TYPE_IDENTIFIABLE","?REFERENTIAL"),"_")))))</f>
        <v> </v>
      </c>
      <c r="H6151" s="25" t="str">
        <f>IF(J6151&lt;&gt;1,"",IF(I6151="SBJ","CB","?"))</f>
        <v> </v>
      </c>
      <c r="I6151" s="26" t="str">
        <f>IF(OR(E6151="",E6151="!!!",F6151="NEW"),"",INDEX(B6150:B$2,-1+SUMPRODUCT(MAX(ROW(E6150:E$2)*(E6151=E6150:E$2)))))</f>
        <v> </v>
      </c>
      <c r="J6151" s="26" t="str">
        <f>IF(OR(E6151="",E6151="!!!",F6151="NEW"),"",COUNTBLANK(OFFSET(A$1,,,SUMPRODUCT(MAX(ROW(E$2:E6151)*(E6151=E$2:E6151)))))-COUNTBLANK(OFFSET(A$1,,,SUMPRODUCT(MAX(ROW(E$1:E6150)*(E2=E$1:E6150))))))</f>
        <v> </v>
      </c>
      <c r="K6151" s="26" t="str">
        <f>IF(OR(E6151="",E6151="!!!",F6151="NEW"),"",INDEX(J$1:J6150,SUMPRODUCT(MAX(ROW(E$1:E6150)*(E6151=E$1:E6150)))))</f>
        <v> </v>
      </c>
      <c r="L6151" s="27"/>
    </row>
    <row r="6152" spans="1:12">
      <c r="A6152" s="20" t="s">
        <v>1142</v>
      </c>
      <c r="B6152" s="21" t="s">
        <v>1066</v>
      </c>
      <c r="E6152" s="22">
        <f>IF(D6152="?OLD","!!!","")</f>
        <v/>
      </c>
      <c r="F6152" s="23" t="str">
        <f>IF(OR(E6152="",E6152="!!!"),"",IF(NOT(ISNA(VLOOKUP(E6152,E$1:E6151,1,FALSE()))),"OLD",IF(AND(E6152&lt;&gt;"",E6152&lt;&gt;"!!!"),"NEW","")))</f>
        <v> </v>
      </c>
      <c r="G6152" s="24" t="str">
        <f>IF(OR(E6152="",E6152="!!!"),"",IF(OR(J6152=0,AND(J6152=1,K6152=1),AND(J6152=1,I6152="SBJ"),AND(J6152=1,I6152=0)),"?IN_FOCUS",IF(J6152&lt;=2,"?ACTIVATED",IF(J6152&lt;&gt;"","?FAMILIAR",IF(F6152="NEW",IF(ISNA(VLOOKUP(E6152,#REF!,1,FALSE())),"?TYPE_IDENTIFIABLE","?REFERENTIAL"),"_")))))</f>
        <v> </v>
      </c>
      <c r="H6152" s="25" t="str">
        <f>IF(J6152&lt;&gt;1,"",IF(I6152="SBJ","CB","?"))</f>
        <v> </v>
      </c>
      <c r="I6152" s="26" t="str">
        <f>IF(OR(E6152="",E6152="!!!",F6152="NEW"),"",INDEX(B6151:B$2,-1+SUMPRODUCT(MAX(ROW(E6151:E$2)*(E6152=E6151:E$2)))))</f>
        <v> </v>
      </c>
      <c r="J6152" s="26" t="str">
        <f>IF(OR(E6152="",E6152="!!!",F6152="NEW"),"",COUNTBLANK(OFFSET(A$1,,,SUMPRODUCT(MAX(ROW(E$2:E6152)*(E6152=E$2:E6152)))))-COUNTBLANK(OFFSET(A$1,,,SUMPRODUCT(MAX(ROW(E$1:E6151)*(E2=E$1:E6151))))))</f>
        <v> </v>
      </c>
      <c r="K6152" s="26" t="str">
        <f>IF(OR(E6152="",E6152="!!!",F6152="NEW"),"",INDEX(J$1:J6151,SUMPRODUCT(MAX(ROW(E$1:E6151)*(E6152=E$1:E6151)))))</f>
        <v> </v>
      </c>
      <c r="L6152" s="27"/>
    </row>
    <row r="6153" spans="1:12">
      <c r="A6153" s="20" t="s">
        <v>1251</v>
      </c>
      <c r="E6153" s="22">
        <f>IF(D6153="?OLD","!!!","")</f>
        <v/>
      </c>
      <c r="F6153" s="23" t="str">
        <f>IF(OR(E6153="",E6153="!!!"),"",IF(NOT(ISNA(VLOOKUP(E6153,E$1:E6152,1,FALSE()))),"OLD",IF(AND(E6153&lt;&gt;"",E6153&lt;&gt;"!!!"),"NEW","")))</f>
        <v> </v>
      </c>
      <c r="G6153" s="24" t="str">
        <f>IF(OR(E6153="",E6153="!!!"),"",IF(OR(J6153=0,AND(J6153=1,K6153=1),AND(J6153=1,I6153="SBJ"),AND(J6153=1,I6153=0)),"?IN_FOCUS",IF(J6153&lt;=2,"?ACTIVATED",IF(J6153&lt;&gt;"","?FAMILIAR",IF(F6153="NEW",IF(ISNA(VLOOKUP(E6153,#REF!,1,FALSE())),"?TYPE_IDENTIFIABLE","?REFERENTIAL"),"_")))))</f>
        <v> </v>
      </c>
      <c r="H6153" s="25" t="str">
        <f>IF(J6153&lt;&gt;1,"",IF(I6153="SBJ","CB","?"))</f>
        <v> </v>
      </c>
      <c r="I6153" s="26" t="str">
        <f>IF(OR(E6153="",E6153="!!!",F6153="NEW"),"",INDEX(B6152:B$2,-1+SUMPRODUCT(MAX(ROW(E6152:E$2)*(E6153=E6152:E$2)))))</f>
        <v> </v>
      </c>
      <c r="J6153" s="26" t="str">
        <f>IF(OR(E6153="",E6153="!!!",F6153="NEW"),"",COUNTBLANK(OFFSET(A$1,,,SUMPRODUCT(MAX(ROW(E$2:E6153)*(E6153=E$2:E6153)))))-COUNTBLANK(OFFSET(A$1,,,SUMPRODUCT(MAX(ROW(E$1:E6152)*(E2=E$1:E6152))))))</f>
        <v> </v>
      </c>
      <c r="K6153" s="26" t="str">
        <f>IF(OR(E6153="",E6153="!!!",F6153="NEW"),"",INDEX(J$1:J6152,SUMPRODUCT(MAX(ROW(E$1:E6152)*(E6153=E$1:E6152)))))</f>
        <v> </v>
      </c>
      <c r="L6153" s="27"/>
    </row>
    <row r="6154" spans="1:12">
      <c r="A6154" s="20" t="s">
        <v>1004</v>
      </c>
      <c r="E6154" s="22">
        <f>IF(D6154="?OLD","!!!","")</f>
        <v/>
      </c>
      <c r="F6154" s="23" t="str">
        <f>IF(OR(E6154="",E6154="!!!"),"",IF(NOT(ISNA(VLOOKUP(E6154,E$1:E6153,1,FALSE()))),"OLD",IF(AND(E6154&lt;&gt;"",E6154&lt;&gt;"!!!"),"NEW","")))</f>
        <v> </v>
      </c>
      <c r="G6154" s="24" t="str">
        <f>IF(OR(E6154="",E6154="!!!"),"",IF(OR(J6154=0,AND(J6154=1,K6154=1),AND(J6154=1,I6154="SBJ"),AND(J6154=1,I6154=0)),"?IN_FOCUS",IF(J6154&lt;=2,"?ACTIVATED",IF(J6154&lt;&gt;"","?FAMILIAR",IF(F6154="NEW",IF(ISNA(VLOOKUP(E6154,#REF!,1,FALSE())),"?TYPE_IDENTIFIABLE","?REFERENTIAL"),"_")))))</f>
        <v> </v>
      </c>
      <c r="H6154" s="25" t="str">
        <f>IF(J6154&lt;&gt;1,"",IF(I6154="SBJ","CB","?"))</f>
        <v> </v>
      </c>
      <c r="I6154" s="26" t="str">
        <f>IF(OR(E6154="",E6154="!!!",F6154="NEW"),"",INDEX(B6153:B$2,-1+SUMPRODUCT(MAX(ROW(E6153:E$2)*(E6154=E6153:E$2)))))</f>
        <v> </v>
      </c>
      <c r="J6154" s="26" t="str">
        <f>IF(OR(E6154="",E6154="!!!",F6154="NEW"),"",COUNTBLANK(OFFSET(A$1,,,SUMPRODUCT(MAX(ROW(E$2:E6154)*(E6154=E$2:E6154)))))-COUNTBLANK(OFFSET(A$1,,,SUMPRODUCT(MAX(ROW(E$1:E6153)*(E2=E$1:E6153))))))</f>
        <v> </v>
      </c>
      <c r="K6154" s="26" t="str">
        <f>IF(OR(E6154="",E6154="!!!",F6154="NEW"),"",INDEX(J$1:J6153,SUMPRODUCT(MAX(ROW(E$1:E6153)*(E6154=E$1:E6153)))))</f>
        <v> </v>
      </c>
      <c r="L6154" s="27"/>
    </row>
    <row r="6155" spans="1:12">
      <c r="A6155" s="20" t="s">
        <v>2523</v>
      </c>
      <c r="E6155" s="22">
        <f>IF(D6155="?OLD","!!!","")</f>
        <v/>
      </c>
      <c r="F6155" s="23" t="str">
        <f>IF(OR(E6155="",E6155="!!!"),"",IF(NOT(ISNA(VLOOKUP(E6155,E$1:E6154,1,FALSE()))),"OLD",IF(AND(E6155&lt;&gt;"",E6155&lt;&gt;"!!!"),"NEW","")))</f>
        <v> </v>
      </c>
      <c r="G6155" s="24" t="str">
        <f>IF(OR(E6155="",E6155="!!!"),"",IF(OR(J6155=0,AND(J6155=1,K6155=1),AND(J6155=1,I6155="SBJ"),AND(J6155=1,I6155=0)),"?IN_FOCUS",IF(J6155&lt;=2,"?ACTIVATED",IF(J6155&lt;&gt;"","?FAMILIAR",IF(F6155="NEW",IF(ISNA(VLOOKUP(E6155,#REF!,1,FALSE())),"?TYPE_IDENTIFIABLE","?REFERENTIAL"),"_")))))</f>
        <v> </v>
      </c>
      <c r="H6155" s="25" t="str">
        <f>IF(J6155&lt;&gt;1,"",IF(I6155="SBJ","CB","?"))</f>
        <v> </v>
      </c>
      <c r="I6155" s="26" t="str">
        <f>IF(OR(E6155="",E6155="!!!",F6155="NEW"),"",INDEX(B6154:B$2,-1+SUMPRODUCT(MAX(ROW(E6154:E$2)*(E6155=E6154:E$2)))))</f>
        <v> </v>
      </c>
      <c r="J6155" s="26" t="str">
        <f>IF(OR(E6155="",E6155="!!!",F6155="NEW"),"",COUNTBLANK(OFFSET(A$1,,,SUMPRODUCT(MAX(ROW(E$2:E6155)*(E6155=E$2:E6155)))))-COUNTBLANK(OFFSET(A$1,,,SUMPRODUCT(MAX(ROW(E$1:E6154)*(E2=E$1:E6154))))))</f>
        <v> </v>
      </c>
      <c r="K6155" s="26" t="str">
        <f>IF(OR(E6155="",E6155="!!!",F6155="NEW"),"",INDEX(J$1:J6154,SUMPRODUCT(MAX(ROW(E$1:E6154)*(E6155=E$1:E6154)))))</f>
        <v> </v>
      </c>
      <c r="L6155" s="27"/>
    </row>
    <row r="6156" spans="1:12">
      <c r="A6156" s="20" t="s">
        <v>997</v>
      </c>
      <c r="E6156" s="22">
        <f>IF(D6156="?OLD","!!!","")</f>
        <v/>
      </c>
      <c r="F6156" s="23" t="str">
        <f>IF(OR(E6156="",E6156="!!!"),"",IF(NOT(ISNA(VLOOKUP(E6156,E$1:E6155,1,FALSE()))),"OLD",IF(AND(E6156&lt;&gt;"",E6156&lt;&gt;"!!!"),"NEW","")))</f>
        <v> </v>
      </c>
      <c r="G6156" s="24" t="str">
        <f>IF(OR(E6156="",E6156="!!!"),"",IF(OR(J6156=0,AND(J6156=1,K6156=1),AND(J6156=1,I6156="SBJ"),AND(J6156=1,I6156=0)),"?IN_FOCUS",IF(J6156&lt;=2,"?ACTIVATED",IF(J6156&lt;&gt;"","?FAMILIAR",IF(F6156="NEW",IF(ISNA(VLOOKUP(E6156,#REF!,1,FALSE())),"?TYPE_IDENTIFIABLE","?REFERENTIAL"),"_")))))</f>
        <v> </v>
      </c>
      <c r="H6156" s="25" t="str">
        <f>IF(J6156&lt;&gt;1,"",IF(I6156="SBJ","CB","?"))</f>
        <v> </v>
      </c>
      <c r="I6156" s="26" t="str">
        <f>IF(OR(E6156="",E6156="!!!",F6156="NEW"),"",INDEX(B6155:B$2,-1+SUMPRODUCT(MAX(ROW(E6155:E$2)*(E6156=E6155:E$2)))))</f>
        <v> </v>
      </c>
      <c r="J6156" s="26" t="str">
        <f>IF(OR(E6156="",E6156="!!!",F6156="NEW"),"",COUNTBLANK(OFFSET(A$1,,,SUMPRODUCT(MAX(ROW(E$2:E6156)*(E6156=E$2:E6156)))))-COUNTBLANK(OFFSET(A$1,,,SUMPRODUCT(MAX(ROW(E$1:E6155)*(E2=E$1:E6155))))))</f>
        <v> </v>
      </c>
      <c r="K6156" s="26" t="str">
        <f>IF(OR(E6156="",E6156="!!!",F6156="NEW"),"",INDEX(J$1:J6155,SUMPRODUCT(MAX(ROW(E$1:E6155)*(E6156=E$1:E6155)))))</f>
        <v> </v>
      </c>
      <c r="L6156" s="27"/>
    </row>
    <row r="6157" spans="1:12">
      <c r="A6157" s="20" t="s">
        <v>1219</v>
      </c>
      <c r="B6157" s="21" t="s">
        <v>1036</v>
      </c>
      <c r="C6157" s="21" t="s">
        <v>995</v>
      </c>
      <c r="D6157" s="21" t="s">
        <v>978</v>
      </c>
      <c r="E6157" s="22">
        <f>IF(D6157="?OLD","!!!","")</f>
        <v/>
      </c>
      <c r="F6157" s="23" t="str">
        <f>IF(OR(E6157="",E6157="!!!"),"",IF(NOT(ISNA(VLOOKUP(E6157,E$1:E6156,1,FALSE()))),"OLD",IF(AND(E6157&lt;&gt;"",E6157&lt;&gt;"!!!"),"NEW","")))</f>
        <v> </v>
      </c>
      <c r="G6157" s="24" t="str">
        <f>IF(OR(E6157="",E6157="!!!"),"",IF(OR(J6157=0,AND(J6157=1,K6157=1),AND(J6157=1,I6157="SBJ"),AND(J6157=1,I6157=0)),"?IN_FOCUS",IF(J6157&lt;=2,"?ACTIVATED",IF(J6157&lt;&gt;"","?FAMILIAR",IF(F6157="NEW",IF(ISNA(VLOOKUP(E6157,#REF!,1,FALSE())),"?TYPE_IDENTIFIABLE","?REFERENTIAL"),"_")))))</f>
        <v> </v>
      </c>
      <c r="H6157" s="25" t="str">
        <f>IF(J6157&lt;&gt;1,"",IF(I6157="SBJ","CB","?"))</f>
        <v> </v>
      </c>
      <c r="I6157" s="26" t="str">
        <f>IF(OR(E6157="",E6157="!!!",F6157="NEW"),"",INDEX(B6156:B$2,-1+SUMPRODUCT(MAX(ROW(E6156:E$2)*(E6157=E6156:E$2)))))</f>
        <v> </v>
      </c>
      <c r="J6157" s="26" t="str">
        <f>IF(OR(E6157="",E6157="!!!",F6157="NEW"),"",COUNTBLANK(OFFSET(A$1,,,SUMPRODUCT(MAX(ROW(E$2:E6157)*(E6157=E$2:E6157)))))-COUNTBLANK(OFFSET(A$1,,,SUMPRODUCT(MAX(ROW(E$1:E6156)*(E2=E$1:E6156))))))</f>
        <v> </v>
      </c>
      <c r="K6157" s="26" t="str">
        <f>IF(OR(E6157="",E6157="!!!",F6157="NEW"),"",INDEX(J$1:J6156,SUMPRODUCT(MAX(ROW(E$1:E6156)*(E6157=E$1:E6156)))))</f>
        <v> </v>
      </c>
      <c r="L6157" s="27"/>
    </row>
    <row r="6158" spans="1:12">
      <c r="A6158" s="20" t="s">
        <v>1009</v>
      </c>
      <c r="E6158" s="22">
        <f>IF(D6158="?OLD","!!!","")</f>
        <v/>
      </c>
      <c r="F6158" s="23" t="str">
        <f>IF(OR(E6158="",E6158="!!!"),"",IF(NOT(ISNA(VLOOKUP(E6158,E$1:E6157,1,FALSE()))),"OLD",IF(AND(E6158&lt;&gt;"",E6158&lt;&gt;"!!!"),"NEW","")))</f>
        <v> </v>
      </c>
      <c r="G6158" s="24" t="str">
        <f>IF(OR(E6158="",E6158="!!!"),"",IF(OR(J6158=0,AND(J6158=1,K6158=1),AND(J6158=1,I6158="SBJ"),AND(J6158=1,I6158=0)),"?IN_FOCUS",IF(J6158&lt;=2,"?ACTIVATED",IF(J6158&lt;&gt;"","?FAMILIAR",IF(F6158="NEW",IF(ISNA(VLOOKUP(E6158,#REF!,1,FALSE())),"?TYPE_IDENTIFIABLE","?REFERENTIAL"),"_")))))</f>
        <v> </v>
      </c>
      <c r="H6158" s="25" t="str">
        <f>IF(J6158&lt;&gt;1,"",IF(I6158="SBJ","CB","?"))</f>
        <v> </v>
      </c>
      <c r="I6158" s="26" t="str">
        <f>IF(OR(E6158="",E6158="!!!",F6158="NEW"),"",INDEX(B6157:B$2,-1+SUMPRODUCT(MAX(ROW(E6157:E$2)*(E6158=E6157:E$2)))))</f>
        <v> </v>
      </c>
      <c r="J6158" s="26" t="str">
        <f>IF(OR(E6158="",E6158="!!!",F6158="NEW"),"",COUNTBLANK(OFFSET(A$1,,,SUMPRODUCT(MAX(ROW(E$2:E6158)*(E6158=E$2:E6158)))))-COUNTBLANK(OFFSET(A$1,,,SUMPRODUCT(MAX(ROW(E$1:E6157)*(E2=E$1:E6157))))))</f>
        <v> </v>
      </c>
      <c r="K6158" s="26" t="str">
        <f>IF(OR(E6158="",E6158="!!!",F6158="NEW"),"",INDEX(J$1:J6157,SUMPRODUCT(MAX(ROW(E$1:E6157)*(E6158=E$1:E6157)))))</f>
        <v> </v>
      </c>
      <c r="L6158" s="27"/>
    </row>
    <row r="6159" spans="1:12">
      <c r="A6159" s="20" t="s">
        <v>1025</v>
      </c>
      <c r="B6159" s="21" t="s">
        <v>1311</v>
      </c>
      <c r="C6159" s="21" t="s">
        <v>977</v>
      </c>
      <c r="D6159" s="21" t="s">
        <v>978</v>
      </c>
      <c r="E6159" s="22">
        <f>IF(D6159="?OLD","!!!","")</f>
        <v/>
      </c>
      <c r="F6159" s="23" t="str">
        <f>IF(OR(E6159="",E6159="!!!"),"",IF(NOT(ISNA(VLOOKUP(E6159,E$1:E6158,1,FALSE()))),"OLD",IF(AND(E6159&lt;&gt;"",E6159&lt;&gt;"!!!"),"NEW","")))</f>
        <v> </v>
      </c>
      <c r="G6159" s="24" t="str">
        <f>IF(OR(E6159="",E6159="!!!"),"",IF(OR(J6159=0,AND(J6159=1,K6159=1),AND(J6159=1,I6159="SBJ"),AND(J6159=1,I6159=0)),"?IN_FOCUS",IF(J6159&lt;=2,"?ACTIVATED",IF(J6159&lt;&gt;"","?FAMILIAR",IF(F6159="NEW",IF(ISNA(VLOOKUP(E6159,#REF!,1,FALSE())),"?TYPE_IDENTIFIABLE","?REFERENTIAL"),"_")))))</f>
        <v> </v>
      </c>
      <c r="H6159" s="25" t="str">
        <f>IF(J6159&lt;&gt;1,"",IF(I6159="SBJ","CB","?"))</f>
        <v> </v>
      </c>
      <c r="I6159" s="26" t="str">
        <f>IF(OR(E6159="",E6159="!!!",F6159="NEW"),"",INDEX(B6158:B$2,-1+SUMPRODUCT(MAX(ROW(E6158:E$2)*(E6159=E6158:E$2)))))</f>
        <v> </v>
      </c>
      <c r="J6159" s="26" t="str">
        <f>IF(OR(E6159="",E6159="!!!",F6159="NEW"),"",COUNTBLANK(OFFSET(A$1,,,SUMPRODUCT(MAX(ROW(E$2:E6159)*(E6159=E$2:E6159)))))-COUNTBLANK(OFFSET(A$1,,,SUMPRODUCT(MAX(ROW(E$1:E6158)*(E2=E$1:E6158))))))</f>
        <v> </v>
      </c>
      <c r="K6159" s="26" t="str">
        <f>IF(OR(E6159="",E6159="!!!",F6159="NEW"),"",INDEX(J$1:J6158,SUMPRODUCT(MAX(ROW(E$1:E6158)*(E6159=E$1:E6158)))))</f>
        <v> </v>
      </c>
      <c r="L6159" s="27"/>
    </row>
    <row r="6160" spans="1:12">
      <c r="A6160" s="20" t="s">
        <v>2524</v>
      </c>
      <c r="E6160" s="22">
        <f>IF(D6160="?OLD","!!!","")</f>
        <v/>
      </c>
      <c r="F6160" s="23" t="str">
        <f>IF(OR(E6160="",E6160="!!!"),"",IF(NOT(ISNA(VLOOKUP(E6160,E$1:E6159,1,FALSE()))),"OLD",IF(AND(E6160&lt;&gt;"",E6160&lt;&gt;"!!!"),"NEW","")))</f>
        <v> </v>
      </c>
      <c r="G6160" s="24" t="str">
        <f>IF(OR(E6160="",E6160="!!!"),"",IF(OR(J6160=0,AND(J6160=1,K6160=1),AND(J6160=1,I6160="SBJ"),AND(J6160=1,I6160=0)),"?IN_FOCUS",IF(J6160&lt;=2,"?ACTIVATED",IF(J6160&lt;&gt;"","?FAMILIAR",IF(F6160="NEW",IF(ISNA(VLOOKUP(E6160,#REF!,1,FALSE())),"?TYPE_IDENTIFIABLE","?REFERENTIAL"),"_")))))</f>
        <v> </v>
      </c>
      <c r="H6160" s="25" t="str">
        <f>IF(J6160&lt;&gt;1,"",IF(I6160="SBJ","CB","?"))</f>
        <v> </v>
      </c>
      <c r="I6160" s="26" t="str">
        <f>IF(OR(E6160="",E6160="!!!",F6160="NEW"),"",INDEX(B6159:B$2,-1+SUMPRODUCT(MAX(ROW(E6159:E$2)*(E6160=E6159:E$2)))))</f>
        <v> </v>
      </c>
      <c r="J6160" s="26" t="str">
        <f>IF(OR(E6160="",E6160="!!!",F6160="NEW"),"",COUNTBLANK(OFFSET(A$1,,,SUMPRODUCT(MAX(ROW(E$2:E6160)*(E6160=E$2:E6160)))))-COUNTBLANK(OFFSET(A$1,,,SUMPRODUCT(MAX(ROW(E$1:E6159)*(E2=E$1:E6159))))))</f>
        <v> </v>
      </c>
      <c r="K6160" s="26" t="str">
        <f>IF(OR(E6160="",E6160="!!!",F6160="NEW"),"",INDEX(J$1:J6159,SUMPRODUCT(MAX(ROW(E$1:E6159)*(E6160=E$1:E6159)))))</f>
        <v> </v>
      </c>
      <c r="L6160" s="27"/>
    </row>
    <row r="6161" spans="1:12">
      <c r="A6161" s="20" t="s">
        <v>984</v>
      </c>
      <c r="E6161" s="22">
        <f>IF(D6161="?OLD","!!!","")</f>
        <v/>
      </c>
      <c r="F6161" s="23" t="str">
        <f>IF(OR(E6161="",E6161="!!!"),"",IF(NOT(ISNA(VLOOKUP(E6161,E$1:E6160,1,FALSE()))),"OLD",IF(AND(E6161&lt;&gt;"",E6161&lt;&gt;"!!!"),"NEW","")))</f>
        <v> </v>
      </c>
      <c r="G6161" s="24" t="str">
        <f>IF(OR(E6161="",E6161="!!!"),"",IF(OR(J6161=0,AND(J6161=1,K6161=1),AND(J6161=1,I6161="SBJ"),AND(J6161=1,I6161=0)),"?IN_FOCUS",IF(J6161&lt;=2,"?ACTIVATED",IF(J6161&lt;&gt;"","?FAMILIAR",IF(F6161="NEW",IF(ISNA(VLOOKUP(E6161,#REF!,1,FALSE())),"?TYPE_IDENTIFIABLE","?REFERENTIAL"),"_")))))</f>
        <v> </v>
      </c>
      <c r="H6161" s="25" t="str">
        <f>IF(J6161&lt;&gt;1,"",IF(I6161="SBJ","CB","?"))</f>
        <v> </v>
      </c>
      <c r="I6161" s="26" t="str">
        <f>IF(OR(E6161="",E6161="!!!",F6161="NEW"),"",INDEX(B6160:B$2,-1+SUMPRODUCT(MAX(ROW(E6160:E$2)*(E6161=E6160:E$2)))))</f>
        <v> </v>
      </c>
      <c r="J6161" s="26" t="str">
        <f>IF(OR(E6161="",E6161="!!!",F6161="NEW"),"",COUNTBLANK(OFFSET(A$1,,,SUMPRODUCT(MAX(ROW(E$2:E6161)*(E6161=E$2:E6161)))))-COUNTBLANK(OFFSET(A$1,,,SUMPRODUCT(MAX(ROW(E$1:E6160)*(E2=E$1:E6160))))))</f>
        <v> </v>
      </c>
      <c r="K6161" s="26" t="str">
        <f>IF(OR(E6161="",E6161="!!!",F6161="NEW"),"",INDEX(J$1:J6160,SUMPRODUCT(MAX(ROW(E$1:E6160)*(E6161=E$1:E6160)))))</f>
        <v> </v>
      </c>
      <c r="L6161" s="27"/>
    </row>
    <row r="6162" spans="1:12">
      <c r="A6162" s="20" t="s">
        <v>1689</v>
      </c>
      <c r="E6162" s="22">
        <f>IF(D6162="?OLD","!!!","")</f>
        <v/>
      </c>
      <c r="F6162" s="23" t="str">
        <f>IF(OR(E6162="",E6162="!!!"),"",IF(NOT(ISNA(VLOOKUP(E6162,E$1:E6161,1,FALSE()))),"OLD",IF(AND(E6162&lt;&gt;"",E6162&lt;&gt;"!!!"),"NEW","")))</f>
        <v> </v>
      </c>
      <c r="G6162" s="24" t="str">
        <f>IF(OR(E6162="",E6162="!!!"),"",IF(OR(J6162=0,AND(J6162=1,K6162=1),AND(J6162=1,I6162="SBJ"),AND(J6162=1,I6162=0)),"?IN_FOCUS",IF(J6162&lt;=2,"?ACTIVATED",IF(J6162&lt;&gt;"","?FAMILIAR",IF(F6162="NEW",IF(ISNA(VLOOKUP(E6162,#REF!,1,FALSE())),"?TYPE_IDENTIFIABLE","?REFERENTIAL"),"_")))))</f>
        <v> </v>
      </c>
      <c r="H6162" s="25" t="str">
        <f>IF(J6162&lt;&gt;1,"",IF(I6162="SBJ","CB","?"))</f>
        <v> </v>
      </c>
      <c r="I6162" s="26" t="str">
        <f>IF(OR(E6162="",E6162="!!!",F6162="NEW"),"",INDEX(B6161:B$2,-1+SUMPRODUCT(MAX(ROW(E6161:E$2)*(E6162=E6161:E$2)))))</f>
        <v> </v>
      </c>
      <c r="J6162" s="26" t="str">
        <f>IF(OR(E6162="",E6162="!!!",F6162="NEW"),"",COUNTBLANK(OFFSET(A$1,,,SUMPRODUCT(MAX(ROW(E$2:E6162)*(E6162=E$2:E6162)))))-COUNTBLANK(OFFSET(A$1,,,SUMPRODUCT(MAX(ROW(E$1:E6161)*(E2=E$1:E6161))))))</f>
        <v> </v>
      </c>
      <c r="K6162" s="26" t="str">
        <f>IF(OR(E6162="",E6162="!!!",F6162="NEW"),"",INDEX(J$1:J6161,SUMPRODUCT(MAX(ROW(E$1:E6161)*(E6162=E$1:E6161)))))</f>
        <v> </v>
      </c>
      <c r="L6162" s="27"/>
    </row>
    <row r="6163" spans="1:12">
      <c r="A6163" s="20" t="s">
        <v>1677</v>
      </c>
      <c r="B6163" s="21" t="s">
        <v>1040</v>
      </c>
      <c r="C6163" s="21" t="s">
        <v>1063</v>
      </c>
      <c r="D6163" s="21" t="s">
        <v>978</v>
      </c>
      <c r="E6163" s="22">
        <f>IF(D6163="?OLD","!!!","")</f>
        <v/>
      </c>
      <c r="F6163" s="23" t="str">
        <f>IF(OR(E6163="",E6163="!!!"),"",IF(NOT(ISNA(VLOOKUP(E6163,E$1:E6162,1,FALSE()))),"OLD",IF(AND(E6163&lt;&gt;"",E6163&lt;&gt;"!!!"),"NEW","")))</f>
        <v> </v>
      </c>
      <c r="G6163" s="24" t="str">
        <f>IF(OR(E6163="",E6163="!!!"),"",IF(OR(J6163=0,AND(J6163=1,K6163=1),AND(J6163=1,I6163="SBJ"),AND(J6163=1,I6163=0)),"?IN_FOCUS",IF(J6163&lt;=2,"?ACTIVATED",IF(J6163&lt;&gt;"","?FAMILIAR",IF(F6163="NEW",IF(ISNA(VLOOKUP(E6163,#REF!,1,FALSE())),"?TYPE_IDENTIFIABLE","?REFERENTIAL"),"_")))))</f>
        <v> </v>
      </c>
      <c r="H6163" s="25" t="str">
        <f>IF(J6163&lt;&gt;1,"",IF(I6163="SBJ","CB","?"))</f>
        <v> </v>
      </c>
      <c r="I6163" s="26" t="str">
        <f>IF(OR(E6163="",E6163="!!!",F6163="NEW"),"",INDEX(B6162:B$2,-1+SUMPRODUCT(MAX(ROW(E6162:E$2)*(E6163=E6162:E$2)))))</f>
        <v> </v>
      </c>
      <c r="J6163" s="26" t="str">
        <f>IF(OR(E6163="",E6163="!!!",F6163="NEW"),"",COUNTBLANK(OFFSET(A$1,,,SUMPRODUCT(MAX(ROW(E$2:E6163)*(E6163=E$2:E6163)))))-COUNTBLANK(OFFSET(A$1,,,SUMPRODUCT(MAX(ROW(E$1:E6162)*(E2=E$1:E6162))))))</f>
        <v> </v>
      </c>
      <c r="K6163" s="26" t="str">
        <f>IF(OR(E6163="",E6163="!!!",F6163="NEW"),"",INDEX(J$1:J6162,SUMPRODUCT(MAX(ROW(E$1:E6162)*(E6163=E$1:E6162)))))</f>
        <v> </v>
      </c>
      <c r="L6163" s="27"/>
    </row>
    <row r="6164" spans="1:12">
      <c r="A6164" s="20" t="s">
        <v>1022</v>
      </c>
      <c r="E6164" s="22">
        <f>IF(D6164="?OLD","!!!","")</f>
        <v/>
      </c>
      <c r="F6164" s="23" t="str">
        <f>IF(OR(E6164="",E6164="!!!"),"",IF(NOT(ISNA(VLOOKUP(E6164,E$1:E6163,1,FALSE()))),"OLD",IF(AND(E6164&lt;&gt;"",E6164&lt;&gt;"!!!"),"NEW","")))</f>
        <v> </v>
      </c>
      <c r="G6164" s="24" t="str">
        <f>IF(OR(E6164="",E6164="!!!"),"",IF(OR(J6164=0,AND(J6164=1,K6164=1),AND(J6164=1,I6164="SBJ"),AND(J6164=1,I6164=0)),"?IN_FOCUS",IF(J6164&lt;=2,"?ACTIVATED",IF(J6164&lt;&gt;"","?FAMILIAR",IF(F6164="NEW",IF(ISNA(VLOOKUP(E6164,#REF!,1,FALSE())),"?TYPE_IDENTIFIABLE","?REFERENTIAL"),"_")))))</f>
        <v> </v>
      </c>
      <c r="H6164" s="25" t="str">
        <f>IF(J6164&lt;&gt;1,"",IF(I6164="SBJ","CB","?"))</f>
        <v> </v>
      </c>
      <c r="I6164" s="26" t="str">
        <f>IF(OR(E6164="",E6164="!!!",F6164="NEW"),"",INDEX(B6163:B$2,-1+SUMPRODUCT(MAX(ROW(E6163:E$2)*(E6164=E6163:E$2)))))</f>
        <v> </v>
      </c>
      <c r="J6164" s="26" t="str">
        <f>IF(OR(E6164="",E6164="!!!",F6164="NEW"),"",COUNTBLANK(OFFSET(A$1,,,SUMPRODUCT(MAX(ROW(E$2:E6164)*(E6164=E$2:E6164)))))-COUNTBLANK(OFFSET(A$1,,,SUMPRODUCT(MAX(ROW(E$1:E6163)*(E2=E$1:E6163))))))</f>
        <v> </v>
      </c>
      <c r="K6164" s="26" t="str">
        <f>IF(OR(E6164="",E6164="!!!",F6164="NEW"),"",INDEX(J$1:J6163,SUMPRODUCT(MAX(ROW(E$1:E6163)*(E6164=E$1:E6163)))))</f>
        <v> </v>
      </c>
      <c r="L6164" s="27"/>
    </row>
    <row r="6165" spans="1:12">
      <c r="A6165" s="20"/>
    </row>
    <row r="6166" spans="1:12">
      <c r="A6166" s="20" t="s">
        <v>2525</v>
      </c>
    </row>
    <row r="6167" spans="1:12">
      <c r="A6167" s="20" t="s">
        <v>2526</v>
      </c>
      <c r="B6167" s="21" t="s">
        <v>976</v>
      </c>
      <c r="C6167" s="21" t="s">
        <v>1008</v>
      </c>
      <c r="D6167" s="21" t="s">
        <v>978</v>
      </c>
      <c r="E6167" s="22">
        <f>IF(D6167="?OLD","!!!","")</f>
        <v/>
      </c>
      <c r="F6167" s="23" t="str">
        <f>IF(OR(E6167="",E6167="!!!"),"",IF(NOT(ISNA(VLOOKUP(E6167,E$1:E6166,1,FALSE()))),"OLD",IF(AND(E6167&lt;&gt;"",E6167&lt;&gt;"!!!"),"NEW","")))</f>
        <v> </v>
      </c>
      <c r="G6167" s="24" t="str">
        <f>IF(OR(E6167="",E6167="!!!"),"",IF(OR(J6167=0,AND(J6167=1,K6167=1),AND(J6167=1,I6167="SBJ"),AND(J6167=1,I6167=0)),"?IN_FOCUS",IF(J6167&lt;=2,"?ACTIVATED",IF(J6167&lt;&gt;"","?FAMILIAR",IF(F6167="NEW",IF(ISNA(VLOOKUP(E6167,#REF!,1,FALSE())),"?TYPE_IDENTIFIABLE","?REFERENTIAL"),"_")))))</f>
        <v> </v>
      </c>
      <c r="H6167" s="25" t="str">
        <f>IF(J6167&lt;&gt;1,"",IF(I6167="SBJ","CB","?"))</f>
        <v> </v>
      </c>
      <c r="I6167" s="26" t="str">
        <f>IF(OR(E6167="",E6167="!!!",F6167="NEW"),"",INDEX(B6166:B$2,-1+SUMPRODUCT(MAX(ROW(E6166:E$2)*(E6167=E6166:E$2)))))</f>
        <v> </v>
      </c>
      <c r="J6167" s="26" t="str">
        <f>IF(OR(E6167="",E6167="!!!",F6167="NEW"),"",COUNTBLANK(OFFSET(A$1,,,SUMPRODUCT(MAX(ROW(E$2:E6167)*(E6167=E$2:E6167)))))-COUNTBLANK(OFFSET(A$1,,,SUMPRODUCT(MAX(ROW(E$1:E6166)*(E2=E$1:E6166))))))</f>
        <v> </v>
      </c>
      <c r="K6167" s="26" t="str">
        <f>IF(OR(E6167="",E6167="!!!",F6167="NEW"),"",INDEX(J$1:J6166,SUMPRODUCT(MAX(ROW(E$1:E6166)*(E6167=E$1:E6166)))))</f>
        <v> </v>
      </c>
      <c r="L6167" s="27"/>
    </row>
    <row r="6168" spans="1:12">
      <c r="A6168" s="20" t="s">
        <v>1142</v>
      </c>
      <c r="B6168" s="21" t="s">
        <v>1066</v>
      </c>
      <c r="E6168" s="22">
        <f>IF(D6168="?OLD","!!!","")</f>
        <v/>
      </c>
      <c r="F6168" s="23" t="str">
        <f>IF(OR(E6168="",E6168="!!!"),"",IF(NOT(ISNA(VLOOKUP(E6168,E$1:E6167,1,FALSE()))),"OLD",IF(AND(E6168&lt;&gt;"",E6168&lt;&gt;"!!!"),"NEW","")))</f>
        <v> </v>
      </c>
      <c r="G6168" s="24" t="str">
        <f>IF(OR(E6168="",E6168="!!!"),"",IF(OR(J6168=0,AND(J6168=1,K6168=1),AND(J6168=1,I6168="SBJ"),AND(J6168=1,I6168=0)),"?IN_FOCUS",IF(J6168&lt;=2,"?ACTIVATED",IF(J6168&lt;&gt;"","?FAMILIAR",IF(F6168="NEW",IF(ISNA(VLOOKUP(E6168,#REF!,1,FALSE())),"?TYPE_IDENTIFIABLE","?REFERENTIAL"),"_")))))</f>
        <v> </v>
      </c>
      <c r="H6168" s="25" t="str">
        <f>IF(J6168&lt;&gt;1,"",IF(I6168="SBJ","CB","?"))</f>
        <v> </v>
      </c>
      <c r="I6168" s="26" t="str">
        <f>IF(OR(E6168="",E6168="!!!",F6168="NEW"),"",INDEX(B6167:B$2,-1+SUMPRODUCT(MAX(ROW(E6167:E$2)*(E6168=E6167:E$2)))))</f>
        <v> </v>
      </c>
      <c r="J6168" s="26" t="str">
        <f>IF(OR(E6168="",E6168="!!!",F6168="NEW"),"",COUNTBLANK(OFFSET(A$1,,,SUMPRODUCT(MAX(ROW(E$2:E6168)*(E6168=E$2:E6168)))))-COUNTBLANK(OFFSET(A$1,,,SUMPRODUCT(MAX(ROW(E$1:E6167)*(E2=E$1:E6167))))))</f>
        <v> </v>
      </c>
      <c r="K6168" s="26" t="str">
        <f>IF(OR(E6168="",E6168="!!!",F6168="NEW"),"",INDEX(J$1:J6167,SUMPRODUCT(MAX(ROW(E$1:E6167)*(E6168=E$1:E6167)))))</f>
        <v> </v>
      </c>
      <c r="L6168" s="27"/>
    </row>
    <row r="6169" spans="1:12">
      <c r="A6169" s="20" t="s">
        <v>1251</v>
      </c>
      <c r="E6169" s="22">
        <f>IF(D6169="?OLD","!!!","")</f>
        <v/>
      </c>
      <c r="F6169" s="23" t="str">
        <f>IF(OR(E6169="",E6169="!!!"),"",IF(NOT(ISNA(VLOOKUP(E6169,E$1:E6168,1,FALSE()))),"OLD",IF(AND(E6169&lt;&gt;"",E6169&lt;&gt;"!!!"),"NEW","")))</f>
        <v> </v>
      </c>
      <c r="G6169" s="24" t="str">
        <f>IF(OR(E6169="",E6169="!!!"),"",IF(OR(J6169=0,AND(J6169=1,K6169=1),AND(J6169=1,I6169="SBJ"),AND(J6169=1,I6169=0)),"?IN_FOCUS",IF(J6169&lt;=2,"?ACTIVATED",IF(J6169&lt;&gt;"","?FAMILIAR",IF(F6169="NEW",IF(ISNA(VLOOKUP(E6169,#REF!,1,FALSE())),"?TYPE_IDENTIFIABLE","?REFERENTIAL"),"_")))))</f>
        <v> </v>
      </c>
      <c r="H6169" s="25" t="str">
        <f>IF(J6169&lt;&gt;1,"",IF(I6169="SBJ","CB","?"))</f>
        <v> </v>
      </c>
      <c r="I6169" s="26" t="str">
        <f>IF(OR(E6169="",E6169="!!!",F6169="NEW"),"",INDEX(B6168:B$2,-1+SUMPRODUCT(MAX(ROW(E6168:E$2)*(E6169=E6168:E$2)))))</f>
        <v> </v>
      </c>
      <c r="J6169" s="26" t="str">
        <f>IF(OR(E6169="",E6169="!!!",F6169="NEW"),"",COUNTBLANK(OFFSET(A$1,,,SUMPRODUCT(MAX(ROW(E$2:E6169)*(E6169=E$2:E6169)))))-COUNTBLANK(OFFSET(A$1,,,SUMPRODUCT(MAX(ROW(E$1:E6168)*(E2=E$1:E6168))))))</f>
        <v> </v>
      </c>
      <c r="K6169" s="26" t="str">
        <f>IF(OR(E6169="",E6169="!!!",F6169="NEW"),"",INDEX(J$1:J6168,SUMPRODUCT(MAX(ROW(E$1:E6168)*(E6169=E$1:E6168)))))</f>
        <v> </v>
      </c>
      <c r="L6169" s="27"/>
    </row>
    <row r="6170" spans="1:12">
      <c r="A6170" s="20" t="s">
        <v>1004</v>
      </c>
      <c r="E6170" s="22">
        <f>IF(D6170="?OLD","!!!","")</f>
        <v/>
      </c>
      <c r="F6170" s="23" t="str">
        <f>IF(OR(E6170="",E6170="!!!"),"",IF(NOT(ISNA(VLOOKUP(E6170,E$1:E6169,1,FALSE()))),"OLD",IF(AND(E6170&lt;&gt;"",E6170&lt;&gt;"!!!"),"NEW","")))</f>
        <v> </v>
      </c>
      <c r="G6170" s="24" t="str">
        <f>IF(OR(E6170="",E6170="!!!"),"",IF(OR(J6170=0,AND(J6170=1,K6170=1),AND(J6170=1,I6170="SBJ"),AND(J6170=1,I6170=0)),"?IN_FOCUS",IF(J6170&lt;=2,"?ACTIVATED",IF(J6170&lt;&gt;"","?FAMILIAR",IF(F6170="NEW",IF(ISNA(VLOOKUP(E6170,#REF!,1,FALSE())),"?TYPE_IDENTIFIABLE","?REFERENTIAL"),"_")))))</f>
        <v> </v>
      </c>
      <c r="H6170" s="25" t="str">
        <f>IF(J6170&lt;&gt;1,"",IF(I6170="SBJ","CB","?"))</f>
        <v> </v>
      </c>
      <c r="I6170" s="26" t="str">
        <f>IF(OR(E6170="",E6170="!!!",F6170="NEW"),"",INDEX(B6169:B$2,-1+SUMPRODUCT(MAX(ROW(E6169:E$2)*(E6170=E6169:E$2)))))</f>
        <v> </v>
      </c>
      <c r="J6170" s="26" t="str">
        <f>IF(OR(E6170="",E6170="!!!",F6170="NEW"),"",COUNTBLANK(OFFSET(A$1,,,SUMPRODUCT(MAX(ROW(E$2:E6170)*(E6170=E$2:E6170)))))-COUNTBLANK(OFFSET(A$1,,,SUMPRODUCT(MAX(ROW(E$1:E6169)*(E2=E$1:E6169))))))</f>
        <v> </v>
      </c>
      <c r="K6170" s="26" t="str">
        <f>IF(OR(E6170="",E6170="!!!",F6170="NEW"),"",INDEX(J$1:J6169,SUMPRODUCT(MAX(ROW(E$1:E6169)*(E6170=E$1:E6169)))))</f>
        <v> </v>
      </c>
      <c r="L6170" s="27"/>
    </row>
    <row r="6171" spans="1:12">
      <c r="A6171" s="20" t="s">
        <v>2523</v>
      </c>
      <c r="E6171" s="22">
        <f>IF(D6171="?OLD","!!!","")</f>
        <v/>
      </c>
      <c r="F6171" s="23" t="str">
        <f>IF(OR(E6171="",E6171="!!!"),"",IF(NOT(ISNA(VLOOKUP(E6171,E$1:E6170,1,FALSE()))),"OLD",IF(AND(E6171&lt;&gt;"",E6171&lt;&gt;"!!!"),"NEW","")))</f>
        <v> </v>
      </c>
      <c r="G6171" s="24" t="str">
        <f>IF(OR(E6171="",E6171="!!!"),"",IF(OR(J6171=0,AND(J6171=1,K6171=1),AND(J6171=1,I6171="SBJ"),AND(J6171=1,I6171=0)),"?IN_FOCUS",IF(J6171&lt;=2,"?ACTIVATED",IF(J6171&lt;&gt;"","?FAMILIAR",IF(F6171="NEW",IF(ISNA(VLOOKUP(E6171,#REF!,1,FALSE())),"?TYPE_IDENTIFIABLE","?REFERENTIAL"),"_")))))</f>
        <v> </v>
      </c>
      <c r="H6171" s="25" t="str">
        <f>IF(J6171&lt;&gt;1,"",IF(I6171="SBJ","CB","?"))</f>
        <v> </v>
      </c>
      <c r="I6171" s="26" t="str">
        <f>IF(OR(E6171="",E6171="!!!",F6171="NEW"),"",INDEX(B6170:B$2,-1+SUMPRODUCT(MAX(ROW(E6170:E$2)*(E6171=E6170:E$2)))))</f>
        <v> </v>
      </c>
      <c r="J6171" s="26" t="str">
        <f>IF(OR(E6171="",E6171="!!!",F6171="NEW"),"",COUNTBLANK(OFFSET(A$1,,,SUMPRODUCT(MAX(ROW(E$2:E6171)*(E6171=E$2:E6171)))))-COUNTBLANK(OFFSET(A$1,,,SUMPRODUCT(MAX(ROW(E$1:E6170)*(E2=E$1:E6170))))))</f>
        <v> </v>
      </c>
      <c r="K6171" s="26" t="str">
        <f>IF(OR(E6171="",E6171="!!!",F6171="NEW"),"",INDEX(J$1:J6170,SUMPRODUCT(MAX(ROW(E$1:E6170)*(E6171=E$1:E6170)))))</f>
        <v> </v>
      </c>
      <c r="L6171" s="27"/>
    </row>
    <row r="6172" spans="1:12">
      <c r="A6172" s="20" t="s">
        <v>1757</v>
      </c>
      <c r="B6172" s="21" t="s">
        <v>1084</v>
      </c>
      <c r="C6172" s="21" t="s">
        <v>987</v>
      </c>
      <c r="D6172" s="21" t="s">
        <v>978</v>
      </c>
      <c r="E6172" s="22">
        <f>IF(D6172="?OLD","!!!","")</f>
        <v/>
      </c>
      <c r="F6172" s="23" t="str">
        <f>IF(OR(E6172="",E6172="!!!"),"",IF(NOT(ISNA(VLOOKUP(E6172,E$1:E6171,1,FALSE()))),"OLD",IF(AND(E6172&lt;&gt;"",E6172&lt;&gt;"!!!"),"NEW","")))</f>
        <v> </v>
      </c>
      <c r="G6172" s="24" t="str">
        <f>IF(OR(E6172="",E6172="!!!"),"",IF(OR(J6172=0,AND(J6172=1,K6172=1),AND(J6172=1,I6172="SBJ"),AND(J6172=1,I6172=0)),"?IN_FOCUS",IF(J6172&lt;=2,"?ACTIVATED",IF(J6172&lt;&gt;"","?FAMILIAR",IF(F6172="NEW",IF(ISNA(VLOOKUP(E6172,#REF!,1,FALSE())),"?TYPE_IDENTIFIABLE","?REFERENTIAL"),"_")))))</f>
        <v> </v>
      </c>
      <c r="H6172" s="25" t="str">
        <f>IF(J6172&lt;&gt;1,"",IF(I6172="SBJ","CB","?"))</f>
        <v> </v>
      </c>
      <c r="I6172" s="26" t="str">
        <f>IF(OR(E6172="",E6172="!!!",F6172="NEW"),"",INDEX(B6171:B$2,-1+SUMPRODUCT(MAX(ROW(E6171:E$2)*(E6172=E6171:E$2)))))</f>
        <v> </v>
      </c>
      <c r="J6172" s="26" t="str">
        <f>IF(OR(E6172="",E6172="!!!",F6172="NEW"),"",COUNTBLANK(OFFSET(A$1,,,SUMPRODUCT(MAX(ROW(E$2:E6172)*(E6172=E$2:E6172)))))-COUNTBLANK(OFFSET(A$1,,,SUMPRODUCT(MAX(ROW(E$1:E6171)*(E2=E$1:E6171))))))</f>
        <v> </v>
      </c>
      <c r="K6172" s="26" t="str">
        <f>IF(OR(E6172="",E6172="!!!",F6172="NEW"),"",INDEX(J$1:J6171,SUMPRODUCT(MAX(ROW(E$1:E6171)*(E6172=E$1:E6171)))))</f>
        <v> </v>
      </c>
      <c r="L6172" s="27"/>
    </row>
    <row r="6173" spans="1:12">
      <c r="A6173" s="20" t="s">
        <v>1111</v>
      </c>
      <c r="B6173" s="21" t="s">
        <v>1036</v>
      </c>
      <c r="C6173" s="21" t="s">
        <v>990</v>
      </c>
      <c r="D6173" s="21" t="s">
        <v>978</v>
      </c>
      <c r="E6173" s="22">
        <f>IF(D6173="?OLD","!!!","")</f>
        <v/>
      </c>
      <c r="F6173" s="23" t="str">
        <f>IF(OR(E6173="",E6173="!!!"),"",IF(NOT(ISNA(VLOOKUP(E6173,E$1:E6172,1,FALSE()))),"OLD",IF(AND(E6173&lt;&gt;"",E6173&lt;&gt;"!!!"),"NEW","")))</f>
        <v> </v>
      </c>
      <c r="G6173" s="24" t="str">
        <f>IF(OR(E6173="",E6173="!!!"),"",IF(OR(J6173=0,AND(J6173=1,K6173=1),AND(J6173=1,I6173="SBJ"),AND(J6173=1,I6173=0)),"?IN_FOCUS",IF(J6173&lt;=2,"?ACTIVATED",IF(J6173&lt;&gt;"","?FAMILIAR",IF(F6173="NEW",IF(ISNA(VLOOKUP(E6173,#REF!,1,FALSE())),"?TYPE_IDENTIFIABLE","?REFERENTIAL"),"_")))))</f>
        <v> </v>
      </c>
      <c r="H6173" s="25" t="str">
        <f>IF(J6173&lt;&gt;1,"",IF(I6173="SBJ","CB","?"))</f>
        <v> </v>
      </c>
      <c r="I6173" s="26" t="str">
        <f>IF(OR(E6173="",E6173="!!!",F6173="NEW"),"",INDEX(B6172:B$2,-1+SUMPRODUCT(MAX(ROW(E6172:E$2)*(E6173=E6172:E$2)))))</f>
        <v> </v>
      </c>
      <c r="J6173" s="26" t="str">
        <f>IF(OR(E6173="",E6173="!!!",F6173="NEW"),"",COUNTBLANK(OFFSET(A$1,,,SUMPRODUCT(MAX(ROW(E$2:E6173)*(E6173=E$2:E6173)))))-COUNTBLANK(OFFSET(A$1,,,SUMPRODUCT(MAX(ROW(E$1:E6172)*(E2=E$1:E6172))))))</f>
        <v> </v>
      </c>
      <c r="K6173" s="26" t="str">
        <f>IF(OR(E6173="",E6173="!!!",F6173="NEW"),"",INDEX(J$1:J6172,SUMPRODUCT(MAX(ROW(E$1:E6172)*(E6173=E$1:E6172)))))</f>
        <v> </v>
      </c>
      <c r="L6173" s="27"/>
    </row>
    <row r="6174" spans="1:12">
      <c r="A6174" s="20" t="s">
        <v>1478</v>
      </c>
      <c r="E6174" s="22">
        <f>IF(D6174="?OLD","!!!","")</f>
        <v/>
      </c>
      <c r="F6174" s="23" t="str">
        <f>IF(OR(E6174="",E6174="!!!"),"",IF(NOT(ISNA(VLOOKUP(E6174,E$1:E6173,1,FALSE()))),"OLD",IF(AND(E6174&lt;&gt;"",E6174&lt;&gt;"!!!"),"NEW","")))</f>
        <v> </v>
      </c>
      <c r="G6174" s="24" t="str">
        <f>IF(OR(E6174="",E6174="!!!"),"",IF(OR(J6174=0,AND(J6174=1,K6174=1),AND(J6174=1,I6174="SBJ"),AND(J6174=1,I6174=0)),"?IN_FOCUS",IF(J6174&lt;=2,"?ACTIVATED",IF(J6174&lt;&gt;"","?FAMILIAR",IF(F6174="NEW",IF(ISNA(VLOOKUP(E6174,#REF!,1,FALSE())),"?TYPE_IDENTIFIABLE","?REFERENTIAL"),"_")))))</f>
        <v> </v>
      </c>
      <c r="H6174" s="25" t="str">
        <f>IF(J6174&lt;&gt;1,"",IF(I6174="SBJ","CB","?"))</f>
        <v> </v>
      </c>
      <c r="I6174" s="26" t="str">
        <f>IF(OR(E6174="",E6174="!!!",F6174="NEW"),"",INDEX(B6173:B$2,-1+SUMPRODUCT(MAX(ROW(E6173:E$2)*(E6174=E6173:E$2)))))</f>
        <v> </v>
      </c>
      <c r="J6174" s="26" t="str">
        <f>IF(OR(E6174="",E6174="!!!",F6174="NEW"),"",COUNTBLANK(OFFSET(A$1,,,SUMPRODUCT(MAX(ROW(E$2:E6174)*(E6174=E$2:E6174)))))-COUNTBLANK(OFFSET(A$1,,,SUMPRODUCT(MAX(ROW(E$1:E6173)*(E2=E$1:E6173))))))</f>
        <v> </v>
      </c>
      <c r="K6174" s="26" t="str">
        <f>IF(OR(E6174="",E6174="!!!",F6174="NEW"),"",INDEX(J$1:J6173,SUMPRODUCT(MAX(ROW(E$1:E6173)*(E6174=E$1:E6173)))))</f>
        <v> </v>
      </c>
      <c r="L6174" s="27"/>
    </row>
    <row r="6175" spans="1:12">
      <c r="A6175" s="20" t="s">
        <v>1141</v>
      </c>
      <c r="B6175" s="21" t="s">
        <v>989</v>
      </c>
      <c r="C6175" s="21" t="s">
        <v>1008</v>
      </c>
      <c r="D6175" s="21" t="s">
        <v>978</v>
      </c>
      <c r="E6175" s="22">
        <f>IF(D6175="?OLD","!!!","")</f>
        <v/>
      </c>
      <c r="F6175" s="23" t="str">
        <f>IF(OR(E6175="",E6175="!!!"),"",IF(NOT(ISNA(VLOOKUP(E6175,E$1:E6174,1,FALSE()))),"OLD",IF(AND(E6175&lt;&gt;"",E6175&lt;&gt;"!!!"),"NEW","")))</f>
        <v> </v>
      </c>
      <c r="G6175" s="24" t="str">
        <f>IF(OR(E6175="",E6175="!!!"),"",IF(OR(J6175=0,AND(J6175=1,K6175=1),AND(J6175=1,I6175="SBJ"),AND(J6175=1,I6175=0)),"?IN_FOCUS",IF(J6175&lt;=2,"?ACTIVATED",IF(J6175&lt;&gt;"","?FAMILIAR",IF(F6175="NEW",IF(ISNA(VLOOKUP(E6175,#REF!,1,FALSE())),"?TYPE_IDENTIFIABLE","?REFERENTIAL"),"_")))))</f>
        <v> </v>
      </c>
      <c r="H6175" s="25" t="str">
        <f>IF(J6175&lt;&gt;1,"",IF(I6175="SBJ","CB","?"))</f>
        <v> </v>
      </c>
      <c r="I6175" s="26" t="str">
        <f>IF(OR(E6175="",E6175="!!!",F6175="NEW"),"",INDEX(B6174:B$2,-1+SUMPRODUCT(MAX(ROW(E6174:E$2)*(E6175=E6174:E$2)))))</f>
        <v> </v>
      </c>
      <c r="J6175" s="26" t="str">
        <f>IF(OR(E6175="",E6175="!!!",F6175="NEW"),"",COUNTBLANK(OFFSET(A$1,,,SUMPRODUCT(MAX(ROW(E$2:E6175)*(E6175=E$2:E6175)))))-COUNTBLANK(OFFSET(A$1,,,SUMPRODUCT(MAX(ROW(E$1:E6174)*(E2=E$1:E6174))))))</f>
        <v> </v>
      </c>
      <c r="K6175" s="26" t="str">
        <f>IF(OR(E6175="",E6175="!!!",F6175="NEW"),"",INDEX(J$1:J6174,SUMPRODUCT(MAX(ROW(E$1:E6174)*(E6175=E$1:E6174)))))</f>
        <v> </v>
      </c>
      <c r="L6175" s="27"/>
    </row>
    <row r="6176" spans="1:12">
      <c r="A6176" s="20" t="s">
        <v>1142</v>
      </c>
      <c r="B6176" s="21" t="s">
        <v>1095</v>
      </c>
      <c r="E6176" s="22">
        <f>IF(D6176="?OLD","!!!","")</f>
        <v/>
      </c>
      <c r="F6176" s="23" t="str">
        <f>IF(OR(E6176="",E6176="!!!"),"",IF(NOT(ISNA(VLOOKUP(E6176,E$1:E6175,1,FALSE()))),"OLD",IF(AND(E6176&lt;&gt;"",E6176&lt;&gt;"!!!"),"NEW","")))</f>
        <v> </v>
      </c>
      <c r="G6176" s="24" t="str">
        <f>IF(OR(E6176="",E6176="!!!"),"",IF(OR(J6176=0,AND(J6176=1,K6176=1),AND(J6176=1,I6176="SBJ"),AND(J6176=1,I6176=0)),"?IN_FOCUS",IF(J6176&lt;=2,"?ACTIVATED",IF(J6176&lt;&gt;"","?FAMILIAR",IF(F6176="NEW",IF(ISNA(VLOOKUP(E6176,#REF!,1,FALSE())),"?TYPE_IDENTIFIABLE","?REFERENTIAL"),"_")))))</f>
        <v> </v>
      </c>
      <c r="H6176" s="25" t="str">
        <f>IF(J6176&lt;&gt;1,"",IF(I6176="SBJ","CB","?"))</f>
        <v> </v>
      </c>
      <c r="I6176" s="26" t="str">
        <f>IF(OR(E6176="",E6176="!!!",F6176="NEW"),"",INDEX(B6175:B$2,-1+SUMPRODUCT(MAX(ROW(E6175:E$2)*(E6176=E6175:E$2)))))</f>
        <v> </v>
      </c>
      <c r="J6176" s="26" t="str">
        <f>IF(OR(E6176="",E6176="!!!",F6176="NEW"),"",COUNTBLANK(OFFSET(A$1,,,SUMPRODUCT(MAX(ROW(E$2:E6176)*(E6176=E$2:E6176)))))-COUNTBLANK(OFFSET(A$1,,,SUMPRODUCT(MAX(ROW(E$1:E6175)*(E2=E$1:E6175))))))</f>
        <v> </v>
      </c>
      <c r="K6176" s="26" t="str">
        <f>IF(OR(E6176="",E6176="!!!",F6176="NEW"),"",INDEX(J$1:J6175,SUMPRODUCT(MAX(ROW(E$1:E6175)*(E6176=E$1:E6175)))))</f>
        <v> </v>
      </c>
      <c r="L6176" s="27"/>
    </row>
    <row r="6177" spans="1:12">
      <c r="A6177" s="20" t="s">
        <v>2527</v>
      </c>
      <c r="E6177" s="22">
        <f>IF(D6177="?OLD","!!!","")</f>
        <v/>
      </c>
      <c r="F6177" s="23" t="str">
        <f>IF(OR(E6177="",E6177="!!!"),"",IF(NOT(ISNA(VLOOKUP(E6177,E$1:E6176,1,FALSE()))),"OLD",IF(AND(E6177&lt;&gt;"",E6177&lt;&gt;"!!!"),"NEW","")))</f>
        <v> </v>
      </c>
      <c r="G6177" s="24" t="str">
        <f>IF(OR(E6177="",E6177="!!!"),"",IF(OR(J6177=0,AND(J6177=1,K6177=1),AND(J6177=1,I6177="SBJ"),AND(J6177=1,I6177=0)),"?IN_FOCUS",IF(J6177&lt;=2,"?ACTIVATED",IF(J6177&lt;&gt;"","?FAMILIAR",IF(F6177="NEW",IF(ISNA(VLOOKUP(E6177,#REF!,1,FALSE())),"?TYPE_IDENTIFIABLE","?REFERENTIAL"),"_")))))</f>
        <v> </v>
      </c>
      <c r="H6177" s="25" t="str">
        <f>IF(J6177&lt;&gt;1,"",IF(I6177="SBJ","CB","?"))</f>
        <v> </v>
      </c>
      <c r="I6177" s="26" t="str">
        <f>IF(OR(E6177="",E6177="!!!",F6177="NEW"),"",INDEX(B6176:B$2,-1+SUMPRODUCT(MAX(ROW(E6176:E$2)*(E6177=E6176:E$2)))))</f>
        <v> </v>
      </c>
      <c r="J6177" s="26" t="str">
        <f>IF(OR(E6177="",E6177="!!!",F6177="NEW"),"",COUNTBLANK(OFFSET(A$1,,,SUMPRODUCT(MAX(ROW(E$2:E6177)*(E6177=E$2:E6177)))))-COUNTBLANK(OFFSET(A$1,,,SUMPRODUCT(MAX(ROW(E$1:E6176)*(E2=E$1:E6176))))))</f>
        <v> </v>
      </c>
      <c r="K6177" s="26" t="str">
        <f>IF(OR(E6177="",E6177="!!!",F6177="NEW"),"",INDEX(J$1:J6176,SUMPRODUCT(MAX(ROW(E$1:E6176)*(E6177=E$1:E6176)))))</f>
        <v> </v>
      </c>
      <c r="L6177" s="27"/>
    </row>
    <row r="6178" spans="1:12">
      <c r="A6178" s="20" t="s">
        <v>1092</v>
      </c>
      <c r="E6178" s="22">
        <f>IF(D6178="?OLD","!!!","")</f>
        <v/>
      </c>
      <c r="F6178" s="23" t="str">
        <f>IF(OR(E6178="",E6178="!!!"),"",IF(NOT(ISNA(VLOOKUP(E6178,E$1:E6177,1,FALSE()))),"OLD",IF(AND(E6178&lt;&gt;"",E6178&lt;&gt;"!!!"),"NEW","")))</f>
        <v> </v>
      </c>
      <c r="G6178" s="24" t="str">
        <f>IF(OR(E6178="",E6178="!!!"),"",IF(OR(J6178=0,AND(J6178=1,K6178=1),AND(J6178=1,I6178="SBJ"),AND(J6178=1,I6178=0)),"?IN_FOCUS",IF(J6178&lt;=2,"?ACTIVATED",IF(J6178&lt;&gt;"","?FAMILIAR",IF(F6178="NEW",IF(ISNA(VLOOKUP(E6178,#REF!,1,FALSE())),"?TYPE_IDENTIFIABLE","?REFERENTIAL"),"_")))))</f>
        <v> </v>
      </c>
      <c r="H6178" s="25" t="str">
        <f>IF(J6178&lt;&gt;1,"",IF(I6178="SBJ","CB","?"))</f>
        <v> </v>
      </c>
      <c r="I6178" s="26" t="str">
        <f>IF(OR(E6178="",E6178="!!!",F6178="NEW"),"",INDEX(B6177:B$2,-1+SUMPRODUCT(MAX(ROW(E6177:E$2)*(E6178=E6177:E$2)))))</f>
        <v> </v>
      </c>
      <c r="J6178" s="26" t="str">
        <f>IF(OR(E6178="",E6178="!!!",F6178="NEW"),"",COUNTBLANK(OFFSET(A$1,,,SUMPRODUCT(MAX(ROW(E$2:E6178)*(E6178=E$2:E6178)))))-COUNTBLANK(OFFSET(A$1,,,SUMPRODUCT(MAX(ROW(E$1:E6177)*(E2=E$1:E6177))))))</f>
        <v> </v>
      </c>
      <c r="K6178" s="26" t="str">
        <f>IF(OR(E6178="",E6178="!!!",F6178="NEW"),"",INDEX(J$1:J6177,SUMPRODUCT(MAX(ROW(E$1:E6177)*(E6178=E$1:E6177)))))</f>
        <v> </v>
      </c>
      <c r="L6178" s="27"/>
    </row>
    <row r="6179" spans="1:12">
      <c r="A6179" s="20" t="s">
        <v>2504</v>
      </c>
      <c r="B6179" s="21" t="s">
        <v>1052</v>
      </c>
      <c r="C6179" s="21" t="s">
        <v>995</v>
      </c>
      <c r="D6179" s="21" t="s">
        <v>978</v>
      </c>
      <c r="E6179" s="22">
        <f>IF(D6179="?OLD","!!!","")</f>
        <v/>
      </c>
      <c r="F6179" s="23" t="str">
        <f>IF(OR(E6179="",E6179="!!!"),"",IF(NOT(ISNA(VLOOKUP(E6179,E$1:E6178,1,FALSE()))),"OLD",IF(AND(E6179&lt;&gt;"",E6179&lt;&gt;"!!!"),"NEW","")))</f>
        <v> </v>
      </c>
      <c r="G6179" s="24" t="str">
        <f>IF(OR(E6179="",E6179="!!!"),"",IF(OR(J6179=0,AND(J6179=1,K6179=1),AND(J6179=1,I6179="SBJ"),AND(J6179=1,I6179=0)),"?IN_FOCUS",IF(J6179&lt;=2,"?ACTIVATED",IF(J6179&lt;&gt;"","?FAMILIAR",IF(F6179="NEW",IF(ISNA(VLOOKUP(E6179,#REF!,1,FALSE())),"?TYPE_IDENTIFIABLE","?REFERENTIAL"),"_")))))</f>
        <v> </v>
      </c>
      <c r="H6179" s="25" t="str">
        <f>IF(J6179&lt;&gt;1,"",IF(I6179="SBJ","CB","?"))</f>
        <v> </v>
      </c>
      <c r="I6179" s="26" t="str">
        <f>IF(OR(E6179="",E6179="!!!",F6179="NEW"),"",INDEX(B6178:B$2,-1+SUMPRODUCT(MAX(ROW(E6178:E$2)*(E6179=E6178:E$2)))))</f>
        <v> </v>
      </c>
      <c r="J6179" s="26" t="str">
        <f>IF(OR(E6179="",E6179="!!!",F6179="NEW"),"",COUNTBLANK(OFFSET(A$1,,,SUMPRODUCT(MAX(ROW(E$2:E6179)*(E6179=E$2:E6179)))))-COUNTBLANK(OFFSET(A$1,,,SUMPRODUCT(MAX(ROW(E$1:E6178)*(E2=E$1:E6178))))))</f>
        <v> </v>
      </c>
      <c r="K6179" s="26" t="str">
        <f>IF(OR(E6179="",E6179="!!!",F6179="NEW"),"",INDEX(J$1:J6178,SUMPRODUCT(MAX(ROW(E$1:E6178)*(E6179=E$1:E6178)))))</f>
        <v> </v>
      </c>
      <c r="L6179" s="27"/>
    </row>
    <row r="6180" spans="1:12">
      <c r="A6180" s="20" t="s">
        <v>1022</v>
      </c>
      <c r="E6180" s="22">
        <f>IF(D6180="?OLD","!!!","")</f>
        <v/>
      </c>
      <c r="F6180" s="23" t="str">
        <f>IF(OR(E6180="",E6180="!!!"),"",IF(NOT(ISNA(VLOOKUP(E6180,E$1:E6179,1,FALSE()))),"OLD",IF(AND(E6180&lt;&gt;"",E6180&lt;&gt;"!!!"),"NEW","")))</f>
        <v> </v>
      </c>
      <c r="G6180" s="24" t="str">
        <f>IF(OR(E6180="",E6180="!!!"),"",IF(OR(J6180=0,AND(J6180=1,K6180=1),AND(J6180=1,I6180="SBJ"),AND(J6180=1,I6180=0)),"?IN_FOCUS",IF(J6180&lt;=2,"?ACTIVATED",IF(J6180&lt;&gt;"","?FAMILIAR",IF(F6180="NEW",IF(ISNA(VLOOKUP(E6180,#REF!,1,FALSE())),"?TYPE_IDENTIFIABLE","?REFERENTIAL"),"_")))))</f>
        <v> </v>
      </c>
      <c r="H6180" s="25" t="str">
        <f>IF(J6180&lt;&gt;1,"",IF(I6180="SBJ","CB","?"))</f>
        <v> </v>
      </c>
      <c r="I6180" s="26" t="str">
        <f>IF(OR(E6180="",E6180="!!!",F6180="NEW"),"",INDEX(B6179:B$2,-1+SUMPRODUCT(MAX(ROW(E6179:E$2)*(E6180=E6179:E$2)))))</f>
        <v> </v>
      </c>
      <c r="J6180" s="26" t="str">
        <f>IF(OR(E6180="",E6180="!!!",F6180="NEW"),"",COUNTBLANK(OFFSET(A$1,,,SUMPRODUCT(MAX(ROW(E$2:E6180)*(E6180=E$2:E6180)))))-COUNTBLANK(OFFSET(A$1,,,SUMPRODUCT(MAX(ROW(E$1:E6179)*(E2=E$1:E6179))))))</f>
        <v> </v>
      </c>
      <c r="K6180" s="26" t="str">
        <f>IF(OR(E6180="",E6180="!!!",F6180="NEW"),"",INDEX(J$1:J6179,SUMPRODUCT(MAX(ROW(E$1:E6179)*(E6180=E$1:E6179)))))</f>
        <v> </v>
      </c>
      <c r="L6180" s="27"/>
    </row>
    <row r="6181" spans="1:12">
      <c r="A6181" s="20"/>
    </row>
    <row r="6182" spans="1:12">
      <c r="A6182" s="20" t="s">
        <v>2528</v>
      </c>
    </row>
    <row r="6183" spans="1:12">
      <c r="A6183" s="20" t="s">
        <v>1594</v>
      </c>
      <c r="E6183" s="22">
        <f>IF(D6183="?OLD","!!!","")</f>
        <v/>
      </c>
      <c r="F6183" s="23" t="str">
        <f>IF(OR(E6183="",E6183="!!!"),"",IF(NOT(ISNA(VLOOKUP(E6183,E$1:E6182,1,FALSE()))),"OLD",IF(AND(E6183&lt;&gt;"",E6183&lt;&gt;"!!!"),"NEW","")))</f>
        <v> </v>
      </c>
      <c r="G6183" s="24" t="str">
        <f>IF(OR(E6183="",E6183="!!!"),"",IF(OR(J6183=0,AND(J6183=1,K6183=1),AND(J6183=1,I6183="SBJ"),AND(J6183=1,I6183=0)),"?IN_FOCUS",IF(J6183&lt;=2,"?ACTIVATED",IF(J6183&lt;&gt;"","?FAMILIAR",IF(F6183="NEW",IF(ISNA(VLOOKUP(E6183,#REF!,1,FALSE())),"?TYPE_IDENTIFIABLE","?REFERENTIAL"),"_")))))</f>
        <v> </v>
      </c>
      <c r="H6183" s="25" t="str">
        <f>IF(J6183&lt;&gt;1,"",IF(I6183="SBJ","CB","?"))</f>
        <v> </v>
      </c>
      <c r="I6183" s="26" t="str">
        <f>IF(OR(E6183="",E6183="!!!",F6183="NEW"),"",INDEX(B6182:B$2,-1+SUMPRODUCT(MAX(ROW(E6182:E$2)*(E6183=E6182:E$2)))))</f>
        <v> </v>
      </c>
      <c r="J6183" s="26" t="str">
        <f>IF(OR(E6183="",E6183="!!!",F6183="NEW"),"",COUNTBLANK(OFFSET(A$1,,,SUMPRODUCT(MAX(ROW(E$2:E6183)*(E6183=E$2:E6183)))))-COUNTBLANK(OFFSET(A$1,,,SUMPRODUCT(MAX(ROW(E$1:E6182)*(E2=E$1:E6182))))))</f>
        <v> </v>
      </c>
      <c r="K6183" s="26" t="str">
        <f>IF(OR(E6183="",E6183="!!!",F6183="NEW"),"",INDEX(J$1:J6182,SUMPRODUCT(MAX(ROW(E$1:E6182)*(E6183=E$1:E6182)))))</f>
        <v> </v>
      </c>
      <c r="L6183" s="27"/>
    </row>
    <row r="6184" spans="1:12">
      <c r="A6184" s="20" t="s">
        <v>2061</v>
      </c>
      <c r="B6184" s="21" t="s">
        <v>1095</v>
      </c>
      <c r="C6184" s="21" t="s">
        <v>1116</v>
      </c>
      <c r="D6184" s="21" t="s">
        <v>978</v>
      </c>
      <c r="E6184" s="22">
        <f>IF(D6184="?OLD","!!!","")</f>
        <v/>
      </c>
      <c r="F6184" s="23" t="str">
        <f>IF(OR(E6184="",E6184="!!!"),"",IF(NOT(ISNA(VLOOKUP(E6184,E$1:E6183,1,FALSE()))),"OLD",IF(AND(E6184&lt;&gt;"",E6184&lt;&gt;"!!!"),"NEW","")))</f>
        <v> </v>
      </c>
      <c r="G6184" s="24" t="str">
        <f>IF(OR(E6184="",E6184="!!!"),"",IF(OR(J6184=0,AND(J6184=1,K6184=1),AND(J6184=1,I6184="SBJ"),AND(J6184=1,I6184=0)),"?IN_FOCUS",IF(J6184&lt;=2,"?ACTIVATED",IF(J6184&lt;&gt;"","?FAMILIAR",IF(F6184="NEW",IF(ISNA(VLOOKUP(E6184,#REF!,1,FALSE())),"?TYPE_IDENTIFIABLE","?REFERENTIAL"),"_")))))</f>
        <v> </v>
      </c>
      <c r="H6184" s="25" t="str">
        <f>IF(J6184&lt;&gt;1,"",IF(I6184="SBJ","CB","?"))</f>
        <v> </v>
      </c>
      <c r="I6184" s="26" t="str">
        <f>IF(OR(E6184="",E6184="!!!",F6184="NEW"),"",INDEX(B6183:B$2,-1+SUMPRODUCT(MAX(ROW(E6183:E$2)*(E6184=E6183:E$2)))))</f>
        <v> </v>
      </c>
      <c r="J6184" s="26" t="str">
        <f>IF(OR(E6184="",E6184="!!!",F6184="NEW"),"",COUNTBLANK(OFFSET(A$1,,,SUMPRODUCT(MAX(ROW(E$2:E6184)*(E6184=E$2:E6184)))))-COUNTBLANK(OFFSET(A$1,,,SUMPRODUCT(MAX(ROW(E$1:E6183)*(E2=E$1:E6183))))))</f>
        <v> </v>
      </c>
      <c r="K6184" s="26" t="str">
        <f>IF(OR(E6184="",E6184="!!!",F6184="NEW"),"",INDEX(J$1:J6183,SUMPRODUCT(MAX(ROW(E$1:E6183)*(E6184=E$1:E6183)))))</f>
        <v> </v>
      </c>
      <c r="L6184" s="27"/>
    </row>
    <row r="6185" spans="1:12">
      <c r="A6185" s="20" t="s">
        <v>2062</v>
      </c>
      <c r="B6185" s="21" t="s">
        <v>1054</v>
      </c>
      <c r="C6185" s="21" t="s">
        <v>1116</v>
      </c>
      <c r="D6185" s="21" t="s">
        <v>978</v>
      </c>
      <c r="E6185" s="22">
        <f>IF(D6185="?OLD","!!!","")</f>
        <v/>
      </c>
      <c r="F6185" s="23" t="str">
        <f>IF(OR(E6185="",E6185="!!!"),"",IF(NOT(ISNA(VLOOKUP(E6185,E$1:E6184,1,FALSE()))),"OLD",IF(AND(E6185&lt;&gt;"",E6185&lt;&gt;"!!!"),"NEW","")))</f>
        <v> </v>
      </c>
      <c r="G6185" s="24" t="str">
        <f>IF(OR(E6185="",E6185="!!!"),"",IF(OR(J6185=0,AND(J6185=1,K6185=1),AND(J6185=1,I6185="SBJ"),AND(J6185=1,I6185=0)),"?IN_FOCUS",IF(J6185&lt;=2,"?ACTIVATED",IF(J6185&lt;&gt;"","?FAMILIAR",IF(F6185="NEW",IF(ISNA(VLOOKUP(E6185,#REF!,1,FALSE())),"?TYPE_IDENTIFIABLE","?REFERENTIAL"),"_")))))</f>
        <v> </v>
      </c>
      <c r="H6185" s="25" t="str">
        <f>IF(J6185&lt;&gt;1,"",IF(I6185="SBJ","CB","?"))</f>
        <v> </v>
      </c>
      <c r="I6185" s="26" t="str">
        <f>IF(OR(E6185="",E6185="!!!",F6185="NEW"),"",INDEX(B6184:B$2,-1+SUMPRODUCT(MAX(ROW(E6184:E$2)*(E6185=E6184:E$2)))))</f>
        <v> </v>
      </c>
      <c r="J6185" s="26" t="str">
        <f>IF(OR(E6185="",E6185="!!!",F6185="NEW"),"",COUNTBLANK(OFFSET(A$1,,,SUMPRODUCT(MAX(ROW(E$2:E6185)*(E6185=E$2:E6185)))))-COUNTBLANK(OFFSET(A$1,,,SUMPRODUCT(MAX(ROW(E$1:E6184)*(E2=E$1:E6184))))))</f>
        <v> </v>
      </c>
      <c r="K6185" s="26" t="str">
        <f>IF(OR(E6185="",E6185="!!!",F6185="NEW"),"",INDEX(J$1:J6184,SUMPRODUCT(MAX(ROW(E$1:E6184)*(E6185=E$1:E6184)))))</f>
        <v> </v>
      </c>
      <c r="L6185" s="27"/>
    </row>
    <row r="6186" spans="1:12">
      <c r="A6186" s="20" t="s">
        <v>1135</v>
      </c>
      <c r="B6186" s="21" t="s">
        <v>1052</v>
      </c>
      <c r="C6186" s="21" t="s">
        <v>977</v>
      </c>
      <c r="D6186" s="21" t="s">
        <v>978</v>
      </c>
      <c r="E6186" s="22">
        <f>IF(D6186="?OLD","!!!","")</f>
        <v/>
      </c>
      <c r="F6186" s="23" t="str">
        <f>IF(OR(E6186="",E6186="!!!"),"",IF(NOT(ISNA(VLOOKUP(E6186,E$1:E6185,1,FALSE()))),"OLD",IF(AND(E6186&lt;&gt;"",E6186&lt;&gt;"!!!"),"NEW","")))</f>
        <v> </v>
      </c>
      <c r="G6186" s="24" t="str">
        <f>IF(OR(E6186="",E6186="!!!"),"",IF(OR(J6186=0,AND(J6186=1,K6186=1),AND(J6186=1,I6186="SBJ"),AND(J6186=1,I6186=0)),"?IN_FOCUS",IF(J6186&lt;=2,"?ACTIVATED",IF(J6186&lt;&gt;"","?FAMILIAR",IF(F6186="NEW",IF(ISNA(VLOOKUP(E6186,#REF!,1,FALSE())),"?TYPE_IDENTIFIABLE","?REFERENTIAL"),"_")))))</f>
        <v> </v>
      </c>
      <c r="H6186" s="25" t="str">
        <f>IF(J6186&lt;&gt;1,"",IF(I6186="SBJ","CB","?"))</f>
        <v> </v>
      </c>
      <c r="I6186" s="26" t="str">
        <f>IF(OR(E6186="",E6186="!!!",F6186="NEW"),"",INDEX(B6185:B$2,-1+SUMPRODUCT(MAX(ROW(E6185:E$2)*(E6186=E6185:E$2)))))</f>
        <v> </v>
      </c>
      <c r="J6186" s="26" t="str">
        <f>IF(OR(E6186="",E6186="!!!",F6186="NEW"),"",COUNTBLANK(OFFSET(A$1,,,SUMPRODUCT(MAX(ROW(E$2:E6186)*(E6186=E$2:E6186)))))-COUNTBLANK(OFFSET(A$1,,,SUMPRODUCT(MAX(ROW(E$1:E6185)*(E2=E$1:E6185))))))</f>
        <v> </v>
      </c>
      <c r="K6186" s="26" t="str">
        <f>IF(OR(E6186="",E6186="!!!",F6186="NEW"),"",INDEX(J$1:J6185,SUMPRODUCT(MAX(ROW(E$1:E6185)*(E6186=E$1:E6185)))))</f>
        <v> </v>
      </c>
      <c r="L6186" s="27"/>
    </row>
    <row r="6187" spans="1:12">
      <c r="A6187" s="20" t="s">
        <v>1323</v>
      </c>
      <c r="E6187" s="22">
        <f>IF(D6187="?OLD","!!!","")</f>
        <v/>
      </c>
      <c r="F6187" s="23" t="str">
        <f>IF(OR(E6187="",E6187="!!!"),"",IF(NOT(ISNA(VLOOKUP(E6187,E$1:E6186,1,FALSE()))),"OLD",IF(AND(E6187&lt;&gt;"",E6187&lt;&gt;"!!!"),"NEW","")))</f>
        <v> </v>
      </c>
      <c r="G6187" s="24" t="str">
        <f>IF(OR(E6187="",E6187="!!!"),"",IF(OR(J6187=0,AND(J6187=1,K6187=1),AND(J6187=1,I6187="SBJ"),AND(J6187=1,I6187=0)),"?IN_FOCUS",IF(J6187&lt;=2,"?ACTIVATED",IF(J6187&lt;&gt;"","?FAMILIAR",IF(F6187="NEW",IF(ISNA(VLOOKUP(E6187,#REF!,1,FALSE())),"?TYPE_IDENTIFIABLE","?REFERENTIAL"),"_")))))</f>
        <v> </v>
      </c>
      <c r="H6187" s="25" t="str">
        <f>IF(J6187&lt;&gt;1,"",IF(I6187="SBJ","CB","?"))</f>
        <v> </v>
      </c>
      <c r="I6187" s="26" t="str">
        <f>IF(OR(E6187="",E6187="!!!",F6187="NEW"),"",INDEX(B6186:B$2,-1+SUMPRODUCT(MAX(ROW(E6186:E$2)*(E6187=E6186:E$2)))))</f>
        <v> </v>
      </c>
      <c r="J6187" s="26" t="str">
        <f>IF(OR(E6187="",E6187="!!!",F6187="NEW"),"",COUNTBLANK(OFFSET(A$1,,,SUMPRODUCT(MAX(ROW(E$2:E6187)*(E6187=E$2:E6187)))))-COUNTBLANK(OFFSET(A$1,,,SUMPRODUCT(MAX(ROW(E$1:E6186)*(E2=E$1:E6186))))))</f>
        <v> </v>
      </c>
      <c r="K6187" s="26" t="str">
        <f>IF(OR(E6187="",E6187="!!!",F6187="NEW"),"",INDEX(J$1:J6186,SUMPRODUCT(MAX(ROW(E$1:E6186)*(E6187=E$1:E6186)))))</f>
        <v> </v>
      </c>
      <c r="L6187" s="27"/>
    </row>
    <row r="6188" spans="1:12">
      <c r="A6188" s="20" t="s">
        <v>1384</v>
      </c>
      <c r="E6188" s="22">
        <f>IF(D6188="?OLD","!!!","")</f>
        <v/>
      </c>
      <c r="F6188" s="23" t="str">
        <f>IF(OR(E6188="",E6188="!!!"),"",IF(NOT(ISNA(VLOOKUP(E6188,E$1:E6187,1,FALSE()))),"OLD",IF(AND(E6188&lt;&gt;"",E6188&lt;&gt;"!!!"),"NEW","")))</f>
        <v> </v>
      </c>
      <c r="G6188" s="24" t="str">
        <f>IF(OR(E6188="",E6188="!!!"),"",IF(OR(J6188=0,AND(J6188=1,K6188=1),AND(J6188=1,I6188="SBJ"),AND(J6188=1,I6188=0)),"?IN_FOCUS",IF(J6188&lt;=2,"?ACTIVATED",IF(J6188&lt;&gt;"","?FAMILIAR",IF(F6188="NEW",IF(ISNA(VLOOKUP(E6188,#REF!,1,FALSE())),"?TYPE_IDENTIFIABLE","?REFERENTIAL"),"_")))))</f>
        <v> </v>
      </c>
      <c r="H6188" s="25" t="str">
        <f>IF(J6188&lt;&gt;1,"",IF(I6188="SBJ","CB","?"))</f>
        <v> </v>
      </c>
      <c r="I6188" s="26" t="str">
        <f>IF(OR(E6188="",E6188="!!!",F6188="NEW"),"",INDEX(B6187:B$2,-1+SUMPRODUCT(MAX(ROW(E6187:E$2)*(E6188=E6187:E$2)))))</f>
        <v> </v>
      </c>
      <c r="J6188" s="26" t="str">
        <f>IF(OR(E6188="",E6188="!!!",F6188="NEW"),"",COUNTBLANK(OFFSET(A$1,,,SUMPRODUCT(MAX(ROW(E$2:E6188)*(E6188=E$2:E6188)))))-COUNTBLANK(OFFSET(A$1,,,SUMPRODUCT(MAX(ROW(E$1:E6187)*(E2=E$1:E6187))))))</f>
        <v> </v>
      </c>
      <c r="K6188" s="26" t="str">
        <f>IF(OR(E6188="",E6188="!!!",F6188="NEW"),"",INDEX(J$1:J6187,SUMPRODUCT(MAX(ROW(E$1:E6187)*(E6188=E$1:E6187)))))</f>
        <v> </v>
      </c>
      <c r="L6188" s="27"/>
    </row>
    <row r="6189" spans="1:12">
      <c r="A6189" s="20" t="s">
        <v>1216</v>
      </c>
      <c r="E6189" s="22">
        <f>IF(D6189="?OLD","!!!","")</f>
        <v/>
      </c>
      <c r="F6189" s="23" t="str">
        <f>IF(OR(E6189="",E6189="!!!"),"",IF(NOT(ISNA(VLOOKUP(E6189,E$1:E6188,1,FALSE()))),"OLD",IF(AND(E6189&lt;&gt;"",E6189&lt;&gt;"!!!"),"NEW","")))</f>
        <v> </v>
      </c>
      <c r="G6189" s="24" t="str">
        <f>IF(OR(E6189="",E6189="!!!"),"",IF(OR(J6189=0,AND(J6189=1,K6189=1),AND(J6189=1,I6189="SBJ"),AND(J6189=1,I6189=0)),"?IN_FOCUS",IF(J6189&lt;=2,"?ACTIVATED",IF(J6189&lt;&gt;"","?FAMILIAR",IF(F6189="NEW",IF(ISNA(VLOOKUP(E6189,#REF!,1,FALSE())),"?TYPE_IDENTIFIABLE","?REFERENTIAL"),"_")))))</f>
        <v> </v>
      </c>
      <c r="H6189" s="25" t="str">
        <f>IF(J6189&lt;&gt;1,"",IF(I6189="SBJ","CB","?"))</f>
        <v> </v>
      </c>
      <c r="I6189" s="26" t="str">
        <f>IF(OR(E6189="",E6189="!!!",F6189="NEW"),"",INDEX(B6188:B$2,-1+SUMPRODUCT(MAX(ROW(E6188:E$2)*(E6189=E6188:E$2)))))</f>
        <v> </v>
      </c>
      <c r="J6189" s="26" t="str">
        <f>IF(OR(E6189="",E6189="!!!",F6189="NEW"),"",COUNTBLANK(OFFSET(A$1,,,SUMPRODUCT(MAX(ROW(E$2:E6189)*(E6189=E$2:E6189)))))-COUNTBLANK(OFFSET(A$1,,,SUMPRODUCT(MAX(ROW(E$1:E6188)*(E2=E$1:E6188))))))</f>
        <v> </v>
      </c>
      <c r="K6189" s="26" t="str">
        <f>IF(OR(E6189="",E6189="!!!",F6189="NEW"),"",INDEX(J$1:J6188,SUMPRODUCT(MAX(ROW(E$1:E6188)*(E6189=E$1:E6188)))))</f>
        <v> </v>
      </c>
      <c r="L6189" s="27"/>
    </row>
    <row r="6190" spans="1:12">
      <c r="A6190" s="20" t="s">
        <v>1217</v>
      </c>
      <c r="E6190" s="22">
        <f>IF(D6190="?OLD","!!!","")</f>
        <v/>
      </c>
      <c r="F6190" s="23" t="str">
        <f>IF(OR(E6190="",E6190="!!!"),"",IF(NOT(ISNA(VLOOKUP(E6190,E$1:E6189,1,FALSE()))),"OLD",IF(AND(E6190&lt;&gt;"",E6190&lt;&gt;"!!!"),"NEW","")))</f>
        <v> </v>
      </c>
      <c r="G6190" s="24" t="str">
        <f>IF(OR(E6190="",E6190="!!!"),"",IF(OR(J6190=0,AND(J6190=1,K6190=1),AND(J6190=1,I6190="SBJ"),AND(J6190=1,I6190=0)),"?IN_FOCUS",IF(J6190&lt;=2,"?ACTIVATED",IF(J6190&lt;&gt;"","?FAMILIAR",IF(F6190="NEW",IF(ISNA(VLOOKUP(E6190,#REF!,1,FALSE())),"?TYPE_IDENTIFIABLE","?REFERENTIAL"),"_")))))</f>
        <v> </v>
      </c>
      <c r="H6190" s="25" t="str">
        <f>IF(J6190&lt;&gt;1,"",IF(I6190="SBJ","CB","?"))</f>
        <v> </v>
      </c>
      <c r="I6190" s="26" t="str">
        <f>IF(OR(E6190="",E6190="!!!",F6190="NEW"),"",INDEX(B6189:B$2,-1+SUMPRODUCT(MAX(ROW(E6189:E$2)*(E6190=E6189:E$2)))))</f>
        <v> </v>
      </c>
      <c r="J6190" s="26" t="str">
        <f>IF(OR(E6190="",E6190="!!!",F6190="NEW"),"",COUNTBLANK(OFFSET(A$1,,,SUMPRODUCT(MAX(ROW(E$2:E6190)*(E6190=E$2:E6190)))))-COUNTBLANK(OFFSET(A$1,,,SUMPRODUCT(MAX(ROW(E$1:E6189)*(E2=E$1:E6189))))))</f>
        <v> </v>
      </c>
      <c r="K6190" s="26" t="str">
        <f>IF(OR(E6190="",E6190="!!!",F6190="NEW"),"",INDEX(J$1:J6189,SUMPRODUCT(MAX(ROW(E$1:E6189)*(E6190=E$1:E6189)))))</f>
        <v> </v>
      </c>
      <c r="L6190" s="27"/>
    </row>
    <row r="6191" spans="1:12">
      <c r="A6191" s="20" t="s">
        <v>1280</v>
      </c>
      <c r="E6191" s="22">
        <f>IF(D6191="?OLD","!!!","")</f>
        <v/>
      </c>
      <c r="F6191" s="23" t="str">
        <f>IF(OR(E6191="",E6191="!!!"),"",IF(NOT(ISNA(VLOOKUP(E6191,E$1:E6190,1,FALSE()))),"OLD",IF(AND(E6191&lt;&gt;"",E6191&lt;&gt;"!!!"),"NEW","")))</f>
        <v> </v>
      </c>
      <c r="G6191" s="24" t="str">
        <f>IF(OR(E6191="",E6191="!!!"),"",IF(OR(J6191=0,AND(J6191=1,K6191=1),AND(J6191=1,I6191="SBJ"),AND(J6191=1,I6191=0)),"?IN_FOCUS",IF(J6191&lt;=2,"?ACTIVATED",IF(J6191&lt;&gt;"","?FAMILIAR",IF(F6191="NEW",IF(ISNA(VLOOKUP(E6191,#REF!,1,FALSE())),"?TYPE_IDENTIFIABLE","?REFERENTIAL"),"_")))))</f>
        <v> </v>
      </c>
      <c r="H6191" s="25" t="str">
        <f>IF(J6191&lt;&gt;1,"",IF(I6191="SBJ","CB","?"))</f>
        <v> </v>
      </c>
      <c r="I6191" s="26" t="str">
        <f>IF(OR(E6191="",E6191="!!!",F6191="NEW"),"",INDEX(B6190:B$2,-1+SUMPRODUCT(MAX(ROW(E6190:E$2)*(E6191=E6190:E$2)))))</f>
        <v> </v>
      </c>
      <c r="J6191" s="26" t="str">
        <f>IF(OR(E6191="",E6191="!!!",F6191="NEW"),"",COUNTBLANK(OFFSET(A$1,,,SUMPRODUCT(MAX(ROW(E$2:E6191)*(E6191=E$2:E6191)))))-COUNTBLANK(OFFSET(A$1,,,SUMPRODUCT(MAX(ROW(E$1:E6190)*(E2=E$1:E6190))))))</f>
        <v> </v>
      </c>
      <c r="K6191" s="26" t="str">
        <f>IF(OR(E6191="",E6191="!!!",F6191="NEW"),"",INDEX(J$1:J6190,SUMPRODUCT(MAX(ROW(E$1:E6190)*(E6191=E$1:E6190)))))</f>
        <v> </v>
      </c>
      <c r="L6191" s="27"/>
    </row>
    <row r="6192" spans="1:12">
      <c r="A6192" s="20" t="s">
        <v>1047</v>
      </c>
      <c r="B6192" s="21" t="s">
        <v>1066</v>
      </c>
      <c r="C6192" s="21" t="s">
        <v>977</v>
      </c>
      <c r="D6192" s="21" t="s">
        <v>978</v>
      </c>
      <c r="E6192" s="22">
        <f>IF(D6192="?OLD","!!!","")</f>
        <v/>
      </c>
      <c r="F6192" s="23" t="str">
        <f>IF(OR(E6192="",E6192="!!!"),"",IF(NOT(ISNA(VLOOKUP(E6192,E$1:E6191,1,FALSE()))),"OLD",IF(AND(E6192&lt;&gt;"",E6192&lt;&gt;"!!!"),"NEW","")))</f>
        <v> </v>
      </c>
      <c r="G6192" s="24" t="str">
        <f>IF(OR(E6192="",E6192="!!!"),"",IF(OR(J6192=0,AND(J6192=1,K6192=1),AND(J6192=1,I6192="SBJ"),AND(J6192=1,I6192=0)),"?IN_FOCUS",IF(J6192&lt;=2,"?ACTIVATED",IF(J6192&lt;&gt;"","?FAMILIAR",IF(F6192="NEW",IF(ISNA(VLOOKUP(E6192,#REF!,1,FALSE())),"?TYPE_IDENTIFIABLE","?REFERENTIAL"),"_")))))</f>
        <v> </v>
      </c>
      <c r="H6192" s="25" t="str">
        <f>IF(J6192&lt;&gt;1,"",IF(I6192="SBJ","CB","?"))</f>
        <v> </v>
      </c>
      <c r="I6192" s="26" t="str">
        <f>IF(OR(E6192="",E6192="!!!",F6192="NEW"),"",INDEX(B6191:B$2,-1+SUMPRODUCT(MAX(ROW(E6191:E$2)*(E6192=E6191:E$2)))))</f>
        <v> </v>
      </c>
      <c r="J6192" s="26" t="str">
        <f>IF(OR(E6192="",E6192="!!!",F6192="NEW"),"",COUNTBLANK(OFFSET(A$1,,,SUMPRODUCT(MAX(ROW(E$2:E6192)*(E6192=E$2:E6192)))))-COUNTBLANK(OFFSET(A$1,,,SUMPRODUCT(MAX(ROW(E$1:E6191)*(E2=E$1:E6191))))))</f>
        <v> </v>
      </c>
      <c r="K6192" s="26" t="str">
        <f>IF(OR(E6192="",E6192="!!!",F6192="NEW"),"",INDEX(J$1:J6191,SUMPRODUCT(MAX(ROW(E$1:E6191)*(E6192=E$1:E6191)))))</f>
        <v> </v>
      </c>
      <c r="L6192" s="27"/>
    </row>
    <row r="6193" spans="1:12">
      <c r="A6193" s="20" t="s">
        <v>1428</v>
      </c>
      <c r="E6193" s="22">
        <f>IF(D6193="?OLD","!!!","")</f>
        <v/>
      </c>
      <c r="F6193" s="23" t="str">
        <f>IF(OR(E6193="",E6193="!!!"),"",IF(NOT(ISNA(VLOOKUP(E6193,E$1:E6192,1,FALSE()))),"OLD",IF(AND(E6193&lt;&gt;"",E6193&lt;&gt;"!!!"),"NEW","")))</f>
        <v> </v>
      </c>
      <c r="G6193" s="24" t="str">
        <f>IF(OR(E6193="",E6193="!!!"),"",IF(OR(J6193=0,AND(J6193=1,K6193=1),AND(J6193=1,I6193="SBJ"),AND(J6193=1,I6193=0)),"?IN_FOCUS",IF(J6193&lt;=2,"?ACTIVATED",IF(J6193&lt;&gt;"","?FAMILIAR",IF(F6193="NEW",IF(ISNA(VLOOKUP(E6193,#REF!,1,FALSE())),"?TYPE_IDENTIFIABLE","?REFERENTIAL"),"_")))))</f>
        <v> </v>
      </c>
      <c r="H6193" s="25" t="str">
        <f>IF(J6193&lt;&gt;1,"",IF(I6193="SBJ","CB","?"))</f>
        <v> </v>
      </c>
      <c r="I6193" s="26" t="str">
        <f>IF(OR(E6193="",E6193="!!!",F6193="NEW"),"",INDEX(B6192:B$2,-1+SUMPRODUCT(MAX(ROW(E6192:E$2)*(E6193=E6192:E$2)))))</f>
        <v> </v>
      </c>
      <c r="J6193" s="26" t="str">
        <f>IF(OR(E6193="",E6193="!!!",F6193="NEW"),"",COUNTBLANK(OFFSET(A$1,,,SUMPRODUCT(MAX(ROW(E$2:E6193)*(E6193=E$2:E6193)))))-COUNTBLANK(OFFSET(A$1,,,SUMPRODUCT(MAX(ROW(E$1:E6192)*(E2=E$1:E6192))))))</f>
        <v> </v>
      </c>
      <c r="K6193" s="26" t="str">
        <f>IF(OR(E6193="",E6193="!!!",F6193="NEW"),"",INDEX(J$1:J6192,SUMPRODUCT(MAX(ROW(E$1:E6192)*(E6193=E$1:E6192)))))</f>
        <v> </v>
      </c>
      <c r="L6193" s="27"/>
    </row>
    <row r="6194" spans="1:12">
      <c r="A6194" s="20" t="s">
        <v>2529</v>
      </c>
      <c r="E6194" s="22">
        <f>IF(D6194="?OLD","!!!","")</f>
        <v/>
      </c>
      <c r="F6194" s="23" t="str">
        <f>IF(OR(E6194="",E6194="!!!"),"",IF(NOT(ISNA(VLOOKUP(E6194,E$1:E6193,1,FALSE()))),"OLD",IF(AND(E6194&lt;&gt;"",E6194&lt;&gt;"!!!"),"NEW","")))</f>
        <v> </v>
      </c>
      <c r="G6194" s="24" t="str">
        <f>IF(OR(E6194="",E6194="!!!"),"",IF(OR(J6194=0,AND(J6194=1,K6194=1),AND(J6194=1,I6194="SBJ"),AND(J6194=1,I6194=0)),"?IN_FOCUS",IF(J6194&lt;=2,"?ACTIVATED",IF(J6194&lt;&gt;"","?FAMILIAR",IF(F6194="NEW",IF(ISNA(VLOOKUP(E6194,#REF!,1,FALSE())),"?TYPE_IDENTIFIABLE","?REFERENTIAL"),"_")))))</f>
        <v> </v>
      </c>
      <c r="H6194" s="25" t="str">
        <f>IF(J6194&lt;&gt;1,"",IF(I6194="SBJ","CB","?"))</f>
        <v> </v>
      </c>
      <c r="I6194" s="26" t="str">
        <f>IF(OR(E6194="",E6194="!!!",F6194="NEW"),"",INDEX(B6193:B$2,-1+SUMPRODUCT(MAX(ROW(E6193:E$2)*(E6194=E6193:E$2)))))</f>
        <v> </v>
      </c>
      <c r="J6194" s="26" t="str">
        <f>IF(OR(E6194="",E6194="!!!",F6194="NEW"),"",COUNTBLANK(OFFSET(A$1,,,SUMPRODUCT(MAX(ROW(E$2:E6194)*(E6194=E$2:E6194)))))-COUNTBLANK(OFFSET(A$1,,,SUMPRODUCT(MAX(ROW(E$1:E6193)*(E2=E$1:E6193))))))</f>
        <v> </v>
      </c>
      <c r="K6194" s="26" t="str">
        <f>IF(OR(E6194="",E6194="!!!",F6194="NEW"),"",INDEX(J$1:J6193,SUMPRODUCT(MAX(ROW(E$1:E6193)*(E6194=E$1:E6193)))))</f>
        <v> </v>
      </c>
      <c r="L6194" s="27"/>
    </row>
    <row r="6195" spans="1:12">
      <c r="A6195" s="20" t="s">
        <v>1004</v>
      </c>
      <c r="E6195" s="22">
        <f>IF(D6195="?OLD","!!!","")</f>
        <v/>
      </c>
      <c r="F6195" s="23" t="str">
        <f>IF(OR(E6195="",E6195="!!!"),"",IF(NOT(ISNA(VLOOKUP(E6195,E$1:E6194,1,FALSE()))),"OLD",IF(AND(E6195&lt;&gt;"",E6195&lt;&gt;"!!!"),"NEW","")))</f>
        <v> </v>
      </c>
      <c r="G6195" s="24" t="str">
        <f>IF(OR(E6195="",E6195="!!!"),"",IF(OR(J6195=0,AND(J6195=1,K6195=1),AND(J6195=1,I6195="SBJ"),AND(J6195=1,I6195=0)),"?IN_FOCUS",IF(J6195&lt;=2,"?ACTIVATED",IF(J6195&lt;&gt;"","?FAMILIAR",IF(F6195="NEW",IF(ISNA(VLOOKUP(E6195,#REF!,1,FALSE())),"?TYPE_IDENTIFIABLE","?REFERENTIAL"),"_")))))</f>
        <v> </v>
      </c>
      <c r="H6195" s="25" t="str">
        <f>IF(J6195&lt;&gt;1,"",IF(I6195="SBJ","CB","?"))</f>
        <v> </v>
      </c>
      <c r="I6195" s="26" t="str">
        <f>IF(OR(E6195="",E6195="!!!",F6195="NEW"),"",INDEX(B6194:B$2,-1+SUMPRODUCT(MAX(ROW(E6194:E$2)*(E6195=E6194:E$2)))))</f>
        <v> </v>
      </c>
      <c r="J6195" s="26" t="str">
        <f>IF(OR(E6195="",E6195="!!!",F6195="NEW"),"",COUNTBLANK(OFFSET(A$1,,,SUMPRODUCT(MAX(ROW(E$2:E6195)*(E6195=E$2:E6195)))))-COUNTBLANK(OFFSET(A$1,,,SUMPRODUCT(MAX(ROW(E$1:E6194)*(E2=E$1:E6194))))))</f>
        <v> </v>
      </c>
      <c r="K6195" s="26" t="str">
        <f>IF(OR(E6195="",E6195="!!!",F6195="NEW"),"",INDEX(J$1:J6194,SUMPRODUCT(MAX(ROW(E$1:E6194)*(E6195=E$1:E6194)))))</f>
        <v> </v>
      </c>
      <c r="L6195" s="27"/>
    </row>
    <row r="6196" spans="1:12">
      <c r="A6196" s="20" t="s">
        <v>2530</v>
      </c>
      <c r="E6196" s="22">
        <f>IF(D6196="?OLD","!!!","")</f>
        <v/>
      </c>
      <c r="F6196" s="23" t="str">
        <f>IF(OR(E6196="",E6196="!!!"),"",IF(NOT(ISNA(VLOOKUP(E6196,E$1:E6195,1,FALSE()))),"OLD",IF(AND(E6196&lt;&gt;"",E6196&lt;&gt;"!!!"),"NEW","")))</f>
        <v> </v>
      </c>
      <c r="G6196" s="24" t="str">
        <f>IF(OR(E6196="",E6196="!!!"),"",IF(OR(J6196=0,AND(J6196=1,K6196=1),AND(J6196=1,I6196="SBJ"),AND(J6196=1,I6196=0)),"?IN_FOCUS",IF(J6196&lt;=2,"?ACTIVATED",IF(J6196&lt;&gt;"","?FAMILIAR",IF(F6196="NEW",IF(ISNA(VLOOKUP(E6196,#REF!,1,FALSE())),"?TYPE_IDENTIFIABLE","?REFERENTIAL"),"_")))))</f>
        <v> </v>
      </c>
      <c r="H6196" s="25" t="str">
        <f>IF(J6196&lt;&gt;1,"",IF(I6196="SBJ","CB","?"))</f>
        <v> </v>
      </c>
      <c r="I6196" s="26" t="str">
        <f>IF(OR(E6196="",E6196="!!!",F6196="NEW"),"",INDEX(B6195:B$2,-1+SUMPRODUCT(MAX(ROW(E6195:E$2)*(E6196=E6195:E$2)))))</f>
        <v> </v>
      </c>
      <c r="J6196" s="26" t="str">
        <f>IF(OR(E6196="",E6196="!!!",F6196="NEW"),"",COUNTBLANK(OFFSET(A$1,,,SUMPRODUCT(MAX(ROW(E$2:E6196)*(E6196=E$2:E6196)))))-COUNTBLANK(OFFSET(A$1,,,SUMPRODUCT(MAX(ROW(E$1:E6195)*(E2=E$1:E6195))))))</f>
        <v> </v>
      </c>
      <c r="K6196" s="26" t="str">
        <f>IF(OR(E6196="",E6196="!!!",F6196="NEW"),"",INDEX(J$1:J6195,SUMPRODUCT(MAX(ROW(E$1:E6195)*(E6196=E$1:E6195)))))</f>
        <v> </v>
      </c>
      <c r="L6196" s="27"/>
    </row>
    <row r="6197" spans="1:12">
      <c r="A6197" s="20" t="s">
        <v>1002</v>
      </c>
      <c r="E6197" s="22">
        <f>IF(D6197="?OLD","!!!","")</f>
        <v/>
      </c>
      <c r="F6197" s="23" t="str">
        <f>IF(OR(E6197="",E6197="!!!"),"",IF(NOT(ISNA(VLOOKUP(E6197,E$1:E6196,1,FALSE()))),"OLD",IF(AND(E6197&lt;&gt;"",E6197&lt;&gt;"!!!"),"NEW","")))</f>
        <v> </v>
      </c>
      <c r="G6197" s="24" t="str">
        <f>IF(OR(E6197="",E6197="!!!"),"",IF(OR(J6197=0,AND(J6197=1,K6197=1),AND(J6197=1,I6197="SBJ"),AND(J6197=1,I6197=0)),"?IN_FOCUS",IF(J6197&lt;=2,"?ACTIVATED",IF(J6197&lt;&gt;"","?FAMILIAR",IF(F6197="NEW",IF(ISNA(VLOOKUP(E6197,#REF!,1,FALSE())),"?TYPE_IDENTIFIABLE","?REFERENTIAL"),"_")))))</f>
        <v> </v>
      </c>
      <c r="H6197" s="25" t="str">
        <f>IF(J6197&lt;&gt;1,"",IF(I6197="SBJ","CB","?"))</f>
        <v> </v>
      </c>
      <c r="I6197" s="26" t="str">
        <f>IF(OR(E6197="",E6197="!!!",F6197="NEW"),"",INDEX(B6196:B$2,-1+SUMPRODUCT(MAX(ROW(E6196:E$2)*(E6197=E6196:E$2)))))</f>
        <v> </v>
      </c>
      <c r="J6197" s="26" t="str">
        <f>IF(OR(E6197="",E6197="!!!",F6197="NEW"),"",COUNTBLANK(OFFSET(A$1,,,SUMPRODUCT(MAX(ROW(E$2:E6197)*(E6197=E$2:E6197)))))-COUNTBLANK(OFFSET(A$1,,,SUMPRODUCT(MAX(ROW(E$1:E6196)*(E2=E$1:E6196))))))</f>
        <v> </v>
      </c>
      <c r="K6197" s="26" t="str">
        <f>IF(OR(E6197="",E6197="!!!",F6197="NEW"),"",INDEX(J$1:J6196,SUMPRODUCT(MAX(ROW(E$1:E6196)*(E6197=E$1:E6196)))))</f>
        <v> </v>
      </c>
      <c r="L6197" s="27"/>
    </row>
    <row r="6198" spans="1:12">
      <c r="A6198" s="20" t="s">
        <v>1047</v>
      </c>
      <c r="B6198" s="21" t="s">
        <v>976</v>
      </c>
      <c r="C6198" s="21" t="s">
        <v>977</v>
      </c>
      <c r="D6198" s="21" t="s">
        <v>978</v>
      </c>
      <c r="E6198" s="22">
        <f>IF(D6198="?OLD","!!!","")</f>
        <v/>
      </c>
      <c r="F6198" s="23" t="str">
        <f>IF(OR(E6198="",E6198="!!!"),"",IF(NOT(ISNA(VLOOKUP(E6198,E$1:E6197,1,FALSE()))),"OLD",IF(AND(E6198&lt;&gt;"",E6198&lt;&gt;"!!!"),"NEW","")))</f>
        <v> </v>
      </c>
      <c r="G6198" s="24" t="str">
        <f>IF(OR(E6198="",E6198="!!!"),"",IF(OR(J6198=0,AND(J6198=1,K6198=1),AND(J6198=1,I6198="SBJ"),AND(J6198=1,I6198=0)),"?IN_FOCUS",IF(J6198&lt;=2,"?ACTIVATED",IF(J6198&lt;&gt;"","?FAMILIAR",IF(F6198="NEW",IF(ISNA(VLOOKUP(E6198,#REF!,1,FALSE())),"?TYPE_IDENTIFIABLE","?REFERENTIAL"),"_")))))</f>
        <v> </v>
      </c>
      <c r="H6198" s="25" t="str">
        <f>IF(J6198&lt;&gt;1,"",IF(I6198="SBJ","CB","?"))</f>
        <v> </v>
      </c>
      <c r="I6198" s="26" t="str">
        <f>IF(OR(E6198="",E6198="!!!",F6198="NEW"),"",INDEX(B6197:B$2,-1+SUMPRODUCT(MAX(ROW(E6197:E$2)*(E6198=E6197:E$2)))))</f>
        <v> </v>
      </c>
      <c r="J6198" s="26" t="str">
        <f>IF(OR(E6198="",E6198="!!!",F6198="NEW"),"",COUNTBLANK(OFFSET(A$1,,,SUMPRODUCT(MAX(ROW(E$2:E6198)*(E6198=E$2:E6198)))))-COUNTBLANK(OFFSET(A$1,,,SUMPRODUCT(MAX(ROW(E$1:E6197)*(E2=E$1:E6197))))))</f>
        <v> </v>
      </c>
      <c r="K6198" s="26" t="str">
        <f>IF(OR(E6198="",E6198="!!!",F6198="NEW"),"",INDEX(J$1:J6197,SUMPRODUCT(MAX(ROW(E$1:E6197)*(E6198=E$1:E6197)))))</f>
        <v> </v>
      </c>
      <c r="L6198" s="27"/>
    </row>
    <row r="6199" spans="1:12">
      <c r="A6199" s="20" t="s">
        <v>2531</v>
      </c>
      <c r="E6199" s="22">
        <f>IF(D6199="?OLD","!!!","")</f>
        <v/>
      </c>
      <c r="F6199" s="23" t="str">
        <f>IF(OR(E6199="",E6199="!!!"),"",IF(NOT(ISNA(VLOOKUP(E6199,E$1:E6198,1,FALSE()))),"OLD",IF(AND(E6199&lt;&gt;"",E6199&lt;&gt;"!!!"),"NEW","")))</f>
        <v> </v>
      </c>
      <c r="G6199" s="24" t="str">
        <f>IF(OR(E6199="",E6199="!!!"),"",IF(OR(J6199=0,AND(J6199=1,K6199=1),AND(J6199=1,I6199="SBJ"),AND(J6199=1,I6199=0)),"?IN_FOCUS",IF(J6199&lt;=2,"?ACTIVATED",IF(J6199&lt;&gt;"","?FAMILIAR",IF(F6199="NEW",IF(ISNA(VLOOKUP(E6199,#REF!,1,FALSE())),"?TYPE_IDENTIFIABLE","?REFERENTIAL"),"_")))))</f>
        <v> </v>
      </c>
      <c r="H6199" s="25" t="str">
        <f>IF(J6199&lt;&gt;1,"",IF(I6199="SBJ","CB","?"))</f>
        <v> </v>
      </c>
      <c r="I6199" s="26" t="str">
        <f>IF(OR(E6199="",E6199="!!!",F6199="NEW"),"",INDEX(B6198:B$2,-1+SUMPRODUCT(MAX(ROW(E6198:E$2)*(E6199=E6198:E$2)))))</f>
        <v> </v>
      </c>
      <c r="J6199" s="26" t="str">
        <f>IF(OR(E6199="",E6199="!!!",F6199="NEW"),"",COUNTBLANK(OFFSET(A$1,,,SUMPRODUCT(MAX(ROW(E$2:E6199)*(E6199=E$2:E6199)))))-COUNTBLANK(OFFSET(A$1,,,SUMPRODUCT(MAX(ROW(E$1:E6198)*(E2=E$1:E6198))))))</f>
        <v> </v>
      </c>
      <c r="K6199" s="26" t="str">
        <f>IF(OR(E6199="",E6199="!!!",F6199="NEW"),"",INDEX(J$1:J6198,SUMPRODUCT(MAX(ROW(E$1:E6198)*(E6199=E$1:E6198)))))</f>
        <v> </v>
      </c>
      <c r="L6199" s="27"/>
    </row>
    <row r="6200" spans="1:12">
      <c r="A6200" s="20" t="s">
        <v>1038</v>
      </c>
      <c r="E6200" s="22">
        <f>IF(D6200="?OLD","!!!","")</f>
        <v/>
      </c>
      <c r="F6200" s="23" t="str">
        <f>IF(OR(E6200="",E6200="!!!"),"",IF(NOT(ISNA(VLOOKUP(E6200,E$1:E6199,1,FALSE()))),"OLD",IF(AND(E6200&lt;&gt;"",E6200&lt;&gt;"!!!"),"NEW","")))</f>
        <v> </v>
      </c>
      <c r="G6200" s="24" t="str">
        <f>IF(OR(E6200="",E6200="!!!"),"",IF(OR(J6200=0,AND(J6200=1,K6200=1),AND(J6200=1,I6200="SBJ"),AND(J6200=1,I6200=0)),"?IN_FOCUS",IF(J6200&lt;=2,"?ACTIVATED",IF(J6200&lt;&gt;"","?FAMILIAR",IF(F6200="NEW",IF(ISNA(VLOOKUP(E6200,#REF!,1,FALSE())),"?TYPE_IDENTIFIABLE","?REFERENTIAL"),"_")))))</f>
        <v> </v>
      </c>
      <c r="H6200" s="25" t="str">
        <f>IF(J6200&lt;&gt;1,"",IF(I6200="SBJ","CB","?"))</f>
        <v> </v>
      </c>
      <c r="I6200" s="26" t="str">
        <f>IF(OR(E6200="",E6200="!!!",F6200="NEW"),"",INDEX(B6199:B$2,-1+SUMPRODUCT(MAX(ROW(E6199:E$2)*(E6200=E6199:E$2)))))</f>
        <v> </v>
      </c>
      <c r="J6200" s="26" t="str">
        <f>IF(OR(E6200="",E6200="!!!",F6200="NEW"),"",COUNTBLANK(OFFSET(A$1,,,SUMPRODUCT(MAX(ROW(E$2:E6200)*(E6200=E$2:E6200)))))-COUNTBLANK(OFFSET(A$1,,,SUMPRODUCT(MAX(ROW(E$1:E6199)*(E2=E$1:E6199))))))</f>
        <v> </v>
      </c>
      <c r="K6200" s="26" t="str">
        <f>IF(OR(E6200="",E6200="!!!",F6200="NEW"),"",INDEX(J$1:J6199,SUMPRODUCT(MAX(ROW(E$1:E6199)*(E6200=E$1:E6199)))))</f>
        <v> </v>
      </c>
      <c r="L6200" s="27"/>
    </row>
    <row r="6201" spans="1:12">
      <c r="A6201" s="20" t="s">
        <v>1047</v>
      </c>
      <c r="B6201" s="21" t="s">
        <v>1095</v>
      </c>
      <c r="C6201" s="21" t="s">
        <v>977</v>
      </c>
      <c r="D6201" s="21" t="s">
        <v>978</v>
      </c>
      <c r="E6201" s="22">
        <f>IF(D6201="?OLD","!!!","")</f>
        <v/>
      </c>
      <c r="F6201" s="23" t="str">
        <f>IF(OR(E6201="",E6201="!!!"),"",IF(NOT(ISNA(VLOOKUP(E6201,E$1:E6200,1,FALSE()))),"OLD",IF(AND(E6201&lt;&gt;"",E6201&lt;&gt;"!!!"),"NEW","")))</f>
        <v> </v>
      </c>
      <c r="G6201" s="24" t="str">
        <f>IF(OR(E6201="",E6201="!!!"),"",IF(OR(J6201=0,AND(J6201=1,K6201=1),AND(J6201=1,I6201="SBJ"),AND(J6201=1,I6201=0)),"?IN_FOCUS",IF(J6201&lt;=2,"?ACTIVATED",IF(J6201&lt;&gt;"","?FAMILIAR",IF(F6201="NEW",IF(ISNA(VLOOKUP(E6201,#REF!,1,FALSE())),"?TYPE_IDENTIFIABLE","?REFERENTIAL"),"_")))))</f>
        <v> </v>
      </c>
      <c r="H6201" s="25" t="str">
        <f>IF(J6201&lt;&gt;1,"",IF(I6201="SBJ","CB","?"))</f>
        <v> </v>
      </c>
      <c r="I6201" s="26" t="str">
        <f>IF(OR(E6201="",E6201="!!!",F6201="NEW"),"",INDEX(B6200:B$2,-1+SUMPRODUCT(MAX(ROW(E6200:E$2)*(E6201=E6200:E$2)))))</f>
        <v> </v>
      </c>
      <c r="J6201" s="26" t="str">
        <f>IF(OR(E6201="",E6201="!!!",F6201="NEW"),"",COUNTBLANK(OFFSET(A$1,,,SUMPRODUCT(MAX(ROW(E$2:E6201)*(E6201=E$2:E6201)))))-COUNTBLANK(OFFSET(A$1,,,SUMPRODUCT(MAX(ROW(E$1:E6200)*(E2=E$1:E6200))))))</f>
        <v> </v>
      </c>
      <c r="K6201" s="26" t="str">
        <f>IF(OR(E6201="",E6201="!!!",F6201="NEW"),"",INDEX(J$1:J6200,SUMPRODUCT(MAX(ROW(E$1:E6200)*(E6201=E$1:E6200)))))</f>
        <v> </v>
      </c>
      <c r="L6201" s="27"/>
    </row>
    <row r="6202" spans="1:12">
      <c r="A6202" s="20" t="s">
        <v>1116</v>
      </c>
      <c r="E6202" s="22">
        <f>IF(D6202="?OLD","!!!","")</f>
        <v/>
      </c>
      <c r="F6202" s="23" t="str">
        <f>IF(OR(E6202="",E6202="!!!"),"",IF(NOT(ISNA(VLOOKUP(E6202,E$1:E6201,1,FALSE()))),"OLD",IF(AND(E6202&lt;&gt;"",E6202&lt;&gt;"!!!"),"NEW","")))</f>
        <v> </v>
      </c>
      <c r="G6202" s="24" t="str">
        <f>IF(OR(E6202="",E6202="!!!"),"",IF(OR(J6202=0,AND(J6202=1,K6202=1),AND(J6202=1,I6202="SBJ"),AND(J6202=1,I6202=0)),"?IN_FOCUS",IF(J6202&lt;=2,"?ACTIVATED",IF(J6202&lt;&gt;"","?FAMILIAR",IF(F6202="NEW",IF(ISNA(VLOOKUP(E6202,#REF!,1,FALSE())),"?TYPE_IDENTIFIABLE","?REFERENTIAL"),"_")))))</f>
        <v> </v>
      </c>
      <c r="H6202" s="25" t="str">
        <f>IF(J6202&lt;&gt;1,"",IF(I6202="SBJ","CB","?"))</f>
        <v> </v>
      </c>
      <c r="I6202" s="26" t="str">
        <f>IF(OR(E6202="",E6202="!!!",F6202="NEW"),"",INDEX(B6201:B$2,-1+SUMPRODUCT(MAX(ROW(E6201:E$2)*(E6202=E6201:E$2)))))</f>
        <v> </v>
      </c>
      <c r="J6202" s="26" t="str">
        <f>IF(OR(E6202="",E6202="!!!",F6202="NEW"),"",COUNTBLANK(OFFSET(A$1,,,SUMPRODUCT(MAX(ROW(E$2:E6202)*(E6202=E$2:E6202)))))-COUNTBLANK(OFFSET(A$1,,,SUMPRODUCT(MAX(ROW(E$1:E6201)*(E2=E$1:E6201))))))</f>
        <v> </v>
      </c>
      <c r="K6202" s="26" t="str">
        <f>IF(OR(E6202="",E6202="!!!",F6202="NEW"),"",INDEX(J$1:J6201,SUMPRODUCT(MAX(ROW(E$1:E6201)*(E6202=E$1:E6201)))))</f>
        <v> </v>
      </c>
      <c r="L6202" s="27"/>
    </row>
    <row r="6203" spans="1:12">
      <c r="A6203" s="20" t="s">
        <v>997</v>
      </c>
      <c r="B6203" s="21" t="s">
        <v>1052</v>
      </c>
      <c r="C6203" s="21" t="s">
        <v>977</v>
      </c>
      <c r="D6203" s="21" t="s">
        <v>978</v>
      </c>
      <c r="E6203" s="22">
        <f>IF(D6203="?OLD","!!!","")</f>
        <v/>
      </c>
      <c r="F6203" s="23" t="str">
        <f>IF(OR(E6203="",E6203="!!!"),"",IF(NOT(ISNA(VLOOKUP(E6203,E$1:E6202,1,FALSE()))),"OLD",IF(AND(E6203&lt;&gt;"",E6203&lt;&gt;"!!!"),"NEW","")))</f>
        <v> </v>
      </c>
      <c r="G6203" s="24" t="str">
        <f>IF(OR(E6203="",E6203="!!!"),"",IF(OR(J6203=0,AND(J6203=1,K6203=1),AND(J6203=1,I6203="SBJ"),AND(J6203=1,I6203=0)),"?IN_FOCUS",IF(J6203&lt;=2,"?ACTIVATED",IF(J6203&lt;&gt;"","?FAMILIAR",IF(F6203="NEW",IF(ISNA(VLOOKUP(E6203,#REF!,1,FALSE())),"?TYPE_IDENTIFIABLE","?REFERENTIAL"),"_")))))</f>
        <v> </v>
      </c>
      <c r="H6203" s="25" t="str">
        <f>IF(J6203&lt;&gt;1,"",IF(I6203="SBJ","CB","?"))</f>
        <v> </v>
      </c>
      <c r="I6203" s="26" t="str">
        <f>IF(OR(E6203="",E6203="!!!",F6203="NEW"),"",INDEX(B6202:B$2,-1+SUMPRODUCT(MAX(ROW(E6202:E$2)*(E6203=E6202:E$2)))))</f>
        <v> </v>
      </c>
      <c r="J6203" s="26" t="str">
        <f>IF(OR(E6203="",E6203="!!!",F6203="NEW"),"",COUNTBLANK(OFFSET(A$1,,,SUMPRODUCT(MAX(ROW(E$2:E6203)*(E6203=E$2:E6203)))))-COUNTBLANK(OFFSET(A$1,,,SUMPRODUCT(MAX(ROW(E$1:E6202)*(E2=E$1:E6202))))))</f>
        <v> </v>
      </c>
      <c r="K6203" s="26" t="str">
        <f>IF(OR(E6203="",E6203="!!!",F6203="NEW"),"",INDEX(J$1:J6202,SUMPRODUCT(MAX(ROW(E$1:E6202)*(E6203=E$1:E6202)))))</f>
        <v> </v>
      </c>
      <c r="L6203" s="27"/>
    </row>
    <row r="6204" spans="1:12">
      <c r="A6204" s="20" t="s">
        <v>2532</v>
      </c>
      <c r="E6204" s="22">
        <f>IF(D6204="?OLD","!!!","")</f>
        <v/>
      </c>
      <c r="F6204" s="23" t="str">
        <f>IF(OR(E6204="",E6204="!!!"),"",IF(NOT(ISNA(VLOOKUP(E6204,E$1:E6203,1,FALSE()))),"OLD",IF(AND(E6204&lt;&gt;"",E6204&lt;&gt;"!!!"),"NEW","")))</f>
        <v> </v>
      </c>
      <c r="G6204" s="24" t="str">
        <f>IF(OR(E6204="",E6204="!!!"),"",IF(OR(J6204=0,AND(J6204=1,K6204=1),AND(J6204=1,I6204="SBJ"),AND(J6204=1,I6204=0)),"?IN_FOCUS",IF(J6204&lt;=2,"?ACTIVATED",IF(J6204&lt;&gt;"","?FAMILIAR",IF(F6204="NEW",IF(ISNA(VLOOKUP(E6204,#REF!,1,FALSE())),"?TYPE_IDENTIFIABLE","?REFERENTIAL"),"_")))))</f>
        <v> </v>
      </c>
      <c r="H6204" s="25" t="str">
        <f>IF(J6204&lt;&gt;1,"",IF(I6204="SBJ","CB","?"))</f>
        <v> </v>
      </c>
      <c r="I6204" s="26" t="str">
        <f>IF(OR(E6204="",E6204="!!!",F6204="NEW"),"",INDEX(B6203:B$2,-1+SUMPRODUCT(MAX(ROW(E6203:E$2)*(E6204=E6203:E$2)))))</f>
        <v> </v>
      </c>
      <c r="J6204" s="26" t="str">
        <f>IF(OR(E6204="",E6204="!!!",F6204="NEW"),"",COUNTBLANK(OFFSET(A$1,,,SUMPRODUCT(MAX(ROW(E$2:E6204)*(E6204=E$2:E6204)))))-COUNTBLANK(OFFSET(A$1,,,SUMPRODUCT(MAX(ROW(E$1:E6203)*(E2=E$1:E6203))))))</f>
        <v> </v>
      </c>
      <c r="K6204" s="26" t="str">
        <f>IF(OR(E6204="",E6204="!!!",F6204="NEW"),"",INDEX(J$1:J6203,SUMPRODUCT(MAX(ROW(E$1:E6203)*(E6204=E$1:E6203)))))</f>
        <v> </v>
      </c>
      <c r="L6204" s="27"/>
    </row>
    <row r="6205" spans="1:12">
      <c r="A6205" s="20" t="s">
        <v>1189</v>
      </c>
      <c r="E6205" s="22">
        <f>IF(D6205="?OLD","!!!","")</f>
        <v/>
      </c>
      <c r="F6205" s="23" t="str">
        <f>IF(OR(E6205="",E6205="!!!"),"",IF(NOT(ISNA(VLOOKUP(E6205,E$1:E6204,1,FALSE()))),"OLD",IF(AND(E6205&lt;&gt;"",E6205&lt;&gt;"!!!"),"NEW","")))</f>
        <v> </v>
      </c>
      <c r="G6205" s="24" t="str">
        <f>IF(OR(E6205="",E6205="!!!"),"",IF(OR(J6205=0,AND(J6205=1,K6205=1),AND(J6205=1,I6205="SBJ"),AND(J6205=1,I6205=0)),"?IN_FOCUS",IF(J6205&lt;=2,"?ACTIVATED",IF(J6205&lt;&gt;"","?FAMILIAR",IF(F6205="NEW",IF(ISNA(VLOOKUP(E6205,#REF!,1,FALSE())),"?TYPE_IDENTIFIABLE","?REFERENTIAL"),"_")))))</f>
        <v> </v>
      </c>
      <c r="H6205" s="25" t="str">
        <f>IF(J6205&lt;&gt;1,"",IF(I6205="SBJ","CB","?"))</f>
        <v> </v>
      </c>
      <c r="I6205" s="26" t="str">
        <f>IF(OR(E6205="",E6205="!!!",F6205="NEW"),"",INDEX(B6204:B$2,-1+SUMPRODUCT(MAX(ROW(E6204:E$2)*(E6205=E6204:E$2)))))</f>
        <v> </v>
      </c>
      <c r="J6205" s="26" t="str">
        <f>IF(OR(E6205="",E6205="!!!",F6205="NEW"),"",COUNTBLANK(OFFSET(A$1,,,SUMPRODUCT(MAX(ROW(E$2:E6205)*(E6205=E$2:E6205)))))-COUNTBLANK(OFFSET(A$1,,,SUMPRODUCT(MAX(ROW(E$1:E6204)*(E2=E$1:E6204))))))</f>
        <v> </v>
      </c>
      <c r="K6205" s="26" t="str">
        <f>IF(OR(E6205="",E6205="!!!",F6205="NEW"),"",INDEX(J$1:J6204,SUMPRODUCT(MAX(ROW(E$1:E6204)*(E6205=E$1:E6204)))))</f>
        <v> </v>
      </c>
      <c r="L6205" s="27"/>
    </row>
    <row r="6206" spans="1:12">
      <c r="A6206" s="20" t="s">
        <v>2085</v>
      </c>
      <c r="E6206" s="22">
        <f>IF(D6206="?OLD","!!!","")</f>
        <v/>
      </c>
      <c r="F6206" s="23" t="str">
        <f>IF(OR(E6206="",E6206="!!!"),"",IF(NOT(ISNA(VLOOKUP(E6206,E$1:E6205,1,FALSE()))),"OLD",IF(AND(E6206&lt;&gt;"",E6206&lt;&gt;"!!!"),"NEW","")))</f>
        <v> </v>
      </c>
      <c r="G6206" s="24" t="str">
        <f>IF(OR(E6206="",E6206="!!!"),"",IF(OR(J6206=0,AND(J6206=1,K6206=1),AND(J6206=1,I6206="SBJ"),AND(J6206=1,I6206=0)),"?IN_FOCUS",IF(J6206&lt;=2,"?ACTIVATED",IF(J6206&lt;&gt;"","?FAMILIAR",IF(F6206="NEW",IF(ISNA(VLOOKUP(E6206,#REF!,1,FALSE())),"?TYPE_IDENTIFIABLE","?REFERENTIAL"),"_")))))</f>
        <v> </v>
      </c>
      <c r="H6206" s="25" t="str">
        <f>IF(J6206&lt;&gt;1,"",IF(I6206="SBJ","CB","?"))</f>
        <v> </v>
      </c>
      <c r="I6206" s="26" t="str">
        <f>IF(OR(E6206="",E6206="!!!",F6206="NEW"),"",INDEX(B6205:B$2,-1+SUMPRODUCT(MAX(ROW(E6205:E$2)*(E6206=E6205:E$2)))))</f>
        <v> </v>
      </c>
      <c r="J6206" s="26" t="str">
        <f>IF(OR(E6206="",E6206="!!!",F6206="NEW"),"",COUNTBLANK(OFFSET(A$1,,,SUMPRODUCT(MAX(ROW(E$2:E6206)*(E6206=E$2:E6206)))))-COUNTBLANK(OFFSET(A$1,,,SUMPRODUCT(MAX(ROW(E$1:E6205)*(E2=E$1:E6205))))))</f>
        <v> </v>
      </c>
      <c r="K6206" s="26" t="str">
        <f>IF(OR(E6206="",E6206="!!!",F6206="NEW"),"",INDEX(J$1:J6205,SUMPRODUCT(MAX(ROW(E$1:E6205)*(E6206=E$1:E6205)))))</f>
        <v> </v>
      </c>
      <c r="L6206" s="27"/>
    </row>
    <row r="6207" spans="1:12">
      <c r="A6207" s="20" t="s">
        <v>1002</v>
      </c>
      <c r="E6207" s="22">
        <f>IF(D6207="?OLD","!!!","")</f>
        <v/>
      </c>
      <c r="F6207" s="23" t="str">
        <f>IF(OR(E6207="",E6207="!!!"),"",IF(NOT(ISNA(VLOOKUP(E6207,E$1:E6206,1,FALSE()))),"OLD",IF(AND(E6207&lt;&gt;"",E6207&lt;&gt;"!!!"),"NEW","")))</f>
        <v> </v>
      </c>
      <c r="G6207" s="24" t="str">
        <f>IF(OR(E6207="",E6207="!!!"),"",IF(OR(J6207=0,AND(J6207=1,K6207=1),AND(J6207=1,I6207="SBJ"),AND(J6207=1,I6207=0)),"?IN_FOCUS",IF(J6207&lt;=2,"?ACTIVATED",IF(J6207&lt;&gt;"","?FAMILIAR",IF(F6207="NEW",IF(ISNA(VLOOKUP(E6207,#REF!,1,FALSE())),"?TYPE_IDENTIFIABLE","?REFERENTIAL"),"_")))))</f>
        <v> </v>
      </c>
      <c r="H6207" s="25" t="str">
        <f>IF(J6207&lt;&gt;1,"",IF(I6207="SBJ","CB","?"))</f>
        <v> </v>
      </c>
      <c r="I6207" s="26" t="str">
        <f>IF(OR(E6207="",E6207="!!!",F6207="NEW"),"",INDEX(B6206:B$2,-1+SUMPRODUCT(MAX(ROW(E6206:E$2)*(E6207=E6206:E$2)))))</f>
        <v> </v>
      </c>
      <c r="J6207" s="26" t="str">
        <f>IF(OR(E6207="",E6207="!!!",F6207="NEW"),"",COUNTBLANK(OFFSET(A$1,,,SUMPRODUCT(MAX(ROW(E$2:E6207)*(E6207=E$2:E6207)))))-COUNTBLANK(OFFSET(A$1,,,SUMPRODUCT(MAX(ROW(E$1:E6206)*(E2=E$1:E6206))))))</f>
        <v> </v>
      </c>
      <c r="K6207" s="26" t="str">
        <f>IF(OR(E6207="",E6207="!!!",F6207="NEW"),"",INDEX(J$1:J6206,SUMPRODUCT(MAX(ROW(E$1:E6206)*(E6207=E$1:E6206)))))</f>
        <v> </v>
      </c>
      <c r="L6207" s="27"/>
    </row>
    <row r="6208" spans="1:12">
      <c r="A6208" s="20" t="s">
        <v>1194</v>
      </c>
      <c r="E6208" s="22">
        <f>IF(D6208="?OLD","!!!","")</f>
        <v/>
      </c>
      <c r="F6208" s="23" t="str">
        <f>IF(OR(E6208="",E6208="!!!"),"",IF(NOT(ISNA(VLOOKUP(E6208,E$1:E6207,1,FALSE()))),"OLD",IF(AND(E6208&lt;&gt;"",E6208&lt;&gt;"!!!"),"NEW","")))</f>
        <v> </v>
      </c>
      <c r="G6208" s="24" t="str">
        <f>IF(OR(E6208="",E6208="!!!"),"",IF(OR(J6208=0,AND(J6208=1,K6208=1),AND(J6208=1,I6208="SBJ"),AND(J6208=1,I6208=0)),"?IN_FOCUS",IF(J6208&lt;=2,"?ACTIVATED",IF(J6208&lt;&gt;"","?FAMILIAR",IF(F6208="NEW",IF(ISNA(VLOOKUP(E6208,#REF!,1,FALSE())),"?TYPE_IDENTIFIABLE","?REFERENTIAL"),"_")))))</f>
        <v> </v>
      </c>
      <c r="H6208" s="25" t="str">
        <f>IF(J6208&lt;&gt;1,"",IF(I6208="SBJ","CB","?"))</f>
        <v> </v>
      </c>
      <c r="I6208" s="26" t="str">
        <f>IF(OR(E6208="",E6208="!!!",F6208="NEW"),"",INDEX(B6207:B$2,-1+SUMPRODUCT(MAX(ROW(E6207:E$2)*(E6208=E6207:E$2)))))</f>
        <v> </v>
      </c>
      <c r="J6208" s="26" t="str">
        <f>IF(OR(E6208="",E6208="!!!",F6208="NEW"),"",COUNTBLANK(OFFSET(A$1,,,SUMPRODUCT(MAX(ROW(E$2:E6208)*(E6208=E$2:E6208)))))-COUNTBLANK(OFFSET(A$1,,,SUMPRODUCT(MAX(ROW(E$1:E6207)*(E2=E$1:E6207))))))</f>
        <v> </v>
      </c>
      <c r="K6208" s="26" t="str">
        <f>IF(OR(E6208="",E6208="!!!",F6208="NEW"),"",INDEX(J$1:J6207,SUMPRODUCT(MAX(ROW(E$1:E6207)*(E6208=E$1:E6207)))))</f>
        <v> </v>
      </c>
      <c r="L6208" s="27"/>
    </row>
    <row r="6209" spans="1:12">
      <c r="A6209" s="20" t="s">
        <v>2533</v>
      </c>
      <c r="E6209" s="22">
        <f>IF(D6209="?OLD","!!!","")</f>
        <v/>
      </c>
      <c r="F6209" s="23" t="str">
        <f>IF(OR(E6209="",E6209="!!!"),"",IF(NOT(ISNA(VLOOKUP(E6209,E$1:E6208,1,FALSE()))),"OLD",IF(AND(E6209&lt;&gt;"",E6209&lt;&gt;"!!!"),"NEW","")))</f>
        <v> </v>
      </c>
      <c r="G6209" s="24" t="str">
        <f>IF(OR(E6209="",E6209="!!!"),"",IF(OR(J6209=0,AND(J6209=1,K6209=1),AND(J6209=1,I6209="SBJ"),AND(J6209=1,I6209=0)),"?IN_FOCUS",IF(J6209&lt;=2,"?ACTIVATED",IF(J6209&lt;&gt;"","?FAMILIAR",IF(F6209="NEW",IF(ISNA(VLOOKUP(E6209,#REF!,1,FALSE())),"?TYPE_IDENTIFIABLE","?REFERENTIAL"),"_")))))</f>
        <v> </v>
      </c>
      <c r="H6209" s="25" t="str">
        <f>IF(J6209&lt;&gt;1,"",IF(I6209="SBJ","CB","?"))</f>
        <v> </v>
      </c>
      <c r="I6209" s="26" t="str">
        <f>IF(OR(E6209="",E6209="!!!",F6209="NEW"),"",INDEX(B6208:B$2,-1+SUMPRODUCT(MAX(ROW(E6208:E$2)*(E6209=E6208:E$2)))))</f>
        <v> </v>
      </c>
      <c r="J6209" s="26" t="str">
        <f>IF(OR(E6209="",E6209="!!!",F6209="NEW"),"",COUNTBLANK(OFFSET(A$1,,,SUMPRODUCT(MAX(ROW(E$2:E6209)*(E6209=E$2:E6209)))))-COUNTBLANK(OFFSET(A$1,,,SUMPRODUCT(MAX(ROW(E$1:E6208)*(E2=E$1:E6208))))))</f>
        <v> </v>
      </c>
      <c r="K6209" s="26" t="str">
        <f>IF(OR(E6209="",E6209="!!!",F6209="NEW"),"",INDEX(J$1:J6208,SUMPRODUCT(MAX(ROW(E$1:E6208)*(E6209=E$1:E6208)))))</f>
        <v> </v>
      </c>
      <c r="L6209" s="27"/>
    </row>
    <row r="6210" spans="1:12">
      <c r="A6210" s="20" t="s">
        <v>1002</v>
      </c>
      <c r="E6210" s="22">
        <f>IF(D6210="?OLD","!!!","")</f>
        <v/>
      </c>
      <c r="F6210" s="23" t="str">
        <f>IF(OR(E6210="",E6210="!!!"),"",IF(NOT(ISNA(VLOOKUP(E6210,E$1:E6209,1,FALSE()))),"OLD",IF(AND(E6210&lt;&gt;"",E6210&lt;&gt;"!!!"),"NEW","")))</f>
        <v> </v>
      </c>
      <c r="G6210" s="24" t="str">
        <f>IF(OR(E6210="",E6210="!!!"),"",IF(OR(J6210=0,AND(J6210=1,K6210=1),AND(J6210=1,I6210="SBJ"),AND(J6210=1,I6210=0)),"?IN_FOCUS",IF(J6210&lt;=2,"?ACTIVATED",IF(J6210&lt;&gt;"","?FAMILIAR",IF(F6210="NEW",IF(ISNA(VLOOKUP(E6210,#REF!,1,FALSE())),"?TYPE_IDENTIFIABLE","?REFERENTIAL"),"_")))))</f>
        <v> </v>
      </c>
      <c r="H6210" s="25" t="str">
        <f>IF(J6210&lt;&gt;1,"",IF(I6210="SBJ","CB","?"))</f>
        <v> </v>
      </c>
      <c r="I6210" s="26" t="str">
        <f>IF(OR(E6210="",E6210="!!!",F6210="NEW"),"",INDEX(B6209:B$2,-1+SUMPRODUCT(MAX(ROW(E6209:E$2)*(E6210=E6209:E$2)))))</f>
        <v> </v>
      </c>
      <c r="J6210" s="26" t="str">
        <f>IF(OR(E6210="",E6210="!!!",F6210="NEW"),"",COUNTBLANK(OFFSET(A$1,,,SUMPRODUCT(MAX(ROW(E$2:E6210)*(E6210=E$2:E6210)))))-COUNTBLANK(OFFSET(A$1,,,SUMPRODUCT(MAX(ROW(E$1:E6209)*(E2=E$1:E6209))))))</f>
        <v> </v>
      </c>
      <c r="K6210" s="26" t="str">
        <f>IF(OR(E6210="",E6210="!!!",F6210="NEW"),"",INDEX(J$1:J6209,SUMPRODUCT(MAX(ROW(E$1:E6209)*(E6210=E$1:E6209)))))</f>
        <v> </v>
      </c>
      <c r="L6210" s="27"/>
    </row>
    <row r="6211" spans="1:12">
      <c r="A6211" s="20" t="s">
        <v>1047</v>
      </c>
      <c r="B6211" s="21" t="s">
        <v>1066</v>
      </c>
      <c r="C6211" s="21" t="s">
        <v>977</v>
      </c>
      <c r="D6211" s="21" t="s">
        <v>978</v>
      </c>
      <c r="E6211" s="22">
        <f>IF(D6211="?OLD","!!!","")</f>
        <v/>
      </c>
      <c r="F6211" s="23" t="str">
        <f>IF(OR(E6211="",E6211="!!!"),"",IF(NOT(ISNA(VLOOKUP(E6211,E$1:E6210,1,FALSE()))),"OLD",IF(AND(E6211&lt;&gt;"",E6211&lt;&gt;"!!!"),"NEW","")))</f>
        <v> </v>
      </c>
      <c r="G6211" s="24" t="str">
        <f>IF(OR(E6211="",E6211="!!!"),"",IF(OR(J6211=0,AND(J6211=1,K6211=1),AND(J6211=1,I6211="SBJ"),AND(J6211=1,I6211=0)),"?IN_FOCUS",IF(J6211&lt;=2,"?ACTIVATED",IF(J6211&lt;&gt;"","?FAMILIAR",IF(F6211="NEW",IF(ISNA(VLOOKUP(E6211,#REF!,1,FALSE())),"?TYPE_IDENTIFIABLE","?REFERENTIAL"),"_")))))</f>
        <v> </v>
      </c>
      <c r="H6211" s="25" t="str">
        <f>IF(J6211&lt;&gt;1,"",IF(I6211="SBJ","CB","?"))</f>
        <v> </v>
      </c>
      <c r="I6211" s="26" t="str">
        <f>IF(OR(E6211="",E6211="!!!",F6211="NEW"),"",INDEX(B6210:B$2,-1+SUMPRODUCT(MAX(ROW(E6210:E$2)*(E6211=E6210:E$2)))))</f>
        <v> </v>
      </c>
      <c r="J6211" s="26" t="str">
        <f>IF(OR(E6211="",E6211="!!!",F6211="NEW"),"",COUNTBLANK(OFFSET(A$1,,,SUMPRODUCT(MAX(ROW(E$2:E6211)*(E6211=E$2:E6211)))))-COUNTBLANK(OFFSET(A$1,,,SUMPRODUCT(MAX(ROW(E$1:E6210)*(E2=E$1:E6210))))))</f>
        <v> </v>
      </c>
      <c r="K6211" s="26" t="str">
        <f>IF(OR(E6211="",E6211="!!!",F6211="NEW"),"",INDEX(J$1:J6210,SUMPRODUCT(MAX(ROW(E$1:E6210)*(E6211=E$1:E6210)))))</f>
        <v> </v>
      </c>
      <c r="L6211" s="27"/>
    </row>
    <row r="6212" spans="1:12">
      <c r="A6212" s="20" t="s">
        <v>1164</v>
      </c>
      <c r="E6212" s="22">
        <f>IF(D6212="?OLD","!!!","")</f>
        <v/>
      </c>
      <c r="F6212" s="23" t="str">
        <f>IF(OR(E6212="",E6212="!!!"),"",IF(NOT(ISNA(VLOOKUP(E6212,E$1:E6211,1,FALSE()))),"OLD",IF(AND(E6212&lt;&gt;"",E6212&lt;&gt;"!!!"),"NEW","")))</f>
        <v> </v>
      </c>
      <c r="G6212" s="24" t="str">
        <f>IF(OR(E6212="",E6212="!!!"),"",IF(OR(J6212=0,AND(J6212=1,K6212=1),AND(J6212=1,I6212="SBJ"),AND(J6212=1,I6212=0)),"?IN_FOCUS",IF(J6212&lt;=2,"?ACTIVATED",IF(J6212&lt;&gt;"","?FAMILIAR",IF(F6212="NEW",IF(ISNA(VLOOKUP(E6212,#REF!,1,FALSE())),"?TYPE_IDENTIFIABLE","?REFERENTIAL"),"_")))))</f>
        <v> </v>
      </c>
      <c r="H6212" s="25" t="str">
        <f>IF(J6212&lt;&gt;1,"",IF(I6212="SBJ","CB","?"))</f>
        <v> </v>
      </c>
      <c r="I6212" s="26" t="str">
        <f>IF(OR(E6212="",E6212="!!!",F6212="NEW"),"",INDEX(B6211:B$2,-1+SUMPRODUCT(MAX(ROW(E6211:E$2)*(E6212=E6211:E$2)))))</f>
        <v> </v>
      </c>
      <c r="J6212" s="26" t="str">
        <f>IF(OR(E6212="",E6212="!!!",F6212="NEW"),"",COUNTBLANK(OFFSET(A$1,,,SUMPRODUCT(MAX(ROW(E$2:E6212)*(E6212=E$2:E6212)))))-COUNTBLANK(OFFSET(A$1,,,SUMPRODUCT(MAX(ROW(E$1:E6211)*(E2=E$1:E6211))))))</f>
        <v> </v>
      </c>
      <c r="K6212" s="26" t="str">
        <f>IF(OR(E6212="",E6212="!!!",F6212="NEW"),"",INDEX(J$1:J6211,SUMPRODUCT(MAX(ROW(E$1:E6211)*(E6212=E$1:E6211)))))</f>
        <v> </v>
      </c>
      <c r="L6212" s="27"/>
    </row>
    <row r="6213" spans="1:12">
      <c r="A6213" s="20" t="s">
        <v>1496</v>
      </c>
      <c r="E6213" s="22">
        <f>IF(D6213="?OLD","!!!","")</f>
        <v/>
      </c>
      <c r="F6213" s="23" t="str">
        <f>IF(OR(E6213="",E6213="!!!"),"",IF(NOT(ISNA(VLOOKUP(E6213,E$1:E6212,1,FALSE()))),"OLD",IF(AND(E6213&lt;&gt;"",E6213&lt;&gt;"!!!"),"NEW","")))</f>
        <v> </v>
      </c>
      <c r="G6213" s="24" t="str">
        <f>IF(OR(E6213="",E6213="!!!"),"",IF(OR(J6213=0,AND(J6213=1,K6213=1),AND(J6213=1,I6213="SBJ"),AND(J6213=1,I6213=0)),"?IN_FOCUS",IF(J6213&lt;=2,"?ACTIVATED",IF(J6213&lt;&gt;"","?FAMILIAR",IF(F6213="NEW",IF(ISNA(VLOOKUP(E6213,#REF!,1,FALSE())),"?TYPE_IDENTIFIABLE","?REFERENTIAL"),"_")))))</f>
        <v> </v>
      </c>
      <c r="H6213" s="25" t="str">
        <f>IF(J6213&lt;&gt;1,"",IF(I6213="SBJ","CB","?"))</f>
        <v> </v>
      </c>
      <c r="I6213" s="26" t="str">
        <f>IF(OR(E6213="",E6213="!!!",F6213="NEW"),"",INDEX(B6212:B$2,-1+SUMPRODUCT(MAX(ROW(E6212:E$2)*(E6213=E6212:E$2)))))</f>
        <v> </v>
      </c>
      <c r="J6213" s="26" t="str">
        <f>IF(OR(E6213="",E6213="!!!",F6213="NEW"),"",COUNTBLANK(OFFSET(A$1,,,SUMPRODUCT(MAX(ROW(E$2:E6213)*(E6213=E$2:E6213)))))-COUNTBLANK(OFFSET(A$1,,,SUMPRODUCT(MAX(ROW(E$1:E6212)*(E2=E$1:E6212))))))</f>
        <v> </v>
      </c>
      <c r="K6213" s="26" t="str">
        <f>IF(OR(E6213="",E6213="!!!",F6213="NEW"),"",INDEX(J$1:J6212,SUMPRODUCT(MAX(ROW(E$1:E6212)*(E6213=E$1:E6212)))))</f>
        <v> </v>
      </c>
      <c r="L6213" s="27"/>
    </row>
    <row r="6214" spans="1:12">
      <c r="A6214" s="20" t="s">
        <v>996</v>
      </c>
      <c r="E6214" s="22">
        <f>IF(D6214="?OLD","!!!","")</f>
        <v/>
      </c>
      <c r="F6214" s="23" t="str">
        <f>IF(OR(E6214="",E6214="!!!"),"",IF(NOT(ISNA(VLOOKUP(E6214,E$1:E6213,1,FALSE()))),"OLD",IF(AND(E6214&lt;&gt;"",E6214&lt;&gt;"!!!"),"NEW","")))</f>
        <v> </v>
      </c>
      <c r="G6214" s="24" t="str">
        <f>IF(OR(E6214="",E6214="!!!"),"",IF(OR(J6214=0,AND(J6214=1,K6214=1),AND(J6214=1,I6214="SBJ"),AND(J6214=1,I6214=0)),"?IN_FOCUS",IF(J6214&lt;=2,"?ACTIVATED",IF(J6214&lt;&gt;"","?FAMILIAR",IF(F6214="NEW",IF(ISNA(VLOOKUP(E6214,#REF!,1,FALSE())),"?TYPE_IDENTIFIABLE","?REFERENTIAL"),"_")))))</f>
        <v> </v>
      </c>
      <c r="H6214" s="25" t="str">
        <f>IF(J6214&lt;&gt;1,"",IF(I6214="SBJ","CB","?"))</f>
        <v> </v>
      </c>
      <c r="I6214" s="26" t="str">
        <f>IF(OR(E6214="",E6214="!!!",F6214="NEW"),"",INDEX(B6213:B$2,-1+SUMPRODUCT(MAX(ROW(E6213:E$2)*(E6214=E6213:E$2)))))</f>
        <v> </v>
      </c>
      <c r="J6214" s="26" t="str">
        <f>IF(OR(E6214="",E6214="!!!",F6214="NEW"),"",COUNTBLANK(OFFSET(A$1,,,SUMPRODUCT(MAX(ROW(E$2:E6214)*(E6214=E$2:E6214)))))-COUNTBLANK(OFFSET(A$1,,,SUMPRODUCT(MAX(ROW(E$1:E6213)*(E2=E$1:E6213))))))</f>
        <v> </v>
      </c>
      <c r="K6214" s="26" t="str">
        <f>IF(OR(E6214="",E6214="!!!",F6214="NEW"),"",INDEX(J$1:J6213,SUMPRODUCT(MAX(ROW(E$1:E6213)*(E6214=E$1:E6213)))))</f>
        <v> </v>
      </c>
      <c r="L6214" s="27"/>
    </row>
    <row r="6215" spans="1:12">
      <c r="A6215" s="20" t="s">
        <v>172</v>
      </c>
      <c r="B6215" s="21" t="s">
        <v>1054</v>
      </c>
      <c r="C6215" s="21" t="s">
        <v>1008</v>
      </c>
      <c r="D6215" s="21" t="s">
        <v>978</v>
      </c>
      <c r="E6215" s="22">
        <f>IF(D6215="?OLD","!!!","")</f>
        <v/>
      </c>
      <c r="F6215" s="23" t="str">
        <f>IF(OR(E6215="",E6215="!!!"),"",IF(NOT(ISNA(VLOOKUP(E6215,E$1:E6214,1,FALSE()))),"OLD",IF(AND(E6215&lt;&gt;"",E6215&lt;&gt;"!!!"),"NEW","")))</f>
        <v> </v>
      </c>
      <c r="G6215" s="24" t="str">
        <f>IF(OR(E6215="",E6215="!!!"),"",IF(OR(J6215=0,AND(J6215=1,K6215=1),AND(J6215=1,I6215="SBJ"),AND(J6215=1,I6215=0)),"?IN_FOCUS",IF(J6215&lt;=2,"?ACTIVATED",IF(J6215&lt;&gt;"","?FAMILIAR",IF(F6215="NEW",IF(ISNA(VLOOKUP(E6215,#REF!,1,FALSE())),"?TYPE_IDENTIFIABLE","?REFERENTIAL"),"_")))))</f>
        <v> </v>
      </c>
      <c r="H6215" s="25" t="str">
        <f>IF(J6215&lt;&gt;1,"",IF(I6215="SBJ","CB","?"))</f>
        <v> </v>
      </c>
      <c r="I6215" s="26" t="str">
        <f>IF(OR(E6215="",E6215="!!!",F6215="NEW"),"",INDEX(B6214:B$2,-1+SUMPRODUCT(MAX(ROW(E6214:E$2)*(E6215=E6214:E$2)))))</f>
        <v> </v>
      </c>
      <c r="J6215" s="26" t="str">
        <f>IF(OR(E6215="",E6215="!!!",F6215="NEW"),"",COUNTBLANK(OFFSET(A$1,,,SUMPRODUCT(MAX(ROW(E$2:E6215)*(E6215=E$2:E6215)))))-COUNTBLANK(OFFSET(A$1,,,SUMPRODUCT(MAX(ROW(E$1:E6214)*(E2=E$1:E6214))))))</f>
        <v> </v>
      </c>
      <c r="K6215" s="26" t="str">
        <f>IF(OR(E6215="",E6215="!!!",F6215="NEW"),"",INDEX(J$1:J6214,SUMPRODUCT(MAX(ROW(E$1:E6214)*(E6215=E$1:E6214)))))</f>
        <v> </v>
      </c>
      <c r="L6215" s="27"/>
    </row>
    <row r="6216" spans="1:12">
      <c r="A6216" s="20" t="s">
        <v>1038</v>
      </c>
      <c r="B6216" s="21" t="s">
        <v>1146</v>
      </c>
      <c r="E6216" s="22">
        <f>IF(D6216="?OLD","!!!","")</f>
        <v/>
      </c>
      <c r="F6216" s="23" t="str">
        <f>IF(OR(E6216="",E6216="!!!"),"",IF(NOT(ISNA(VLOOKUP(E6216,E$1:E6215,1,FALSE()))),"OLD",IF(AND(E6216&lt;&gt;"",E6216&lt;&gt;"!!!"),"NEW","")))</f>
        <v> </v>
      </c>
      <c r="G6216" s="24" t="str">
        <f>IF(OR(E6216="",E6216="!!!"),"",IF(OR(J6216=0,AND(J6216=1,K6216=1),AND(J6216=1,I6216="SBJ"),AND(J6216=1,I6216=0)),"?IN_FOCUS",IF(J6216&lt;=2,"?ACTIVATED",IF(J6216&lt;&gt;"","?FAMILIAR",IF(F6216="NEW",IF(ISNA(VLOOKUP(E6216,#REF!,1,FALSE())),"?TYPE_IDENTIFIABLE","?REFERENTIAL"),"_")))))</f>
        <v> </v>
      </c>
      <c r="H6216" s="25" t="str">
        <f>IF(J6216&lt;&gt;1,"",IF(I6216="SBJ","CB","?"))</f>
        <v> </v>
      </c>
      <c r="I6216" s="26" t="str">
        <f>IF(OR(E6216="",E6216="!!!",F6216="NEW"),"",INDEX(B6215:B$2,-1+SUMPRODUCT(MAX(ROW(E6215:E$2)*(E6216=E6215:E$2)))))</f>
        <v> </v>
      </c>
      <c r="J6216" s="26" t="str">
        <f>IF(OR(E6216="",E6216="!!!",F6216="NEW"),"",COUNTBLANK(OFFSET(A$1,,,SUMPRODUCT(MAX(ROW(E$2:E6216)*(E6216=E$2:E6216)))))-COUNTBLANK(OFFSET(A$1,,,SUMPRODUCT(MAX(ROW(E$1:E6215)*(E2=E$1:E6215))))))</f>
        <v> </v>
      </c>
      <c r="K6216" s="26" t="str">
        <f>IF(OR(E6216="",E6216="!!!",F6216="NEW"),"",INDEX(J$1:J6215,SUMPRODUCT(MAX(ROW(E$1:E6215)*(E6216=E$1:E6215)))))</f>
        <v> </v>
      </c>
      <c r="L6216" s="27"/>
    </row>
    <row r="6217" spans="1:12">
      <c r="A6217" s="20" t="s">
        <v>1154</v>
      </c>
      <c r="B6217" s="21" t="s">
        <v>1042</v>
      </c>
      <c r="C6217" s="21" t="s">
        <v>977</v>
      </c>
      <c r="D6217" s="21" t="s">
        <v>978</v>
      </c>
      <c r="E6217" s="22">
        <f>IF(D6217="?OLD","!!!","")</f>
        <v/>
      </c>
      <c r="F6217" s="23" t="str">
        <f>IF(OR(E6217="",E6217="!!!"),"",IF(NOT(ISNA(VLOOKUP(E6217,E$1:E6216,1,FALSE()))),"OLD",IF(AND(E6217&lt;&gt;"",E6217&lt;&gt;"!!!"),"NEW","")))</f>
        <v> </v>
      </c>
      <c r="G6217" s="24" t="str">
        <f>IF(OR(E6217="",E6217="!!!"),"",IF(OR(J6217=0,AND(J6217=1,K6217=1),AND(J6217=1,I6217="SBJ"),AND(J6217=1,I6217=0)),"?IN_FOCUS",IF(J6217&lt;=2,"?ACTIVATED",IF(J6217&lt;&gt;"","?FAMILIAR",IF(F6217="NEW",IF(ISNA(VLOOKUP(E6217,#REF!,1,FALSE())),"?TYPE_IDENTIFIABLE","?REFERENTIAL"),"_")))))</f>
        <v> </v>
      </c>
      <c r="H6217" s="25" t="str">
        <f>IF(J6217&lt;&gt;1,"",IF(I6217="SBJ","CB","?"))</f>
        <v> </v>
      </c>
      <c r="I6217" s="26" t="str">
        <f>IF(OR(E6217="",E6217="!!!",F6217="NEW"),"",INDEX(B6216:B$2,-1+SUMPRODUCT(MAX(ROW(E6216:E$2)*(E6217=E6216:E$2)))))</f>
        <v> </v>
      </c>
      <c r="J6217" s="26" t="str">
        <f>IF(OR(E6217="",E6217="!!!",F6217="NEW"),"",COUNTBLANK(OFFSET(A$1,,,SUMPRODUCT(MAX(ROW(E$2:E6217)*(E6217=E$2:E6217)))))-COUNTBLANK(OFFSET(A$1,,,SUMPRODUCT(MAX(ROW(E$1:E6216)*(E2=E$1:E6216))))))</f>
        <v> </v>
      </c>
      <c r="K6217" s="26" t="str">
        <f>IF(OR(E6217="",E6217="!!!",F6217="NEW"),"",INDEX(J$1:J6216,SUMPRODUCT(MAX(ROW(E$1:E6216)*(E6217=E$1:E6216)))))</f>
        <v> </v>
      </c>
      <c r="L6217" s="27"/>
    </row>
    <row r="6218" spans="1:12">
      <c r="A6218" s="20" t="s">
        <v>979</v>
      </c>
      <c r="E6218" s="22">
        <f>IF(D6218="?OLD","!!!","")</f>
        <v/>
      </c>
      <c r="F6218" s="23" t="str">
        <f>IF(OR(E6218="",E6218="!!!"),"",IF(NOT(ISNA(VLOOKUP(E6218,E$1:E6217,1,FALSE()))),"OLD",IF(AND(E6218&lt;&gt;"",E6218&lt;&gt;"!!!"),"NEW","")))</f>
        <v> </v>
      </c>
      <c r="G6218" s="24" t="str">
        <f>IF(OR(E6218="",E6218="!!!"),"",IF(OR(J6218=0,AND(J6218=1,K6218=1),AND(J6218=1,I6218="SBJ"),AND(J6218=1,I6218=0)),"?IN_FOCUS",IF(J6218&lt;=2,"?ACTIVATED",IF(J6218&lt;&gt;"","?FAMILIAR",IF(F6218="NEW",IF(ISNA(VLOOKUP(E6218,#REF!,1,FALSE())),"?TYPE_IDENTIFIABLE","?REFERENTIAL"),"_")))))</f>
        <v> </v>
      </c>
      <c r="H6218" s="25" t="str">
        <f>IF(J6218&lt;&gt;1,"",IF(I6218="SBJ","CB","?"))</f>
        <v> </v>
      </c>
      <c r="I6218" s="26" t="str">
        <f>IF(OR(E6218="",E6218="!!!",F6218="NEW"),"",INDEX(B6217:B$2,-1+SUMPRODUCT(MAX(ROW(E6217:E$2)*(E6218=E6217:E$2)))))</f>
        <v> </v>
      </c>
      <c r="J6218" s="26" t="str">
        <f>IF(OR(E6218="",E6218="!!!",F6218="NEW"),"",COUNTBLANK(OFFSET(A$1,,,SUMPRODUCT(MAX(ROW(E$2:E6218)*(E6218=E$2:E6218)))))-COUNTBLANK(OFFSET(A$1,,,SUMPRODUCT(MAX(ROW(E$1:E6217)*(E2=E$1:E6217))))))</f>
        <v> </v>
      </c>
      <c r="K6218" s="26" t="str">
        <f>IF(OR(E6218="",E6218="!!!",F6218="NEW"),"",INDEX(J$1:J6217,SUMPRODUCT(MAX(ROW(E$1:E6217)*(E6218=E$1:E6217)))))</f>
        <v> </v>
      </c>
      <c r="L6218" s="27"/>
    </row>
    <row r="6219" spans="1:12">
      <c r="A6219" s="20" t="s">
        <v>2534</v>
      </c>
      <c r="E6219" s="22">
        <f>IF(D6219="?OLD","!!!","")</f>
        <v/>
      </c>
      <c r="F6219" s="23" t="str">
        <f>IF(OR(E6219="",E6219="!!!"),"",IF(NOT(ISNA(VLOOKUP(E6219,E$1:E6218,1,FALSE()))),"OLD",IF(AND(E6219&lt;&gt;"",E6219&lt;&gt;"!!!"),"NEW","")))</f>
        <v> </v>
      </c>
      <c r="G6219" s="24" t="str">
        <f>IF(OR(E6219="",E6219="!!!"),"",IF(OR(J6219=0,AND(J6219=1,K6219=1),AND(J6219=1,I6219="SBJ"),AND(J6219=1,I6219=0)),"?IN_FOCUS",IF(J6219&lt;=2,"?ACTIVATED",IF(J6219&lt;&gt;"","?FAMILIAR",IF(F6219="NEW",IF(ISNA(VLOOKUP(E6219,#REF!,1,FALSE())),"?TYPE_IDENTIFIABLE","?REFERENTIAL"),"_")))))</f>
        <v> </v>
      </c>
      <c r="H6219" s="25" t="str">
        <f>IF(J6219&lt;&gt;1,"",IF(I6219="SBJ","CB","?"))</f>
        <v> </v>
      </c>
      <c r="I6219" s="26" t="str">
        <f>IF(OR(E6219="",E6219="!!!",F6219="NEW"),"",INDEX(B6218:B$2,-1+SUMPRODUCT(MAX(ROW(E6218:E$2)*(E6219=E6218:E$2)))))</f>
        <v> </v>
      </c>
      <c r="J6219" s="26" t="str">
        <f>IF(OR(E6219="",E6219="!!!",F6219="NEW"),"",COUNTBLANK(OFFSET(A$1,,,SUMPRODUCT(MAX(ROW(E$2:E6219)*(E6219=E$2:E6219)))))-COUNTBLANK(OFFSET(A$1,,,SUMPRODUCT(MAX(ROW(E$1:E6218)*(E2=E$1:E6218))))))</f>
        <v> </v>
      </c>
      <c r="K6219" s="26" t="str">
        <f>IF(OR(E6219="",E6219="!!!",F6219="NEW"),"",INDEX(J$1:J6218,SUMPRODUCT(MAX(ROW(E$1:E6218)*(E6219=E$1:E6218)))))</f>
        <v> </v>
      </c>
      <c r="L6219" s="27"/>
    </row>
    <row r="6220" spans="1:12">
      <c r="A6220" s="20" t="s">
        <v>1022</v>
      </c>
      <c r="E6220" s="22">
        <f>IF(D6220="?OLD","!!!","")</f>
        <v/>
      </c>
      <c r="F6220" s="23" t="str">
        <f>IF(OR(E6220="",E6220="!!!"),"",IF(NOT(ISNA(VLOOKUP(E6220,E$1:E6219,1,FALSE()))),"OLD",IF(AND(E6220&lt;&gt;"",E6220&lt;&gt;"!!!"),"NEW","")))</f>
        <v> </v>
      </c>
      <c r="G6220" s="24" t="str">
        <f>IF(OR(E6220="",E6220="!!!"),"",IF(OR(J6220=0,AND(J6220=1,K6220=1),AND(J6220=1,I6220="SBJ"),AND(J6220=1,I6220=0)),"?IN_FOCUS",IF(J6220&lt;=2,"?ACTIVATED",IF(J6220&lt;&gt;"","?FAMILIAR",IF(F6220="NEW",IF(ISNA(VLOOKUP(E6220,#REF!,1,FALSE())),"?TYPE_IDENTIFIABLE","?REFERENTIAL"),"_")))))</f>
        <v> </v>
      </c>
      <c r="H6220" s="25" t="str">
        <f>IF(J6220&lt;&gt;1,"",IF(I6220="SBJ","CB","?"))</f>
        <v> </v>
      </c>
      <c r="I6220" s="26" t="str">
        <f>IF(OR(E6220="",E6220="!!!",F6220="NEW"),"",INDEX(B6219:B$2,-1+SUMPRODUCT(MAX(ROW(E6219:E$2)*(E6220=E6219:E$2)))))</f>
        <v> </v>
      </c>
      <c r="J6220" s="26" t="str">
        <f>IF(OR(E6220="",E6220="!!!",F6220="NEW"),"",COUNTBLANK(OFFSET(A$1,,,SUMPRODUCT(MAX(ROW(E$2:E6220)*(E6220=E$2:E6220)))))-COUNTBLANK(OFFSET(A$1,,,SUMPRODUCT(MAX(ROW(E$1:E6219)*(E2=E$1:E6219))))))</f>
        <v> </v>
      </c>
      <c r="K6220" s="26" t="str">
        <f>IF(OR(E6220="",E6220="!!!",F6220="NEW"),"",INDEX(J$1:J6219,SUMPRODUCT(MAX(ROW(E$1:E6219)*(E6220=E$1:E6219)))))</f>
        <v> </v>
      </c>
      <c r="L6220" s="27"/>
    </row>
    <row r="6221" spans="1:12">
      <c r="A6221" s="20"/>
    </row>
    <row r="6222" spans="1:12">
      <c r="A6222" s="20" t="s">
        <v>2535</v>
      </c>
    </row>
    <row r="6223" spans="1:12">
      <c r="A6223" s="20" t="s">
        <v>1182</v>
      </c>
      <c r="B6223" s="21" t="s">
        <v>976</v>
      </c>
      <c r="C6223" s="21" t="s">
        <v>977</v>
      </c>
      <c r="D6223" s="21" t="s">
        <v>978</v>
      </c>
      <c r="E6223" s="22">
        <f>IF(D6223="?OLD","!!!","")</f>
        <v/>
      </c>
      <c r="F6223" s="23" t="str">
        <f>IF(OR(E6223="",E6223="!!!"),"",IF(NOT(ISNA(VLOOKUP(E6223,E$1:E6222,1,FALSE()))),"OLD",IF(AND(E6223&lt;&gt;"",E6223&lt;&gt;"!!!"),"NEW","")))</f>
        <v> </v>
      </c>
      <c r="G6223" s="24" t="str">
        <f>IF(OR(E6223="",E6223="!!!"),"",IF(OR(J6223=0,AND(J6223=1,K6223=1),AND(J6223=1,I6223="SBJ"),AND(J6223=1,I6223=0)),"?IN_FOCUS",IF(J6223&lt;=2,"?ACTIVATED",IF(J6223&lt;&gt;"","?FAMILIAR",IF(F6223="NEW",IF(ISNA(VLOOKUP(E6223,#REF!,1,FALSE())),"?TYPE_IDENTIFIABLE","?REFERENTIAL"),"_")))))</f>
        <v> </v>
      </c>
      <c r="H6223" s="25" t="str">
        <f>IF(J6223&lt;&gt;1,"",IF(I6223="SBJ","CB","?"))</f>
        <v> </v>
      </c>
      <c r="I6223" s="26" t="str">
        <f>IF(OR(E6223="",E6223="!!!",F6223="NEW"),"",INDEX(B6222:B$2,-1+SUMPRODUCT(MAX(ROW(E6222:E$2)*(E6223=E6222:E$2)))))</f>
        <v> </v>
      </c>
      <c r="J6223" s="26" t="str">
        <f>IF(OR(E6223="",E6223="!!!",F6223="NEW"),"",COUNTBLANK(OFFSET(A$1,,,SUMPRODUCT(MAX(ROW(E$2:E6223)*(E6223=E$2:E6223)))))-COUNTBLANK(OFFSET(A$1,,,SUMPRODUCT(MAX(ROW(E$1:E6222)*(E2=E$1:E6222))))))</f>
        <v> </v>
      </c>
      <c r="K6223" s="26" t="str">
        <f>IF(OR(E6223="",E6223="!!!",F6223="NEW"),"",INDEX(J$1:J6222,SUMPRODUCT(MAX(ROW(E$1:E6222)*(E6223=E$1:E6222)))))</f>
        <v> </v>
      </c>
      <c r="L6223" s="27"/>
    </row>
    <row r="6224" spans="1:12">
      <c r="A6224" s="20" t="s">
        <v>1164</v>
      </c>
      <c r="E6224" s="22">
        <f>IF(D6224="?OLD","!!!","")</f>
        <v/>
      </c>
      <c r="F6224" s="23" t="str">
        <f>IF(OR(E6224="",E6224="!!!"),"",IF(NOT(ISNA(VLOOKUP(E6224,E$1:E6223,1,FALSE()))),"OLD",IF(AND(E6224&lt;&gt;"",E6224&lt;&gt;"!!!"),"NEW","")))</f>
        <v> </v>
      </c>
      <c r="G6224" s="24" t="str">
        <f>IF(OR(E6224="",E6224="!!!"),"",IF(OR(J6224=0,AND(J6224=1,K6224=1),AND(J6224=1,I6224="SBJ"),AND(J6224=1,I6224=0)),"?IN_FOCUS",IF(J6224&lt;=2,"?ACTIVATED",IF(J6224&lt;&gt;"","?FAMILIAR",IF(F6224="NEW",IF(ISNA(VLOOKUP(E6224,#REF!,1,FALSE())),"?TYPE_IDENTIFIABLE","?REFERENTIAL"),"_")))))</f>
        <v> </v>
      </c>
      <c r="H6224" s="25" t="str">
        <f>IF(J6224&lt;&gt;1,"",IF(I6224="SBJ","CB","?"))</f>
        <v> </v>
      </c>
      <c r="I6224" s="26" t="str">
        <f>IF(OR(E6224="",E6224="!!!",F6224="NEW"),"",INDEX(B6223:B$2,-1+SUMPRODUCT(MAX(ROW(E6223:E$2)*(E6224=E6223:E$2)))))</f>
        <v> </v>
      </c>
      <c r="J6224" s="26" t="str">
        <f>IF(OR(E6224="",E6224="!!!",F6224="NEW"),"",COUNTBLANK(OFFSET(A$1,,,SUMPRODUCT(MAX(ROW(E$2:E6224)*(E6224=E$2:E6224)))))-COUNTBLANK(OFFSET(A$1,,,SUMPRODUCT(MAX(ROW(E$1:E6223)*(E2=E$1:E6223))))))</f>
        <v> </v>
      </c>
      <c r="K6224" s="26" t="str">
        <f>IF(OR(E6224="",E6224="!!!",F6224="NEW"),"",INDEX(J$1:J6223,SUMPRODUCT(MAX(ROW(E$1:E6223)*(E6224=E$1:E6223)))))</f>
        <v> </v>
      </c>
      <c r="L6224" s="27"/>
    </row>
    <row r="6225" spans="1:12">
      <c r="A6225" s="20" t="s">
        <v>2536</v>
      </c>
      <c r="E6225" s="22">
        <f>IF(D6225="?OLD","!!!","")</f>
        <v/>
      </c>
      <c r="F6225" s="23" t="str">
        <f>IF(OR(E6225="",E6225="!!!"),"",IF(NOT(ISNA(VLOOKUP(E6225,E$1:E6224,1,FALSE()))),"OLD",IF(AND(E6225&lt;&gt;"",E6225&lt;&gt;"!!!"),"NEW","")))</f>
        <v> </v>
      </c>
      <c r="G6225" s="24" t="str">
        <f>IF(OR(E6225="",E6225="!!!"),"",IF(OR(J6225=0,AND(J6225=1,K6225=1),AND(J6225=1,I6225="SBJ"),AND(J6225=1,I6225=0)),"?IN_FOCUS",IF(J6225&lt;=2,"?ACTIVATED",IF(J6225&lt;&gt;"","?FAMILIAR",IF(F6225="NEW",IF(ISNA(VLOOKUP(E6225,#REF!,1,FALSE())),"?TYPE_IDENTIFIABLE","?REFERENTIAL"),"_")))))</f>
        <v> </v>
      </c>
      <c r="H6225" s="25" t="str">
        <f>IF(J6225&lt;&gt;1,"",IF(I6225="SBJ","CB","?"))</f>
        <v> </v>
      </c>
      <c r="I6225" s="26" t="str">
        <f>IF(OR(E6225="",E6225="!!!",F6225="NEW"),"",INDEX(B6224:B$2,-1+SUMPRODUCT(MAX(ROW(E6224:E$2)*(E6225=E6224:E$2)))))</f>
        <v> </v>
      </c>
      <c r="J6225" s="26" t="str">
        <f>IF(OR(E6225="",E6225="!!!",F6225="NEW"),"",COUNTBLANK(OFFSET(A$1,,,SUMPRODUCT(MAX(ROW(E$2:E6225)*(E6225=E$2:E6225)))))-COUNTBLANK(OFFSET(A$1,,,SUMPRODUCT(MAX(ROW(E$1:E6224)*(E2=E$1:E6224))))))</f>
        <v> </v>
      </c>
      <c r="K6225" s="26" t="str">
        <f>IF(OR(E6225="",E6225="!!!",F6225="NEW"),"",INDEX(J$1:J6224,SUMPRODUCT(MAX(ROW(E$1:E6224)*(E6225=E$1:E6224)))))</f>
        <v> </v>
      </c>
      <c r="L6225" s="27"/>
    </row>
    <row r="6226" spans="1:12">
      <c r="A6226" s="20" t="s">
        <v>1081</v>
      </c>
      <c r="E6226" s="22">
        <f>IF(D6226="?OLD","!!!","")</f>
        <v/>
      </c>
      <c r="F6226" s="23" t="str">
        <f>IF(OR(E6226="",E6226="!!!"),"",IF(NOT(ISNA(VLOOKUP(E6226,E$1:E6225,1,FALSE()))),"OLD",IF(AND(E6226&lt;&gt;"",E6226&lt;&gt;"!!!"),"NEW","")))</f>
        <v> </v>
      </c>
      <c r="G6226" s="24" t="str">
        <f>IF(OR(E6226="",E6226="!!!"),"",IF(OR(J6226=0,AND(J6226=1,K6226=1),AND(J6226=1,I6226="SBJ"),AND(J6226=1,I6226=0)),"?IN_FOCUS",IF(J6226&lt;=2,"?ACTIVATED",IF(J6226&lt;&gt;"","?FAMILIAR",IF(F6226="NEW",IF(ISNA(VLOOKUP(E6226,#REF!,1,FALSE())),"?TYPE_IDENTIFIABLE","?REFERENTIAL"),"_")))))</f>
        <v> </v>
      </c>
      <c r="H6226" s="25" t="str">
        <f>IF(J6226&lt;&gt;1,"",IF(I6226="SBJ","CB","?"))</f>
        <v> </v>
      </c>
      <c r="I6226" s="26" t="str">
        <f>IF(OR(E6226="",E6226="!!!",F6226="NEW"),"",INDEX(B6225:B$2,-1+SUMPRODUCT(MAX(ROW(E6225:E$2)*(E6226=E6225:E$2)))))</f>
        <v> </v>
      </c>
      <c r="J6226" s="26" t="str">
        <f>IF(OR(E6226="",E6226="!!!",F6226="NEW"),"",COUNTBLANK(OFFSET(A$1,,,SUMPRODUCT(MAX(ROW(E$2:E6226)*(E6226=E$2:E6226)))))-COUNTBLANK(OFFSET(A$1,,,SUMPRODUCT(MAX(ROW(E$1:E6225)*(E2=E$1:E6225))))))</f>
        <v> </v>
      </c>
      <c r="K6226" s="26" t="str">
        <f>IF(OR(E6226="",E6226="!!!",F6226="NEW"),"",INDEX(J$1:J6225,SUMPRODUCT(MAX(ROW(E$1:E6225)*(E6226=E$1:E6225)))))</f>
        <v> </v>
      </c>
      <c r="L6226" s="27"/>
    </row>
    <row r="6227" spans="1:12">
      <c r="A6227" s="20" t="s">
        <v>168</v>
      </c>
      <c r="E6227" s="22">
        <f>IF(D6227="?OLD","!!!","")</f>
        <v/>
      </c>
      <c r="F6227" s="23" t="str">
        <f>IF(OR(E6227="",E6227="!!!"),"",IF(NOT(ISNA(VLOOKUP(E6227,E$1:E6226,1,FALSE()))),"OLD",IF(AND(E6227&lt;&gt;"",E6227&lt;&gt;"!!!"),"NEW","")))</f>
        <v> </v>
      </c>
      <c r="G6227" s="24" t="str">
        <f>IF(OR(E6227="",E6227="!!!"),"",IF(OR(J6227=0,AND(J6227=1,K6227=1),AND(J6227=1,I6227="SBJ"),AND(J6227=1,I6227=0)),"?IN_FOCUS",IF(J6227&lt;=2,"?ACTIVATED",IF(J6227&lt;&gt;"","?FAMILIAR",IF(F6227="NEW",IF(ISNA(VLOOKUP(E6227,#REF!,1,FALSE())),"?TYPE_IDENTIFIABLE","?REFERENTIAL"),"_")))))</f>
        <v> </v>
      </c>
      <c r="H6227" s="25" t="str">
        <f>IF(J6227&lt;&gt;1,"",IF(I6227="SBJ","CB","?"))</f>
        <v> </v>
      </c>
      <c r="I6227" s="26" t="str">
        <f>IF(OR(E6227="",E6227="!!!",F6227="NEW"),"",INDEX(B6226:B$2,-1+SUMPRODUCT(MAX(ROW(E6226:E$2)*(E6227=E6226:E$2)))))</f>
        <v> </v>
      </c>
      <c r="J6227" s="26" t="str">
        <f>IF(OR(E6227="",E6227="!!!",F6227="NEW"),"",COUNTBLANK(OFFSET(A$1,,,SUMPRODUCT(MAX(ROW(E$2:E6227)*(E6227=E$2:E6227)))))-COUNTBLANK(OFFSET(A$1,,,SUMPRODUCT(MAX(ROW(E$1:E6226)*(E2=E$1:E6226))))))</f>
        <v> </v>
      </c>
      <c r="K6227" s="26" t="str">
        <f>IF(OR(E6227="",E6227="!!!",F6227="NEW"),"",INDEX(J$1:J6226,SUMPRODUCT(MAX(ROW(E$1:E6226)*(E6227=E$1:E6226)))))</f>
        <v> </v>
      </c>
      <c r="L6227" s="27"/>
    </row>
    <row r="6228" spans="1:12">
      <c r="A6228" s="20" t="s">
        <v>1401</v>
      </c>
      <c r="E6228" s="22">
        <f>IF(D6228="?OLD","!!!","")</f>
        <v/>
      </c>
      <c r="F6228" s="23" t="str">
        <f>IF(OR(E6228="",E6228="!!!"),"",IF(NOT(ISNA(VLOOKUP(E6228,E$1:E6227,1,FALSE()))),"OLD",IF(AND(E6228&lt;&gt;"",E6228&lt;&gt;"!!!"),"NEW","")))</f>
        <v> </v>
      </c>
      <c r="G6228" s="24" t="str">
        <f>IF(OR(E6228="",E6228="!!!"),"",IF(OR(J6228=0,AND(J6228=1,K6228=1),AND(J6228=1,I6228="SBJ"),AND(J6228=1,I6228=0)),"?IN_FOCUS",IF(J6228&lt;=2,"?ACTIVATED",IF(J6228&lt;&gt;"","?FAMILIAR",IF(F6228="NEW",IF(ISNA(VLOOKUP(E6228,#REF!,1,FALSE())),"?TYPE_IDENTIFIABLE","?REFERENTIAL"),"_")))))</f>
        <v> </v>
      </c>
      <c r="H6228" s="25" t="str">
        <f>IF(J6228&lt;&gt;1,"",IF(I6228="SBJ","CB","?"))</f>
        <v> </v>
      </c>
      <c r="I6228" s="26" t="str">
        <f>IF(OR(E6228="",E6228="!!!",F6228="NEW"),"",INDEX(B6227:B$2,-1+SUMPRODUCT(MAX(ROW(E6227:E$2)*(E6228=E6227:E$2)))))</f>
        <v> </v>
      </c>
      <c r="J6228" s="26" t="str">
        <f>IF(OR(E6228="",E6228="!!!",F6228="NEW"),"",COUNTBLANK(OFFSET(A$1,,,SUMPRODUCT(MAX(ROW(E$2:E6228)*(E6228=E$2:E6228)))))-COUNTBLANK(OFFSET(A$1,,,SUMPRODUCT(MAX(ROW(E$1:E6227)*(E2=E$1:E6227))))))</f>
        <v> </v>
      </c>
      <c r="K6228" s="26" t="str">
        <f>IF(OR(E6228="",E6228="!!!",F6228="NEW"),"",INDEX(J$1:J6227,SUMPRODUCT(MAX(ROW(E$1:E6227)*(E6228=E$1:E6227)))))</f>
        <v> </v>
      </c>
      <c r="L6228" s="27"/>
    </row>
    <row r="6229" spans="1:12">
      <c r="A6229" s="20" t="s">
        <v>178</v>
      </c>
      <c r="E6229" s="22">
        <f>IF(D6229="?OLD","!!!","")</f>
        <v/>
      </c>
      <c r="F6229" s="23" t="str">
        <f>IF(OR(E6229="",E6229="!!!"),"",IF(NOT(ISNA(VLOOKUP(E6229,E$1:E6228,1,FALSE()))),"OLD",IF(AND(E6229&lt;&gt;"",E6229&lt;&gt;"!!!"),"NEW","")))</f>
        <v> </v>
      </c>
      <c r="G6229" s="24" t="str">
        <f>IF(OR(E6229="",E6229="!!!"),"",IF(OR(J6229=0,AND(J6229=1,K6229=1),AND(J6229=1,I6229="SBJ"),AND(J6229=1,I6229=0)),"?IN_FOCUS",IF(J6229&lt;=2,"?ACTIVATED",IF(J6229&lt;&gt;"","?FAMILIAR",IF(F6229="NEW",IF(ISNA(VLOOKUP(E6229,#REF!,1,FALSE())),"?TYPE_IDENTIFIABLE","?REFERENTIAL"),"_")))))</f>
        <v> </v>
      </c>
      <c r="H6229" s="25" t="str">
        <f>IF(J6229&lt;&gt;1,"",IF(I6229="SBJ","CB","?"))</f>
        <v> </v>
      </c>
      <c r="I6229" s="26" t="str">
        <f>IF(OR(E6229="",E6229="!!!",F6229="NEW"),"",INDEX(B6228:B$2,-1+SUMPRODUCT(MAX(ROW(E6228:E$2)*(E6229=E6228:E$2)))))</f>
        <v> </v>
      </c>
      <c r="J6229" s="26" t="str">
        <f>IF(OR(E6229="",E6229="!!!",F6229="NEW"),"",COUNTBLANK(OFFSET(A$1,,,SUMPRODUCT(MAX(ROW(E$2:E6229)*(E6229=E$2:E6229)))))-COUNTBLANK(OFFSET(A$1,,,SUMPRODUCT(MAX(ROW(E$1:E6228)*(E2=E$1:E6228))))))</f>
        <v> </v>
      </c>
      <c r="K6229" s="26" t="str">
        <f>IF(OR(E6229="",E6229="!!!",F6229="NEW"),"",INDEX(J$1:J6228,SUMPRODUCT(MAX(ROW(E$1:E6228)*(E6229=E$1:E6228)))))</f>
        <v> </v>
      </c>
      <c r="L6229" s="27"/>
    </row>
    <row r="6230" spans="1:12">
      <c r="A6230" s="20" t="s">
        <v>1825</v>
      </c>
      <c r="B6230" s="21" t="s">
        <v>989</v>
      </c>
      <c r="C6230" s="21" t="s">
        <v>1178</v>
      </c>
      <c r="E6230" s="22">
        <f>IF(D6230="?OLD","!!!","")</f>
        <v/>
      </c>
      <c r="F6230" s="23" t="str">
        <f>IF(OR(E6230="",E6230="!!!"),"",IF(NOT(ISNA(VLOOKUP(E6230,E$1:E6229,1,FALSE()))),"OLD",IF(AND(E6230&lt;&gt;"",E6230&lt;&gt;"!!!"),"NEW","")))</f>
        <v> </v>
      </c>
      <c r="G6230" s="24" t="str">
        <f>IF(OR(E6230="",E6230="!!!"),"",IF(OR(J6230=0,AND(J6230=1,K6230=1),AND(J6230=1,I6230="SBJ"),AND(J6230=1,I6230=0)),"?IN_FOCUS",IF(J6230&lt;=2,"?ACTIVATED",IF(J6230&lt;&gt;"","?FAMILIAR",IF(F6230="NEW",IF(ISNA(VLOOKUP(E6230,#REF!,1,FALSE())),"?TYPE_IDENTIFIABLE","?REFERENTIAL"),"_")))))</f>
        <v> </v>
      </c>
      <c r="H6230" s="25" t="str">
        <f>IF(J6230&lt;&gt;1,"",IF(I6230="SBJ","CB","?"))</f>
        <v> </v>
      </c>
      <c r="I6230" s="26" t="str">
        <f>IF(OR(E6230="",E6230="!!!",F6230="NEW"),"",INDEX(B6229:B$2,-1+SUMPRODUCT(MAX(ROW(E6229:E$2)*(E6230=E6229:E$2)))))</f>
        <v> </v>
      </c>
      <c r="J6230" s="26" t="str">
        <f>IF(OR(E6230="",E6230="!!!",F6230="NEW"),"",COUNTBLANK(OFFSET(A$1,,,SUMPRODUCT(MAX(ROW(E$2:E6230)*(E6230=E$2:E6230)))))-COUNTBLANK(OFFSET(A$1,,,SUMPRODUCT(MAX(ROW(E$1:E6229)*(E2=E$1:E6229))))))</f>
        <v> </v>
      </c>
      <c r="K6230" s="26" t="str">
        <f>IF(OR(E6230="",E6230="!!!",F6230="NEW"),"",INDEX(J$1:J6229,SUMPRODUCT(MAX(ROW(E$1:E6229)*(E6230=E$1:E6229)))))</f>
        <v> </v>
      </c>
      <c r="L6230" s="27"/>
    </row>
    <row r="6231" spans="1:12">
      <c r="A6231" s="20" t="s">
        <v>1004</v>
      </c>
      <c r="E6231" s="22">
        <f>IF(D6231="?OLD","!!!","")</f>
        <v/>
      </c>
      <c r="F6231" s="23" t="str">
        <f>IF(OR(E6231="",E6231="!!!"),"",IF(NOT(ISNA(VLOOKUP(E6231,E$1:E6230,1,FALSE()))),"OLD",IF(AND(E6231&lt;&gt;"",E6231&lt;&gt;"!!!"),"NEW","")))</f>
        <v> </v>
      </c>
      <c r="G6231" s="24" t="str">
        <f>IF(OR(E6231="",E6231="!!!"),"",IF(OR(J6231=0,AND(J6231=1,K6231=1),AND(J6231=1,I6231="SBJ"),AND(J6231=1,I6231=0)),"?IN_FOCUS",IF(J6231&lt;=2,"?ACTIVATED",IF(J6231&lt;&gt;"","?FAMILIAR",IF(F6231="NEW",IF(ISNA(VLOOKUP(E6231,#REF!,1,FALSE())),"?TYPE_IDENTIFIABLE","?REFERENTIAL"),"_")))))</f>
        <v> </v>
      </c>
      <c r="H6231" s="25" t="str">
        <f>IF(J6231&lt;&gt;1,"",IF(I6231="SBJ","CB","?"))</f>
        <v> </v>
      </c>
      <c r="I6231" s="26" t="str">
        <f>IF(OR(E6231="",E6231="!!!",F6231="NEW"),"",INDEX(B6230:B$2,-1+SUMPRODUCT(MAX(ROW(E6230:E$2)*(E6231=E6230:E$2)))))</f>
        <v> </v>
      </c>
      <c r="J6231" s="26" t="str">
        <f>IF(OR(E6231="",E6231="!!!",F6231="NEW"),"",COUNTBLANK(OFFSET(A$1,,,SUMPRODUCT(MAX(ROW(E$2:E6231)*(E6231=E$2:E6231)))))-COUNTBLANK(OFFSET(A$1,,,SUMPRODUCT(MAX(ROW(E$1:E6230)*(E2=E$1:E6230))))))</f>
        <v> </v>
      </c>
      <c r="K6231" s="26" t="str">
        <f>IF(OR(E6231="",E6231="!!!",F6231="NEW"),"",INDEX(J$1:J6230,SUMPRODUCT(MAX(ROW(E$1:E6230)*(E6231=E$1:E6230)))))</f>
        <v> </v>
      </c>
      <c r="L6231" s="27"/>
    </row>
    <row r="6232" spans="1:12">
      <c r="A6232" s="20" t="s">
        <v>1074</v>
      </c>
      <c r="E6232" s="22">
        <f>IF(D6232="?OLD","!!!","")</f>
        <v/>
      </c>
      <c r="F6232" s="23" t="str">
        <f>IF(OR(E6232="",E6232="!!!"),"",IF(NOT(ISNA(VLOOKUP(E6232,E$1:E6231,1,FALSE()))),"OLD",IF(AND(E6232&lt;&gt;"",E6232&lt;&gt;"!!!"),"NEW","")))</f>
        <v> </v>
      </c>
      <c r="G6232" s="24" t="str">
        <f>IF(OR(E6232="",E6232="!!!"),"",IF(OR(J6232=0,AND(J6232=1,K6232=1),AND(J6232=1,I6232="SBJ"),AND(J6232=1,I6232=0)),"?IN_FOCUS",IF(J6232&lt;=2,"?ACTIVATED",IF(J6232&lt;&gt;"","?FAMILIAR",IF(F6232="NEW",IF(ISNA(VLOOKUP(E6232,#REF!,1,FALSE())),"?TYPE_IDENTIFIABLE","?REFERENTIAL"),"_")))))</f>
        <v> </v>
      </c>
      <c r="H6232" s="25" t="str">
        <f>IF(J6232&lt;&gt;1,"",IF(I6232="SBJ","CB","?"))</f>
        <v> </v>
      </c>
      <c r="I6232" s="26" t="str">
        <f>IF(OR(E6232="",E6232="!!!",F6232="NEW"),"",INDEX(B6231:B$2,-1+SUMPRODUCT(MAX(ROW(E6231:E$2)*(E6232=E6231:E$2)))))</f>
        <v> </v>
      </c>
      <c r="J6232" s="26" t="str">
        <f>IF(OR(E6232="",E6232="!!!",F6232="NEW"),"",COUNTBLANK(OFFSET(A$1,,,SUMPRODUCT(MAX(ROW(E$2:E6232)*(E6232=E$2:E6232)))))-COUNTBLANK(OFFSET(A$1,,,SUMPRODUCT(MAX(ROW(E$1:E6231)*(E2=E$1:E6231))))))</f>
        <v> </v>
      </c>
      <c r="K6232" s="26" t="str">
        <f>IF(OR(E6232="",E6232="!!!",F6232="NEW"),"",INDEX(J$1:J6231,SUMPRODUCT(MAX(ROW(E$1:E6231)*(E6232=E$1:E6231)))))</f>
        <v> </v>
      </c>
      <c r="L6232" s="27"/>
    </row>
    <row r="6233" spans="1:12">
      <c r="A6233" s="20" t="s">
        <v>2093</v>
      </c>
      <c r="B6233" s="21" t="s">
        <v>986</v>
      </c>
      <c r="C6233" s="21" t="s">
        <v>995</v>
      </c>
      <c r="D6233" s="21" t="s">
        <v>978</v>
      </c>
      <c r="E6233" s="22">
        <f>IF(D6233="?OLD","!!!","")</f>
        <v/>
      </c>
      <c r="F6233" s="23" t="str">
        <f>IF(OR(E6233="",E6233="!!!"),"",IF(NOT(ISNA(VLOOKUP(E6233,E$1:E6232,1,FALSE()))),"OLD",IF(AND(E6233&lt;&gt;"",E6233&lt;&gt;"!!!"),"NEW","")))</f>
        <v> </v>
      </c>
      <c r="G6233" s="24" t="str">
        <f>IF(OR(E6233="",E6233="!!!"),"",IF(OR(J6233=0,AND(J6233=1,K6233=1),AND(J6233=1,I6233="SBJ"),AND(J6233=1,I6233=0)),"?IN_FOCUS",IF(J6233&lt;=2,"?ACTIVATED",IF(J6233&lt;&gt;"","?FAMILIAR",IF(F6233="NEW",IF(ISNA(VLOOKUP(E6233,#REF!,1,FALSE())),"?TYPE_IDENTIFIABLE","?REFERENTIAL"),"_")))))</f>
        <v> </v>
      </c>
      <c r="H6233" s="25" t="str">
        <f>IF(J6233&lt;&gt;1,"",IF(I6233="SBJ","CB","?"))</f>
        <v> </v>
      </c>
      <c r="I6233" s="26" t="str">
        <f>IF(OR(E6233="",E6233="!!!",F6233="NEW"),"",INDEX(B6232:B$2,-1+SUMPRODUCT(MAX(ROW(E6232:E$2)*(E6233=E6232:E$2)))))</f>
        <v> </v>
      </c>
      <c r="J6233" s="26" t="str">
        <f>IF(OR(E6233="",E6233="!!!",F6233="NEW"),"",COUNTBLANK(OFFSET(A$1,,,SUMPRODUCT(MAX(ROW(E$2:E6233)*(E6233=E$2:E6233)))))-COUNTBLANK(OFFSET(A$1,,,SUMPRODUCT(MAX(ROW(E$1:E6232)*(E2=E$1:E6232))))))</f>
        <v> </v>
      </c>
      <c r="K6233" s="26" t="str">
        <f>IF(OR(E6233="",E6233="!!!",F6233="NEW"),"",INDEX(J$1:J6232,SUMPRODUCT(MAX(ROW(E$1:E6232)*(E6233=E$1:E6232)))))</f>
        <v> </v>
      </c>
      <c r="L6233" s="27"/>
    </row>
    <row r="6234" spans="1:12">
      <c r="A6234" s="20" t="s">
        <v>1022</v>
      </c>
      <c r="E6234" s="22">
        <f>IF(D6234="?OLD","!!!","")</f>
        <v/>
      </c>
      <c r="F6234" s="23" t="str">
        <f>IF(OR(E6234="",E6234="!!!"),"",IF(NOT(ISNA(VLOOKUP(E6234,E$1:E6233,1,FALSE()))),"OLD",IF(AND(E6234&lt;&gt;"",E6234&lt;&gt;"!!!"),"NEW","")))</f>
        <v> </v>
      </c>
      <c r="G6234" s="24" t="str">
        <f>IF(OR(E6234="",E6234="!!!"),"",IF(OR(J6234=0,AND(J6234=1,K6234=1),AND(J6234=1,I6234="SBJ"),AND(J6234=1,I6234=0)),"?IN_FOCUS",IF(J6234&lt;=2,"?ACTIVATED",IF(J6234&lt;&gt;"","?FAMILIAR",IF(F6234="NEW",IF(ISNA(VLOOKUP(E6234,#REF!,1,FALSE())),"?TYPE_IDENTIFIABLE","?REFERENTIAL"),"_")))))</f>
        <v> </v>
      </c>
      <c r="H6234" s="25" t="str">
        <f>IF(J6234&lt;&gt;1,"",IF(I6234="SBJ","CB","?"))</f>
        <v> </v>
      </c>
      <c r="I6234" s="26" t="str">
        <f>IF(OR(E6234="",E6234="!!!",F6234="NEW"),"",INDEX(B6233:B$2,-1+SUMPRODUCT(MAX(ROW(E6233:E$2)*(E6234=E6233:E$2)))))</f>
        <v> </v>
      </c>
      <c r="J6234" s="26" t="str">
        <f>IF(OR(E6234="",E6234="!!!",F6234="NEW"),"",COUNTBLANK(OFFSET(A$1,,,SUMPRODUCT(MAX(ROW(E$2:E6234)*(E6234=E$2:E6234)))))-COUNTBLANK(OFFSET(A$1,,,SUMPRODUCT(MAX(ROW(E$1:E6233)*(E2=E$1:E6233))))))</f>
        <v> </v>
      </c>
      <c r="K6234" s="26" t="str">
        <f>IF(OR(E6234="",E6234="!!!",F6234="NEW"),"",INDEX(J$1:J6233,SUMPRODUCT(MAX(ROW(E$1:E6233)*(E6234=E$1:E6233)))))</f>
        <v> </v>
      </c>
      <c r="L6234" s="27"/>
    </row>
    <row r="6235" spans="1:12">
      <c r="A6235" s="20"/>
    </row>
    <row r="6236" spans="1:12">
      <c r="A6236" s="20" t="s">
        <v>2537</v>
      </c>
    </row>
    <row r="6237" spans="1:12">
      <c r="A6237" s="20" t="s">
        <v>2538</v>
      </c>
      <c r="B6237" s="21" t="s">
        <v>1095</v>
      </c>
      <c r="C6237" s="21" t="s">
        <v>1008</v>
      </c>
      <c r="D6237" s="21" t="s">
        <v>978</v>
      </c>
      <c r="E6237" s="22">
        <f>IF(D6237="?OLD","!!!","")</f>
        <v/>
      </c>
      <c r="F6237" s="23" t="str">
        <f>IF(OR(E6237="",E6237="!!!"),"",IF(NOT(ISNA(VLOOKUP(E6237,E$1:E6236,1,FALSE()))),"OLD",IF(AND(E6237&lt;&gt;"",E6237&lt;&gt;"!!!"),"NEW","")))</f>
        <v> </v>
      </c>
      <c r="G6237" s="24" t="str">
        <f>IF(OR(E6237="",E6237="!!!"),"",IF(OR(J6237=0,AND(J6237=1,K6237=1),AND(J6237=1,I6237="SBJ"),AND(J6237=1,I6237=0)),"?IN_FOCUS",IF(J6237&lt;=2,"?ACTIVATED",IF(J6237&lt;&gt;"","?FAMILIAR",IF(F6237="NEW",IF(ISNA(VLOOKUP(E6237,#REF!,1,FALSE())),"?TYPE_IDENTIFIABLE","?REFERENTIAL"),"_")))))</f>
        <v> </v>
      </c>
      <c r="H6237" s="25" t="str">
        <f>IF(J6237&lt;&gt;1,"",IF(I6237="SBJ","CB","?"))</f>
        <v> </v>
      </c>
      <c r="I6237" s="26" t="str">
        <f>IF(OR(E6237="",E6237="!!!",F6237="NEW"),"",INDEX(B6236:B$2,-1+SUMPRODUCT(MAX(ROW(E6236:E$2)*(E6237=E6236:E$2)))))</f>
        <v> </v>
      </c>
      <c r="J6237" s="26" t="str">
        <f>IF(OR(E6237="",E6237="!!!",F6237="NEW"),"",COUNTBLANK(OFFSET(A$1,,,SUMPRODUCT(MAX(ROW(E$2:E6237)*(E6237=E$2:E6237)))))-COUNTBLANK(OFFSET(A$1,,,SUMPRODUCT(MAX(ROW(E$1:E6236)*(E2=E$1:E6236))))))</f>
        <v> </v>
      </c>
      <c r="K6237" s="26" t="str">
        <f>IF(OR(E6237="",E6237="!!!",F6237="NEW"),"",INDEX(J$1:J6236,SUMPRODUCT(MAX(ROW(E$1:E6236)*(E6237=E$1:E6236)))))</f>
        <v> </v>
      </c>
      <c r="L6237" s="27"/>
    </row>
    <row r="6238" spans="1:12">
      <c r="A6238" s="20" t="s">
        <v>1135</v>
      </c>
      <c r="B6238" s="21" t="s">
        <v>1052</v>
      </c>
      <c r="C6238" s="21" t="s">
        <v>977</v>
      </c>
      <c r="D6238" s="21" t="s">
        <v>978</v>
      </c>
      <c r="E6238" s="22">
        <f>IF(D6238="?OLD","!!!","")</f>
        <v/>
      </c>
      <c r="F6238" s="23" t="str">
        <f>IF(OR(E6238="",E6238="!!!"),"",IF(NOT(ISNA(VLOOKUP(E6238,E$1:E6237,1,FALSE()))),"OLD",IF(AND(E6238&lt;&gt;"",E6238&lt;&gt;"!!!"),"NEW","")))</f>
        <v> </v>
      </c>
      <c r="G6238" s="24" t="str">
        <f>IF(OR(E6238="",E6238="!!!"),"",IF(OR(J6238=0,AND(J6238=1,K6238=1),AND(J6238=1,I6238="SBJ"),AND(J6238=1,I6238=0)),"?IN_FOCUS",IF(J6238&lt;=2,"?ACTIVATED",IF(J6238&lt;&gt;"","?FAMILIAR",IF(F6238="NEW",IF(ISNA(VLOOKUP(E6238,#REF!,1,FALSE())),"?TYPE_IDENTIFIABLE","?REFERENTIAL"),"_")))))</f>
        <v> </v>
      </c>
      <c r="H6238" s="25" t="str">
        <f>IF(J6238&lt;&gt;1,"",IF(I6238="SBJ","CB","?"))</f>
        <v> </v>
      </c>
      <c r="I6238" s="26" t="str">
        <f>IF(OR(E6238="",E6238="!!!",F6238="NEW"),"",INDEX(B6237:B$2,-1+SUMPRODUCT(MAX(ROW(E6237:E$2)*(E6238=E6237:E$2)))))</f>
        <v> </v>
      </c>
      <c r="J6238" s="26" t="str">
        <f>IF(OR(E6238="",E6238="!!!",F6238="NEW"),"",COUNTBLANK(OFFSET(A$1,,,SUMPRODUCT(MAX(ROW(E$2:E6238)*(E6238=E$2:E6238)))))-COUNTBLANK(OFFSET(A$1,,,SUMPRODUCT(MAX(ROW(E$1:E6237)*(E2=E$1:E6237))))))</f>
        <v> </v>
      </c>
      <c r="K6238" s="26" t="str">
        <f>IF(OR(E6238="",E6238="!!!",F6238="NEW"),"",INDEX(J$1:J6237,SUMPRODUCT(MAX(ROW(E$1:E6237)*(E6238=E$1:E6237)))))</f>
        <v> </v>
      </c>
      <c r="L6238" s="27"/>
    </row>
    <row r="6239" spans="1:12">
      <c r="A6239" s="20" t="s">
        <v>1323</v>
      </c>
      <c r="E6239" s="22">
        <f>IF(D6239="?OLD","!!!","")</f>
        <v/>
      </c>
      <c r="F6239" s="23" t="str">
        <f>IF(OR(E6239="",E6239="!!!"),"",IF(NOT(ISNA(VLOOKUP(E6239,E$1:E6238,1,FALSE()))),"OLD",IF(AND(E6239&lt;&gt;"",E6239&lt;&gt;"!!!"),"NEW","")))</f>
        <v> </v>
      </c>
      <c r="G6239" s="24" t="str">
        <f>IF(OR(E6239="",E6239="!!!"),"",IF(OR(J6239=0,AND(J6239=1,K6239=1),AND(J6239=1,I6239="SBJ"),AND(J6239=1,I6239=0)),"?IN_FOCUS",IF(J6239&lt;=2,"?ACTIVATED",IF(J6239&lt;&gt;"","?FAMILIAR",IF(F6239="NEW",IF(ISNA(VLOOKUP(E6239,#REF!,1,FALSE())),"?TYPE_IDENTIFIABLE","?REFERENTIAL"),"_")))))</f>
        <v> </v>
      </c>
      <c r="H6239" s="25" t="str">
        <f>IF(J6239&lt;&gt;1,"",IF(I6239="SBJ","CB","?"))</f>
        <v> </v>
      </c>
      <c r="I6239" s="26" t="str">
        <f>IF(OR(E6239="",E6239="!!!",F6239="NEW"),"",INDEX(B6238:B$2,-1+SUMPRODUCT(MAX(ROW(E6238:E$2)*(E6239=E6238:E$2)))))</f>
        <v> </v>
      </c>
      <c r="J6239" s="26" t="str">
        <f>IF(OR(E6239="",E6239="!!!",F6239="NEW"),"",COUNTBLANK(OFFSET(A$1,,,SUMPRODUCT(MAX(ROW(E$2:E6239)*(E6239=E$2:E6239)))))-COUNTBLANK(OFFSET(A$1,,,SUMPRODUCT(MAX(ROW(E$1:E6238)*(E2=E$1:E6238))))))</f>
        <v> </v>
      </c>
      <c r="K6239" s="26" t="str">
        <f>IF(OR(E6239="",E6239="!!!",F6239="NEW"),"",INDEX(J$1:J6238,SUMPRODUCT(MAX(ROW(E$1:E6238)*(E6239=E$1:E6238)))))</f>
        <v> </v>
      </c>
      <c r="L6239" s="27"/>
    </row>
    <row r="6240" spans="1:12">
      <c r="A6240" s="20" t="s">
        <v>2539</v>
      </c>
      <c r="E6240" s="22">
        <f>IF(D6240="?OLD","!!!","")</f>
        <v/>
      </c>
      <c r="F6240" s="23" t="str">
        <f>IF(OR(E6240="",E6240="!!!"),"",IF(NOT(ISNA(VLOOKUP(E6240,E$1:E6239,1,FALSE()))),"OLD",IF(AND(E6240&lt;&gt;"",E6240&lt;&gt;"!!!"),"NEW","")))</f>
        <v> </v>
      </c>
      <c r="G6240" s="24" t="str">
        <f>IF(OR(E6240="",E6240="!!!"),"",IF(OR(J6240=0,AND(J6240=1,K6240=1),AND(J6240=1,I6240="SBJ"),AND(J6240=1,I6240=0)),"?IN_FOCUS",IF(J6240&lt;=2,"?ACTIVATED",IF(J6240&lt;&gt;"","?FAMILIAR",IF(F6240="NEW",IF(ISNA(VLOOKUP(E6240,#REF!,1,FALSE())),"?TYPE_IDENTIFIABLE","?REFERENTIAL"),"_")))))</f>
        <v> </v>
      </c>
      <c r="H6240" s="25" t="str">
        <f>IF(J6240&lt;&gt;1,"",IF(I6240="SBJ","CB","?"))</f>
        <v> </v>
      </c>
      <c r="I6240" s="26" t="str">
        <f>IF(OR(E6240="",E6240="!!!",F6240="NEW"),"",INDEX(B6239:B$2,-1+SUMPRODUCT(MAX(ROW(E6239:E$2)*(E6240=E6239:E$2)))))</f>
        <v> </v>
      </c>
      <c r="J6240" s="26" t="str">
        <f>IF(OR(E6240="",E6240="!!!",F6240="NEW"),"",COUNTBLANK(OFFSET(A$1,,,SUMPRODUCT(MAX(ROW(E$2:E6240)*(E6240=E$2:E6240)))))-COUNTBLANK(OFFSET(A$1,,,SUMPRODUCT(MAX(ROW(E$1:E6239)*(E2=E$1:E6239))))))</f>
        <v> </v>
      </c>
      <c r="K6240" s="26" t="str">
        <f>IF(OR(E6240="",E6240="!!!",F6240="NEW"),"",INDEX(J$1:J6239,SUMPRODUCT(MAX(ROW(E$1:E6239)*(E6240=E$1:E6239)))))</f>
        <v> </v>
      </c>
      <c r="L6240" s="27"/>
    </row>
    <row r="6241" spans="1:12">
      <c r="A6241" s="20" t="s">
        <v>996</v>
      </c>
      <c r="E6241" s="22">
        <f>IF(D6241="?OLD","!!!","")</f>
        <v/>
      </c>
      <c r="F6241" s="23" t="str">
        <f>IF(OR(E6241="",E6241="!!!"),"",IF(NOT(ISNA(VLOOKUP(E6241,E$1:E6240,1,FALSE()))),"OLD",IF(AND(E6241&lt;&gt;"",E6241&lt;&gt;"!!!"),"NEW","")))</f>
        <v> </v>
      </c>
      <c r="G6241" s="24" t="str">
        <f>IF(OR(E6241="",E6241="!!!"),"",IF(OR(J6241=0,AND(J6241=1,K6241=1),AND(J6241=1,I6241="SBJ"),AND(J6241=1,I6241=0)),"?IN_FOCUS",IF(J6241&lt;=2,"?ACTIVATED",IF(J6241&lt;&gt;"","?FAMILIAR",IF(F6241="NEW",IF(ISNA(VLOOKUP(E6241,#REF!,1,FALSE())),"?TYPE_IDENTIFIABLE","?REFERENTIAL"),"_")))))</f>
        <v> </v>
      </c>
      <c r="H6241" s="25" t="str">
        <f>IF(J6241&lt;&gt;1,"",IF(I6241="SBJ","CB","?"))</f>
        <v> </v>
      </c>
      <c r="I6241" s="26" t="str">
        <f>IF(OR(E6241="",E6241="!!!",F6241="NEW"),"",INDEX(B6240:B$2,-1+SUMPRODUCT(MAX(ROW(E6240:E$2)*(E6241=E6240:E$2)))))</f>
        <v> </v>
      </c>
      <c r="J6241" s="26" t="str">
        <f>IF(OR(E6241="",E6241="!!!",F6241="NEW"),"",COUNTBLANK(OFFSET(A$1,,,SUMPRODUCT(MAX(ROW(E$2:E6241)*(E6241=E$2:E6241)))))-COUNTBLANK(OFFSET(A$1,,,SUMPRODUCT(MAX(ROW(E$1:E6240)*(E2=E$1:E6240))))))</f>
        <v> </v>
      </c>
      <c r="K6241" s="26" t="str">
        <f>IF(OR(E6241="",E6241="!!!",F6241="NEW"),"",INDEX(J$1:J6240,SUMPRODUCT(MAX(ROW(E$1:E6240)*(E6241=E$1:E6240)))))</f>
        <v> </v>
      </c>
      <c r="L6241" s="27"/>
    </row>
    <row r="6242" spans="1:12">
      <c r="A6242" s="20" t="s">
        <v>993</v>
      </c>
      <c r="E6242" s="22">
        <f>IF(D6242="?OLD","!!!","")</f>
        <v/>
      </c>
      <c r="F6242" s="23" t="str">
        <f>IF(OR(E6242="",E6242="!!!"),"",IF(NOT(ISNA(VLOOKUP(E6242,E$1:E6241,1,FALSE()))),"OLD",IF(AND(E6242&lt;&gt;"",E6242&lt;&gt;"!!!"),"NEW","")))</f>
        <v> </v>
      </c>
      <c r="G6242" s="24" t="str">
        <f>IF(OR(E6242="",E6242="!!!"),"",IF(OR(J6242=0,AND(J6242=1,K6242=1),AND(J6242=1,I6242="SBJ"),AND(J6242=1,I6242=0)),"?IN_FOCUS",IF(J6242&lt;=2,"?ACTIVATED",IF(J6242&lt;&gt;"","?FAMILIAR",IF(F6242="NEW",IF(ISNA(VLOOKUP(E6242,#REF!,1,FALSE())),"?TYPE_IDENTIFIABLE","?REFERENTIAL"),"_")))))</f>
        <v> </v>
      </c>
      <c r="H6242" s="25" t="str">
        <f>IF(J6242&lt;&gt;1,"",IF(I6242="SBJ","CB","?"))</f>
        <v> </v>
      </c>
      <c r="I6242" s="26" t="str">
        <f>IF(OR(E6242="",E6242="!!!",F6242="NEW"),"",INDEX(B6241:B$2,-1+SUMPRODUCT(MAX(ROW(E6241:E$2)*(E6242=E6241:E$2)))))</f>
        <v> </v>
      </c>
      <c r="J6242" s="26" t="str">
        <f>IF(OR(E6242="",E6242="!!!",F6242="NEW"),"",COUNTBLANK(OFFSET(A$1,,,SUMPRODUCT(MAX(ROW(E$2:E6242)*(E6242=E$2:E6242)))))-COUNTBLANK(OFFSET(A$1,,,SUMPRODUCT(MAX(ROW(E$1:E6241)*(E2=E$1:E6241))))))</f>
        <v> </v>
      </c>
      <c r="K6242" s="26" t="str">
        <f>IF(OR(E6242="",E6242="!!!",F6242="NEW"),"",INDEX(J$1:J6241,SUMPRODUCT(MAX(ROW(E$1:E6241)*(E6242=E$1:E6241)))))</f>
        <v> </v>
      </c>
      <c r="L6242" s="27"/>
    </row>
    <row r="6243" spans="1:12">
      <c r="A6243" s="20" t="s">
        <v>2471</v>
      </c>
      <c r="B6243" s="21" t="s">
        <v>986</v>
      </c>
      <c r="C6243" s="21" t="s">
        <v>995</v>
      </c>
      <c r="D6243" s="21" t="s">
        <v>978</v>
      </c>
      <c r="E6243" s="22">
        <f>IF(D6243="?OLD","!!!","")</f>
        <v/>
      </c>
      <c r="F6243" s="23" t="str">
        <f>IF(OR(E6243="",E6243="!!!"),"",IF(NOT(ISNA(VLOOKUP(E6243,E$1:E6242,1,FALSE()))),"OLD",IF(AND(E6243&lt;&gt;"",E6243&lt;&gt;"!!!"),"NEW","")))</f>
        <v> </v>
      </c>
      <c r="G6243" s="24" t="str">
        <f>IF(OR(E6243="",E6243="!!!"),"",IF(OR(J6243=0,AND(J6243=1,K6243=1),AND(J6243=1,I6243="SBJ"),AND(J6243=1,I6243=0)),"?IN_FOCUS",IF(J6243&lt;=2,"?ACTIVATED",IF(J6243&lt;&gt;"","?FAMILIAR",IF(F6243="NEW",IF(ISNA(VLOOKUP(E6243,#REF!,1,FALSE())),"?TYPE_IDENTIFIABLE","?REFERENTIAL"),"_")))))</f>
        <v> </v>
      </c>
      <c r="H6243" s="25" t="str">
        <f>IF(J6243&lt;&gt;1,"",IF(I6243="SBJ","CB","?"))</f>
        <v> </v>
      </c>
      <c r="I6243" s="26" t="str">
        <f>IF(OR(E6243="",E6243="!!!",F6243="NEW"),"",INDEX(B6242:B$2,-1+SUMPRODUCT(MAX(ROW(E6242:E$2)*(E6243=E6242:E$2)))))</f>
        <v> </v>
      </c>
      <c r="J6243" s="26" t="str">
        <f>IF(OR(E6243="",E6243="!!!",F6243="NEW"),"",COUNTBLANK(OFFSET(A$1,,,SUMPRODUCT(MAX(ROW(E$2:E6243)*(E6243=E$2:E6243)))))-COUNTBLANK(OFFSET(A$1,,,SUMPRODUCT(MAX(ROW(E$1:E6242)*(E2=E$1:E6242))))))</f>
        <v> </v>
      </c>
      <c r="K6243" s="26" t="str">
        <f>IF(OR(E6243="",E6243="!!!",F6243="NEW"),"",INDEX(J$1:J6242,SUMPRODUCT(MAX(ROW(E$1:E6242)*(E6243=E$1:E6242)))))</f>
        <v> </v>
      </c>
      <c r="L6243" s="27"/>
    </row>
    <row r="6244" spans="1:12">
      <c r="A6244" s="20" t="s">
        <v>996</v>
      </c>
      <c r="E6244" s="22">
        <f>IF(D6244="?OLD","!!!","")</f>
        <v/>
      </c>
      <c r="F6244" s="23" t="str">
        <f>IF(OR(E6244="",E6244="!!!"),"",IF(NOT(ISNA(VLOOKUP(E6244,E$1:E6243,1,FALSE()))),"OLD",IF(AND(E6244&lt;&gt;"",E6244&lt;&gt;"!!!"),"NEW","")))</f>
        <v> </v>
      </c>
      <c r="G6244" s="24" t="str">
        <f>IF(OR(E6244="",E6244="!!!"),"",IF(OR(J6244=0,AND(J6244=1,K6244=1),AND(J6244=1,I6244="SBJ"),AND(J6244=1,I6244=0)),"?IN_FOCUS",IF(J6244&lt;=2,"?ACTIVATED",IF(J6244&lt;&gt;"","?FAMILIAR",IF(F6244="NEW",IF(ISNA(VLOOKUP(E6244,#REF!,1,FALSE())),"?TYPE_IDENTIFIABLE","?REFERENTIAL"),"_")))))</f>
        <v> </v>
      </c>
      <c r="H6244" s="25" t="str">
        <f>IF(J6244&lt;&gt;1,"",IF(I6244="SBJ","CB","?"))</f>
        <v> </v>
      </c>
      <c r="I6244" s="26" t="str">
        <f>IF(OR(E6244="",E6244="!!!",F6244="NEW"),"",INDEX(B6243:B$2,-1+SUMPRODUCT(MAX(ROW(E6243:E$2)*(E6244=E6243:E$2)))))</f>
        <v> </v>
      </c>
      <c r="J6244" s="26" t="str">
        <f>IF(OR(E6244="",E6244="!!!",F6244="NEW"),"",COUNTBLANK(OFFSET(A$1,,,SUMPRODUCT(MAX(ROW(E$2:E6244)*(E6244=E$2:E6244)))))-COUNTBLANK(OFFSET(A$1,,,SUMPRODUCT(MAX(ROW(E$1:E6243)*(E2=E$1:E6243))))))</f>
        <v> </v>
      </c>
      <c r="K6244" s="26" t="str">
        <f>IF(OR(E6244="",E6244="!!!",F6244="NEW"),"",INDEX(J$1:J6243,SUMPRODUCT(MAX(ROW(E$1:E6243)*(E6244=E$1:E6243)))))</f>
        <v> </v>
      </c>
      <c r="L6244" s="27"/>
    </row>
    <row r="6245" spans="1:12">
      <c r="A6245" s="20" t="s">
        <v>1184</v>
      </c>
      <c r="B6245" s="21" t="s">
        <v>1054</v>
      </c>
      <c r="C6245" s="21" t="s">
        <v>1057</v>
      </c>
      <c r="E6245" s="22">
        <f>IF(D6245="?OLD","!!!","")</f>
        <v/>
      </c>
      <c r="F6245" s="23" t="str">
        <f>IF(OR(E6245="",E6245="!!!"),"",IF(NOT(ISNA(VLOOKUP(E6245,E$1:E6244,1,FALSE()))),"OLD",IF(AND(E6245&lt;&gt;"",E6245&lt;&gt;"!!!"),"NEW","")))</f>
        <v> </v>
      </c>
      <c r="G6245" s="24" t="str">
        <f>IF(OR(E6245="",E6245="!!!"),"",IF(OR(J6245=0,AND(J6245=1,K6245=1),AND(J6245=1,I6245="SBJ"),AND(J6245=1,I6245=0)),"?IN_FOCUS",IF(J6245&lt;=2,"?ACTIVATED",IF(J6245&lt;&gt;"","?FAMILIAR",IF(F6245="NEW",IF(ISNA(VLOOKUP(E6245,#REF!,1,FALSE())),"?TYPE_IDENTIFIABLE","?REFERENTIAL"),"_")))))</f>
        <v> </v>
      </c>
      <c r="H6245" s="25" t="str">
        <f>IF(J6245&lt;&gt;1,"",IF(I6245="SBJ","CB","?"))</f>
        <v> </v>
      </c>
      <c r="I6245" s="26" t="str">
        <f>IF(OR(E6245="",E6245="!!!",F6245="NEW"),"",INDEX(B6244:B$2,-1+SUMPRODUCT(MAX(ROW(E6244:E$2)*(E6245=E6244:E$2)))))</f>
        <v> </v>
      </c>
      <c r="J6245" s="26" t="str">
        <f>IF(OR(E6245="",E6245="!!!",F6245="NEW"),"",COUNTBLANK(OFFSET(A$1,,,SUMPRODUCT(MAX(ROW(E$2:E6245)*(E6245=E$2:E6245)))))-COUNTBLANK(OFFSET(A$1,,,SUMPRODUCT(MAX(ROW(E$1:E6244)*(E2=E$1:E6244))))))</f>
        <v> </v>
      </c>
      <c r="K6245" s="26" t="str">
        <f>IF(OR(E6245="",E6245="!!!",F6245="NEW"),"",INDEX(J$1:J6244,SUMPRODUCT(MAX(ROW(E$1:E6244)*(E6245=E$1:E6244)))))</f>
        <v> </v>
      </c>
      <c r="L6245" s="27"/>
    </row>
    <row r="6246" spans="1:12">
      <c r="A6246" s="20" t="s">
        <v>1230</v>
      </c>
      <c r="E6246" s="22">
        <f>IF(D6246="?OLD","!!!","")</f>
        <v/>
      </c>
      <c r="F6246" s="23" t="str">
        <f>IF(OR(E6246="",E6246="!!!"),"",IF(NOT(ISNA(VLOOKUP(E6246,E$1:E6245,1,FALSE()))),"OLD",IF(AND(E6246&lt;&gt;"",E6246&lt;&gt;"!!!"),"NEW","")))</f>
        <v> </v>
      </c>
      <c r="G6246" s="24" t="str">
        <f>IF(OR(E6246="",E6246="!!!"),"",IF(OR(J6246=0,AND(J6246=1,K6246=1),AND(J6246=1,I6246="SBJ"),AND(J6246=1,I6246=0)),"?IN_FOCUS",IF(J6246&lt;=2,"?ACTIVATED",IF(J6246&lt;&gt;"","?FAMILIAR",IF(F6246="NEW",IF(ISNA(VLOOKUP(E6246,#REF!,1,FALSE())),"?TYPE_IDENTIFIABLE","?REFERENTIAL"),"_")))))</f>
        <v> </v>
      </c>
      <c r="H6246" s="25" t="str">
        <f>IF(J6246&lt;&gt;1,"",IF(I6246="SBJ","CB","?"))</f>
        <v> </v>
      </c>
      <c r="I6246" s="26" t="str">
        <f>IF(OR(E6246="",E6246="!!!",F6246="NEW"),"",INDEX(B6245:B$2,-1+SUMPRODUCT(MAX(ROW(E6245:E$2)*(E6246=E6245:E$2)))))</f>
        <v> </v>
      </c>
      <c r="J6246" s="26" t="str">
        <f>IF(OR(E6246="",E6246="!!!",F6246="NEW"),"",COUNTBLANK(OFFSET(A$1,,,SUMPRODUCT(MAX(ROW(E$2:E6246)*(E6246=E$2:E6246)))))-COUNTBLANK(OFFSET(A$1,,,SUMPRODUCT(MAX(ROW(E$1:E6245)*(E2=E$1:E6245))))))</f>
        <v> </v>
      </c>
      <c r="K6246" s="26" t="str">
        <f>IF(OR(E6246="",E6246="!!!",F6246="NEW"),"",INDEX(J$1:J6245,SUMPRODUCT(MAX(ROW(E$1:E6245)*(E6246=E$1:E6245)))))</f>
        <v> </v>
      </c>
      <c r="L6246" s="27"/>
    </row>
    <row r="6247" spans="1:12">
      <c r="A6247" s="20" t="s">
        <v>1074</v>
      </c>
      <c r="E6247" s="22">
        <f>IF(D6247="?OLD","!!!","")</f>
        <v/>
      </c>
      <c r="F6247" s="23" t="str">
        <f>IF(OR(E6247="",E6247="!!!"),"",IF(NOT(ISNA(VLOOKUP(E6247,E$1:E6246,1,FALSE()))),"OLD",IF(AND(E6247&lt;&gt;"",E6247&lt;&gt;"!!!"),"NEW","")))</f>
        <v> </v>
      </c>
      <c r="G6247" s="24" t="str">
        <f>IF(OR(E6247="",E6247="!!!"),"",IF(OR(J6247=0,AND(J6247=1,K6247=1),AND(J6247=1,I6247="SBJ"),AND(J6247=1,I6247=0)),"?IN_FOCUS",IF(J6247&lt;=2,"?ACTIVATED",IF(J6247&lt;&gt;"","?FAMILIAR",IF(F6247="NEW",IF(ISNA(VLOOKUP(E6247,#REF!,1,FALSE())),"?TYPE_IDENTIFIABLE","?REFERENTIAL"),"_")))))</f>
        <v> </v>
      </c>
      <c r="H6247" s="25" t="str">
        <f>IF(J6247&lt;&gt;1,"",IF(I6247="SBJ","CB","?"))</f>
        <v> </v>
      </c>
      <c r="I6247" s="26" t="str">
        <f>IF(OR(E6247="",E6247="!!!",F6247="NEW"),"",INDEX(B6246:B$2,-1+SUMPRODUCT(MAX(ROW(E6246:E$2)*(E6247=E6246:E$2)))))</f>
        <v> </v>
      </c>
      <c r="J6247" s="26" t="str">
        <f>IF(OR(E6247="",E6247="!!!",F6247="NEW"),"",COUNTBLANK(OFFSET(A$1,,,SUMPRODUCT(MAX(ROW(E$2:E6247)*(E6247=E$2:E6247)))))-COUNTBLANK(OFFSET(A$1,,,SUMPRODUCT(MAX(ROW(E$1:E6246)*(E2=E$1:E6246))))))</f>
        <v> </v>
      </c>
      <c r="K6247" s="26" t="str">
        <f>IF(OR(E6247="",E6247="!!!",F6247="NEW"),"",INDEX(J$1:J6246,SUMPRODUCT(MAX(ROW(E$1:E6246)*(E6247=E$1:E6246)))))</f>
        <v> </v>
      </c>
      <c r="L6247" s="27"/>
    </row>
    <row r="6248" spans="1:12">
      <c r="A6248" s="20" t="s">
        <v>1514</v>
      </c>
      <c r="B6248" s="21" t="s">
        <v>1054</v>
      </c>
      <c r="C6248" s="21" t="s">
        <v>995</v>
      </c>
      <c r="D6248" s="21" t="s">
        <v>978</v>
      </c>
      <c r="E6248" s="22">
        <f>IF(D6248="?OLD","!!!","")</f>
        <v/>
      </c>
      <c r="F6248" s="23" t="str">
        <f>IF(OR(E6248="",E6248="!!!"),"",IF(NOT(ISNA(VLOOKUP(E6248,E$1:E6247,1,FALSE()))),"OLD",IF(AND(E6248&lt;&gt;"",E6248&lt;&gt;"!!!"),"NEW","")))</f>
        <v> </v>
      </c>
      <c r="G6248" s="24" t="str">
        <f>IF(OR(E6248="",E6248="!!!"),"",IF(OR(J6248=0,AND(J6248=1,K6248=1),AND(J6248=1,I6248="SBJ"),AND(J6248=1,I6248=0)),"?IN_FOCUS",IF(J6248&lt;=2,"?ACTIVATED",IF(J6248&lt;&gt;"","?FAMILIAR",IF(F6248="NEW",IF(ISNA(VLOOKUP(E6248,#REF!,1,FALSE())),"?TYPE_IDENTIFIABLE","?REFERENTIAL"),"_")))))</f>
        <v> </v>
      </c>
      <c r="H6248" s="25" t="str">
        <f>IF(J6248&lt;&gt;1,"",IF(I6248="SBJ","CB","?"))</f>
        <v> </v>
      </c>
      <c r="I6248" s="26" t="str">
        <f>IF(OR(E6248="",E6248="!!!",F6248="NEW"),"",INDEX(B6247:B$2,-1+SUMPRODUCT(MAX(ROW(E6247:E$2)*(E6248=E6247:E$2)))))</f>
        <v> </v>
      </c>
      <c r="J6248" s="26" t="str">
        <f>IF(OR(E6248="",E6248="!!!",F6248="NEW"),"",COUNTBLANK(OFFSET(A$1,,,SUMPRODUCT(MAX(ROW(E$2:E6248)*(E6248=E$2:E6248)))))-COUNTBLANK(OFFSET(A$1,,,SUMPRODUCT(MAX(ROW(E$1:E6247)*(E2=E$1:E6247))))))</f>
        <v> </v>
      </c>
      <c r="K6248" s="26" t="str">
        <f>IF(OR(E6248="",E6248="!!!",F6248="NEW"),"",INDEX(J$1:J6247,SUMPRODUCT(MAX(ROW(E$1:E6247)*(E6248=E$1:E6247)))))</f>
        <v> </v>
      </c>
      <c r="L6248" s="27"/>
    </row>
    <row r="6249" spans="1:12">
      <c r="A6249" s="20" t="s">
        <v>1002</v>
      </c>
      <c r="E6249" s="22">
        <f>IF(D6249="?OLD","!!!","")</f>
        <v/>
      </c>
      <c r="F6249" s="23" t="str">
        <f>IF(OR(E6249="",E6249="!!!"),"",IF(NOT(ISNA(VLOOKUP(E6249,E$1:E6248,1,FALSE()))),"OLD",IF(AND(E6249&lt;&gt;"",E6249&lt;&gt;"!!!"),"NEW","")))</f>
        <v> </v>
      </c>
      <c r="G6249" s="24" t="str">
        <f>IF(OR(E6249="",E6249="!!!"),"",IF(OR(J6249=0,AND(J6249=1,K6249=1),AND(J6249=1,I6249="SBJ"),AND(J6249=1,I6249=0)),"?IN_FOCUS",IF(J6249&lt;=2,"?ACTIVATED",IF(J6249&lt;&gt;"","?FAMILIAR",IF(F6249="NEW",IF(ISNA(VLOOKUP(E6249,#REF!,1,FALSE())),"?TYPE_IDENTIFIABLE","?REFERENTIAL"),"_")))))</f>
        <v> </v>
      </c>
      <c r="H6249" s="25" t="str">
        <f>IF(J6249&lt;&gt;1,"",IF(I6249="SBJ","CB","?"))</f>
        <v> </v>
      </c>
      <c r="I6249" s="26" t="str">
        <f>IF(OR(E6249="",E6249="!!!",F6249="NEW"),"",INDEX(B6248:B$2,-1+SUMPRODUCT(MAX(ROW(E6248:E$2)*(E6249=E6248:E$2)))))</f>
        <v> </v>
      </c>
      <c r="J6249" s="26" t="str">
        <f>IF(OR(E6249="",E6249="!!!",F6249="NEW"),"",COUNTBLANK(OFFSET(A$1,,,SUMPRODUCT(MAX(ROW(E$2:E6249)*(E6249=E$2:E6249)))))-COUNTBLANK(OFFSET(A$1,,,SUMPRODUCT(MAX(ROW(E$1:E6248)*(E2=E$1:E6248))))))</f>
        <v> </v>
      </c>
      <c r="K6249" s="26" t="str">
        <f>IF(OR(E6249="",E6249="!!!",F6249="NEW"),"",INDEX(J$1:J6248,SUMPRODUCT(MAX(ROW(E$1:E6248)*(E6249=E$1:E6248)))))</f>
        <v> </v>
      </c>
      <c r="L6249" s="27"/>
    </row>
    <row r="6250" spans="1:12">
      <c r="A6250" s="20" t="s">
        <v>1000</v>
      </c>
      <c r="E6250" s="22">
        <f>IF(D6250="?OLD","!!!","")</f>
        <v/>
      </c>
      <c r="F6250" s="23" t="str">
        <f>IF(OR(E6250="",E6250="!!!"),"",IF(NOT(ISNA(VLOOKUP(E6250,E$1:E6249,1,FALSE()))),"OLD",IF(AND(E6250&lt;&gt;"",E6250&lt;&gt;"!!!"),"NEW","")))</f>
        <v> </v>
      </c>
      <c r="G6250" s="24" t="str">
        <f>IF(OR(E6250="",E6250="!!!"),"",IF(OR(J6250=0,AND(J6250=1,K6250=1),AND(J6250=1,I6250="SBJ"),AND(J6250=1,I6250=0)),"?IN_FOCUS",IF(J6250&lt;=2,"?ACTIVATED",IF(J6250&lt;&gt;"","?FAMILIAR",IF(F6250="NEW",IF(ISNA(VLOOKUP(E6250,#REF!,1,FALSE())),"?TYPE_IDENTIFIABLE","?REFERENTIAL"),"_")))))</f>
        <v> </v>
      </c>
      <c r="H6250" s="25" t="str">
        <f>IF(J6250&lt;&gt;1,"",IF(I6250="SBJ","CB","?"))</f>
        <v> </v>
      </c>
      <c r="I6250" s="26" t="str">
        <f>IF(OR(E6250="",E6250="!!!",F6250="NEW"),"",INDEX(B6249:B$2,-1+SUMPRODUCT(MAX(ROW(E6249:E$2)*(E6250=E6249:E$2)))))</f>
        <v> </v>
      </c>
      <c r="J6250" s="26" t="str">
        <f>IF(OR(E6250="",E6250="!!!",F6250="NEW"),"",COUNTBLANK(OFFSET(A$1,,,SUMPRODUCT(MAX(ROW(E$2:E6250)*(E6250=E$2:E6250)))))-COUNTBLANK(OFFSET(A$1,,,SUMPRODUCT(MAX(ROW(E$1:E6249)*(E2=E$1:E6249))))))</f>
        <v> </v>
      </c>
      <c r="K6250" s="26" t="str">
        <f>IF(OR(E6250="",E6250="!!!",F6250="NEW"),"",INDEX(J$1:J6249,SUMPRODUCT(MAX(ROW(E$1:E6249)*(E6250=E$1:E6249)))))</f>
        <v> </v>
      </c>
      <c r="L6250" s="27"/>
    </row>
    <row r="6251" spans="1:12">
      <c r="A6251" s="20" t="s">
        <v>1092</v>
      </c>
      <c r="E6251" s="22">
        <f>IF(D6251="?OLD","!!!","")</f>
        <v/>
      </c>
      <c r="F6251" s="23" t="str">
        <f>IF(OR(E6251="",E6251="!!!"),"",IF(NOT(ISNA(VLOOKUP(E6251,E$1:E6250,1,FALSE()))),"OLD",IF(AND(E6251&lt;&gt;"",E6251&lt;&gt;"!!!"),"NEW","")))</f>
        <v> </v>
      </c>
      <c r="G6251" s="24" t="str">
        <f>IF(OR(E6251="",E6251="!!!"),"",IF(OR(J6251=0,AND(J6251=1,K6251=1),AND(J6251=1,I6251="SBJ"),AND(J6251=1,I6251=0)),"?IN_FOCUS",IF(J6251&lt;=2,"?ACTIVATED",IF(J6251&lt;&gt;"","?FAMILIAR",IF(F6251="NEW",IF(ISNA(VLOOKUP(E6251,#REF!,1,FALSE())),"?TYPE_IDENTIFIABLE","?REFERENTIAL"),"_")))))</f>
        <v> </v>
      </c>
      <c r="H6251" s="25" t="str">
        <f>IF(J6251&lt;&gt;1,"",IF(I6251="SBJ","CB","?"))</f>
        <v> </v>
      </c>
      <c r="I6251" s="26" t="str">
        <f>IF(OR(E6251="",E6251="!!!",F6251="NEW"),"",INDEX(B6250:B$2,-1+SUMPRODUCT(MAX(ROW(E6250:E$2)*(E6251=E6250:E$2)))))</f>
        <v> </v>
      </c>
      <c r="J6251" s="26" t="str">
        <f>IF(OR(E6251="",E6251="!!!",F6251="NEW"),"",COUNTBLANK(OFFSET(A$1,,,SUMPRODUCT(MAX(ROW(E$2:E6251)*(E6251=E$2:E6251)))))-COUNTBLANK(OFFSET(A$1,,,SUMPRODUCT(MAX(ROW(E$1:E6250)*(E2=E$1:E6250))))))</f>
        <v> </v>
      </c>
      <c r="K6251" s="26" t="str">
        <f>IF(OR(E6251="",E6251="!!!",F6251="NEW"),"",INDEX(J$1:J6250,SUMPRODUCT(MAX(ROW(E$1:E6250)*(E6251=E$1:E6250)))))</f>
        <v> </v>
      </c>
      <c r="L6251" s="27"/>
    </row>
    <row r="6252" spans="1:12">
      <c r="A6252" s="20" t="s">
        <v>1162</v>
      </c>
      <c r="B6252" s="21" t="s">
        <v>986</v>
      </c>
      <c r="C6252" s="21" t="s">
        <v>995</v>
      </c>
      <c r="D6252" s="21" t="s">
        <v>978</v>
      </c>
      <c r="E6252" s="22">
        <f>IF(D6252="?OLD","!!!","")</f>
        <v/>
      </c>
      <c r="F6252" s="23" t="str">
        <f>IF(OR(E6252="",E6252="!!!"),"",IF(NOT(ISNA(VLOOKUP(E6252,E$1:E6251,1,FALSE()))),"OLD",IF(AND(E6252&lt;&gt;"",E6252&lt;&gt;"!!!"),"NEW","")))</f>
        <v> </v>
      </c>
      <c r="G6252" s="24" t="str">
        <f>IF(OR(E6252="",E6252="!!!"),"",IF(OR(J6252=0,AND(J6252=1,K6252=1),AND(J6252=1,I6252="SBJ"),AND(J6252=1,I6252=0)),"?IN_FOCUS",IF(J6252&lt;=2,"?ACTIVATED",IF(J6252&lt;&gt;"","?FAMILIAR",IF(F6252="NEW",IF(ISNA(VLOOKUP(E6252,#REF!,1,FALSE())),"?TYPE_IDENTIFIABLE","?REFERENTIAL"),"_")))))</f>
        <v> </v>
      </c>
      <c r="H6252" s="25" t="str">
        <f>IF(J6252&lt;&gt;1,"",IF(I6252="SBJ","CB","?"))</f>
        <v> </v>
      </c>
      <c r="I6252" s="26" t="str">
        <f>IF(OR(E6252="",E6252="!!!",F6252="NEW"),"",INDEX(B6251:B$2,-1+SUMPRODUCT(MAX(ROW(E6251:E$2)*(E6252=E6251:E$2)))))</f>
        <v> </v>
      </c>
      <c r="J6252" s="26" t="str">
        <f>IF(OR(E6252="",E6252="!!!",F6252="NEW"),"",COUNTBLANK(OFFSET(A$1,,,SUMPRODUCT(MAX(ROW(E$2:E6252)*(E6252=E$2:E6252)))))-COUNTBLANK(OFFSET(A$1,,,SUMPRODUCT(MAX(ROW(E$1:E6251)*(E2=E$1:E6251))))))</f>
        <v> </v>
      </c>
      <c r="K6252" s="26" t="str">
        <f>IF(OR(E6252="",E6252="!!!",F6252="NEW"),"",INDEX(J$1:J6251,SUMPRODUCT(MAX(ROW(E$1:E6251)*(E6252=E$1:E6251)))))</f>
        <v> </v>
      </c>
      <c r="L6252" s="27"/>
    </row>
    <row r="6253" spans="1:12">
      <c r="A6253" s="20" t="s">
        <v>2540</v>
      </c>
      <c r="E6253" s="22">
        <f>IF(D6253="?OLD","!!!","")</f>
        <v/>
      </c>
      <c r="F6253" s="23" t="str">
        <f>IF(OR(E6253="",E6253="!!!"),"",IF(NOT(ISNA(VLOOKUP(E6253,E$1:E6252,1,FALSE()))),"OLD",IF(AND(E6253&lt;&gt;"",E6253&lt;&gt;"!!!"),"NEW","")))</f>
        <v> </v>
      </c>
      <c r="G6253" s="24" t="str">
        <f>IF(OR(E6253="",E6253="!!!"),"",IF(OR(J6253=0,AND(J6253=1,K6253=1),AND(J6253=1,I6253="SBJ"),AND(J6253=1,I6253=0)),"?IN_FOCUS",IF(J6253&lt;=2,"?ACTIVATED",IF(J6253&lt;&gt;"","?FAMILIAR",IF(F6253="NEW",IF(ISNA(VLOOKUP(E6253,#REF!,1,FALSE())),"?TYPE_IDENTIFIABLE","?REFERENTIAL"),"_")))))</f>
        <v> </v>
      </c>
      <c r="H6253" s="25" t="str">
        <f>IF(J6253&lt;&gt;1,"",IF(I6253="SBJ","CB","?"))</f>
        <v> </v>
      </c>
      <c r="I6253" s="26" t="str">
        <f>IF(OR(E6253="",E6253="!!!",F6253="NEW"),"",INDEX(B6252:B$2,-1+SUMPRODUCT(MAX(ROW(E6252:E$2)*(E6253=E6252:E$2)))))</f>
        <v> </v>
      </c>
      <c r="J6253" s="26" t="str">
        <f>IF(OR(E6253="",E6253="!!!",F6253="NEW"),"",COUNTBLANK(OFFSET(A$1,,,SUMPRODUCT(MAX(ROW(E$2:E6253)*(E6253=E$2:E6253)))))-COUNTBLANK(OFFSET(A$1,,,SUMPRODUCT(MAX(ROW(E$1:E6252)*(E2=E$1:E6252))))))</f>
        <v> </v>
      </c>
      <c r="K6253" s="26" t="str">
        <f>IF(OR(E6253="",E6253="!!!",F6253="NEW"),"",INDEX(J$1:J6252,SUMPRODUCT(MAX(ROW(E$1:E6252)*(E6253=E$1:E6252)))))</f>
        <v> </v>
      </c>
      <c r="L6253" s="27"/>
    </row>
    <row r="6254" spans="1:12">
      <c r="A6254" s="20" t="s">
        <v>1058</v>
      </c>
      <c r="E6254" s="22">
        <f>IF(D6254="?OLD","!!!","")</f>
        <v/>
      </c>
      <c r="F6254" s="23" t="str">
        <f>IF(OR(E6254="",E6254="!!!"),"",IF(NOT(ISNA(VLOOKUP(E6254,E$1:E6253,1,FALSE()))),"OLD",IF(AND(E6254&lt;&gt;"",E6254&lt;&gt;"!!!"),"NEW","")))</f>
        <v> </v>
      </c>
      <c r="G6254" s="24" t="str">
        <f>IF(OR(E6254="",E6254="!!!"),"",IF(OR(J6254=0,AND(J6254=1,K6254=1),AND(J6254=1,I6254="SBJ"),AND(J6254=1,I6254=0)),"?IN_FOCUS",IF(J6254&lt;=2,"?ACTIVATED",IF(J6254&lt;&gt;"","?FAMILIAR",IF(F6254="NEW",IF(ISNA(VLOOKUP(E6254,#REF!,1,FALSE())),"?TYPE_IDENTIFIABLE","?REFERENTIAL"),"_")))))</f>
        <v> </v>
      </c>
      <c r="H6254" s="25" t="str">
        <f>IF(J6254&lt;&gt;1,"",IF(I6254="SBJ","CB","?"))</f>
        <v> </v>
      </c>
      <c r="I6254" s="26" t="str">
        <f>IF(OR(E6254="",E6254="!!!",F6254="NEW"),"",INDEX(B6253:B$2,-1+SUMPRODUCT(MAX(ROW(E6253:E$2)*(E6254=E6253:E$2)))))</f>
        <v> </v>
      </c>
      <c r="J6254" s="26" t="str">
        <f>IF(OR(E6254="",E6254="!!!",F6254="NEW"),"",COUNTBLANK(OFFSET(A$1,,,SUMPRODUCT(MAX(ROW(E$2:E6254)*(E6254=E$2:E6254)))))-COUNTBLANK(OFFSET(A$1,,,SUMPRODUCT(MAX(ROW(E$1:E6253)*(E2=E$1:E6253))))))</f>
        <v> </v>
      </c>
      <c r="K6254" s="26" t="str">
        <f>IF(OR(E6254="",E6254="!!!",F6254="NEW"),"",INDEX(J$1:J6253,SUMPRODUCT(MAX(ROW(E$1:E6253)*(E6254=E$1:E6253)))))</f>
        <v> </v>
      </c>
      <c r="L6254" s="27"/>
    </row>
    <row r="6255" spans="1:12">
      <c r="A6255" s="20" t="s">
        <v>2163</v>
      </c>
      <c r="B6255" s="21" t="s">
        <v>1084</v>
      </c>
      <c r="C6255" s="21" t="s">
        <v>987</v>
      </c>
      <c r="D6255" s="21" t="s">
        <v>978</v>
      </c>
      <c r="E6255" s="22">
        <f>IF(D6255="?OLD","!!!","")</f>
        <v/>
      </c>
      <c r="F6255" s="23" t="str">
        <f>IF(OR(E6255="",E6255="!!!"),"",IF(NOT(ISNA(VLOOKUP(E6255,E$1:E6254,1,FALSE()))),"OLD",IF(AND(E6255&lt;&gt;"",E6255&lt;&gt;"!!!"),"NEW","")))</f>
        <v> </v>
      </c>
      <c r="G6255" s="24" t="str">
        <f>IF(OR(E6255="",E6255="!!!"),"",IF(OR(J6255=0,AND(J6255=1,K6255=1),AND(J6255=1,I6255="SBJ"),AND(J6255=1,I6255=0)),"?IN_FOCUS",IF(J6255&lt;=2,"?ACTIVATED",IF(J6255&lt;&gt;"","?FAMILIAR",IF(F6255="NEW",IF(ISNA(VLOOKUP(E6255,#REF!,1,FALSE())),"?TYPE_IDENTIFIABLE","?REFERENTIAL"),"_")))))</f>
        <v> </v>
      </c>
      <c r="H6255" s="25" t="str">
        <f>IF(J6255&lt;&gt;1,"",IF(I6255="SBJ","CB","?"))</f>
        <v> </v>
      </c>
      <c r="I6255" s="26" t="str">
        <f>IF(OR(E6255="",E6255="!!!",F6255="NEW"),"",INDEX(B6254:B$2,-1+SUMPRODUCT(MAX(ROW(E6254:E$2)*(E6255=E6254:E$2)))))</f>
        <v> </v>
      </c>
      <c r="J6255" s="26" t="str">
        <f>IF(OR(E6255="",E6255="!!!",F6255="NEW"),"",COUNTBLANK(OFFSET(A$1,,,SUMPRODUCT(MAX(ROW(E$2:E6255)*(E6255=E$2:E6255)))))-COUNTBLANK(OFFSET(A$1,,,SUMPRODUCT(MAX(ROW(E$1:E6254)*(E2=E$1:E6254))))))</f>
        <v> </v>
      </c>
      <c r="K6255" s="26" t="str">
        <f>IF(OR(E6255="",E6255="!!!",F6255="NEW"),"",INDEX(J$1:J6254,SUMPRODUCT(MAX(ROW(E$1:E6254)*(E6255=E$1:E6254)))))</f>
        <v> </v>
      </c>
      <c r="L6255" s="27"/>
    </row>
    <row r="6256" spans="1:12">
      <c r="A6256" s="20" t="s">
        <v>1676</v>
      </c>
      <c r="B6256" s="21" t="s">
        <v>1007</v>
      </c>
      <c r="C6256" s="21" t="s">
        <v>990</v>
      </c>
      <c r="D6256" s="21" t="s">
        <v>978</v>
      </c>
      <c r="E6256" s="22">
        <f>IF(D6256="?OLD","!!!","")</f>
        <v/>
      </c>
      <c r="F6256" s="23" t="str">
        <f>IF(OR(E6256="",E6256="!!!"),"",IF(NOT(ISNA(VLOOKUP(E6256,E$1:E6255,1,FALSE()))),"OLD",IF(AND(E6256&lt;&gt;"",E6256&lt;&gt;"!!!"),"NEW","")))</f>
        <v> </v>
      </c>
      <c r="G6256" s="24" t="str">
        <f>IF(OR(E6256="",E6256="!!!"),"",IF(OR(J6256=0,AND(J6256=1,K6256=1),AND(J6256=1,I6256="SBJ"),AND(J6256=1,I6256=0)),"?IN_FOCUS",IF(J6256&lt;=2,"?ACTIVATED",IF(J6256&lt;&gt;"","?FAMILIAR",IF(F6256="NEW",IF(ISNA(VLOOKUP(E6256,#REF!,1,FALSE())),"?TYPE_IDENTIFIABLE","?REFERENTIAL"),"_")))))</f>
        <v> </v>
      </c>
      <c r="H6256" s="25" t="str">
        <f>IF(J6256&lt;&gt;1,"",IF(I6256="SBJ","CB","?"))</f>
        <v> </v>
      </c>
      <c r="I6256" s="26" t="str">
        <f>IF(OR(E6256="",E6256="!!!",F6256="NEW"),"",INDEX(B6255:B$2,-1+SUMPRODUCT(MAX(ROW(E6255:E$2)*(E6256=E6255:E$2)))))</f>
        <v> </v>
      </c>
      <c r="J6256" s="26" t="str">
        <f>IF(OR(E6256="",E6256="!!!",F6256="NEW"),"",COUNTBLANK(OFFSET(A$1,,,SUMPRODUCT(MAX(ROW(E$2:E6256)*(E6256=E$2:E6256)))))-COUNTBLANK(OFFSET(A$1,,,SUMPRODUCT(MAX(ROW(E$1:E6255)*(E2=E$1:E6255))))))</f>
        <v> </v>
      </c>
      <c r="K6256" s="26" t="str">
        <f>IF(OR(E6256="",E6256="!!!",F6256="NEW"),"",INDEX(J$1:J6255,SUMPRODUCT(MAX(ROW(E$1:E6255)*(E6256=E$1:E6255)))))</f>
        <v> </v>
      </c>
      <c r="L6256" s="27"/>
    </row>
    <row r="6257" spans="1:12">
      <c r="A6257" s="20" t="s">
        <v>1000</v>
      </c>
      <c r="E6257" s="22">
        <f>IF(D6257="?OLD","!!!","")</f>
        <v/>
      </c>
      <c r="F6257" s="23" t="str">
        <f>IF(OR(E6257="",E6257="!!!"),"",IF(NOT(ISNA(VLOOKUP(E6257,E$1:E6256,1,FALSE()))),"OLD",IF(AND(E6257&lt;&gt;"",E6257&lt;&gt;"!!!"),"NEW","")))</f>
        <v> </v>
      </c>
      <c r="G6257" s="24" t="str">
        <f>IF(OR(E6257="",E6257="!!!"),"",IF(OR(J6257=0,AND(J6257=1,K6257=1),AND(J6257=1,I6257="SBJ"),AND(J6257=1,I6257=0)),"?IN_FOCUS",IF(J6257&lt;=2,"?ACTIVATED",IF(J6257&lt;&gt;"","?FAMILIAR",IF(F6257="NEW",IF(ISNA(VLOOKUP(E6257,#REF!,1,FALSE())),"?TYPE_IDENTIFIABLE","?REFERENTIAL"),"_")))))</f>
        <v> </v>
      </c>
      <c r="H6257" s="25" t="str">
        <f>IF(J6257&lt;&gt;1,"",IF(I6257="SBJ","CB","?"))</f>
        <v> </v>
      </c>
      <c r="I6257" s="26" t="str">
        <f>IF(OR(E6257="",E6257="!!!",F6257="NEW"),"",INDEX(B6256:B$2,-1+SUMPRODUCT(MAX(ROW(E6256:E$2)*(E6257=E6256:E$2)))))</f>
        <v> </v>
      </c>
      <c r="J6257" s="26" t="str">
        <f>IF(OR(E6257="",E6257="!!!",F6257="NEW"),"",COUNTBLANK(OFFSET(A$1,,,SUMPRODUCT(MAX(ROW(E$2:E6257)*(E6257=E$2:E6257)))))-COUNTBLANK(OFFSET(A$1,,,SUMPRODUCT(MAX(ROW(E$1:E6256)*(E2=E$1:E6256))))))</f>
        <v> </v>
      </c>
      <c r="K6257" s="26" t="str">
        <f>IF(OR(E6257="",E6257="!!!",F6257="NEW"),"",INDEX(J$1:J6256,SUMPRODUCT(MAX(ROW(E$1:E6256)*(E6257=E$1:E6256)))))</f>
        <v> </v>
      </c>
      <c r="L6257" s="27"/>
    </row>
    <row r="6258" spans="1:12">
      <c r="A6258" s="20" t="s">
        <v>2163</v>
      </c>
      <c r="B6258" s="21" t="s">
        <v>1040</v>
      </c>
      <c r="C6258" s="21" t="s">
        <v>987</v>
      </c>
      <c r="D6258" s="21" t="s">
        <v>978</v>
      </c>
      <c r="E6258" s="22">
        <f>IF(D6258="?OLD","!!!","")</f>
        <v/>
      </c>
      <c r="F6258" s="23" t="str">
        <f>IF(OR(E6258="",E6258="!!!"),"",IF(NOT(ISNA(VLOOKUP(E6258,E$1:E6257,1,FALSE()))),"OLD",IF(AND(E6258&lt;&gt;"",E6258&lt;&gt;"!!!"),"NEW","")))</f>
        <v> </v>
      </c>
      <c r="G6258" s="24" t="str">
        <f>IF(OR(E6258="",E6258="!!!"),"",IF(OR(J6258=0,AND(J6258=1,K6258=1),AND(J6258=1,I6258="SBJ"),AND(J6258=1,I6258=0)),"?IN_FOCUS",IF(J6258&lt;=2,"?ACTIVATED",IF(J6258&lt;&gt;"","?FAMILIAR",IF(F6258="NEW",IF(ISNA(VLOOKUP(E6258,#REF!,1,FALSE())),"?TYPE_IDENTIFIABLE","?REFERENTIAL"),"_")))))</f>
        <v> </v>
      </c>
      <c r="H6258" s="25" t="str">
        <f>IF(J6258&lt;&gt;1,"",IF(I6258="SBJ","CB","?"))</f>
        <v> </v>
      </c>
      <c r="I6258" s="26" t="str">
        <f>IF(OR(E6258="",E6258="!!!",F6258="NEW"),"",INDEX(B6257:B$2,-1+SUMPRODUCT(MAX(ROW(E6257:E$2)*(E6258=E6257:E$2)))))</f>
        <v> </v>
      </c>
      <c r="J6258" s="26" t="str">
        <f>IF(OR(E6258="",E6258="!!!",F6258="NEW"),"",COUNTBLANK(OFFSET(A$1,,,SUMPRODUCT(MAX(ROW(E$2:E6258)*(E6258=E$2:E6258)))))-COUNTBLANK(OFFSET(A$1,,,SUMPRODUCT(MAX(ROW(E$1:E6257)*(E2=E$1:E6257))))))</f>
        <v> </v>
      </c>
      <c r="K6258" s="26" t="str">
        <f>IF(OR(E6258="",E6258="!!!",F6258="NEW"),"",INDEX(J$1:J6257,SUMPRODUCT(MAX(ROW(E$1:E6257)*(E6258=E$1:E6257)))))</f>
        <v> </v>
      </c>
      <c r="L6258" s="27"/>
    </row>
    <row r="6259" spans="1:12">
      <c r="A6259" s="20" t="s">
        <v>2166</v>
      </c>
      <c r="B6259" s="21" t="s">
        <v>1084</v>
      </c>
      <c r="C6259" s="21" t="s">
        <v>990</v>
      </c>
      <c r="D6259" s="21" t="s">
        <v>978</v>
      </c>
      <c r="E6259" s="22">
        <f>IF(D6259="?OLD","!!!","")</f>
        <v/>
      </c>
      <c r="F6259" s="23" t="str">
        <f>IF(OR(E6259="",E6259="!!!"),"",IF(NOT(ISNA(VLOOKUP(E6259,E$1:E6258,1,FALSE()))),"OLD",IF(AND(E6259&lt;&gt;"",E6259&lt;&gt;"!!!"),"NEW","")))</f>
        <v> </v>
      </c>
      <c r="G6259" s="24" t="str">
        <f>IF(OR(E6259="",E6259="!!!"),"",IF(OR(J6259=0,AND(J6259=1,K6259=1),AND(J6259=1,I6259="SBJ"),AND(J6259=1,I6259=0)),"?IN_FOCUS",IF(J6259&lt;=2,"?ACTIVATED",IF(J6259&lt;&gt;"","?FAMILIAR",IF(F6259="NEW",IF(ISNA(VLOOKUP(E6259,#REF!,1,FALSE())),"?TYPE_IDENTIFIABLE","?REFERENTIAL"),"_")))))</f>
        <v> </v>
      </c>
      <c r="H6259" s="25" t="str">
        <f>IF(J6259&lt;&gt;1,"",IF(I6259="SBJ","CB","?"))</f>
        <v> </v>
      </c>
      <c r="I6259" s="26" t="str">
        <f>IF(OR(E6259="",E6259="!!!",F6259="NEW"),"",INDEX(B6258:B$2,-1+SUMPRODUCT(MAX(ROW(E6258:E$2)*(E6259=E6258:E$2)))))</f>
        <v> </v>
      </c>
      <c r="J6259" s="26" t="str">
        <f>IF(OR(E6259="",E6259="!!!",F6259="NEW"),"",COUNTBLANK(OFFSET(A$1,,,SUMPRODUCT(MAX(ROW(E$2:E6259)*(E6259=E$2:E6259)))))-COUNTBLANK(OFFSET(A$1,,,SUMPRODUCT(MAX(ROW(E$1:E6258)*(E2=E$1:E6258))))))</f>
        <v> </v>
      </c>
      <c r="K6259" s="26" t="str">
        <f>IF(OR(E6259="",E6259="!!!",F6259="NEW"),"",INDEX(J$1:J6258,SUMPRODUCT(MAX(ROW(E$1:E6258)*(E6259=E$1:E6258)))))</f>
        <v> </v>
      </c>
      <c r="L6259" s="27"/>
    </row>
    <row r="6260" spans="1:12">
      <c r="A6260" s="20" t="s">
        <v>1135</v>
      </c>
      <c r="B6260" s="21" t="s">
        <v>976</v>
      </c>
      <c r="C6260" s="21" t="s">
        <v>977</v>
      </c>
      <c r="D6260" s="21" t="s">
        <v>978</v>
      </c>
      <c r="E6260" s="22">
        <f>IF(D6260="?OLD","!!!","")</f>
        <v/>
      </c>
      <c r="F6260" s="23" t="str">
        <f>IF(OR(E6260="",E6260="!!!"),"",IF(NOT(ISNA(VLOOKUP(E6260,E$1:E6259,1,FALSE()))),"OLD",IF(AND(E6260&lt;&gt;"",E6260&lt;&gt;"!!!"),"NEW","")))</f>
        <v> </v>
      </c>
      <c r="G6260" s="24" t="str">
        <f>IF(OR(E6260="",E6260="!!!"),"",IF(OR(J6260=0,AND(J6260=1,K6260=1),AND(J6260=1,I6260="SBJ"),AND(J6260=1,I6260=0)),"?IN_FOCUS",IF(J6260&lt;=2,"?ACTIVATED",IF(J6260&lt;&gt;"","?FAMILIAR",IF(F6260="NEW",IF(ISNA(VLOOKUP(E6260,#REF!,1,FALSE())),"?TYPE_IDENTIFIABLE","?REFERENTIAL"),"_")))))</f>
        <v> </v>
      </c>
      <c r="H6260" s="25" t="str">
        <f>IF(J6260&lt;&gt;1,"",IF(I6260="SBJ","CB","?"))</f>
        <v> </v>
      </c>
      <c r="I6260" s="26" t="str">
        <f>IF(OR(E6260="",E6260="!!!",F6260="NEW"),"",INDEX(B6259:B$2,-1+SUMPRODUCT(MAX(ROW(E6259:E$2)*(E6260=E6259:E$2)))))</f>
        <v> </v>
      </c>
      <c r="J6260" s="26" t="str">
        <f>IF(OR(E6260="",E6260="!!!",F6260="NEW"),"",COUNTBLANK(OFFSET(A$1,,,SUMPRODUCT(MAX(ROW(E$2:E6260)*(E6260=E$2:E6260)))))-COUNTBLANK(OFFSET(A$1,,,SUMPRODUCT(MAX(ROW(E$1:E6259)*(E2=E$1:E6259))))))</f>
        <v> </v>
      </c>
      <c r="K6260" s="26" t="str">
        <f>IF(OR(E6260="",E6260="!!!",F6260="NEW"),"",INDEX(J$1:J6259,SUMPRODUCT(MAX(ROW(E$1:E6259)*(E6260=E$1:E6259)))))</f>
        <v> </v>
      </c>
      <c r="L6260" s="27"/>
    </row>
    <row r="6261" spans="1:12">
      <c r="A6261" s="20" t="s">
        <v>1323</v>
      </c>
      <c r="E6261" s="22">
        <f>IF(D6261="?OLD","!!!","")</f>
        <v/>
      </c>
      <c r="F6261" s="23" t="str">
        <f>IF(OR(E6261="",E6261="!!!"),"",IF(NOT(ISNA(VLOOKUP(E6261,E$1:E6260,1,FALSE()))),"OLD",IF(AND(E6261&lt;&gt;"",E6261&lt;&gt;"!!!"),"NEW","")))</f>
        <v> </v>
      </c>
      <c r="G6261" s="24" t="str">
        <f>IF(OR(E6261="",E6261="!!!"),"",IF(OR(J6261=0,AND(J6261=1,K6261=1),AND(J6261=1,I6261="SBJ"),AND(J6261=1,I6261=0)),"?IN_FOCUS",IF(J6261&lt;=2,"?ACTIVATED",IF(J6261&lt;&gt;"","?FAMILIAR",IF(F6261="NEW",IF(ISNA(VLOOKUP(E6261,#REF!,1,FALSE())),"?TYPE_IDENTIFIABLE","?REFERENTIAL"),"_")))))</f>
        <v> </v>
      </c>
      <c r="H6261" s="25" t="str">
        <f>IF(J6261&lt;&gt;1,"",IF(I6261="SBJ","CB","?"))</f>
        <v> </v>
      </c>
      <c r="I6261" s="26" t="str">
        <f>IF(OR(E6261="",E6261="!!!",F6261="NEW"),"",INDEX(B6260:B$2,-1+SUMPRODUCT(MAX(ROW(E6260:E$2)*(E6261=E6260:E$2)))))</f>
        <v> </v>
      </c>
      <c r="J6261" s="26" t="str">
        <f>IF(OR(E6261="",E6261="!!!",F6261="NEW"),"",COUNTBLANK(OFFSET(A$1,,,SUMPRODUCT(MAX(ROW(E$2:E6261)*(E6261=E$2:E6261)))))-COUNTBLANK(OFFSET(A$1,,,SUMPRODUCT(MAX(ROW(E$1:E6260)*(E2=E$1:E6260))))))</f>
        <v> </v>
      </c>
      <c r="K6261" s="26" t="str">
        <f>IF(OR(E6261="",E6261="!!!",F6261="NEW"),"",INDEX(J$1:J6260,SUMPRODUCT(MAX(ROW(E$1:E6260)*(E6261=E$1:E6260)))))</f>
        <v> </v>
      </c>
      <c r="L6261" s="27"/>
    </row>
    <row r="6262" spans="1:12">
      <c r="A6262" s="20" t="s">
        <v>1401</v>
      </c>
      <c r="E6262" s="22">
        <f>IF(D6262="?OLD","!!!","")</f>
        <v/>
      </c>
      <c r="F6262" s="23" t="str">
        <f>IF(OR(E6262="",E6262="!!!"),"",IF(NOT(ISNA(VLOOKUP(E6262,E$1:E6261,1,FALSE()))),"OLD",IF(AND(E6262&lt;&gt;"",E6262&lt;&gt;"!!!"),"NEW","")))</f>
        <v> </v>
      </c>
      <c r="G6262" s="24" t="str">
        <f>IF(OR(E6262="",E6262="!!!"),"",IF(OR(J6262=0,AND(J6262=1,K6262=1),AND(J6262=1,I6262="SBJ"),AND(J6262=1,I6262=0)),"?IN_FOCUS",IF(J6262&lt;=2,"?ACTIVATED",IF(J6262&lt;&gt;"","?FAMILIAR",IF(F6262="NEW",IF(ISNA(VLOOKUP(E6262,#REF!,1,FALSE())),"?TYPE_IDENTIFIABLE","?REFERENTIAL"),"_")))))</f>
        <v> </v>
      </c>
      <c r="H6262" s="25" t="str">
        <f>IF(J6262&lt;&gt;1,"",IF(I6262="SBJ","CB","?"))</f>
        <v> </v>
      </c>
      <c r="I6262" s="26" t="str">
        <f>IF(OR(E6262="",E6262="!!!",F6262="NEW"),"",INDEX(B6261:B$2,-1+SUMPRODUCT(MAX(ROW(E6261:E$2)*(E6262=E6261:E$2)))))</f>
        <v> </v>
      </c>
      <c r="J6262" s="26" t="str">
        <f>IF(OR(E6262="",E6262="!!!",F6262="NEW"),"",COUNTBLANK(OFFSET(A$1,,,SUMPRODUCT(MAX(ROW(E$2:E6262)*(E6262=E$2:E6262)))))-COUNTBLANK(OFFSET(A$1,,,SUMPRODUCT(MAX(ROW(E$1:E6261)*(E2=E$1:E6261))))))</f>
        <v> </v>
      </c>
      <c r="K6262" s="26" t="str">
        <f>IF(OR(E6262="",E6262="!!!",F6262="NEW"),"",INDEX(J$1:J6261,SUMPRODUCT(MAX(ROW(E$1:E6261)*(E6262=E$1:E6261)))))</f>
        <v> </v>
      </c>
      <c r="L6262" s="27"/>
    </row>
    <row r="6263" spans="1:12">
      <c r="A6263" s="20" t="s">
        <v>1482</v>
      </c>
      <c r="E6263" s="22">
        <f>IF(D6263="?OLD","!!!","")</f>
        <v/>
      </c>
      <c r="F6263" s="23" t="str">
        <f>IF(OR(E6263="",E6263="!!!"),"",IF(NOT(ISNA(VLOOKUP(E6263,E$1:E6262,1,FALSE()))),"OLD",IF(AND(E6263&lt;&gt;"",E6263&lt;&gt;"!!!"),"NEW","")))</f>
        <v> </v>
      </c>
      <c r="G6263" s="24" t="str">
        <f>IF(OR(E6263="",E6263="!!!"),"",IF(OR(J6263=0,AND(J6263=1,K6263=1),AND(J6263=1,I6263="SBJ"),AND(J6263=1,I6263=0)),"?IN_FOCUS",IF(J6263&lt;=2,"?ACTIVATED",IF(J6263&lt;&gt;"","?FAMILIAR",IF(F6263="NEW",IF(ISNA(VLOOKUP(E6263,#REF!,1,FALSE())),"?TYPE_IDENTIFIABLE","?REFERENTIAL"),"_")))))</f>
        <v> </v>
      </c>
      <c r="H6263" s="25" t="str">
        <f>IF(J6263&lt;&gt;1,"",IF(I6263="SBJ","CB","?"))</f>
        <v> </v>
      </c>
      <c r="I6263" s="26" t="str">
        <f>IF(OR(E6263="",E6263="!!!",F6263="NEW"),"",INDEX(B6262:B$2,-1+SUMPRODUCT(MAX(ROW(E6262:E$2)*(E6263=E6262:E$2)))))</f>
        <v> </v>
      </c>
      <c r="J6263" s="26" t="str">
        <f>IF(OR(E6263="",E6263="!!!",F6263="NEW"),"",COUNTBLANK(OFFSET(A$1,,,SUMPRODUCT(MAX(ROW(E$2:E6263)*(E6263=E$2:E6263)))))-COUNTBLANK(OFFSET(A$1,,,SUMPRODUCT(MAX(ROW(E$1:E6262)*(E2=E$1:E6262))))))</f>
        <v> </v>
      </c>
      <c r="K6263" s="26" t="str">
        <f>IF(OR(E6263="",E6263="!!!",F6263="NEW"),"",INDEX(J$1:J6262,SUMPRODUCT(MAX(ROW(E$1:E6262)*(E6263=E$1:E6262)))))</f>
        <v> </v>
      </c>
      <c r="L6263" s="27"/>
    </row>
    <row r="6264" spans="1:12">
      <c r="A6264" s="20" t="s">
        <v>1635</v>
      </c>
      <c r="E6264" s="22">
        <f>IF(D6264="?OLD","!!!","")</f>
        <v/>
      </c>
      <c r="F6264" s="23" t="str">
        <f>IF(OR(E6264="",E6264="!!!"),"",IF(NOT(ISNA(VLOOKUP(E6264,E$1:E6263,1,FALSE()))),"OLD",IF(AND(E6264&lt;&gt;"",E6264&lt;&gt;"!!!"),"NEW","")))</f>
        <v> </v>
      </c>
      <c r="G6264" s="24" t="str">
        <f>IF(OR(E6264="",E6264="!!!"),"",IF(OR(J6264=0,AND(J6264=1,K6264=1),AND(J6264=1,I6264="SBJ"),AND(J6264=1,I6264=0)),"?IN_FOCUS",IF(J6264&lt;=2,"?ACTIVATED",IF(J6264&lt;&gt;"","?FAMILIAR",IF(F6264="NEW",IF(ISNA(VLOOKUP(E6264,#REF!,1,FALSE())),"?TYPE_IDENTIFIABLE","?REFERENTIAL"),"_")))))</f>
        <v> </v>
      </c>
      <c r="H6264" s="25" t="str">
        <f>IF(J6264&lt;&gt;1,"",IF(I6264="SBJ","CB","?"))</f>
        <v> </v>
      </c>
      <c r="I6264" s="26" t="str">
        <f>IF(OR(E6264="",E6264="!!!",F6264="NEW"),"",INDEX(B6263:B$2,-1+SUMPRODUCT(MAX(ROW(E6263:E$2)*(E6264=E6263:E$2)))))</f>
        <v> </v>
      </c>
      <c r="J6264" s="26" t="str">
        <f>IF(OR(E6264="",E6264="!!!",F6264="NEW"),"",COUNTBLANK(OFFSET(A$1,,,SUMPRODUCT(MAX(ROW(E$2:E6264)*(E6264=E$2:E6264)))))-COUNTBLANK(OFFSET(A$1,,,SUMPRODUCT(MAX(ROW(E$1:E6263)*(E2=E$1:E6263))))))</f>
        <v> </v>
      </c>
      <c r="K6264" s="26" t="str">
        <f>IF(OR(E6264="",E6264="!!!",F6264="NEW"),"",INDEX(J$1:J6263,SUMPRODUCT(MAX(ROW(E$1:E6263)*(E6264=E$1:E6263)))))</f>
        <v> </v>
      </c>
      <c r="L6264" s="27"/>
    </row>
    <row r="6265" spans="1:12">
      <c r="A6265" s="20" t="s">
        <v>1002</v>
      </c>
      <c r="E6265" s="22">
        <f>IF(D6265="?OLD","!!!","")</f>
        <v/>
      </c>
      <c r="F6265" s="23" t="str">
        <f>IF(OR(E6265="",E6265="!!!"),"",IF(NOT(ISNA(VLOOKUP(E6265,E$1:E6264,1,FALSE()))),"OLD",IF(AND(E6265&lt;&gt;"",E6265&lt;&gt;"!!!"),"NEW","")))</f>
        <v> </v>
      </c>
      <c r="G6265" s="24" t="str">
        <f>IF(OR(E6265="",E6265="!!!"),"",IF(OR(J6265=0,AND(J6265=1,K6265=1),AND(J6265=1,I6265="SBJ"),AND(J6265=1,I6265=0)),"?IN_FOCUS",IF(J6265&lt;=2,"?ACTIVATED",IF(J6265&lt;&gt;"","?FAMILIAR",IF(F6265="NEW",IF(ISNA(VLOOKUP(E6265,#REF!,1,FALSE())),"?TYPE_IDENTIFIABLE","?REFERENTIAL"),"_")))))</f>
        <v> </v>
      </c>
      <c r="H6265" s="25" t="str">
        <f>IF(J6265&lt;&gt;1,"",IF(I6265="SBJ","CB","?"))</f>
        <v> </v>
      </c>
      <c r="I6265" s="26" t="str">
        <f>IF(OR(E6265="",E6265="!!!",F6265="NEW"),"",INDEX(B6264:B$2,-1+SUMPRODUCT(MAX(ROW(E6264:E$2)*(E6265=E6264:E$2)))))</f>
        <v> </v>
      </c>
      <c r="J6265" s="26" t="str">
        <f>IF(OR(E6265="",E6265="!!!",F6265="NEW"),"",COUNTBLANK(OFFSET(A$1,,,SUMPRODUCT(MAX(ROW(E$2:E6265)*(E6265=E$2:E6265)))))-COUNTBLANK(OFFSET(A$1,,,SUMPRODUCT(MAX(ROW(E$1:E6264)*(E2=E$1:E6264))))))</f>
        <v> </v>
      </c>
      <c r="K6265" s="26" t="str">
        <f>IF(OR(E6265="",E6265="!!!",F6265="NEW"),"",INDEX(J$1:J6264,SUMPRODUCT(MAX(ROW(E$1:E6264)*(E6265=E$1:E6264)))))</f>
        <v> </v>
      </c>
      <c r="L6265" s="27"/>
    </row>
    <row r="6266" spans="1:12">
      <c r="A6266" s="20" t="s">
        <v>1000</v>
      </c>
      <c r="E6266" s="22">
        <f>IF(D6266="?OLD","!!!","")</f>
        <v/>
      </c>
      <c r="F6266" s="23" t="str">
        <f>IF(OR(E6266="",E6266="!!!"),"",IF(NOT(ISNA(VLOOKUP(E6266,E$1:E6265,1,FALSE()))),"OLD",IF(AND(E6266&lt;&gt;"",E6266&lt;&gt;"!!!"),"NEW","")))</f>
        <v> </v>
      </c>
      <c r="G6266" s="24" t="str">
        <f>IF(OR(E6266="",E6266="!!!"),"",IF(OR(J6266=0,AND(J6266=1,K6266=1),AND(J6266=1,I6266="SBJ"),AND(J6266=1,I6266=0)),"?IN_FOCUS",IF(J6266&lt;=2,"?ACTIVATED",IF(J6266&lt;&gt;"","?FAMILIAR",IF(F6266="NEW",IF(ISNA(VLOOKUP(E6266,#REF!,1,FALSE())),"?TYPE_IDENTIFIABLE","?REFERENTIAL"),"_")))))</f>
        <v> </v>
      </c>
      <c r="H6266" s="25" t="str">
        <f>IF(J6266&lt;&gt;1,"",IF(I6266="SBJ","CB","?"))</f>
        <v> </v>
      </c>
      <c r="I6266" s="26" t="str">
        <f>IF(OR(E6266="",E6266="!!!",F6266="NEW"),"",INDEX(B6265:B$2,-1+SUMPRODUCT(MAX(ROW(E6265:E$2)*(E6266=E6265:E$2)))))</f>
        <v> </v>
      </c>
      <c r="J6266" s="26" t="str">
        <f>IF(OR(E6266="",E6266="!!!",F6266="NEW"),"",COUNTBLANK(OFFSET(A$1,,,SUMPRODUCT(MAX(ROW(E$2:E6266)*(E6266=E$2:E6266)))))-COUNTBLANK(OFFSET(A$1,,,SUMPRODUCT(MAX(ROW(E$1:E6265)*(E2=E$1:E6265))))))</f>
        <v> </v>
      </c>
      <c r="K6266" s="26" t="str">
        <f>IF(OR(E6266="",E6266="!!!",F6266="NEW"),"",INDEX(J$1:J6265,SUMPRODUCT(MAX(ROW(E$1:E6265)*(E6266=E$1:E6265)))))</f>
        <v> </v>
      </c>
      <c r="L6266" s="27"/>
    </row>
    <row r="6267" spans="1:12">
      <c r="A6267" s="20" t="s">
        <v>1468</v>
      </c>
      <c r="B6267" s="21" t="s">
        <v>1095</v>
      </c>
      <c r="C6267" s="21" t="s">
        <v>977</v>
      </c>
      <c r="D6267" s="21" t="s">
        <v>978</v>
      </c>
      <c r="E6267" s="22">
        <f>IF(D6267="?OLD","!!!","")</f>
        <v/>
      </c>
      <c r="F6267" s="23" t="str">
        <f>IF(OR(E6267="",E6267="!!!"),"",IF(NOT(ISNA(VLOOKUP(E6267,E$1:E6266,1,FALSE()))),"OLD",IF(AND(E6267&lt;&gt;"",E6267&lt;&gt;"!!!"),"NEW","")))</f>
        <v> </v>
      </c>
      <c r="G6267" s="24" t="str">
        <f>IF(OR(E6267="",E6267="!!!"),"",IF(OR(J6267=0,AND(J6267=1,K6267=1),AND(J6267=1,I6267="SBJ"),AND(J6267=1,I6267=0)),"?IN_FOCUS",IF(J6267&lt;=2,"?ACTIVATED",IF(J6267&lt;&gt;"","?FAMILIAR",IF(F6267="NEW",IF(ISNA(VLOOKUP(E6267,#REF!,1,FALSE())),"?TYPE_IDENTIFIABLE","?REFERENTIAL"),"_")))))</f>
        <v> </v>
      </c>
      <c r="H6267" s="25" t="str">
        <f>IF(J6267&lt;&gt;1,"",IF(I6267="SBJ","CB","?"))</f>
        <v> </v>
      </c>
      <c r="I6267" s="26" t="str">
        <f>IF(OR(E6267="",E6267="!!!",F6267="NEW"),"",INDEX(B6266:B$2,-1+SUMPRODUCT(MAX(ROW(E6266:E$2)*(E6267=E6266:E$2)))))</f>
        <v> </v>
      </c>
      <c r="J6267" s="26" t="str">
        <f>IF(OR(E6267="",E6267="!!!",F6267="NEW"),"",COUNTBLANK(OFFSET(A$1,,,SUMPRODUCT(MAX(ROW(E$2:E6267)*(E6267=E$2:E6267)))))-COUNTBLANK(OFFSET(A$1,,,SUMPRODUCT(MAX(ROW(E$1:E6266)*(E2=E$1:E6266))))))</f>
        <v> </v>
      </c>
      <c r="K6267" s="26" t="str">
        <f>IF(OR(E6267="",E6267="!!!",F6267="NEW"),"",INDEX(J$1:J6266,SUMPRODUCT(MAX(ROW(E$1:E6266)*(E6267=E$1:E6266)))))</f>
        <v> </v>
      </c>
      <c r="L6267" s="27"/>
    </row>
    <row r="6268" spans="1:12">
      <c r="A6268" s="20" t="s">
        <v>997</v>
      </c>
      <c r="E6268" s="22">
        <f>IF(D6268="?OLD","!!!","")</f>
        <v/>
      </c>
      <c r="F6268" s="23" t="str">
        <f>IF(OR(E6268="",E6268="!!!"),"",IF(NOT(ISNA(VLOOKUP(E6268,E$1:E6267,1,FALSE()))),"OLD",IF(AND(E6268&lt;&gt;"",E6268&lt;&gt;"!!!"),"NEW","")))</f>
        <v> </v>
      </c>
      <c r="G6268" s="24" t="str">
        <f>IF(OR(E6268="",E6268="!!!"),"",IF(OR(J6268=0,AND(J6268=1,K6268=1),AND(J6268=1,I6268="SBJ"),AND(J6268=1,I6268=0)),"?IN_FOCUS",IF(J6268&lt;=2,"?ACTIVATED",IF(J6268&lt;&gt;"","?FAMILIAR",IF(F6268="NEW",IF(ISNA(VLOOKUP(E6268,#REF!,1,FALSE())),"?TYPE_IDENTIFIABLE","?REFERENTIAL"),"_")))))</f>
        <v> </v>
      </c>
      <c r="H6268" s="25" t="str">
        <f>IF(J6268&lt;&gt;1,"",IF(I6268="SBJ","CB","?"))</f>
        <v> </v>
      </c>
      <c r="I6268" s="26" t="str">
        <f>IF(OR(E6268="",E6268="!!!",F6268="NEW"),"",INDEX(B6267:B$2,-1+SUMPRODUCT(MAX(ROW(E6267:E$2)*(E6268=E6267:E$2)))))</f>
        <v> </v>
      </c>
      <c r="J6268" s="26" t="str">
        <f>IF(OR(E6268="",E6268="!!!",F6268="NEW"),"",COUNTBLANK(OFFSET(A$1,,,SUMPRODUCT(MAX(ROW(E$2:E6268)*(E6268=E$2:E6268)))))-COUNTBLANK(OFFSET(A$1,,,SUMPRODUCT(MAX(ROW(E$1:E6267)*(E2=E$1:E6267))))))</f>
        <v> </v>
      </c>
      <c r="K6268" s="26" t="str">
        <f>IF(OR(E6268="",E6268="!!!",F6268="NEW"),"",INDEX(J$1:J6267,SUMPRODUCT(MAX(ROW(E$1:E6267)*(E6268=E$1:E6267)))))</f>
        <v> </v>
      </c>
      <c r="L6268" s="27"/>
    </row>
    <row r="6269" spans="1:12">
      <c r="A6269" s="20" t="s">
        <v>1290</v>
      </c>
      <c r="E6269" s="22">
        <f>IF(D6269="?OLD","!!!","")</f>
        <v/>
      </c>
      <c r="F6269" s="23" t="str">
        <f>IF(OR(E6269="",E6269="!!!"),"",IF(NOT(ISNA(VLOOKUP(E6269,E$1:E6268,1,FALSE()))),"OLD",IF(AND(E6269&lt;&gt;"",E6269&lt;&gt;"!!!"),"NEW","")))</f>
        <v> </v>
      </c>
      <c r="G6269" s="24" t="str">
        <f>IF(OR(E6269="",E6269="!!!"),"",IF(OR(J6269=0,AND(J6269=1,K6269=1),AND(J6269=1,I6269="SBJ"),AND(J6269=1,I6269=0)),"?IN_FOCUS",IF(J6269&lt;=2,"?ACTIVATED",IF(J6269&lt;&gt;"","?FAMILIAR",IF(F6269="NEW",IF(ISNA(VLOOKUP(E6269,#REF!,1,FALSE())),"?TYPE_IDENTIFIABLE","?REFERENTIAL"),"_")))))</f>
        <v> </v>
      </c>
      <c r="H6269" s="25" t="str">
        <f>IF(J6269&lt;&gt;1,"",IF(I6269="SBJ","CB","?"))</f>
        <v> </v>
      </c>
      <c r="I6269" s="26" t="str">
        <f>IF(OR(E6269="",E6269="!!!",F6269="NEW"),"",INDEX(B6268:B$2,-1+SUMPRODUCT(MAX(ROW(E6268:E$2)*(E6269=E6268:E$2)))))</f>
        <v> </v>
      </c>
      <c r="J6269" s="26" t="str">
        <f>IF(OR(E6269="",E6269="!!!",F6269="NEW"),"",COUNTBLANK(OFFSET(A$1,,,SUMPRODUCT(MAX(ROW(E$2:E6269)*(E6269=E$2:E6269)))))-COUNTBLANK(OFFSET(A$1,,,SUMPRODUCT(MAX(ROW(E$1:E6268)*(E2=E$1:E6268))))))</f>
        <v> </v>
      </c>
      <c r="K6269" s="26" t="str">
        <f>IF(OR(E6269="",E6269="!!!",F6269="NEW"),"",INDEX(J$1:J6268,SUMPRODUCT(MAX(ROW(E$1:E6268)*(E6269=E$1:E6268)))))</f>
        <v> </v>
      </c>
      <c r="L6269" s="27"/>
    </row>
    <row r="6270" spans="1:12">
      <c r="A6270" s="20" t="s">
        <v>1137</v>
      </c>
      <c r="E6270" s="22">
        <f>IF(D6270="?OLD","!!!","")</f>
        <v/>
      </c>
      <c r="F6270" s="23" t="str">
        <f>IF(OR(E6270="",E6270="!!!"),"",IF(NOT(ISNA(VLOOKUP(E6270,E$1:E6269,1,FALSE()))),"OLD",IF(AND(E6270&lt;&gt;"",E6270&lt;&gt;"!!!"),"NEW","")))</f>
        <v> </v>
      </c>
      <c r="G6270" s="24" t="str">
        <f>IF(OR(E6270="",E6270="!!!"),"",IF(OR(J6270=0,AND(J6270=1,K6270=1),AND(J6270=1,I6270="SBJ"),AND(J6270=1,I6270=0)),"?IN_FOCUS",IF(J6270&lt;=2,"?ACTIVATED",IF(J6270&lt;&gt;"","?FAMILIAR",IF(F6270="NEW",IF(ISNA(VLOOKUP(E6270,#REF!,1,FALSE())),"?TYPE_IDENTIFIABLE","?REFERENTIAL"),"_")))))</f>
        <v> </v>
      </c>
      <c r="H6270" s="25" t="str">
        <f>IF(J6270&lt;&gt;1,"",IF(I6270="SBJ","CB","?"))</f>
        <v> </v>
      </c>
      <c r="I6270" s="26" t="str">
        <f>IF(OR(E6270="",E6270="!!!",F6270="NEW"),"",INDEX(B6269:B$2,-1+SUMPRODUCT(MAX(ROW(E6269:E$2)*(E6270=E6269:E$2)))))</f>
        <v> </v>
      </c>
      <c r="J6270" s="26" t="str">
        <f>IF(OR(E6270="",E6270="!!!",F6270="NEW"),"",COUNTBLANK(OFFSET(A$1,,,SUMPRODUCT(MAX(ROW(E$2:E6270)*(E6270=E$2:E6270)))))-COUNTBLANK(OFFSET(A$1,,,SUMPRODUCT(MAX(ROW(E$1:E6269)*(E2=E$1:E6269))))))</f>
        <v> </v>
      </c>
      <c r="K6270" s="26" t="str">
        <f>IF(OR(E6270="",E6270="!!!",F6270="NEW"),"",INDEX(J$1:J6269,SUMPRODUCT(MAX(ROW(E$1:E6269)*(E6270=E$1:E6269)))))</f>
        <v> </v>
      </c>
      <c r="L6270" s="27"/>
    </row>
    <row r="6271" spans="1:12">
      <c r="A6271" s="20" t="s">
        <v>1022</v>
      </c>
      <c r="E6271" s="22">
        <f>IF(D6271="?OLD","!!!","")</f>
        <v/>
      </c>
      <c r="F6271" s="23" t="str">
        <f>IF(OR(E6271="",E6271="!!!"),"",IF(NOT(ISNA(VLOOKUP(E6271,E$1:E6270,1,FALSE()))),"OLD",IF(AND(E6271&lt;&gt;"",E6271&lt;&gt;"!!!"),"NEW","")))</f>
        <v> </v>
      </c>
      <c r="G6271" s="24" t="str">
        <f>IF(OR(E6271="",E6271="!!!"),"",IF(OR(J6271=0,AND(J6271=1,K6271=1),AND(J6271=1,I6271="SBJ"),AND(J6271=1,I6271=0)),"?IN_FOCUS",IF(J6271&lt;=2,"?ACTIVATED",IF(J6271&lt;&gt;"","?FAMILIAR",IF(F6271="NEW",IF(ISNA(VLOOKUP(E6271,#REF!,1,FALSE())),"?TYPE_IDENTIFIABLE","?REFERENTIAL"),"_")))))</f>
        <v> </v>
      </c>
      <c r="H6271" s="25" t="str">
        <f>IF(J6271&lt;&gt;1,"",IF(I6271="SBJ","CB","?"))</f>
        <v> </v>
      </c>
      <c r="I6271" s="26" t="str">
        <f>IF(OR(E6271="",E6271="!!!",F6271="NEW"),"",INDEX(B6270:B$2,-1+SUMPRODUCT(MAX(ROW(E6270:E$2)*(E6271=E6270:E$2)))))</f>
        <v> </v>
      </c>
      <c r="J6271" s="26" t="str">
        <f>IF(OR(E6271="",E6271="!!!",F6271="NEW"),"",COUNTBLANK(OFFSET(A$1,,,SUMPRODUCT(MAX(ROW(E$2:E6271)*(E6271=E$2:E6271)))))-COUNTBLANK(OFFSET(A$1,,,SUMPRODUCT(MAX(ROW(E$1:E6270)*(E2=E$1:E6270))))))</f>
        <v> </v>
      </c>
      <c r="K6271" s="26" t="str">
        <f>IF(OR(E6271="",E6271="!!!",F6271="NEW"),"",INDEX(J$1:J6270,SUMPRODUCT(MAX(ROW(E$1:E6270)*(E6271=E$1:E6270)))))</f>
        <v> </v>
      </c>
      <c r="L6271" s="27"/>
    </row>
    <row r="6272" spans="1:12">
      <c r="A6272" s="20"/>
    </row>
    <row r="6273" spans="1:12">
      <c r="A6273" s="20" t="s">
        <v>2541</v>
      </c>
    </row>
    <row r="6274" spans="1:12">
      <c r="A6274" s="20" t="s">
        <v>190</v>
      </c>
      <c r="E6274" s="22">
        <f>IF(D6274="?OLD","!!!","")</f>
        <v/>
      </c>
      <c r="F6274" s="23" t="str">
        <f>IF(OR(E6274="",E6274="!!!"),"",IF(NOT(ISNA(VLOOKUP(E6274,E$1:E6273,1,FALSE()))),"OLD",IF(AND(E6274&lt;&gt;"",E6274&lt;&gt;"!!!"),"NEW","")))</f>
        <v> </v>
      </c>
      <c r="G6274" s="24" t="str">
        <f>IF(OR(E6274="",E6274="!!!"),"",IF(OR(J6274=0,AND(J6274=1,K6274=1),AND(J6274=1,I6274="SBJ"),AND(J6274=1,I6274=0)),"?IN_FOCUS",IF(J6274&lt;=2,"?ACTIVATED",IF(J6274&lt;&gt;"","?FAMILIAR",IF(F6274="NEW",IF(ISNA(VLOOKUP(E6274,#REF!,1,FALSE())),"?TYPE_IDENTIFIABLE","?REFERENTIAL"),"_")))))</f>
        <v> </v>
      </c>
      <c r="H6274" s="25" t="str">
        <f>IF(J6274&lt;&gt;1,"",IF(I6274="SBJ","CB","?"))</f>
        <v> </v>
      </c>
      <c r="I6274" s="26" t="str">
        <f>IF(OR(E6274="",E6274="!!!",F6274="NEW"),"",INDEX(B6273:B$2,-1+SUMPRODUCT(MAX(ROW(E6273:E$2)*(E6274=E6273:E$2)))))</f>
        <v> </v>
      </c>
      <c r="J6274" s="26" t="str">
        <f>IF(OR(E6274="",E6274="!!!",F6274="NEW"),"",COUNTBLANK(OFFSET(A$1,,,SUMPRODUCT(MAX(ROW(E$2:E6274)*(E6274=E$2:E6274)))))-COUNTBLANK(OFFSET(A$1,,,SUMPRODUCT(MAX(ROW(E$1:E6273)*(E2=E$1:E6273))))))</f>
        <v> </v>
      </c>
      <c r="K6274" s="26" t="str">
        <f>IF(OR(E6274="",E6274="!!!",F6274="NEW"),"",INDEX(J$1:J6273,SUMPRODUCT(MAX(ROW(E$1:E6273)*(E6274=E$1:E6273)))))</f>
        <v> </v>
      </c>
      <c r="L6274" s="27"/>
    </row>
    <row r="6275" spans="1:12">
      <c r="A6275" s="20" t="s">
        <v>992</v>
      </c>
      <c r="E6275" s="22">
        <f>IF(D6275="?OLD","!!!","")</f>
        <v/>
      </c>
      <c r="F6275" s="23" t="str">
        <f>IF(OR(E6275="",E6275="!!!"),"",IF(NOT(ISNA(VLOOKUP(E6275,E$1:E6274,1,FALSE()))),"OLD",IF(AND(E6275&lt;&gt;"",E6275&lt;&gt;"!!!"),"NEW","")))</f>
        <v> </v>
      </c>
      <c r="G6275" s="24" t="str">
        <f>IF(OR(E6275="",E6275="!!!"),"",IF(OR(J6275=0,AND(J6275=1,K6275=1),AND(J6275=1,I6275="SBJ"),AND(J6275=1,I6275=0)),"?IN_FOCUS",IF(J6275&lt;=2,"?ACTIVATED",IF(J6275&lt;&gt;"","?FAMILIAR",IF(F6275="NEW",IF(ISNA(VLOOKUP(E6275,#REF!,1,FALSE())),"?TYPE_IDENTIFIABLE","?REFERENTIAL"),"_")))))</f>
        <v> </v>
      </c>
      <c r="H6275" s="25" t="str">
        <f>IF(J6275&lt;&gt;1,"",IF(I6275="SBJ","CB","?"))</f>
        <v> </v>
      </c>
      <c r="I6275" s="26" t="str">
        <f>IF(OR(E6275="",E6275="!!!",F6275="NEW"),"",INDEX(B6274:B$2,-1+SUMPRODUCT(MAX(ROW(E6274:E$2)*(E6275=E6274:E$2)))))</f>
        <v> </v>
      </c>
      <c r="J6275" s="26" t="str">
        <f>IF(OR(E6275="",E6275="!!!",F6275="NEW"),"",COUNTBLANK(OFFSET(A$1,,,SUMPRODUCT(MAX(ROW(E$2:E6275)*(E6275=E$2:E6275)))))-COUNTBLANK(OFFSET(A$1,,,SUMPRODUCT(MAX(ROW(E$1:E6274)*(E2=E$1:E6274))))))</f>
        <v> </v>
      </c>
      <c r="K6275" s="26" t="str">
        <f>IF(OR(E6275="",E6275="!!!",F6275="NEW"),"",INDEX(J$1:J6274,SUMPRODUCT(MAX(ROW(E$1:E6274)*(E6275=E$1:E6274)))))</f>
        <v> </v>
      </c>
      <c r="L6275" s="27"/>
    </row>
    <row r="6276" spans="1:12">
      <c r="A6276" s="20" t="s">
        <v>1687</v>
      </c>
      <c r="B6276" s="21" t="s">
        <v>976</v>
      </c>
      <c r="C6276" s="21" t="s">
        <v>1116</v>
      </c>
      <c r="D6276" s="21" t="s">
        <v>978</v>
      </c>
      <c r="E6276" s="22">
        <f>IF(D6276="?OLD","!!!","")</f>
        <v/>
      </c>
      <c r="F6276" s="23" t="str">
        <f>IF(OR(E6276="",E6276="!!!"),"",IF(NOT(ISNA(VLOOKUP(E6276,E$1:E6275,1,FALSE()))),"OLD",IF(AND(E6276&lt;&gt;"",E6276&lt;&gt;"!!!"),"NEW","")))</f>
        <v> </v>
      </c>
      <c r="G6276" s="24" t="str">
        <f>IF(OR(E6276="",E6276="!!!"),"",IF(OR(J6276=0,AND(J6276=1,K6276=1),AND(J6276=1,I6276="SBJ"),AND(J6276=1,I6276=0)),"?IN_FOCUS",IF(J6276&lt;=2,"?ACTIVATED",IF(J6276&lt;&gt;"","?FAMILIAR",IF(F6276="NEW",IF(ISNA(VLOOKUP(E6276,#REF!,1,FALSE())),"?TYPE_IDENTIFIABLE","?REFERENTIAL"),"_")))))</f>
        <v> </v>
      </c>
      <c r="H6276" s="25" t="str">
        <f>IF(J6276&lt;&gt;1,"",IF(I6276="SBJ","CB","?"))</f>
        <v> </v>
      </c>
      <c r="I6276" s="26" t="str">
        <f>IF(OR(E6276="",E6276="!!!",F6276="NEW"),"",INDEX(B6275:B$2,-1+SUMPRODUCT(MAX(ROW(E6275:E$2)*(E6276=E6275:E$2)))))</f>
        <v> </v>
      </c>
      <c r="J6276" s="26" t="str">
        <f>IF(OR(E6276="",E6276="!!!",F6276="NEW"),"",COUNTBLANK(OFFSET(A$1,,,SUMPRODUCT(MAX(ROW(E$2:E6276)*(E6276=E$2:E6276)))))-COUNTBLANK(OFFSET(A$1,,,SUMPRODUCT(MAX(ROW(E$1:E6275)*(E2=E$1:E6275))))))</f>
        <v> </v>
      </c>
      <c r="K6276" s="26" t="str">
        <f>IF(OR(E6276="",E6276="!!!",F6276="NEW"),"",INDEX(J$1:J6275,SUMPRODUCT(MAX(ROW(E$1:E6275)*(E6276=E$1:E6275)))))</f>
        <v> </v>
      </c>
      <c r="L6276" s="27"/>
    </row>
    <row r="6277" spans="1:12">
      <c r="A6277" s="20" t="s">
        <v>1688</v>
      </c>
      <c r="B6277" s="21" t="s">
        <v>986</v>
      </c>
      <c r="C6277" s="21" t="s">
        <v>1116</v>
      </c>
      <c r="D6277" s="21" t="s">
        <v>978</v>
      </c>
      <c r="E6277" s="22">
        <f>IF(D6277="?OLD","!!!","")</f>
        <v/>
      </c>
      <c r="F6277" s="23" t="str">
        <f>IF(OR(E6277="",E6277="!!!"),"",IF(NOT(ISNA(VLOOKUP(E6277,E$1:E6276,1,FALSE()))),"OLD",IF(AND(E6277&lt;&gt;"",E6277&lt;&gt;"!!!"),"NEW","")))</f>
        <v> </v>
      </c>
      <c r="G6277" s="24" t="str">
        <f>IF(OR(E6277="",E6277="!!!"),"",IF(OR(J6277=0,AND(J6277=1,K6277=1),AND(J6277=1,I6277="SBJ"),AND(J6277=1,I6277=0)),"?IN_FOCUS",IF(J6277&lt;=2,"?ACTIVATED",IF(J6277&lt;&gt;"","?FAMILIAR",IF(F6277="NEW",IF(ISNA(VLOOKUP(E6277,#REF!,1,FALSE())),"?TYPE_IDENTIFIABLE","?REFERENTIAL"),"_")))))</f>
        <v> </v>
      </c>
      <c r="H6277" s="25" t="str">
        <f>IF(J6277&lt;&gt;1,"",IF(I6277="SBJ","CB","?"))</f>
        <v> </v>
      </c>
      <c r="I6277" s="26" t="str">
        <f>IF(OR(E6277="",E6277="!!!",F6277="NEW"),"",INDEX(B6276:B$2,-1+SUMPRODUCT(MAX(ROW(E6276:E$2)*(E6277=E6276:E$2)))))</f>
        <v> </v>
      </c>
      <c r="J6277" s="26" t="str">
        <f>IF(OR(E6277="",E6277="!!!",F6277="NEW"),"",COUNTBLANK(OFFSET(A$1,,,SUMPRODUCT(MAX(ROW(E$2:E6277)*(E6277=E$2:E6277)))))-COUNTBLANK(OFFSET(A$1,,,SUMPRODUCT(MAX(ROW(E$1:E6276)*(E2=E$1:E6276))))))</f>
        <v> </v>
      </c>
      <c r="K6277" s="26" t="str">
        <f>IF(OR(E6277="",E6277="!!!",F6277="NEW"),"",INDEX(J$1:J6276,SUMPRODUCT(MAX(ROW(E$1:E6276)*(E6277=E$1:E6276)))))</f>
        <v> </v>
      </c>
      <c r="L6277" s="27"/>
    </row>
    <row r="6278" spans="1:12">
      <c r="A6278" s="20" t="s">
        <v>1323</v>
      </c>
      <c r="E6278" s="22">
        <f>IF(D6278="?OLD","!!!","")</f>
        <v/>
      </c>
      <c r="F6278" s="23" t="str">
        <f>IF(OR(E6278="",E6278="!!!"),"",IF(NOT(ISNA(VLOOKUP(E6278,E$1:E6277,1,FALSE()))),"OLD",IF(AND(E6278&lt;&gt;"",E6278&lt;&gt;"!!!"),"NEW","")))</f>
        <v> </v>
      </c>
      <c r="G6278" s="24" t="str">
        <f>IF(OR(E6278="",E6278="!!!"),"",IF(OR(J6278=0,AND(J6278=1,K6278=1),AND(J6278=1,I6278="SBJ"),AND(J6278=1,I6278=0)),"?IN_FOCUS",IF(J6278&lt;=2,"?ACTIVATED",IF(J6278&lt;&gt;"","?FAMILIAR",IF(F6278="NEW",IF(ISNA(VLOOKUP(E6278,#REF!,1,FALSE())),"?TYPE_IDENTIFIABLE","?REFERENTIAL"),"_")))))</f>
        <v> </v>
      </c>
      <c r="H6278" s="25" t="str">
        <f>IF(J6278&lt;&gt;1,"",IF(I6278="SBJ","CB","?"))</f>
        <v> </v>
      </c>
      <c r="I6278" s="26" t="str">
        <f>IF(OR(E6278="",E6278="!!!",F6278="NEW"),"",INDEX(B6277:B$2,-1+SUMPRODUCT(MAX(ROW(E6277:E$2)*(E6278=E6277:E$2)))))</f>
        <v> </v>
      </c>
      <c r="J6278" s="26" t="str">
        <f>IF(OR(E6278="",E6278="!!!",F6278="NEW"),"",COUNTBLANK(OFFSET(A$1,,,SUMPRODUCT(MAX(ROW(E$2:E6278)*(E6278=E$2:E6278)))))-COUNTBLANK(OFFSET(A$1,,,SUMPRODUCT(MAX(ROW(E$1:E6277)*(E2=E$1:E6277))))))</f>
        <v> </v>
      </c>
      <c r="K6278" s="26" t="str">
        <f>IF(OR(E6278="",E6278="!!!",F6278="NEW"),"",INDEX(J$1:J6277,SUMPRODUCT(MAX(ROW(E$1:E6277)*(E6278=E$1:E6277)))))</f>
        <v> </v>
      </c>
      <c r="L6278" s="27"/>
    </row>
    <row r="6279" spans="1:12">
      <c r="A6279" s="20" t="s">
        <v>1384</v>
      </c>
      <c r="E6279" s="22">
        <f>IF(D6279="?OLD","!!!","")</f>
        <v/>
      </c>
      <c r="F6279" s="23" t="str">
        <f>IF(OR(E6279="",E6279="!!!"),"",IF(NOT(ISNA(VLOOKUP(E6279,E$1:E6278,1,FALSE()))),"OLD",IF(AND(E6279&lt;&gt;"",E6279&lt;&gt;"!!!"),"NEW","")))</f>
        <v> </v>
      </c>
      <c r="G6279" s="24" t="str">
        <f>IF(OR(E6279="",E6279="!!!"),"",IF(OR(J6279=0,AND(J6279=1,K6279=1),AND(J6279=1,I6279="SBJ"),AND(J6279=1,I6279=0)),"?IN_FOCUS",IF(J6279&lt;=2,"?ACTIVATED",IF(J6279&lt;&gt;"","?FAMILIAR",IF(F6279="NEW",IF(ISNA(VLOOKUP(E6279,#REF!,1,FALSE())),"?TYPE_IDENTIFIABLE","?REFERENTIAL"),"_")))))</f>
        <v> </v>
      </c>
      <c r="H6279" s="25" t="str">
        <f>IF(J6279&lt;&gt;1,"",IF(I6279="SBJ","CB","?"))</f>
        <v> </v>
      </c>
      <c r="I6279" s="26" t="str">
        <f>IF(OR(E6279="",E6279="!!!",F6279="NEW"),"",INDEX(B6278:B$2,-1+SUMPRODUCT(MAX(ROW(E6278:E$2)*(E6279=E6278:E$2)))))</f>
        <v> </v>
      </c>
      <c r="J6279" s="26" t="str">
        <f>IF(OR(E6279="",E6279="!!!",F6279="NEW"),"",COUNTBLANK(OFFSET(A$1,,,SUMPRODUCT(MAX(ROW(E$2:E6279)*(E6279=E$2:E6279)))))-COUNTBLANK(OFFSET(A$1,,,SUMPRODUCT(MAX(ROW(E$1:E6278)*(E2=E$1:E6278))))))</f>
        <v> </v>
      </c>
      <c r="K6279" s="26" t="str">
        <f>IF(OR(E6279="",E6279="!!!",F6279="NEW"),"",INDEX(J$1:J6278,SUMPRODUCT(MAX(ROW(E$1:E6278)*(E6279=E$1:E6278)))))</f>
        <v> </v>
      </c>
      <c r="L6279" s="27"/>
    </row>
    <row r="6280" spans="1:12">
      <c r="A6280" s="20" t="s">
        <v>1216</v>
      </c>
      <c r="E6280" s="22">
        <f>IF(D6280="?OLD","!!!","")</f>
        <v/>
      </c>
      <c r="F6280" s="23" t="str">
        <f>IF(OR(E6280="",E6280="!!!"),"",IF(NOT(ISNA(VLOOKUP(E6280,E$1:E6279,1,FALSE()))),"OLD",IF(AND(E6280&lt;&gt;"",E6280&lt;&gt;"!!!"),"NEW","")))</f>
        <v> </v>
      </c>
      <c r="G6280" s="24" t="str">
        <f>IF(OR(E6280="",E6280="!!!"),"",IF(OR(J6280=0,AND(J6280=1,K6280=1),AND(J6280=1,I6280="SBJ"),AND(J6280=1,I6280=0)),"?IN_FOCUS",IF(J6280&lt;=2,"?ACTIVATED",IF(J6280&lt;&gt;"","?FAMILIAR",IF(F6280="NEW",IF(ISNA(VLOOKUP(E6280,#REF!,1,FALSE())),"?TYPE_IDENTIFIABLE","?REFERENTIAL"),"_")))))</f>
        <v> </v>
      </c>
      <c r="H6280" s="25" t="str">
        <f>IF(J6280&lt;&gt;1,"",IF(I6280="SBJ","CB","?"))</f>
        <v> </v>
      </c>
      <c r="I6280" s="26" t="str">
        <f>IF(OR(E6280="",E6280="!!!",F6280="NEW"),"",INDEX(B6279:B$2,-1+SUMPRODUCT(MAX(ROW(E6279:E$2)*(E6280=E6279:E$2)))))</f>
        <v> </v>
      </c>
      <c r="J6280" s="26" t="str">
        <f>IF(OR(E6280="",E6280="!!!",F6280="NEW"),"",COUNTBLANK(OFFSET(A$1,,,SUMPRODUCT(MAX(ROW(E$2:E6280)*(E6280=E$2:E6280)))))-COUNTBLANK(OFFSET(A$1,,,SUMPRODUCT(MAX(ROW(E$1:E6279)*(E2=E$1:E6279))))))</f>
        <v> </v>
      </c>
      <c r="K6280" s="26" t="str">
        <f>IF(OR(E6280="",E6280="!!!",F6280="NEW"),"",INDEX(J$1:J6279,SUMPRODUCT(MAX(ROW(E$1:E6279)*(E6280=E$1:E6279)))))</f>
        <v> </v>
      </c>
      <c r="L6280" s="27"/>
    </row>
    <row r="6281" spans="1:12">
      <c r="A6281" s="20" t="s">
        <v>1217</v>
      </c>
      <c r="E6281" s="22">
        <f>IF(D6281="?OLD","!!!","")</f>
        <v/>
      </c>
      <c r="F6281" s="23" t="str">
        <f>IF(OR(E6281="",E6281="!!!"),"",IF(NOT(ISNA(VLOOKUP(E6281,E$1:E6280,1,FALSE()))),"OLD",IF(AND(E6281&lt;&gt;"",E6281&lt;&gt;"!!!"),"NEW","")))</f>
        <v> </v>
      </c>
      <c r="G6281" s="24" t="str">
        <f>IF(OR(E6281="",E6281="!!!"),"",IF(OR(J6281=0,AND(J6281=1,K6281=1),AND(J6281=1,I6281="SBJ"),AND(J6281=1,I6281=0)),"?IN_FOCUS",IF(J6281&lt;=2,"?ACTIVATED",IF(J6281&lt;&gt;"","?FAMILIAR",IF(F6281="NEW",IF(ISNA(VLOOKUP(E6281,#REF!,1,FALSE())),"?TYPE_IDENTIFIABLE","?REFERENTIAL"),"_")))))</f>
        <v> </v>
      </c>
      <c r="H6281" s="25" t="str">
        <f>IF(J6281&lt;&gt;1,"",IF(I6281="SBJ","CB","?"))</f>
        <v> </v>
      </c>
      <c r="I6281" s="26" t="str">
        <f>IF(OR(E6281="",E6281="!!!",F6281="NEW"),"",INDEX(B6280:B$2,-1+SUMPRODUCT(MAX(ROW(E6280:E$2)*(E6281=E6280:E$2)))))</f>
        <v> </v>
      </c>
      <c r="J6281" s="26" t="str">
        <f>IF(OR(E6281="",E6281="!!!",F6281="NEW"),"",COUNTBLANK(OFFSET(A$1,,,SUMPRODUCT(MAX(ROW(E$2:E6281)*(E6281=E$2:E6281)))))-COUNTBLANK(OFFSET(A$1,,,SUMPRODUCT(MAX(ROW(E$1:E6280)*(E2=E$1:E6280))))))</f>
        <v> </v>
      </c>
      <c r="K6281" s="26" t="str">
        <f>IF(OR(E6281="",E6281="!!!",F6281="NEW"),"",INDEX(J$1:J6280,SUMPRODUCT(MAX(ROW(E$1:E6280)*(E6281=E$1:E6280)))))</f>
        <v> </v>
      </c>
      <c r="L6281" s="27"/>
    </row>
    <row r="6282" spans="1:12">
      <c r="A6282" s="20" t="s">
        <v>2253</v>
      </c>
      <c r="E6282" s="22">
        <f>IF(D6282="?OLD","!!!","")</f>
        <v/>
      </c>
      <c r="F6282" s="23" t="str">
        <f>IF(OR(E6282="",E6282="!!!"),"",IF(NOT(ISNA(VLOOKUP(E6282,E$1:E6281,1,FALSE()))),"OLD",IF(AND(E6282&lt;&gt;"",E6282&lt;&gt;"!!!"),"NEW","")))</f>
        <v> </v>
      </c>
      <c r="G6282" s="24" t="str">
        <f>IF(OR(E6282="",E6282="!!!"),"",IF(OR(J6282=0,AND(J6282=1,K6282=1),AND(J6282=1,I6282="SBJ"),AND(J6282=1,I6282=0)),"?IN_FOCUS",IF(J6282&lt;=2,"?ACTIVATED",IF(J6282&lt;&gt;"","?FAMILIAR",IF(F6282="NEW",IF(ISNA(VLOOKUP(E6282,#REF!,1,FALSE())),"?TYPE_IDENTIFIABLE","?REFERENTIAL"),"_")))))</f>
        <v> </v>
      </c>
      <c r="H6282" s="25" t="str">
        <f>IF(J6282&lt;&gt;1,"",IF(I6282="SBJ","CB","?"))</f>
        <v> </v>
      </c>
      <c r="I6282" s="26" t="str">
        <f>IF(OR(E6282="",E6282="!!!",F6282="NEW"),"",INDEX(B6281:B$2,-1+SUMPRODUCT(MAX(ROW(E6281:E$2)*(E6282=E6281:E$2)))))</f>
        <v> </v>
      </c>
      <c r="J6282" s="26" t="str">
        <f>IF(OR(E6282="",E6282="!!!",F6282="NEW"),"",COUNTBLANK(OFFSET(A$1,,,SUMPRODUCT(MAX(ROW(E$2:E6282)*(E6282=E$2:E6282)))))-COUNTBLANK(OFFSET(A$1,,,SUMPRODUCT(MAX(ROW(E$1:E6281)*(E2=E$1:E6281))))))</f>
        <v> </v>
      </c>
      <c r="K6282" s="26" t="str">
        <f>IF(OR(E6282="",E6282="!!!",F6282="NEW"),"",INDEX(J$1:J6281,SUMPRODUCT(MAX(ROW(E$1:E6281)*(E6282=E$1:E6281)))))</f>
        <v> </v>
      </c>
      <c r="L6282" s="27"/>
    </row>
    <row r="6283" spans="1:12">
      <c r="A6283" s="20" t="s">
        <v>1154</v>
      </c>
      <c r="B6283" s="21" t="s">
        <v>1095</v>
      </c>
      <c r="C6283" s="21" t="s">
        <v>977</v>
      </c>
      <c r="D6283" s="21" t="s">
        <v>978</v>
      </c>
      <c r="E6283" s="22">
        <f>IF(D6283="?OLD","!!!","")</f>
        <v/>
      </c>
      <c r="F6283" s="23" t="str">
        <f>IF(OR(E6283="",E6283="!!!"),"",IF(NOT(ISNA(VLOOKUP(E6283,E$1:E6282,1,FALSE()))),"OLD",IF(AND(E6283&lt;&gt;"",E6283&lt;&gt;"!!!"),"NEW","")))</f>
        <v> </v>
      </c>
      <c r="G6283" s="24" t="str">
        <f>IF(OR(E6283="",E6283="!!!"),"",IF(OR(J6283=0,AND(J6283=1,K6283=1),AND(J6283=1,I6283="SBJ"),AND(J6283=1,I6283=0)),"?IN_FOCUS",IF(J6283&lt;=2,"?ACTIVATED",IF(J6283&lt;&gt;"","?FAMILIAR",IF(F6283="NEW",IF(ISNA(VLOOKUP(E6283,#REF!,1,FALSE())),"?TYPE_IDENTIFIABLE","?REFERENTIAL"),"_")))))</f>
        <v> </v>
      </c>
      <c r="H6283" s="25" t="str">
        <f>IF(J6283&lt;&gt;1,"",IF(I6283="SBJ","CB","?"))</f>
        <v> </v>
      </c>
      <c r="I6283" s="26" t="str">
        <f>IF(OR(E6283="",E6283="!!!",F6283="NEW"),"",INDEX(B6282:B$2,-1+SUMPRODUCT(MAX(ROW(E6282:E$2)*(E6283=E6282:E$2)))))</f>
        <v> </v>
      </c>
      <c r="J6283" s="26" t="str">
        <f>IF(OR(E6283="",E6283="!!!",F6283="NEW"),"",COUNTBLANK(OFFSET(A$1,,,SUMPRODUCT(MAX(ROW(E$2:E6283)*(E6283=E$2:E6283)))))-COUNTBLANK(OFFSET(A$1,,,SUMPRODUCT(MAX(ROW(E$1:E6282)*(E2=E$1:E6282))))))</f>
        <v> </v>
      </c>
      <c r="K6283" s="26" t="str">
        <f>IF(OR(E6283="",E6283="!!!",F6283="NEW"),"",INDEX(J$1:J6282,SUMPRODUCT(MAX(ROW(E$1:E6282)*(E6283=E$1:E6282)))))</f>
        <v> </v>
      </c>
      <c r="L6283" s="27"/>
    </row>
    <row r="6284" spans="1:12">
      <c r="A6284" s="20" t="s">
        <v>979</v>
      </c>
      <c r="E6284" s="22">
        <f>IF(D6284="?OLD","!!!","")</f>
        <v/>
      </c>
      <c r="F6284" s="23" t="str">
        <f>IF(OR(E6284="",E6284="!!!"),"",IF(NOT(ISNA(VLOOKUP(E6284,E$1:E6283,1,FALSE()))),"OLD",IF(AND(E6284&lt;&gt;"",E6284&lt;&gt;"!!!"),"NEW","")))</f>
        <v> </v>
      </c>
      <c r="G6284" s="24" t="str">
        <f>IF(OR(E6284="",E6284="!!!"),"",IF(OR(J6284=0,AND(J6284=1,K6284=1),AND(J6284=1,I6284="SBJ"),AND(J6284=1,I6284=0)),"?IN_FOCUS",IF(J6284&lt;=2,"?ACTIVATED",IF(J6284&lt;&gt;"","?FAMILIAR",IF(F6284="NEW",IF(ISNA(VLOOKUP(E6284,#REF!,1,FALSE())),"?TYPE_IDENTIFIABLE","?REFERENTIAL"),"_")))))</f>
        <v> </v>
      </c>
      <c r="H6284" s="25" t="str">
        <f>IF(J6284&lt;&gt;1,"",IF(I6284="SBJ","CB","?"))</f>
        <v> </v>
      </c>
      <c r="I6284" s="26" t="str">
        <f>IF(OR(E6284="",E6284="!!!",F6284="NEW"),"",INDEX(B6283:B$2,-1+SUMPRODUCT(MAX(ROW(E6283:E$2)*(E6284=E6283:E$2)))))</f>
        <v> </v>
      </c>
      <c r="J6284" s="26" t="str">
        <f>IF(OR(E6284="",E6284="!!!",F6284="NEW"),"",COUNTBLANK(OFFSET(A$1,,,SUMPRODUCT(MAX(ROW(E$2:E6284)*(E6284=E$2:E6284)))))-COUNTBLANK(OFFSET(A$1,,,SUMPRODUCT(MAX(ROW(E$1:E6283)*(E2=E$1:E6283))))))</f>
        <v> </v>
      </c>
      <c r="K6284" s="26" t="str">
        <f>IF(OR(E6284="",E6284="!!!",F6284="NEW"),"",INDEX(J$1:J6283,SUMPRODUCT(MAX(ROW(E$1:E6283)*(E6284=E$1:E6283)))))</f>
        <v> </v>
      </c>
      <c r="L6284" s="27"/>
    </row>
    <row r="6285" spans="1:12">
      <c r="A6285" s="20" t="s">
        <v>1401</v>
      </c>
      <c r="E6285" s="22">
        <f>IF(D6285="?OLD","!!!","")</f>
        <v/>
      </c>
      <c r="F6285" s="23" t="str">
        <f>IF(OR(E6285="",E6285="!!!"),"",IF(NOT(ISNA(VLOOKUP(E6285,E$1:E6284,1,FALSE()))),"OLD",IF(AND(E6285&lt;&gt;"",E6285&lt;&gt;"!!!"),"NEW","")))</f>
        <v> </v>
      </c>
      <c r="G6285" s="24" t="str">
        <f>IF(OR(E6285="",E6285="!!!"),"",IF(OR(J6285=0,AND(J6285=1,K6285=1),AND(J6285=1,I6285="SBJ"),AND(J6285=1,I6285=0)),"?IN_FOCUS",IF(J6285&lt;=2,"?ACTIVATED",IF(J6285&lt;&gt;"","?FAMILIAR",IF(F6285="NEW",IF(ISNA(VLOOKUP(E6285,#REF!,1,FALSE())),"?TYPE_IDENTIFIABLE","?REFERENTIAL"),"_")))))</f>
        <v> </v>
      </c>
      <c r="H6285" s="25" t="str">
        <f>IF(J6285&lt;&gt;1,"",IF(I6285="SBJ","CB","?"))</f>
        <v> </v>
      </c>
      <c r="I6285" s="26" t="str">
        <f>IF(OR(E6285="",E6285="!!!",F6285="NEW"),"",INDEX(B6284:B$2,-1+SUMPRODUCT(MAX(ROW(E6284:E$2)*(E6285=E6284:E$2)))))</f>
        <v> </v>
      </c>
      <c r="J6285" s="26" t="str">
        <f>IF(OR(E6285="",E6285="!!!",F6285="NEW"),"",COUNTBLANK(OFFSET(A$1,,,SUMPRODUCT(MAX(ROW(E$2:E6285)*(E6285=E$2:E6285)))))-COUNTBLANK(OFFSET(A$1,,,SUMPRODUCT(MAX(ROW(E$1:E6284)*(E2=E$1:E6284))))))</f>
        <v> </v>
      </c>
      <c r="K6285" s="26" t="str">
        <f>IF(OR(E6285="",E6285="!!!",F6285="NEW"),"",INDEX(J$1:J6284,SUMPRODUCT(MAX(ROW(E$1:E6284)*(E6285=E$1:E6284)))))</f>
        <v> </v>
      </c>
      <c r="L6285" s="27"/>
    </row>
    <row r="6286" spans="1:12">
      <c r="A6286" s="20" t="s">
        <v>2542</v>
      </c>
      <c r="E6286" s="22">
        <f>IF(D6286="?OLD","!!!","")</f>
        <v/>
      </c>
      <c r="F6286" s="23" t="str">
        <f>IF(OR(E6286="",E6286="!!!"),"",IF(NOT(ISNA(VLOOKUP(E6286,E$1:E6285,1,FALSE()))),"OLD",IF(AND(E6286&lt;&gt;"",E6286&lt;&gt;"!!!"),"NEW","")))</f>
        <v> </v>
      </c>
      <c r="G6286" s="24" t="str">
        <f>IF(OR(E6286="",E6286="!!!"),"",IF(OR(J6286=0,AND(J6286=1,K6286=1),AND(J6286=1,I6286="SBJ"),AND(J6286=1,I6286=0)),"?IN_FOCUS",IF(J6286&lt;=2,"?ACTIVATED",IF(J6286&lt;&gt;"","?FAMILIAR",IF(F6286="NEW",IF(ISNA(VLOOKUP(E6286,#REF!,1,FALSE())),"?TYPE_IDENTIFIABLE","?REFERENTIAL"),"_")))))</f>
        <v> </v>
      </c>
      <c r="H6286" s="25" t="str">
        <f>IF(J6286&lt;&gt;1,"",IF(I6286="SBJ","CB","?"))</f>
        <v> </v>
      </c>
      <c r="I6286" s="26" t="str">
        <f>IF(OR(E6286="",E6286="!!!",F6286="NEW"),"",INDEX(B6285:B$2,-1+SUMPRODUCT(MAX(ROW(E6285:E$2)*(E6286=E6285:E$2)))))</f>
        <v> </v>
      </c>
      <c r="J6286" s="26" t="str">
        <f>IF(OR(E6286="",E6286="!!!",F6286="NEW"),"",COUNTBLANK(OFFSET(A$1,,,SUMPRODUCT(MAX(ROW(E$2:E6286)*(E6286=E$2:E6286)))))-COUNTBLANK(OFFSET(A$1,,,SUMPRODUCT(MAX(ROW(E$1:E6285)*(E2=E$1:E6285))))))</f>
        <v> </v>
      </c>
      <c r="K6286" s="26" t="str">
        <f>IF(OR(E6286="",E6286="!!!",F6286="NEW"),"",INDEX(J$1:J6285,SUMPRODUCT(MAX(ROW(E$1:E6285)*(E6286=E$1:E6285)))))</f>
        <v> </v>
      </c>
      <c r="L6286" s="27"/>
    </row>
    <row r="6287" spans="1:12">
      <c r="A6287" s="20" t="s">
        <v>984</v>
      </c>
      <c r="E6287" s="22">
        <f>IF(D6287="?OLD","!!!","")</f>
        <v/>
      </c>
      <c r="F6287" s="23" t="str">
        <f>IF(OR(E6287="",E6287="!!!"),"",IF(NOT(ISNA(VLOOKUP(E6287,E$1:E6286,1,FALSE()))),"OLD",IF(AND(E6287&lt;&gt;"",E6287&lt;&gt;"!!!"),"NEW","")))</f>
        <v> </v>
      </c>
      <c r="G6287" s="24" t="str">
        <f>IF(OR(E6287="",E6287="!!!"),"",IF(OR(J6287=0,AND(J6287=1,K6287=1),AND(J6287=1,I6287="SBJ"),AND(J6287=1,I6287=0)),"?IN_FOCUS",IF(J6287&lt;=2,"?ACTIVATED",IF(J6287&lt;&gt;"","?FAMILIAR",IF(F6287="NEW",IF(ISNA(VLOOKUP(E6287,#REF!,1,FALSE())),"?TYPE_IDENTIFIABLE","?REFERENTIAL"),"_")))))</f>
        <v> </v>
      </c>
      <c r="H6287" s="25" t="str">
        <f>IF(J6287&lt;&gt;1,"",IF(I6287="SBJ","CB","?"))</f>
        <v> </v>
      </c>
      <c r="I6287" s="26" t="str">
        <f>IF(OR(E6287="",E6287="!!!",F6287="NEW"),"",INDEX(B6286:B$2,-1+SUMPRODUCT(MAX(ROW(E6286:E$2)*(E6287=E6286:E$2)))))</f>
        <v> </v>
      </c>
      <c r="J6287" s="26" t="str">
        <f>IF(OR(E6287="",E6287="!!!",F6287="NEW"),"",COUNTBLANK(OFFSET(A$1,,,SUMPRODUCT(MAX(ROW(E$2:E6287)*(E6287=E$2:E6287)))))-COUNTBLANK(OFFSET(A$1,,,SUMPRODUCT(MAX(ROW(E$1:E6286)*(E2=E$1:E6286))))))</f>
        <v> </v>
      </c>
      <c r="K6287" s="26" t="str">
        <f>IF(OR(E6287="",E6287="!!!",F6287="NEW"),"",INDEX(J$1:J6286,SUMPRODUCT(MAX(ROW(E$1:E6286)*(E6287=E$1:E6286)))))</f>
        <v> </v>
      </c>
      <c r="L6287" s="27"/>
    </row>
    <row r="6288" spans="1:12">
      <c r="A6288" s="20" t="s">
        <v>1050</v>
      </c>
      <c r="E6288" s="22">
        <f>IF(D6288="?OLD","!!!","")</f>
        <v/>
      </c>
      <c r="F6288" s="23" t="str">
        <f>IF(OR(E6288="",E6288="!!!"),"",IF(NOT(ISNA(VLOOKUP(E6288,E$1:E6287,1,FALSE()))),"OLD",IF(AND(E6288&lt;&gt;"",E6288&lt;&gt;"!!!"),"NEW","")))</f>
        <v> </v>
      </c>
      <c r="G6288" s="24" t="str">
        <f>IF(OR(E6288="",E6288="!!!"),"",IF(OR(J6288=0,AND(J6288=1,K6288=1),AND(J6288=1,I6288="SBJ"),AND(J6288=1,I6288=0)),"?IN_FOCUS",IF(J6288&lt;=2,"?ACTIVATED",IF(J6288&lt;&gt;"","?FAMILIAR",IF(F6288="NEW",IF(ISNA(VLOOKUP(E6288,#REF!,1,FALSE())),"?TYPE_IDENTIFIABLE","?REFERENTIAL"),"_")))))</f>
        <v> </v>
      </c>
      <c r="H6288" s="25" t="str">
        <f>IF(J6288&lt;&gt;1,"",IF(I6288="SBJ","CB","?"))</f>
        <v> </v>
      </c>
      <c r="I6288" s="26" t="str">
        <f>IF(OR(E6288="",E6288="!!!",F6288="NEW"),"",INDEX(B6287:B$2,-1+SUMPRODUCT(MAX(ROW(E6287:E$2)*(E6288=E6287:E$2)))))</f>
        <v> </v>
      </c>
      <c r="J6288" s="26" t="str">
        <f>IF(OR(E6288="",E6288="!!!",F6288="NEW"),"",COUNTBLANK(OFFSET(A$1,,,SUMPRODUCT(MAX(ROW(E$2:E6288)*(E6288=E$2:E6288)))))-COUNTBLANK(OFFSET(A$1,,,SUMPRODUCT(MAX(ROW(E$1:E6287)*(E2=E$1:E6287))))))</f>
        <v> </v>
      </c>
      <c r="K6288" s="26" t="str">
        <f>IF(OR(E6288="",E6288="!!!",F6288="NEW"),"",INDEX(J$1:J6287,SUMPRODUCT(MAX(ROW(E$1:E6287)*(E6288=E$1:E6287)))))</f>
        <v> </v>
      </c>
      <c r="L6288" s="27"/>
    </row>
    <row r="6289" spans="1:12">
      <c r="A6289" s="20" t="s">
        <v>2543</v>
      </c>
      <c r="B6289" s="21" t="s">
        <v>986</v>
      </c>
      <c r="C6289" s="21" t="s">
        <v>990</v>
      </c>
      <c r="D6289" s="21" t="s">
        <v>978</v>
      </c>
      <c r="E6289" s="22">
        <f>IF(D6289="?OLD","!!!","")</f>
        <v/>
      </c>
      <c r="F6289" s="23" t="str">
        <f>IF(OR(E6289="",E6289="!!!"),"",IF(NOT(ISNA(VLOOKUP(E6289,E$1:E6288,1,FALSE()))),"OLD",IF(AND(E6289&lt;&gt;"",E6289&lt;&gt;"!!!"),"NEW","")))</f>
        <v> </v>
      </c>
      <c r="G6289" s="24" t="str">
        <f>IF(OR(E6289="",E6289="!!!"),"",IF(OR(J6289=0,AND(J6289=1,K6289=1),AND(J6289=1,I6289="SBJ"),AND(J6289=1,I6289=0)),"?IN_FOCUS",IF(J6289&lt;=2,"?ACTIVATED",IF(J6289&lt;&gt;"","?FAMILIAR",IF(F6289="NEW",IF(ISNA(VLOOKUP(E6289,#REF!,1,FALSE())),"?TYPE_IDENTIFIABLE","?REFERENTIAL"),"_")))))</f>
        <v> </v>
      </c>
      <c r="H6289" s="25" t="str">
        <f>IF(J6289&lt;&gt;1,"",IF(I6289="SBJ","CB","?"))</f>
        <v> </v>
      </c>
      <c r="I6289" s="26" t="str">
        <f>IF(OR(E6289="",E6289="!!!",F6289="NEW"),"",INDEX(B6288:B$2,-1+SUMPRODUCT(MAX(ROW(E6288:E$2)*(E6289=E6288:E$2)))))</f>
        <v> </v>
      </c>
      <c r="J6289" s="26" t="str">
        <f>IF(OR(E6289="",E6289="!!!",F6289="NEW"),"",COUNTBLANK(OFFSET(A$1,,,SUMPRODUCT(MAX(ROW(E$2:E6289)*(E6289=E$2:E6289)))))-COUNTBLANK(OFFSET(A$1,,,SUMPRODUCT(MAX(ROW(E$1:E6288)*(E2=E$1:E6288))))))</f>
        <v> </v>
      </c>
      <c r="K6289" s="26" t="str">
        <f>IF(OR(E6289="",E6289="!!!",F6289="NEW"),"",INDEX(J$1:J6288,SUMPRODUCT(MAX(ROW(E$1:E6288)*(E6289=E$1:E6288)))))</f>
        <v> </v>
      </c>
      <c r="L6289" s="27"/>
    </row>
    <row r="6290" spans="1:12">
      <c r="A6290" s="20" t="s">
        <v>996</v>
      </c>
      <c r="E6290" s="22">
        <f>IF(D6290="?OLD","!!!","")</f>
        <v/>
      </c>
      <c r="F6290" s="23" t="str">
        <f>IF(OR(E6290="",E6290="!!!"),"",IF(NOT(ISNA(VLOOKUP(E6290,E$1:E6289,1,FALSE()))),"OLD",IF(AND(E6290&lt;&gt;"",E6290&lt;&gt;"!!!"),"NEW","")))</f>
        <v> </v>
      </c>
      <c r="G6290" s="24" t="str">
        <f>IF(OR(E6290="",E6290="!!!"),"",IF(OR(J6290=0,AND(J6290=1,K6290=1),AND(J6290=1,I6290="SBJ"),AND(J6290=1,I6290=0)),"?IN_FOCUS",IF(J6290&lt;=2,"?ACTIVATED",IF(J6290&lt;&gt;"","?FAMILIAR",IF(F6290="NEW",IF(ISNA(VLOOKUP(E6290,#REF!,1,FALSE())),"?TYPE_IDENTIFIABLE","?REFERENTIAL"),"_")))))</f>
        <v> </v>
      </c>
      <c r="H6290" s="25" t="str">
        <f>IF(J6290&lt;&gt;1,"",IF(I6290="SBJ","CB","?"))</f>
        <v> </v>
      </c>
      <c r="I6290" s="26" t="str">
        <f>IF(OR(E6290="",E6290="!!!",F6290="NEW"),"",INDEX(B6289:B$2,-1+SUMPRODUCT(MAX(ROW(E6289:E$2)*(E6290=E6289:E$2)))))</f>
        <v> </v>
      </c>
      <c r="J6290" s="26" t="str">
        <f>IF(OR(E6290="",E6290="!!!",F6290="NEW"),"",COUNTBLANK(OFFSET(A$1,,,SUMPRODUCT(MAX(ROW(E$2:E6290)*(E6290=E$2:E6290)))))-COUNTBLANK(OFFSET(A$1,,,SUMPRODUCT(MAX(ROW(E$1:E6289)*(E2=E$1:E6289))))))</f>
        <v> </v>
      </c>
      <c r="K6290" s="26" t="str">
        <f>IF(OR(E6290="",E6290="!!!",F6290="NEW"),"",INDEX(J$1:J6289,SUMPRODUCT(MAX(ROW(E$1:E6289)*(E6290=E$1:E6289)))))</f>
        <v> </v>
      </c>
      <c r="L6290" s="27"/>
    </row>
    <row r="6291" spans="1:12">
      <c r="A6291" s="20" t="s">
        <v>997</v>
      </c>
      <c r="E6291" s="22">
        <f>IF(D6291="?OLD","!!!","")</f>
        <v/>
      </c>
      <c r="F6291" s="23" t="str">
        <f>IF(OR(E6291="",E6291="!!!"),"",IF(NOT(ISNA(VLOOKUP(E6291,E$1:E6290,1,FALSE()))),"OLD",IF(AND(E6291&lt;&gt;"",E6291&lt;&gt;"!!!"),"NEW","")))</f>
        <v> </v>
      </c>
      <c r="G6291" s="24" t="str">
        <f>IF(OR(E6291="",E6291="!!!"),"",IF(OR(J6291=0,AND(J6291=1,K6291=1),AND(J6291=1,I6291="SBJ"),AND(J6291=1,I6291=0)),"?IN_FOCUS",IF(J6291&lt;=2,"?ACTIVATED",IF(J6291&lt;&gt;"","?FAMILIAR",IF(F6291="NEW",IF(ISNA(VLOOKUP(E6291,#REF!,1,FALSE())),"?TYPE_IDENTIFIABLE","?REFERENTIAL"),"_")))))</f>
        <v> </v>
      </c>
      <c r="H6291" s="25" t="str">
        <f>IF(J6291&lt;&gt;1,"",IF(I6291="SBJ","CB","?"))</f>
        <v> </v>
      </c>
      <c r="I6291" s="26" t="str">
        <f>IF(OR(E6291="",E6291="!!!",F6291="NEW"),"",INDEX(B6290:B$2,-1+SUMPRODUCT(MAX(ROW(E6290:E$2)*(E6291=E6290:E$2)))))</f>
        <v> </v>
      </c>
      <c r="J6291" s="26" t="str">
        <f>IF(OR(E6291="",E6291="!!!",F6291="NEW"),"",COUNTBLANK(OFFSET(A$1,,,SUMPRODUCT(MAX(ROW(E$2:E6291)*(E6291=E$2:E6291)))))-COUNTBLANK(OFFSET(A$1,,,SUMPRODUCT(MAX(ROW(E$1:E6290)*(E2=E$1:E6290))))))</f>
        <v> </v>
      </c>
      <c r="K6291" s="26" t="str">
        <f>IF(OR(E6291="",E6291="!!!",F6291="NEW"),"",INDEX(J$1:J6290,SUMPRODUCT(MAX(ROW(E$1:E6290)*(E6291=E$1:E6290)))))</f>
        <v> </v>
      </c>
      <c r="L6291" s="27"/>
    </row>
    <row r="6292" spans="1:12">
      <c r="A6292" s="20" t="s">
        <v>2544</v>
      </c>
      <c r="B6292" s="21" t="s">
        <v>1054</v>
      </c>
      <c r="C6292" s="21" t="s">
        <v>1116</v>
      </c>
      <c r="D6292" s="21" t="s">
        <v>978</v>
      </c>
      <c r="E6292" s="22">
        <f>IF(D6292="?OLD","!!!","")</f>
        <v/>
      </c>
      <c r="F6292" s="23" t="str">
        <f>IF(OR(E6292="",E6292="!!!"),"",IF(NOT(ISNA(VLOOKUP(E6292,E$1:E6291,1,FALSE()))),"OLD",IF(AND(E6292&lt;&gt;"",E6292&lt;&gt;"!!!"),"NEW","")))</f>
        <v> </v>
      </c>
      <c r="G6292" s="24" t="str">
        <f>IF(OR(E6292="",E6292="!!!"),"",IF(OR(J6292=0,AND(J6292=1,K6292=1),AND(J6292=1,I6292="SBJ"),AND(J6292=1,I6292=0)),"?IN_FOCUS",IF(J6292&lt;=2,"?ACTIVATED",IF(J6292&lt;&gt;"","?FAMILIAR",IF(F6292="NEW",IF(ISNA(VLOOKUP(E6292,#REF!,1,FALSE())),"?TYPE_IDENTIFIABLE","?REFERENTIAL"),"_")))))</f>
        <v> </v>
      </c>
      <c r="H6292" s="25" t="str">
        <f>IF(J6292&lt;&gt;1,"",IF(I6292="SBJ","CB","?"))</f>
        <v> </v>
      </c>
      <c r="I6292" s="26" t="str">
        <f>IF(OR(E6292="",E6292="!!!",F6292="NEW"),"",INDEX(B6291:B$2,-1+SUMPRODUCT(MAX(ROW(E6291:E$2)*(E6292=E6291:E$2)))))</f>
        <v> </v>
      </c>
      <c r="J6292" s="26" t="str">
        <f>IF(OR(E6292="",E6292="!!!",F6292="NEW"),"",COUNTBLANK(OFFSET(A$1,,,SUMPRODUCT(MAX(ROW(E$2:E6292)*(E6292=E$2:E6292)))))-COUNTBLANK(OFFSET(A$1,,,SUMPRODUCT(MAX(ROW(E$1:E6291)*(E2=E$1:E6291))))))</f>
        <v> </v>
      </c>
      <c r="K6292" s="26" t="str">
        <f>IF(OR(E6292="",E6292="!!!",F6292="NEW"),"",INDEX(J$1:J6291,SUMPRODUCT(MAX(ROW(E$1:E6291)*(E6292=E$1:E6291)))))</f>
        <v> </v>
      </c>
      <c r="L6292" s="27"/>
    </row>
    <row r="6293" spans="1:12">
      <c r="A6293" s="20" t="s">
        <v>1002</v>
      </c>
      <c r="E6293" s="22">
        <f>IF(D6293="?OLD","!!!","")</f>
        <v/>
      </c>
      <c r="F6293" s="23" t="str">
        <f>IF(OR(E6293="",E6293="!!!"),"",IF(NOT(ISNA(VLOOKUP(E6293,E$1:E6292,1,FALSE()))),"OLD",IF(AND(E6293&lt;&gt;"",E6293&lt;&gt;"!!!"),"NEW","")))</f>
        <v> </v>
      </c>
      <c r="G6293" s="24" t="str">
        <f>IF(OR(E6293="",E6293="!!!"),"",IF(OR(J6293=0,AND(J6293=1,K6293=1),AND(J6293=1,I6293="SBJ"),AND(J6293=1,I6293=0)),"?IN_FOCUS",IF(J6293&lt;=2,"?ACTIVATED",IF(J6293&lt;&gt;"","?FAMILIAR",IF(F6293="NEW",IF(ISNA(VLOOKUP(E6293,#REF!,1,FALSE())),"?TYPE_IDENTIFIABLE","?REFERENTIAL"),"_")))))</f>
        <v> </v>
      </c>
      <c r="H6293" s="25" t="str">
        <f>IF(J6293&lt;&gt;1,"",IF(I6293="SBJ","CB","?"))</f>
        <v> </v>
      </c>
      <c r="I6293" s="26" t="str">
        <f>IF(OR(E6293="",E6293="!!!",F6293="NEW"),"",INDEX(B6292:B$2,-1+SUMPRODUCT(MAX(ROW(E6292:E$2)*(E6293=E6292:E$2)))))</f>
        <v> </v>
      </c>
      <c r="J6293" s="26" t="str">
        <f>IF(OR(E6293="",E6293="!!!",F6293="NEW"),"",COUNTBLANK(OFFSET(A$1,,,SUMPRODUCT(MAX(ROW(E$2:E6293)*(E6293=E$2:E6293)))))-COUNTBLANK(OFFSET(A$1,,,SUMPRODUCT(MAX(ROW(E$1:E6292)*(E2=E$1:E6292))))))</f>
        <v> </v>
      </c>
      <c r="K6293" s="26" t="str">
        <f>IF(OR(E6293="",E6293="!!!",F6293="NEW"),"",INDEX(J$1:J6292,SUMPRODUCT(MAX(ROW(E$1:E6292)*(E6293=E$1:E6292)))))</f>
        <v> </v>
      </c>
      <c r="L6293" s="27"/>
    </row>
    <row r="6294" spans="1:12">
      <c r="A6294" s="20" t="s">
        <v>1000</v>
      </c>
      <c r="E6294" s="22">
        <f>IF(D6294="?OLD","!!!","")</f>
        <v/>
      </c>
      <c r="F6294" s="23" t="str">
        <f>IF(OR(E6294="",E6294="!!!"),"",IF(NOT(ISNA(VLOOKUP(E6294,E$1:E6293,1,FALSE()))),"OLD",IF(AND(E6294&lt;&gt;"",E6294&lt;&gt;"!!!"),"NEW","")))</f>
        <v> </v>
      </c>
      <c r="G6294" s="24" t="str">
        <f>IF(OR(E6294="",E6294="!!!"),"",IF(OR(J6294=0,AND(J6294=1,K6294=1),AND(J6294=1,I6294="SBJ"),AND(J6294=1,I6294=0)),"?IN_FOCUS",IF(J6294&lt;=2,"?ACTIVATED",IF(J6294&lt;&gt;"","?FAMILIAR",IF(F6294="NEW",IF(ISNA(VLOOKUP(E6294,#REF!,1,FALSE())),"?TYPE_IDENTIFIABLE","?REFERENTIAL"),"_")))))</f>
        <v> </v>
      </c>
      <c r="H6294" s="25" t="str">
        <f>IF(J6294&lt;&gt;1,"",IF(I6294="SBJ","CB","?"))</f>
        <v> </v>
      </c>
      <c r="I6294" s="26" t="str">
        <f>IF(OR(E6294="",E6294="!!!",F6294="NEW"),"",INDEX(B6293:B$2,-1+SUMPRODUCT(MAX(ROW(E6293:E$2)*(E6294=E6293:E$2)))))</f>
        <v> </v>
      </c>
      <c r="J6294" s="26" t="str">
        <f>IF(OR(E6294="",E6294="!!!",F6294="NEW"),"",COUNTBLANK(OFFSET(A$1,,,SUMPRODUCT(MAX(ROW(E$2:E6294)*(E6294=E$2:E6294)))))-COUNTBLANK(OFFSET(A$1,,,SUMPRODUCT(MAX(ROW(E$1:E6293)*(E2=E$1:E6293))))))</f>
        <v> </v>
      </c>
      <c r="K6294" s="26" t="str">
        <f>IF(OR(E6294="",E6294="!!!",F6294="NEW"),"",INDEX(J$1:J6293,SUMPRODUCT(MAX(ROW(E$1:E6293)*(E6294=E$1:E6293)))))</f>
        <v> </v>
      </c>
      <c r="L6294" s="27"/>
    </row>
    <row r="6295" spans="1:12">
      <c r="A6295" s="20" t="s">
        <v>1047</v>
      </c>
      <c r="B6295" s="21" t="s">
        <v>1066</v>
      </c>
      <c r="C6295" s="21" t="s">
        <v>977</v>
      </c>
      <c r="D6295" s="21" t="s">
        <v>978</v>
      </c>
      <c r="E6295" s="22">
        <f>IF(D6295="?OLD","!!!","")</f>
        <v/>
      </c>
      <c r="F6295" s="23" t="str">
        <f>IF(OR(E6295="",E6295="!!!"),"",IF(NOT(ISNA(VLOOKUP(E6295,E$1:E6294,1,FALSE()))),"OLD",IF(AND(E6295&lt;&gt;"",E6295&lt;&gt;"!!!"),"NEW","")))</f>
        <v> </v>
      </c>
      <c r="G6295" s="24" t="str">
        <f>IF(OR(E6295="",E6295="!!!"),"",IF(OR(J6295=0,AND(J6295=1,K6295=1),AND(J6295=1,I6295="SBJ"),AND(J6295=1,I6295=0)),"?IN_FOCUS",IF(J6295&lt;=2,"?ACTIVATED",IF(J6295&lt;&gt;"","?FAMILIAR",IF(F6295="NEW",IF(ISNA(VLOOKUP(E6295,#REF!,1,FALSE())),"?TYPE_IDENTIFIABLE","?REFERENTIAL"),"_")))))</f>
        <v> </v>
      </c>
      <c r="H6295" s="25" t="str">
        <f>IF(J6295&lt;&gt;1,"",IF(I6295="SBJ","CB","?"))</f>
        <v> </v>
      </c>
      <c r="I6295" s="26" t="str">
        <f>IF(OR(E6295="",E6295="!!!",F6295="NEW"),"",INDEX(B6294:B$2,-1+SUMPRODUCT(MAX(ROW(E6294:E$2)*(E6295=E6294:E$2)))))</f>
        <v> </v>
      </c>
      <c r="J6295" s="26" t="str">
        <f>IF(OR(E6295="",E6295="!!!",F6295="NEW"),"",COUNTBLANK(OFFSET(A$1,,,SUMPRODUCT(MAX(ROW(E$2:E6295)*(E6295=E$2:E6295)))))-COUNTBLANK(OFFSET(A$1,,,SUMPRODUCT(MAX(ROW(E$1:E6294)*(E2=E$1:E6294))))))</f>
        <v> </v>
      </c>
      <c r="K6295" s="26" t="str">
        <f>IF(OR(E6295="",E6295="!!!",F6295="NEW"),"",INDEX(J$1:J6294,SUMPRODUCT(MAX(ROW(E$1:E6294)*(E6295=E$1:E6294)))))</f>
        <v> </v>
      </c>
      <c r="L6295" s="27"/>
    </row>
    <row r="6296" spans="1:12">
      <c r="A6296" s="20" t="s">
        <v>1116</v>
      </c>
      <c r="E6296" s="22">
        <f>IF(D6296="?OLD","!!!","")</f>
        <v/>
      </c>
      <c r="F6296" s="23" t="str">
        <f>IF(OR(E6296="",E6296="!!!"),"",IF(NOT(ISNA(VLOOKUP(E6296,E$1:E6295,1,FALSE()))),"OLD",IF(AND(E6296&lt;&gt;"",E6296&lt;&gt;"!!!"),"NEW","")))</f>
        <v> </v>
      </c>
      <c r="G6296" s="24" t="str">
        <f>IF(OR(E6296="",E6296="!!!"),"",IF(OR(J6296=0,AND(J6296=1,K6296=1),AND(J6296=1,I6296="SBJ"),AND(J6296=1,I6296=0)),"?IN_FOCUS",IF(J6296&lt;=2,"?ACTIVATED",IF(J6296&lt;&gt;"","?FAMILIAR",IF(F6296="NEW",IF(ISNA(VLOOKUP(E6296,#REF!,1,FALSE())),"?TYPE_IDENTIFIABLE","?REFERENTIAL"),"_")))))</f>
        <v> </v>
      </c>
      <c r="H6296" s="25" t="str">
        <f>IF(J6296&lt;&gt;1,"",IF(I6296="SBJ","CB","?"))</f>
        <v> </v>
      </c>
      <c r="I6296" s="26" t="str">
        <f>IF(OR(E6296="",E6296="!!!",F6296="NEW"),"",INDEX(B6295:B$2,-1+SUMPRODUCT(MAX(ROW(E6295:E$2)*(E6296=E6295:E$2)))))</f>
        <v> </v>
      </c>
      <c r="J6296" s="26" t="str">
        <f>IF(OR(E6296="",E6296="!!!",F6296="NEW"),"",COUNTBLANK(OFFSET(A$1,,,SUMPRODUCT(MAX(ROW(E$2:E6296)*(E6296=E$2:E6296)))))-COUNTBLANK(OFFSET(A$1,,,SUMPRODUCT(MAX(ROW(E$1:E6295)*(E2=E$1:E6295))))))</f>
        <v> </v>
      </c>
      <c r="K6296" s="26" t="str">
        <f>IF(OR(E6296="",E6296="!!!",F6296="NEW"),"",INDEX(J$1:J6295,SUMPRODUCT(MAX(ROW(E$1:E6295)*(E6296=E$1:E6295)))))</f>
        <v> </v>
      </c>
      <c r="L6296" s="27"/>
    </row>
    <row r="6297" spans="1:12">
      <c r="A6297" s="20" t="s">
        <v>2545</v>
      </c>
      <c r="E6297" s="22">
        <f>IF(D6297="?OLD","!!!","")</f>
        <v/>
      </c>
      <c r="F6297" s="23" t="str">
        <f>IF(OR(E6297="",E6297="!!!"),"",IF(NOT(ISNA(VLOOKUP(E6297,E$1:E6296,1,FALSE()))),"OLD",IF(AND(E6297&lt;&gt;"",E6297&lt;&gt;"!!!"),"NEW","")))</f>
        <v> </v>
      </c>
      <c r="G6297" s="24" t="str">
        <f>IF(OR(E6297="",E6297="!!!"),"",IF(OR(J6297=0,AND(J6297=1,K6297=1),AND(J6297=1,I6297="SBJ"),AND(J6297=1,I6297=0)),"?IN_FOCUS",IF(J6297&lt;=2,"?ACTIVATED",IF(J6297&lt;&gt;"","?FAMILIAR",IF(F6297="NEW",IF(ISNA(VLOOKUP(E6297,#REF!,1,FALSE())),"?TYPE_IDENTIFIABLE","?REFERENTIAL"),"_")))))</f>
        <v> </v>
      </c>
      <c r="H6297" s="25" t="str">
        <f>IF(J6297&lt;&gt;1,"",IF(I6297="SBJ","CB","?"))</f>
        <v> </v>
      </c>
      <c r="I6297" s="26" t="str">
        <f>IF(OR(E6297="",E6297="!!!",F6297="NEW"),"",INDEX(B6296:B$2,-1+SUMPRODUCT(MAX(ROW(E6296:E$2)*(E6297=E6296:E$2)))))</f>
        <v> </v>
      </c>
      <c r="J6297" s="26" t="str">
        <f>IF(OR(E6297="",E6297="!!!",F6297="NEW"),"",COUNTBLANK(OFFSET(A$1,,,SUMPRODUCT(MAX(ROW(E$2:E6297)*(E6297=E$2:E6297)))))-COUNTBLANK(OFFSET(A$1,,,SUMPRODUCT(MAX(ROW(E$1:E6296)*(E2=E$1:E6296))))))</f>
        <v> </v>
      </c>
      <c r="K6297" s="26" t="str">
        <f>IF(OR(E6297="",E6297="!!!",F6297="NEW"),"",INDEX(J$1:J6296,SUMPRODUCT(MAX(ROW(E$1:E6296)*(E6297=E$1:E6296)))))</f>
        <v> </v>
      </c>
      <c r="L6297" s="27"/>
    </row>
    <row r="6298" spans="1:12">
      <c r="A6298" s="20" t="s">
        <v>1189</v>
      </c>
      <c r="E6298" s="22">
        <f>IF(D6298="?OLD","!!!","")</f>
        <v/>
      </c>
      <c r="F6298" s="23" t="str">
        <f>IF(OR(E6298="",E6298="!!!"),"",IF(NOT(ISNA(VLOOKUP(E6298,E$1:E6297,1,FALSE()))),"OLD",IF(AND(E6298&lt;&gt;"",E6298&lt;&gt;"!!!"),"NEW","")))</f>
        <v> </v>
      </c>
      <c r="G6298" s="24" t="str">
        <f>IF(OR(E6298="",E6298="!!!"),"",IF(OR(J6298=0,AND(J6298=1,K6298=1),AND(J6298=1,I6298="SBJ"),AND(J6298=1,I6298=0)),"?IN_FOCUS",IF(J6298&lt;=2,"?ACTIVATED",IF(J6298&lt;&gt;"","?FAMILIAR",IF(F6298="NEW",IF(ISNA(VLOOKUP(E6298,#REF!,1,FALSE())),"?TYPE_IDENTIFIABLE","?REFERENTIAL"),"_")))))</f>
        <v> </v>
      </c>
      <c r="H6298" s="25" t="str">
        <f>IF(J6298&lt;&gt;1,"",IF(I6298="SBJ","CB","?"))</f>
        <v> </v>
      </c>
      <c r="I6298" s="26" t="str">
        <f>IF(OR(E6298="",E6298="!!!",F6298="NEW"),"",INDEX(B6297:B$2,-1+SUMPRODUCT(MAX(ROW(E6297:E$2)*(E6298=E6297:E$2)))))</f>
        <v> </v>
      </c>
      <c r="J6298" s="26" t="str">
        <f>IF(OR(E6298="",E6298="!!!",F6298="NEW"),"",COUNTBLANK(OFFSET(A$1,,,SUMPRODUCT(MAX(ROW(E$2:E6298)*(E6298=E$2:E6298)))))-COUNTBLANK(OFFSET(A$1,,,SUMPRODUCT(MAX(ROW(E$1:E6297)*(E2=E$1:E6297))))))</f>
        <v> </v>
      </c>
      <c r="K6298" s="26" t="str">
        <f>IF(OR(E6298="",E6298="!!!",F6298="NEW"),"",INDEX(J$1:J6297,SUMPRODUCT(MAX(ROW(E$1:E6297)*(E6298=E$1:E6297)))))</f>
        <v> </v>
      </c>
      <c r="L6298" s="27"/>
    </row>
    <row r="6299" spans="1:12">
      <c r="A6299" s="20" t="s">
        <v>996</v>
      </c>
      <c r="E6299" s="22">
        <f>IF(D6299="?OLD","!!!","")</f>
        <v/>
      </c>
      <c r="F6299" s="23" t="str">
        <f>IF(OR(E6299="",E6299="!!!"),"",IF(NOT(ISNA(VLOOKUP(E6299,E$1:E6298,1,FALSE()))),"OLD",IF(AND(E6299&lt;&gt;"",E6299&lt;&gt;"!!!"),"NEW","")))</f>
        <v> </v>
      </c>
      <c r="G6299" s="24" t="str">
        <f>IF(OR(E6299="",E6299="!!!"),"",IF(OR(J6299=0,AND(J6299=1,K6299=1),AND(J6299=1,I6299="SBJ"),AND(J6299=1,I6299=0)),"?IN_FOCUS",IF(J6299&lt;=2,"?ACTIVATED",IF(J6299&lt;&gt;"","?FAMILIAR",IF(F6299="NEW",IF(ISNA(VLOOKUP(E6299,#REF!,1,FALSE())),"?TYPE_IDENTIFIABLE","?REFERENTIAL"),"_")))))</f>
        <v> </v>
      </c>
      <c r="H6299" s="25" t="str">
        <f>IF(J6299&lt;&gt;1,"",IF(I6299="SBJ","CB","?"))</f>
        <v> </v>
      </c>
      <c r="I6299" s="26" t="str">
        <f>IF(OR(E6299="",E6299="!!!",F6299="NEW"),"",INDEX(B6298:B$2,-1+SUMPRODUCT(MAX(ROW(E6298:E$2)*(E6299=E6298:E$2)))))</f>
        <v> </v>
      </c>
      <c r="J6299" s="26" t="str">
        <f>IF(OR(E6299="",E6299="!!!",F6299="NEW"),"",COUNTBLANK(OFFSET(A$1,,,SUMPRODUCT(MAX(ROW(E$2:E6299)*(E6299=E$2:E6299)))))-COUNTBLANK(OFFSET(A$1,,,SUMPRODUCT(MAX(ROW(E$1:E6298)*(E2=E$1:E6298))))))</f>
        <v> </v>
      </c>
      <c r="K6299" s="26" t="str">
        <f>IF(OR(E6299="",E6299="!!!",F6299="NEW"),"",INDEX(J$1:J6298,SUMPRODUCT(MAX(ROW(E$1:E6298)*(E6299=E$1:E6298)))))</f>
        <v> </v>
      </c>
      <c r="L6299" s="27"/>
    </row>
    <row r="6300" spans="1:12">
      <c r="A6300" s="20" t="s">
        <v>263</v>
      </c>
      <c r="E6300" s="22">
        <f>IF(D6300="?OLD","!!!","")</f>
        <v/>
      </c>
      <c r="F6300" s="23" t="str">
        <f>IF(OR(E6300="",E6300="!!!"),"",IF(NOT(ISNA(VLOOKUP(E6300,E$1:E6299,1,FALSE()))),"OLD",IF(AND(E6300&lt;&gt;"",E6300&lt;&gt;"!!!"),"NEW","")))</f>
        <v> </v>
      </c>
      <c r="G6300" s="24" t="str">
        <f>IF(OR(E6300="",E6300="!!!"),"",IF(OR(J6300=0,AND(J6300=1,K6300=1),AND(J6300=1,I6300="SBJ"),AND(J6300=1,I6300=0)),"?IN_FOCUS",IF(J6300&lt;=2,"?ACTIVATED",IF(J6300&lt;&gt;"","?FAMILIAR",IF(F6300="NEW",IF(ISNA(VLOOKUP(E6300,#REF!,1,FALSE())),"?TYPE_IDENTIFIABLE","?REFERENTIAL"),"_")))))</f>
        <v> </v>
      </c>
      <c r="H6300" s="25" t="str">
        <f>IF(J6300&lt;&gt;1,"",IF(I6300="SBJ","CB","?"))</f>
        <v> </v>
      </c>
      <c r="I6300" s="26" t="str">
        <f>IF(OR(E6300="",E6300="!!!",F6300="NEW"),"",INDEX(B6299:B$2,-1+SUMPRODUCT(MAX(ROW(E6299:E$2)*(E6300=E6299:E$2)))))</f>
        <v> </v>
      </c>
      <c r="J6300" s="26" t="str">
        <f>IF(OR(E6300="",E6300="!!!",F6300="NEW"),"",COUNTBLANK(OFFSET(A$1,,,SUMPRODUCT(MAX(ROW(E$2:E6300)*(E6300=E$2:E6300)))))-COUNTBLANK(OFFSET(A$1,,,SUMPRODUCT(MAX(ROW(E$1:E6299)*(E2=E$1:E6299))))))</f>
        <v> </v>
      </c>
      <c r="K6300" s="26" t="str">
        <f>IF(OR(E6300="",E6300="!!!",F6300="NEW"),"",INDEX(J$1:J6299,SUMPRODUCT(MAX(ROW(E$1:E6299)*(E6300=E$1:E6299)))))</f>
        <v> </v>
      </c>
      <c r="L6300" s="27"/>
    </row>
    <row r="6301" spans="1:12">
      <c r="A6301" s="20" t="s">
        <v>1002</v>
      </c>
      <c r="E6301" s="22">
        <f>IF(D6301="?OLD","!!!","")</f>
        <v/>
      </c>
      <c r="F6301" s="23" t="str">
        <f>IF(OR(E6301="",E6301="!!!"),"",IF(NOT(ISNA(VLOOKUP(E6301,E$1:E6300,1,FALSE()))),"OLD",IF(AND(E6301&lt;&gt;"",E6301&lt;&gt;"!!!"),"NEW","")))</f>
        <v> </v>
      </c>
      <c r="G6301" s="24" t="str">
        <f>IF(OR(E6301="",E6301="!!!"),"",IF(OR(J6301=0,AND(J6301=1,K6301=1),AND(J6301=1,I6301="SBJ"),AND(J6301=1,I6301=0)),"?IN_FOCUS",IF(J6301&lt;=2,"?ACTIVATED",IF(J6301&lt;&gt;"","?FAMILIAR",IF(F6301="NEW",IF(ISNA(VLOOKUP(E6301,#REF!,1,FALSE())),"?TYPE_IDENTIFIABLE","?REFERENTIAL"),"_")))))</f>
        <v> </v>
      </c>
      <c r="H6301" s="25" t="str">
        <f>IF(J6301&lt;&gt;1,"",IF(I6301="SBJ","CB","?"))</f>
        <v> </v>
      </c>
      <c r="I6301" s="26" t="str">
        <f>IF(OR(E6301="",E6301="!!!",F6301="NEW"),"",INDEX(B6300:B$2,-1+SUMPRODUCT(MAX(ROW(E6300:E$2)*(E6301=E6300:E$2)))))</f>
        <v> </v>
      </c>
      <c r="J6301" s="26" t="str">
        <f>IF(OR(E6301="",E6301="!!!",F6301="NEW"),"",COUNTBLANK(OFFSET(A$1,,,SUMPRODUCT(MAX(ROW(E$2:E6301)*(E6301=E$2:E6301)))))-COUNTBLANK(OFFSET(A$1,,,SUMPRODUCT(MAX(ROW(E$1:E6300)*(E2=E$1:E6300))))))</f>
        <v> </v>
      </c>
      <c r="K6301" s="26" t="str">
        <f>IF(OR(E6301="",E6301="!!!",F6301="NEW"),"",INDEX(J$1:J6300,SUMPRODUCT(MAX(ROW(E$1:E6300)*(E6301=E$1:E6300)))))</f>
        <v> </v>
      </c>
      <c r="L6301" s="27"/>
    </row>
    <row r="6302" spans="1:12">
      <c r="A6302" s="20" t="s">
        <v>1000</v>
      </c>
      <c r="E6302" s="22">
        <f>IF(D6302="?OLD","!!!","")</f>
        <v/>
      </c>
      <c r="F6302" s="23" t="str">
        <f>IF(OR(E6302="",E6302="!!!"),"",IF(NOT(ISNA(VLOOKUP(E6302,E$1:E6301,1,FALSE()))),"OLD",IF(AND(E6302&lt;&gt;"",E6302&lt;&gt;"!!!"),"NEW","")))</f>
        <v> </v>
      </c>
      <c r="G6302" s="24" t="str">
        <f>IF(OR(E6302="",E6302="!!!"),"",IF(OR(J6302=0,AND(J6302=1,K6302=1),AND(J6302=1,I6302="SBJ"),AND(J6302=1,I6302=0)),"?IN_FOCUS",IF(J6302&lt;=2,"?ACTIVATED",IF(J6302&lt;&gt;"","?FAMILIAR",IF(F6302="NEW",IF(ISNA(VLOOKUP(E6302,#REF!,1,FALSE())),"?TYPE_IDENTIFIABLE","?REFERENTIAL"),"_")))))</f>
        <v> </v>
      </c>
      <c r="H6302" s="25" t="str">
        <f>IF(J6302&lt;&gt;1,"",IF(I6302="SBJ","CB","?"))</f>
        <v> </v>
      </c>
      <c r="I6302" s="26" t="str">
        <f>IF(OR(E6302="",E6302="!!!",F6302="NEW"),"",INDEX(B6301:B$2,-1+SUMPRODUCT(MAX(ROW(E6301:E$2)*(E6302=E6301:E$2)))))</f>
        <v> </v>
      </c>
      <c r="J6302" s="26" t="str">
        <f>IF(OR(E6302="",E6302="!!!",F6302="NEW"),"",COUNTBLANK(OFFSET(A$1,,,SUMPRODUCT(MAX(ROW(E$2:E6302)*(E6302=E$2:E6302)))))-COUNTBLANK(OFFSET(A$1,,,SUMPRODUCT(MAX(ROW(E$1:E6301)*(E2=E$1:E6301))))))</f>
        <v> </v>
      </c>
      <c r="K6302" s="26" t="str">
        <f>IF(OR(E6302="",E6302="!!!",F6302="NEW"),"",INDEX(J$1:J6301,SUMPRODUCT(MAX(ROW(E$1:E6301)*(E6302=E$1:E6301)))))</f>
        <v> </v>
      </c>
      <c r="L6302" s="27"/>
    </row>
    <row r="6303" spans="1:12">
      <c r="A6303" s="20" t="s">
        <v>993</v>
      </c>
      <c r="E6303" s="22">
        <f>IF(D6303="?OLD","!!!","")</f>
        <v/>
      </c>
      <c r="F6303" s="23" t="str">
        <f>IF(OR(E6303="",E6303="!!!"),"",IF(NOT(ISNA(VLOOKUP(E6303,E$1:E6302,1,FALSE()))),"OLD",IF(AND(E6303&lt;&gt;"",E6303&lt;&gt;"!!!"),"NEW","")))</f>
        <v> </v>
      </c>
      <c r="G6303" s="24" t="str">
        <f>IF(OR(E6303="",E6303="!!!"),"",IF(OR(J6303=0,AND(J6303=1,K6303=1),AND(J6303=1,I6303="SBJ"),AND(J6303=1,I6303=0)),"?IN_FOCUS",IF(J6303&lt;=2,"?ACTIVATED",IF(J6303&lt;&gt;"","?FAMILIAR",IF(F6303="NEW",IF(ISNA(VLOOKUP(E6303,#REF!,1,FALSE())),"?TYPE_IDENTIFIABLE","?REFERENTIAL"),"_")))))</f>
        <v> </v>
      </c>
      <c r="H6303" s="25" t="str">
        <f>IF(J6303&lt;&gt;1,"",IF(I6303="SBJ","CB","?"))</f>
        <v> </v>
      </c>
      <c r="I6303" s="26" t="str">
        <f>IF(OR(E6303="",E6303="!!!",F6303="NEW"),"",INDEX(B6302:B$2,-1+SUMPRODUCT(MAX(ROW(E6302:E$2)*(E6303=E6302:E$2)))))</f>
        <v> </v>
      </c>
      <c r="J6303" s="26" t="str">
        <f>IF(OR(E6303="",E6303="!!!",F6303="NEW"),"",COUNTBLANK(OFFSET(A$1,,,SUMPRODUCT(MAX(ROW(E$2:E6303)*(E6303=E$2:E6303)))))-COUNTBLANK(OFFSET(A$1,,,SUMPRODUCT(MAX(ROW(E$1:E6302)*(E2=E$1:E6302))))))</f>
        <v> </v>
      </c>
      <c r="K6303" s="26" t="str">
        <f>IF(OR(E6303="",E6303="!!!",F6303="NEW"),"",INDEX(J$1:J6302,SUMPRODUCT(MAX(ROW(E$1:E6302)*(E6303=E$1:E6302)))))</f>
        <v> </v>
      </c>
      <c r="L6303" s="27"/>
    </row>
    <row r="6304" spans="1:12">
      <c r="A6304" s="20" t="s">
        <v>750</v>
      </c>
      <c r="B6304" s="21" t="s">
        <v>986</v>
      </c>
      <c r="C6304" s="21" t="s">
        <v>995</v>
      </c>
      <c r="D6304" s="21" t="s">
        <v>978</v>
      </c>
      <c r="E6304" s="22">
        <f>IF(D6304="?OLD","!!!","")</f>
        <v/>
      </c>
      <c r="F6304" s="23" t="str">
        <f>IF(OR(E6304="",E6304="!!!"),"",IF(NOT(ISNA(VLOOKUP(E6304,E$1:E6303,1,FALSE()))),"OLD",IF(AND(E6304&lt;&gt;"",E6304&lt;&gt;"!!!"),"NEW","")))</f>
        <v> </v>
      </c>
      <c r="G6304" s="24" t="str">
        <f>IF(OR(E6304="",E6304="!!!"),"",IF(OR(J6304=0,AND(J6304=1,K6304=1),AND(J6304=1,I6304="SBJ"),AND(J6304=1,I6304=0)),"?IN_FOCUS",IF(J6304&lt;=2,"?ACTIVATED",IF(J6304&lt;&gt;"","?FAMILIAR",IF(F6304="NEW",IF(ISNA(VLOOKUP(E6304,#REF!,1,FALSE())),"?TYPE_IDENTIFIABLE","?REFERENTIAL"),"_")))))</f>
        <v> </v>
      </c>
      <c r="H6304" s="25" t="str">
        <f>IF(J6304&lt;&gt;1,"",IF(I6304="SBJ","CB","?"))</f>
        <v> </v>
      </c>
      <c r="I6304" s="26" t="str">
        <f>IF(OR(E6304="",E6304="!!!",F6304="NEW"),"",INDEX(B6303:B$2,-1+SUMPRODUCT(MAX(ROW(E6303:E$2)*(E6304=E6303:E$2)))))</f>
        <v> </v>
      </c>
      <c r="J6304" s="26" t="str">
        <f>IF(OR(E6304="",E6304="!!!",F6304="NEW"),"",COUNTBLANK(OFFSET(A$1,,,SUMPRODUCT(MAX(ROW(E$2:E6304)*(E6304=E$2:E6304)))))-COUNTBLANK(OFFSET(A$1,,,SUMPRODUCT(MAX(ROW(E$1:E6303)*(E2=E$1:E6303))))))</f>
        <v> </v>
      </c>
      <c r="K6304" s="26" t="str">
        <f>IF(OR(E6304="",E6304="!!!",F6304="NEW"),"",INDEX(J$1:J6303,SUMPRODUCT(MAX(ROW(E$1:E6303)*(E6304=E$1:E6303)))))</f>
        <v> </v>
      </c>
      <c r="L6304" s="27"/>
    </row>
    <row r="6305" spans="1:12">
      <c r="A6305" s="20" t="s">
        <v>1058</v>
      </c>
      <c r="E6305" s="22">
        <f>IF(D6305="?OLD","!!!","")</f>
        <v/>
      </c>
      <c r="F6305" s="23" t="str">
        <f>IF(OR(E6305="",E6305="!!!"),"",IF(NOT(ISNA(VLOOKUP(E6305,E$1:E6304,1,FALSE()))),"OLD",IF(AND(E6305&lt;&gt;"",E6305&lt;&gt;"!!!"),"NEW","")))</f>
        <v> </v>
      </c>
      <c r="G6305" s="24" t="str">
        <f>IF(OR(E6305="",E6305="!!!"),"",IF(OR(J6305=0,AND(J6305=1,K6305=1),AND(J6305=1,I6305="SBJ"),AND(J6305=1,I6305=0)),"?IN_FOCUS",IF(J6305&lt;=2,"?ACTIVATED",IF(J6305&lt;&gt;"","?FAMILIAR",IF(F6305="NEW",IF(ISNA(VLOOKUP(E6305,#REF!,1,FALSE())),"?TYPE_IDENTIFIABLE","?REFERENTIAL"),"_")))))</f>
        <v> </v>
      </c>
      <c r="H6305" s="25" t="str">
        <f>IF(J6305&lt;&gt;1,"",IF(I6305="SBJ","CB","?"))</f>
        <v> </v>
      </c>
      <c r="I6305" s="26" t="str">
        <f>IF(OR(E6305="",E6305="!!!",F6305="NEW"),"",INDEX(B6304:B$2,-1+SUMPRODUCT(MAX(ROW(E6304:E$2)*(E6305=E6304:E$2)))))</f>
        <v> </v>
      </c>
      <c r="J6305" s="26" t="str">
        <f>IF(OR(E6305="",E6305="!!!",F6305="NEW"),"",COUNTBLANK(OFFSET(A$1,,,SUMPRODUCT(MAX(ROW(E$2:E6305)*(E6305=E$2:E6305)))))-COUNTBLANK(OFFSET(A$1,,,SUMPRODUCT(MAX(ROW(E$1:E6304)*(E2=E$1:E6304))))))</f>
        <v> </v>
      </c>
      <c r="K6305" s="26" t="str">
        <f>IF(OR(E6305="",E6305="!!!",F6305="NEW"),"",INDEX(J$1:J6304,SUMPRODUCT(MAX(ROW(E$1:E6304)*(E6305=E$1:E6304)))))</f>
        <v> </v>
      </c>
      <c r="L6305" s="27"/>
    </row>
    <row r="6306" spans="1:12">
      <c r="A6306" s="20" t="s">
        <v>1142</v>
      </c>
      <c r="E6306" s="22">
        <f>IF(D6306="?OLD","!!!","")</f>
        <v/>
      </c>
      <c r="F6306" s="23" t="str">
        <f>IF(OR(E6306="",E6306="!!!"),"",IF(NOT(ISNA(VLOOKUP(E6306,E$1:E6305,1,FALSE()))),"OLD",IF(AND(E6306&lt;&gt;"",E6306&lt;&gt;"!!!"),"NEW","")))</f>
        <v> </v>
      </c>
      <c r="G6306" s="24" t="str">
        <f>IF(OR(E6306="",E6306="!!!"),"",IF(OR(J6306=0,AND(J6306=1,K6306=1),AND(J6306=1,I6306="SBJ"),AND(J6306=1,I6306=0)),"?IN_FOCUS",IF(J6306&lt;=2,"?ACTIVATED",IF(J6306&lt;&gt;"","?FAMILIAR",IF(F6306="NEW",IF(ISNA(VLOOKUP(E6306,#REF!,1,FALSE())),"?TYPE_IDENTIFIABLE","?REFERENTIAL"),"_")))))</f>
        <v> </v>
      </c>
      <c r="H6306" s="25" t="str">
        <f>IF(J6306&lt;&gt;1,"",IF(I6306="SBJ","CB","?"))</f>
        <v> </v>
      </c>
      <c r="I6306" s="26" t="str">
        <f>IF(OR(E6306="",E6306="!!!",F6306="NEW"),"",INDEX(B6305:B$2,-1+SUMPRODUCT(MAX(ROW(E6305:E$2)*(E6306=E6305:E$2)))))</f>
        <v> </v>
      </c>
      <c r="J6306" s="26" t="str">
        <f>IF(OR(E6306="",E6306="!!!",F6306="NEW"),"",COUNTBLANK(OFFSET(A$1,,,SUMPRODUCT(MAX(ROW(E$2:E6306)*(E6306=E$2:E6306)))))-COUNTBLANK(OFFSET(A$1,,,SUMPRODUCT(MAX(ROW(E$1:E6305)*(E2=E$1:E6305))))))</f>
        <v> </v>
      </c>
      <c r="K6306" s="26" t="str">
        <f>IF(OR(E6306="",E6306="!!!",F6306="NEW"),"",INDEX(J$1:J6305,SUMPRODUCT(MAX(ROW(E$1:E6305)*(E6306=E$1:E6305)))))</f>
        <v> </v>
      </c>
      <c r="L6306" s="27"/>
    </row>
    <row r="6307" spans="1:12">
      <c r="A6307" s="20" t="s">
        <v>1154</v>
      </c>
      <c r="B6307" s="21" t="s">
        <v>1035</v>
      </c>
      <c r="C6307" s="21" t="s">
        <v>977</v>
      </c>
      <c r="D6307" s="21" t="s">
        <v>978</v>
      </c>
      <c r="E6307" s="22">
        <f>IF(D6307="?OLD","!!!","")</f>
        <v/>
      </c>
      <c r="F6307" s="23" t="str">
        <f>IF(OR(E6307="",E6307="!!!"),"",IF(NOT(ISNA(VLOOKUP(E6307,E$1:E6306,1,FALSE()))),"OLD",IF(AND(E6307&lt;&gt;"",E6307&lt;&gt;"!!!"),"NEW","")))</f>
        <v> </v>
      </c>
      <c r="G6307" s="24" t="str">
        <f>IF(OR(E6307="",E6307="!!!"),"",IF(OR(J6307=0,AND(J6307=1,K6307=1),AND(J6307=1,I6307="SBJ"),AND(J6307=1,I6307=0)),"?IN_FOCUS",IF(J6307&lt;=2,"?ACTIVATED",IF(J6307&lt;&gt;"","?FAMILIAR",IF(F6307="NEW",IF(ISNA(VLOOKUP(E6307,#REF!,1,FALSE())),"?TYPE_IDENTIFIABLE","?REFERENTIAL"),"_")))))</f>
        <v> </v>
      </c>
      <c r="H6307" s="25" t="str">
        <f>IF(J6307&lt;&gt;1,"",IF(I6307="SBJ","CB","?"))</f>
        <v> </v>
      </c>
      <c r="I6307" s="26" t="str">
        <f>IF(OR(E6307="",E6307="!!!",F6307="NEW"),"",INDEX(B6306:B$2,-1+SUMPRODUCT(MAX(ROW(E6306:E$2)*(E6307=E6306:E$2)))))</f>
        <v> </v>
      </c>
      <c r="J6307" s="26" t="str">
        <f>IF(OR(E6307="",E6307="!!!",F6307="NEW"),"",COUNTBLANK(OFFSET(A$1,,,SUMPRODUCT(MAX(ROW(E$2:E6307)*(E6307=E$2:E6307)))))-COUNTBLANK(OFFSET(A$1,,,SUMPRODUCT(MAX(ROW(E$1:E6306)*(E2=E$1:E6306))))))</f>
        <v> </v>
      </c>
      <c r="K6307" s="26" t="str">
        <f>IF(OR(E6307="",E6307="!!!",F6307="NEW"),"",INDEX(J$1:J6306,SUMPRODUCT(MAX(ROW(E$1:E6306)*(E6307=E$1:E6306)))))</f>
        <v> </v>
      </c>
      <c r="L6307" s="27"/>
    </row>
    <row r="6308" spans="1:12">
      <c r="A6308" s="20" t="s">
        <v>1185</v>
      </c>
      <c r="E6308" s="22">
        <f>IF(D6308="?OLD","!!!","")</f>
        <v/>
      </c>
      <c r="F6308" s="23" t="str">
        <f>IF(OR(E6308="",E6308="!!!"),"",IF(NOT(ISNA(VLOOKUP(E6308,E$1:E6307,1,FALSE()))),"OLD",IF(AND(E6308&lt;&gt;"",E6308&lt;&gt;"!!!"),"NEW","")))</f>
        <v> </v>
      </c>
      <c r="G6308" s="24" t="str">
        <f>IF(OR(E6308="",E6308="!!!"),"",IF(OR(J6308=0,AND(J6308=1,K6308=1),AND(J6308=1,I6308="SBJ"),AND(J6308=1,I6308=0)),"?IN_FOCUS",IF(J6308&lt;=2,"?ACTIVATED",IF(J6308&lt;&gt;"","?FAMILIAR",IF(F6308="NEW",IF(ISNA(VLOOKUP(E6308,#REF!,1,FALSE())),"?TYPE_IDENTIFIABLE","?REFERENTIAL"),"_")))))</f>
        <v> </v>
      </c>
      <c r="H6308" s="25" t="str">
        <f>IF(J6308&lt;&gt;1,"",IF(I6308="SBJ","CB","?"))</f>
        <v> </v>
      </c>
      <c r="I6308" s="26" t="str">
        <f>IF(OR(E6308="",E6308="!!!",F6308="NEW"),"",INDEX(B6307:B$2,-1+SUMPRODUCT(MAX(ROW(E6307:E$2)*(E6308=E6307:E$2)))))</f>
        <v> </v>
      </c>
      <c r="J6308" s="26" t="str">
        <f>IF(OR(E6308="",E6308="!!!",F6308="NEW"),"",COUNTBLANK(OFFSET(A$1,,,SUMPRODUCT(MAX(ROW(E$2:E6308)*(E6308=E$2:E6308)))))-COUNTBLANK(OFFSET(A$1,,,SUMPRODUCT(MAX(ROW(E$1:E6307)*(E2=E$1:E6307))))))</f>
        <v> </v>
      </c>
      <c r="K6308" s="26" t="str">
        <f>IF(OR(E6308="",E6308="!!!",F6308="NEW"),"",INDEX(J$1:J6307,SUMPRODUCT(MAX(ROW(E$1:E6307)*(E6308=E$1:E6307)))))</f>
        <v> </v>
      </c>
      <c r="L6308" s="27"/>
    </row>
    <row r="6309" spans="1:12">
      <c r="A6309" s="20" t="s">
        <v>2546</v>
      </c>
      <c r="B6309" s="21" t="s">
        <v>1036</v>
      </c>
      <c r="C6309" s="21" t="s">
        <v>1057</v>
      </c>
      <c r="E6309" s="22">
        <f>IF(D6309="?OLD","!!!","")</f>
        <v/>
      </c>
      <c r="F6309" s="23" t="str">
        <f>IF(OR(E6309="",E6309="!!!"),"",IF(NOT(ISNA(VLOOKUP(E6309,E$1:E6308,1,FALSE()))),"OLD",IF(AND(E6309&lt;&gt;"",E6309&lt;&gt;"!!!"),"NEW","")))</f>
        <v> </v>
      </c>
      <c r="G6309" s="24" t="str">
        <f>IF(OR(E6309="",E6309="!!!"),"",IF(OR(J6309=0,AND(J6309=1,K6309=1),AND(J6309=1,I6309="SBJ"),AND(J6309=1,I6309=0)),"?IN_FOCUS",IF(J6309&lt;=2,"?ACTIVATED",IF(J6309&lt;&gt;"","?FAMILIAR",IF(F6309="NEW",IF(ISNA(VLOOKUP(E6309,#REF!,1,FALSE())),"?TYPE_IDENTIFIABLE","?REFERENTIAL"),"_")))))</f>
        <v> </v>
      </c>
      <c r="H6309" s="25" t="str">
        <f>IF(J6309&lt;&gt;1,"",IF(I6309="SBJ","CB","?"))</f>
        <v> </v>
      </c>
      <c r="I6309" s="26" t="str">
        <f>IF(OR(E6309="",E6309="!!!",F6309="NEW"),"",INDEX(B6308:B$2,-1+SUMPRODUCT(MAX(ROW(E6308:E$2)*(E6309=E6308:E$2)))))</f>
        <v> </v>
      </c>
      <c r="J6309" s="26" t="str">
        <f>IF(OR(E6309="",E6309="!!!",F6309="NEW"),"",COUNTBLANK(OFFSET(A$1,,,SUMPRODUCT(MAX(ROW(E$2:E6309)*(E6309=E$2:E6309)))))-COUNTBLANK(OFFSET(A$1,,,SUMPRODUCT(MAX(ROW(E$1:E6308)*(E2=E$1:E6308))))))</f>
        <v> </v>
      </c>
      <c r="K6309" s="26" t="str">
        <f>IF(OR(E6309="",E6309="!!!",F6309="NEW"),"",INDEX(J$1:J6308,SUMPRODUCT(MAX(ROW(E$1:E6308)*(E6309=E$1:E6308)))))</f>
        <v> </v>
      </c>
      <c r="L6309" s="27"/>
    </row>
    <row r="6310" spans="1:12">
      <c r="A6310" s="20" t="s">
        <v>1072</v>
      </c>
      <c r="E6310" s="22">
        <f>IF(D6310="?OLD","!!!","")</f>
        <v/>
      </c>
      <c r="F6310" s="23" t="str">
        <f>IF(OR(E6310="",E6310="!!!"),"",IF(NOT(ISNA(VLOOKUP(E6310,E$1:E6309,1,FALSE()))),"OLD",IF(AND(E6310&lt;&gt;"",E6310&lt;&gt;"!!!"),"NEW","")))</f>
        <v> </v>
      </c>
      <c r="G6310" s="24" t="str">
        <f>IF(OR(E6310="",E6310="!!!"),"",IF(OR(J6310=0,AND(J6310=1,K6310=1),AND(J6310=1,I6310="SBJ"),AND(J6310=1,I6310=0)),"?IN_FOCUS",IF(J6310&lt;=2,"?ACTIVATED",IF(J6310&lt;&gt;"","?FAMILIAR",IF(F6310="NEW",IF(ISNA(VLOOKUP(E6310,#REF!,1,FALSE())),"?TYPE_IDENTIFIABLE","?REFERENTIAL"),"_")))))</f>
        <v> </v>
      </c>
      <c r="H6310" s="25" t="str">
        <f>IF(J6310&lt;&gt;1,"",IF(I6310="SBJ","CB","?"))</f>
        <v> </v>
      </c>
      <c r="I6310" s="26" t="str">
        <f>IF(OR(E6310="",E6310="!!!",F6310="NEW"),"",INDEX(B6309:B$2,-1+SUMPRODUCT(MAX(ROW(E6309:E$2)*(E6310=E6309:E$2)))))</f>
        <v> </v>
      </c>
      <c r="J6310" s="26" t="str">
        <f>IF(OR(E6310="",E6310="!!!",F6310="NEW"),"",COUNTBLANK(OFFSET(A$1,,,SUMPRODUCT(MAX(ROW(E$2:E6310)*(E6310=E$2:E6310)))))-COUNTBLANK(OFFSET(A$1,,,SUMPRODUCT(MAX(ROW(E$1:E6309)*(E2=E$1:E6309))))))</f>
        <v> </v>
      </c>
      <c r="K6310" s="26" t="str">
        <f>IF(OR(E6310="",E6310="!!!",F6310="NEW"),"",INDEX(J$1:J6309,SUMPRODUCT(MAX(ROW(E$1:E6309)*(E6310=E$1:E6309)))))</f>
        <v> </v>
      </c>
      <c r="L6310" s="27"/>
    </row>
    <row r="6311" spans="1:12">
      <c r="A6311" s="20" t="s">
        <v>1026</v>
      </c>
      <c r="E6311" s="22">
        <f>IF(D6311="?OLD","!!!","")</f>
        <v/>
      </c>
      <c r="F6311" s="23" t="str">
        <f>IF(OR(E6311="",E6311="!!!"),"",IF(NOT(ISNA(VLOOKUP(E6311,E$1:E6310,1,FALSE()))),"OLD",IF(AND(E6311&lt;&gt;"",E6311&lt;&gt;"!!!"),"NEW","")))</f>
        <v> </v>
      </c>
      <c r="G6311" s="24" t="str">
        <f>IF(OR(E6311="",E6311="!!!"),"",IF(OR(J6311=0,AND(J6311=1,K6311=1),AND(J6311=1,I6311="SBJ"),AND(J6311=1,I6311=0)),"?IN_FOCUS",IF(J6311&lt;=2,"?ACTIVATED",IF(J6311&lt;&gt;"","?FAMILIAR",IF(F6311="NEW",IF(ISNA(VLOOKUP(E6311,#REF!,1,FALSE())),"?TYPE_IDENTIFIABLE","?REFERENTIAL"),"_")))))</f>
        <v> </v>
      </c>
      <c r="H6311" s="25" t="str">
        <f>IF(J6311&lt;&gt;1,"",IF(I6311="SBJ","CB","?"))</f>
        <v> </v>
      </c>
      <c r="I6311" s="26" t="str">
        <f>IF(OR(E6311="",E6311="!!!",F6311="NEW"),"",INDEX(B6310:B$2,-1+SUMPRODUCT(MAX(ROW(E6310:E$2)*(E6311=E6310:E$2)))))</f>
        <v> </v>
      </c>
      <c r="J6311" s="26" t="str">
        <f>IF(OR(E6311="",E6311="!!!",F6311="NEW"),"",COUNTBLANK(OFFSET(A$1,,,SUMPRODUCT(MAX(ROW(E$2:E6311)*(E6311=E$2:E6311)))))-COUNTBLANK(OFFSET(A$1,,,SUMPRODUCT(MAX(ROW(E$1:E6310)*(E2=E$1:E6310))))))</f>
        <v> </v>
      </c>
      <c r="K6311" s="26" t="str">
        <f>IF(OR(E6311="",E6311="!!!",F6311="NEW"),"",INDEX(J$1:J6310,SUMPRODUCT(MAX(ROW(E$1:E6310)*(E6311=E$1:E6310)))))</f>
        <v> </v>
      </c>
      <c r="L6311" s="27"/>
    </row>
    <row r="6312" spans="1:12">
      <c r="A6312" s="20" t="s">
        <v>2547</v>
      </c>
      <c r="E6312" s="22">
        <f>IF(D6312="?OLD","!!!","")</f>
        <v/>
      </c>
      <c r="F6312" s="23" t="str">
        <f>IF(OR(E6312="",E6312="!!!"),"",IF(NOT(ISNA(VLOOKUP(E6312,E$1:E6311,1,FALSE()))),"OLD",IF(AND(E6312&lt;&gt;"",E6312&lt;&gt;"!!!"),"NEW","")))</f>
        <v> </v>
      </c>
      <c r="G6312" s="24" t="str">
        <f>IF(OR(E6312="",E6312="!!!"),"",IF(OR(J6312=0,AND(J6312=1,K6312=1),AND(J6312=1,I6312="SBJ"),AND(J6312=1,I6312=0)),"?IN_FOCUS",IF(J6312&lt;=2,"?ACTIVATED",IF(J6312&lt;&gt;"","?FAMILIAR",IF(F6312="NEW",IF(ISNA(VLOOKUP(E6312,#REF!,1,FALSE())),"?TYPE_IDENTIFIABLE","?REFERENTIAL"),"_")))))</f>
        <v> </v>
      </c>
      <c r="H6312" s="25" t="str">
        <f>IF(J6312&lt;&gt;1,"",IF(I6312="SBJ","CB","?"))</f>
        <v> </v>
      </c>
      <c r="I6312" s="26" t="str">
        <f>IF(OR(E6312="",E6312="!!!",F6312="NEW"),"",INDEX(B6311:B$2,-1+SUMPRODUCT(MAX(ROW(E6311:E$2)*(E6312=E6311:E$2)))))</f>
        <v> </v>
      </c>
      <c r="J6312" s="26" t="str">
        <f>IF(OR(E6312="",E6312="!!!",F6312="NEW"),"",COUNTBLANK(OFFSET(A$1,,,SUMPRODUCT(MAX(ROW(E$2:E6312)*(E6312=E$2:E6312)))))-COUNTBLANK(OFFSET(A$1,,,SUMPRODUCT(MAX(ROW(E$1:E6311)*(E2=E$1:E6311))))))</f>
        <v> </v>
      </c>
      <c r="K6312" s="26" t="str">
        <f>IF(OR(E6312="",E6312="!!!",F6312="NEW"),"",INDEX(J$1:J6311,SUMPRODUCT(MAX(ROW(E$1:E6311)*(E6312=E$1:E6311)))))</f>
        <v> </v>
      </c>
      <c r="L6312" s="27"/>
    </row>
    <row r="6313" spans="1:12">
      <c r="A6313" s="20" t="s">
        <v>2548</v>
      </c>
      <c r="E6313" s="22">
        <f>IF(D6313="?OLD","!!!","")</f>
        <v/>
      </c>
      <c r="F6313" s="23" t="str">
        <f>IF(OR(E6313="",E6313="!!!"),"",IF(NOT(ISNA(VLOOKUP(E6313,E$1:E6312,1,FALSE()))),"OLD",IF(AND(E6313&lt;&gt;"",E6313&lt;&gt;"!!!"),"NEW","")))</f>
        <v> </v>
      </c>
      <c r="G6313" s="24" t="str">
        <f>IF(OR(E6313="",E6313="!!!"),"",IF(OR(J6313=0,AND(J6313=1,K6313=1),AND(J6313=1,I6313="SBJ"),AND(J6313=1,I6313=0)),"?IN_FOCUS",IF(J6313&lt;=2,"?ACTIVATED",IF(J6313&lt;&gt;"","?FAMILIAR",IF(F6313="NEW",IF(ISNA(VLOOKUP(E6313,#REF!,1,FALSE())),"?TYPE_IDENTIFIABLE","?REFERENTIAL"),"_")))))</f>
        <v> </v>
      </c>
      <c r="H6313" s="25" t="str">
        <f>IF(J6313&lt;&gt;1,"",IF(I6313="SBJ","CB","?"))</f>
        <v> </v>
      </c>
      <c r="I6313" s="26" t="str">
        <f>IF(OR(E6313="",E6313="!!!",F6313="NEW"),"",INDEX(B6312:B$2,-1+SUMPRODUCT(MAX(ROW(E6312:E$2)*(E6313=E6312:E$2)))))</f>
        <v> </v>
      </c>
      <c r="J6313" s="26" t="str">
        <f>IF(OR(E6313="",E6313="!!!",F6313="NEW"),"",COUNTBLANK(OFFSET(A$1,,,SUMPRODUCT(MAX(ROW(E$2:E6313)*(E6313=E$2:E6313)))))-COUNTBLANK(OFFSET(A$1,,,SUMPRODUCT(MAX(ROW(E$1:E6312)*(E2=E$1:E6312))))))</f>
        <v> </v>
      </c>
      <c r="K6313" s="26" t="str">
        <f>IF(OR(E6313="",E6313="!!!",F6313="NEW"),"",INDEX(J$1:J6312,SUMPRODUCT(MAX(ROW(E$1:E6312)*(E6313=E$1:E6312)))))</f>
        <v> </v>
      </c>
      <c r="L6313" s="27"/>
    </row>
    <row r="6314" spans="1:12">
      <c r="A6314" s="20" t="s">
        <v>1002</v>
      </c>
      <c r="E6314" s="22">
        <f>IF(D6314="?OLD","!!!","")</f>
        <v/>
      </c>
      <c r="F6314" s="23" t="str">
        <f>IF(OR(E6314="",E6314="!!!"),"",IF(NOT(ISNA(VLOOKUP(E6314,E$1:E6313,1,FALSE()))),"OLD",IF(AND(E6314&lt;&gt;"",E6314&lt;&gt;"!!!"),"NEW","")))</f>
        <v> </v>
      </c>
      <c r="G6314" s="24" t="str">
        <f>IF(OR(E6314="",E6314="!!!"),"",IF(OR(J6314=0,AND(J6314=1,K6314=1),AND(J6314=1,I6314="SBJ"),AND(J6314=1,I6314=0)),"?IN_FOCUS",IF(J6314&lt;=2,"?ACTIVATED",IF(J6314&lt;&gt;"","?FAMILIAR",IF(F6314="NEW",IF(ISNA(VLOOKUP(E6314,#REF!,1,FALSE())),"?TYPE_IDENTIFIABLE","?REFERENTIAL"),"_")))))</f>
        <v> </v>
      </c>
      <c r="H6314" s="25" t="str">
        <f>IF(J6314&lt;&gt;1,"",IF(I6314="SBJ","CB","?"))</f>
        <v> </v>
      </c>
      <c r="I6314" s="26" t="str">
        <f>IF(OR(E6314="",E6314="!!!",F6314="NEW"),"",INDEX(B6313:B$2,-1+SUMPRODUCT(MAX(ROW(E6313:E$2)*(E6314=E6313:E$2)))))</f>
        <v> </v>
      </c>
      <c r="J6314" s="26" t="str">
        <f>IF(OR(E6314="",E6314="!!!",F6314="NEW"),"",COUNTBLANK(OFFSET(A$1,,,SUMPRODUCT(MAX(ROW(E$2:E6314)*(E6314=E$2:E6314)))))-COUNTBLANK(OFFSET(A$1,,,SUMPRODUCT(MAX(ROW(E$1:E6313)*(E2=E$1:E6313))))))</f>
        <v> </v>
      </c>
      <c r="K6314" s="26" t="str">
        <f>IF(OR(E6314="",E6314="!!!",F6314="NEW"),"",INDEX(J$1:J6313,SUMPRODUCT(MAX(ROW(E$1:E6313)*(E6314=E$1:E6313)))))</f>
        <v> </v>
      </c>
      <c r="L6314" s="27"/>
    </row>
    <row r="6315" spans="1:12">
      <c r="A6315" s="20" t="s">
        <v>1000</v>
      </c>
      <c r="E6315" s="22">
        <f>IF(D6315="?OLD","!!!","")</f>
        <v/>
      </c>
      <c r="F6315" s="23" t="str">
        <f>IF(OR(E6315="",E6315="!!!"),"",IF(NOT(ISNA(VLOOKUP(E6315,E$1:E6314,1,FALSE()))),"OLD",IF(AND(E6315&lt;&gt;"",E6315&lt;&gt;"!!!"),"NEW","")))</f>
        <v> </v>
      </c>
      <c r="G6315" s="24" t="str">
        <f>IF(OR(E6315="",E6315="!!!"),"",IF(OR(J6315=0,AND(J6315=1,K6315=1),AND(J6315=1,I6315="SBJ"),AND(J6315=1,I6315=0)),"?IN_FOCUS",IF(J6315&lt;=2,"?ACTIVATED",IF(J6315&lt;&gt;"","?FAMILIAR",IF(F6315="NEW",IF(ISNA(VLOOKUP(E6315,#REF!,1,FALSE())),"?TYPE_IDENTIFIABLE","?REFERENTIAL"),"_")))))</f>
        <v> </v>
      </c>
      <c r="H6315" s="25" t="str">
        <f>IF(J6315&lt;&gt;1,"",IF(I6315="SBJ","CB","?"))</f>
        <v> </v>
      </c>
      <c r="I6315" s="26" t="str">
        <f>IF(OR(E6315="",E6315="!!!",F6315="NEW"),"",INDEX(B6314:B$2,-1+SUMPRODUCT(MAX(ROW(E6314:E$2)*(E6315=E6314:E$2)))))</f>
        <v> </v>
      </c>
      <c r="J6315" s="26" t="str">
        <f>IF(OR(E6315="",E6315="!!!",F6315="NEW"),"",COUNTBLANK(OFFSET(A$1,,,SUMPRODUCT(MAX(ROW(E$2:E6315)*(E6315=E$2:E6315)))))-COUNTBLANK(OFFSET(A$1,,,SUMPRODUCT(MAX(ROW(E$1:E6314)*(E2=E$1:E6314))))))</f>
        <v> </v>
      </c>
      <c r="K6315" s="26" t="str">
        <f>IF(OR(E6315="",E6315="!!!",F6315="NEW"),"",INDEX(J$1:J6314,SUMPRODUCT(MAX(ROW(E$1:E6314)*(E6315=E$1:E6314)))))</f>
        <v> </v>
      </c>
      <c r="L6315" s="27"/>
    </row>
    <row r="6316" spans="1:12">
      <c r="A6316" s="20" t="s">
        <v>1047</v>
      </c>
      <c r="B6316" s="21" t="s">
        <v>1042</v>
      </c>
      <c r="C6316" s="21" t="s">
        <v>977</v>
      </c>
      <c r="D6316" s="21" t="s">
        <v>978</v>
      </c>
      <c r="E6316" s="22">
        <f>IF(D6316="?OLD","!!!","")</f>
        <v/>
      </c>
      <c r="F6316" s="23" t="str">
        <f>IF(OR(E6316="",E6316="!!!"),"",IF(NOT(ISNA(VLOOKUP(E6316,E$1:E6315,1,FALSE()))),"OLD",IF(AND(E6316&lt;&gt;"",E6316&lt;&gt;"!!!"),"NEW","")))</f>
        <v> </v>
      </c>
      <c r="G6316" s="24" t="str">
        <f>IF(OR(E6316="",E6316="!!!"),"",IF(OR(J6316=0,AND(J6316=1,K6316=1),AND(J6316=1,I6316="SBJ"),AND(J6316=1,I6316=0)),"?IN_FOCUS",IF(J6316&lt;=2,"?ACTIVATED",IF(J6316&lt;&gt;"","?FAMILIAR",IF(F6316="NEW",IF(ISNA(VLOOKUP(E6316,#REF!,1,FALSE())),"?TYPE_IDENTIFIABLE","?REFERENTIAL"),"_")))))</f>
        <v> </v>
      </c>
      <c r="H6316" s="25" t="str">
        <f>IF(J6316&lt;&gt;1,"",IF(I6316="SBJ","CB","?"))</f>
        <v> </v>
      </c>
      <c r="I6316" s="26" t="str">
        <f>IF(OR(E6316="",E6316="!!!",F6316="NEW"),"",INDEX(B6315:B$2,-1+SUMPRODUCT(MAX(ROW(E6315:E$2)*(E6316=E6315:E$2)))))</f>
        <v> </v>
      </c>
      <c r="J6316" s="26" t="str">
        <f>IF(OR(E6316="",E6316="!!!",F6316="NEW"),"",COUNTBLANK(OFFSET(A$1,,,SUMPRODUCT(MAX(ROW(E$2:E6316)*(E6316=E$2:E6316)))))-COUNTBLANK(OFFSET(A$1,,,SUMPRODUCT(MAX(ROW(E$1:E6315)*(E2=E$1:E6315))))))</f>
        <v> </v>
      </c>
      <c r="K6316" s="26" t="str">
        <f>IF(OR(E6316="",E6316="!!!",F6316="NEW"),"",INDEX(J$1:J6315,SUMPRODUCT(MAX(ROW(E$1:E6315)*(E6316=E$1:E6315)))))</f>
        <v> </v>
      </c>
      <c r="L6316" s="27"/>
    </row>
    <row r="6317" spans="1:12">
      <c r="A6317" s="20" t="s">
        <v>1011</v>
      </c>
      <c r="B6317" s="21" t="s">
        <v>1146</v>
      </c>
      <c r="C6317" s="21" t="s">
        <v>977</v>
      </c>
      <c r="D6317" s="21" t="s">
        <v>978</v>
      </c>
      <c r="E6317" s="22">
        <f>IF(D6317="?OLD","!!!","")</f>
        <v/>
      </c>
      <c r="F6317" s="23" t="str">
        <f>IF(OR(E6317="",E6317="!!!"),"",IF(NOT(ISNA(VLOOKUP(E6317,E$1:E6316,1,FALSE()))),"OLD",IF(AND(E6317&lt;&gt;"",E6317&lt;&gt;"!!!"),"NEW","")))</f>
        <v> </v>
      </c>
      <c r="G6317" s="24" t="str">
        <f>IF(OR(E6317="",E6317="!!!"),"",IF(OR(J6317=0,AND(J6317=1,K6317=1),AND(J6317=1,I6317="SBJ"),AND(J6317=1,I6317=0)),"?IN_FOCUS",IF(J6317&lt;=2,"?ACTIVATED",IF(J6317&lt;&gt;"","?FAMILIAR",IF(F6317="NEW",IF(ISNA(VLOOKUP(E6317,#REF!,1,FALSE())),"?TYPE_IDENTIFIABLE","?REFERENTIAL"),"_")))))</f>
        <v> </v>
      </c>
      <c r="H6317" s="25" t="str">
        <f>IF(J6317&lt;&gt;1,"",IF(I6317="SBJ","CB","?"))</f>
        <v> </v>
      </c>
      <c r="I6317" s="26" t="str">
        <f>IF(OR(E6317="",E6317="!!!",F6317="NEW"),"",INDEX(B6316:B$2,-1+SUMPRODUCT(MAX(ROW(E6316:E$2)*(E6317=E6316:E$2)))))</f>
        <v> </v>
      </c>
      <c r="J6317" s="26" t="str">
        <f>IF(OR(E6317="",E6317="!!!",F6317="NEW"),"",COUNTBLANK(OFFSET(A$1,,,SUMPRODUCT(MAX(ROW(E$2:E6317)*(E6317=E$2:E6317)))))-COUNTBLANK(OFFSET(A$1,,,SUMPRODUCT(MAX(ROW(E$1:E6316)*(E2=E$1:E6316))))))</f>
        <v> </v>
      </c>
      <c r="K6317" s="26" t="str">
        <f>IF(OR(E6317="",E6317="!!!",F6317="NEW"),"",INDEX(J$1:J6316,SUMPRODUCT(MAX(ROW(E$1:E6316)*(E6317=E$1:E6316)))))</f>
        <v> </v>
      </c>
      <c r="L6317" s="27"/>
    </row>
    <row r="6318" spans="1:12">
      <c r="A6318" s="20" t="s">
        <v>1164</v>
      </c>
      <c r="E6318" s="22">
        <f>IF(D6318="?OLD","!!!","")</f>
        <v/>
      </c>
      <c r="F6318" s="23" t="str">
        <f>IF(OR(E6318="",E6318="!!!"),"",IF(NOT(ISNA(VLOOKUP(E6318,E$1:E6317,1,FALSE()))),"OLD",IF(AND(E6318&lt;&gt;"",E6318&lt;&gt;"!!!"),"NEW","")))</f>
        <v> </v>
      </c>
      <c r="G6318" s="24" t="str">
        <f>IF(OR(E6318="",E6318="!!!"),"",IF(OR(J6318=0,AND(J6318=1,K6318=1),AND(J6318=1,I6318="SBJ"),AND(J6318=1,I6318=0)),"?IN_FOCUS",IF(J6318&lt;=2,"?ACTIVATED",IF(J6318&lt;&gt;"","?FAMILIAR",IF(F6318="NEW",IF(ISNA(VLOOKUP(E6318,#REF!,1,FALSE())),"?TYPE_IDENTIFIABLE","?REFERENTIAL"),"_")))))</f>
        <v> </v>
      </c>
      <c r="H6318" s="25" t="str">
        <f>IF(J6318&lt;&gt;1,"",IF(I6318="SBJ","CB","?"))</f>
        <v> </v>
      </c>
      <c r="I6318" s="26" t="str">
        <f>IF(OR(E6318="",E6318="!!!",F6318="NEW"),"",INDEX(B6317:B$2,-1+SUMPRODUCT(MAX(ROW(E6317:E$2)*(E6318=E6317:E$2)))))</f>
        <v> </v>
      </c>
      <c r="J6318" s="26" t="str">
        <f>IF(OR(E6318="",E6318="!!!",F6318="NEW"),"",COUNTBLANK(OFFSET(A$1,,,SUMPRODUCT(MAX(ROW(E$2:E6318)*(E6318=E$2:E6318)))))-COUNTBLANK(OFFSET(A$1,,,SUMPRODUCT(MAX(ROW(E$1:E6317)*(E2=E$1:E6317))))))</f>
        <v> </v>
      </c>
      <c r="K6318" s="26" t="str">
        <f>IF(OR(E6318="",E6318="!!!",F6318="NEW"),"",INDEX(J$1:J6317,SUMPRODUCT(MAX(ROW(E$1:E6317)*(E6318=E$1:E6317)))))</f>
        <v> </v>
      </c>
      <c r="L6318" s="27"/>
    </row>
    <row r="6319" spans="1:12">
      <c r="A6319" s="20" t="s">
        <v>1384</v>
      </c>
      <c r="E6319" s="22">
        <f>IF(D6319="?OLD","!!!","")</f>
        <v/>
      </c>
      <c r="F6319" s="23" t="str">
        <f>IF(OR(E6319="",E6319="!!!"),"",IF(NOT(ISNA(VLOOKUP(E6319,E$1:E6318,1,FALSE()))),"OLD",IF(AND(E6319&lt;&gt;"",E6319&lt;&gt;"!!!"),"NEW","")))</f>
        <v> </v>
      </c>
      <c r="G6319" s="24" t="str">
        <f>IF(OR(E6319="",E6319="!!!"),"",IF(OR(J6319=0,AND(J6319=1,K6319=1),AND(J6319=1,I6319="SBJ"),AND(J6319=1,I6319=0)),"?IN_FOCUS",IF(J6319&lt;=2,"?ACTIVATED",IF(J6319&lt;&gt;"","?FAMILIAR",IF(F6319="NEW",IF(ISNA(VLOOKUP(E6319,#REF!,1,FALSE())),"?TYPE_IDENTIFIABLE","?REFERENTIAL"),"_")))))</f>
        <v> </v>
      </c>
      <c r="H6319" s="25" t="str">
        <f>IF(J6319&lt;&gt;1,"",IF(I6319="SBJ","CB","?"))</f>
        <v> </v>
      </c>
      <c r="I6319" s="26" t="str">
        <f>IF(OR(E6319="",E6319="!!!",F6319="NEW"),"",INDEX(B6318:B$2,-1+SUMPRODUCT(MAX(ROW(E6318:E$2)*(E6319=E6318:E$2)))))</f>
        <v> </v>
      </c>
      <c r="J6319" s="26" t="str">
        <f>IF(OR(E6319="",E6319="!!!",F6319="NEW"),"",COUNTBLANK(OFFSET(A$1,,,SUMPRODUCT(MAX(ROW(E$2:E6319)*(E6319=E$2:E6319)))))-COUNTBLANK(OFFSET(A$1,,,SUMPRODUCT(MAX(ROW(E$1:E6318)*(E2=E$1:E6318))))))</f>
        <v> </v>
      </c>
      <c r="K6319" s="26" t="str">
        <f>IF(OR(E6319="",E6319="!!!",F6319="NEW"),"",INDEX(J$1:J6318,SUMPRODUCT(MAX(ROW(E$1:E6318)*(E6319=E$1:E6318)))))</f>
        <v> </v>
      </c>
      <c r="L6319" s="27"/>
    </row>
    <row r="6320" spans="1:12">
      <c r="A6320" s="20" t="s">
        <v>1216</v>
      </c>
      <c r="E6320" s="22">
        <f>IF(D6320="?OLD","!!!","")</f>
        <v/>
      </c>
      <c r="F6320" s="23" t="str">
        <f>IF(OR(E6320="",E6320="!!!"),"",IF(NOT(ISNA(VLOOKUP(E6320,E$1:E6319,1,FALSE()))),"OLD",IF(AND(E6320&lt;&gt;"",E6320&lt;&gt;"!!!"),"NEW","")))</f>
        <v> </v>
      </c>
      <c r="G6320" s="24" t="str">
        <f>IF(OR(E6320="",E6320="!!!"),"",IF(OR(J6320=0,AND(J6320=1,K6320=1),AND(J6320=1,I6320="SBJ"),AND(J6320=1,I6320=0)),"?IN_FOCUS",IF(J6320&lt;=2,"?ACTIVATED",IF(J6320&lt;&gt;"","?FAMILIAR",IF(F6320="NEW",IF(ISNA(VLOOKUP(E6320,#REF!,1,FALSE())),"?TYPE_IDENTIFIABLE","?REFERENTIAL"),"_")))))</f>
        <v> </v>
      </c>
      <c r="H6320" s="25" t="str">
        <f>IF(J6320&lt;&gt;1,"",IF(I6320="SBJ","CB","?"))</f>
        <v> </v>
      </c>
      <c r="I6320" s="26" t="str">
        <f>IF(OR(E6320="",E6320="!!!",F6320="NEW"),"",INDEX(B6319:B$2,-1+SUMPRODUCT(MAX(ROW(E6319:E$2)*(E6320=E6319:E$2)))))</f>
        <v> </v>
      </c>
      <c r="J6320" s="26" t="str">
        <f>IF(OR(E6320="",E6320="!!!",F6320="NEW"),"",COUNTBLANK(OFFSET(A$1,,,SUMPRODUCT(MAX(ROW(E$2:E6320)*(E6320=E$2:E6320)))))-COUNTBLANK(OFFSET(A$1,,,SUMPRODUCT(MAX(ROW(E$1:E6319)*(E2=E$1:E6319))))))</f>
        <v> </v>
      </c>
      <c r="K6320" s="26" t="str">
        <f>IF(OR(E6320="",E6320="!!!",F6320="NEW"),"",INDEX(J$1:J6319,SUMPRODUCT(MAX(ROW(E$1:E6319)*(E6320=E$1:E6319)))))</f>
        <v> </v>
      </c>
      <c r="L6320" s="27"/>
    </row>
    <row r="6321" spans="1:12">
      <c r="A6321" s="20" t="s">
        <v>1217</v>
      </c>
      <c r="E6321" s="22">
        <f>IF(D6321="?OLD","!!!","")</f>
        <v/>
      </c>
      <c r="F6321" s="23" t="str">
        <f>IF(OR(E6321="",E6321="!!!"),"",IF(NOT(ISNA(VLOOKUP(E6321,E$1:E6320,1,FALSE()))),"OLD",IF(AND(E6321&lt;&gt;"",E6321&lt;&gt;"!!!"),"NEW","")))</f>
        <v> </v>
      </c>
      <c r="G6321" s="24" t="str">
        <f>IF(OR(E6321="",E6321="!!!"),"",IF(OR(J6321=0,AND(J6321=1,K6321=1),AND(J6321=1,I6321="SBJ"),AND(J6321=1,I6321=0)),"?IN_FOCUS",IF(J6321&lt;=2,"?ACTIVATED",IF(J6321&lt;&gt;"","?FAMILIAR",IF(F6321="NEW",IF(ISNA(VLOOKUP(E6321,#REF!,1,FALSE())),"?TYPE_IDENTIFIABLE","?REFERENTIAL"),"_")))))</f>
        <v> </v>
      </c>
      <c r="H6321" s="25" t="str">
        <f>IF(J6321&lt;&gt;1,"",IF(I6321="SBJ","CB","?"))</f>
        <v> </v>
      </c>
      <c r="I6321" s="26" t="str">
        <f>IF(OR(E6321="",E6321="!!!",F6321="NEW"),"",INDEX(B6320:B$2,-1+SUMPRODUCT(MAX(ROW(E6320:E$2)*(E6321=E6320:E$2)))))</f>
        <v> </v>
      </c>
      <c r="J6321" s="26" t="str">
        <f>IF(OR(E6321="",E6321="!!!",F6321="NEW"),"",COUNTBLANK(OFFSET(A$1,,,SUMPRODUCT(MAX(ROW(E$2:E6321)*(E6321=E$2:E6321)))))-COUNTBLANK(OFFSET(A$1,,,SUMPRODUCT(MAX(ROW(E$1:E6320)*(E2=E$1:E6320))))))</f>
        <v> </v>
      </c>
      <c r="K6321" s="26" t="str">
        <f>IF(OR(E6321="",E6321="!!!",F6321="NEW"),"",INDEX(J$1:J6320,SUMPRODUCT(MAX(ROW(E$1:E6320)*(E6321=E$1:E6320)))))</f>
        <v> </v>
      </c>
      <c r="L6321" s="27"/>
    </row>
    <row r="6322" spans="1:12">
      <c r="A6322" s="20" t="s">
        <v>1781</v>
      </c>
      <c r="B6322" s="21" t="s">
        <v>1311</v>
      </c>
      <c r="C6322" s="21" t="s">
        <v>1008</v>
      </c>
      <c r="D6322" s="21" t="s">
        <v>978</v>
      </c>
      <c r="E6322" s="22">
        <f>IF(D6322="?OLD","!!!","")</f>
        <v/>
      </c>
      <c r="F6322" s="23" t="str">
        <f>IF(OR(E6322="",E6322="!!!"),"",IF(NOT(ISNA(VLOOKUP(E6322,E$1:E6321,1,FALSE()))),"OLD",IF(AND(E6322&lt;&gt;"",E6322&lt;&gt;"!!!"),"NEW","")))</f>
        <v> </v>
      </c>
      <c r="G6322" s="24" t="str">
        <f>IF(OR(E6322="",E6322="!!!"),"",IF(OR(J6322=0,AND(J6322=1,K6322=1),AND(J6322=1,I6322="SBJ"),AND(J6322=1,I6322=0)),"?IN_FOCUS",IF(J6322&lt;=2,"?ACTIVATED",IF(J6322&lt;&gt;"","?FAMILIAR",IF(F6322="NEW",IF(ISNA(VLOOKUP(E6322,#REF!,1,FALSE())),"?TYPE_IDENTIFIABLE","?REFERENTIAL"),"_")))))</f>
        <v> </v>
      </c>
      <c r="H6322" s="25" t="str">
        <f>IF(J6322&lt;&gt;1,"",IF(I6322="SBJ","CB","?"))</f>
        <v> </v>
      </c>
      <c r="I6322" s="26" t="str">
        <f>IF(OR(E6322="",E6322="!!!",F6322="NEW"),"",INDEX(B6321:B$2,-1+SUMPRODUCT(MAX(ROW(E6321:E$2)*(E6322=E6321:E$2)))))</f>
        <v> </v>
      </c>
      <c r="J6322" s="26" t="str">
        <f>IF(OR(E6322="",E6322="!!!",F6322="NEW"),"",COUNTBLANK(OFFSET(A$1,,,SUMPRODUCT(MAX(ROW(E$2:E6322)*(E6322=E$2:E6322)))))-COUNTBLANK(OFFSET(A$1,,,SUMPRODUCT(MAX(ROW(E$1:E6321)*(E2=E$1:E6321))))))</f>
        <v> </v>
      </c>
      <c r="K6322" s="26" t="str">
        <f>IF(OR(E6322="",E6322="!!!",F6322="NEW"),"",INDEX(J$1:J6321,SUMPRODUCT(MAX(ROW(E$1:E6321)*(E6322=E$1:E6321)))))</f>
        <v> </v>
      </c>
      <c r="L6322" s="27"/>
    </row>
    <row r="6323" spans="1:12">
      <c r="A6323" s="20" t="s">
        <v>1072</v>
      </c>
      <c r="E6323" s="22">
        <f>IF(D6323="?OLD","!!!","")</f>
        <v/>
      </c>
      <c r="F6323" s="23" t="str">
        <f>IF(OR(E6323="",E6323="!!!"),"",IF(NOT(ISNA(VLOOKUP(E6323,E$1:E6322,1,FALSE()))),"OLD",IF(AND(E6323&lt;&gt;"",E6323&lt;&gt;"!!!"),"NEW","")))</f>
        <v> </v>
      </c>
      <c r="G6323" s="24" t="str">
        <f>IF(OR(E6323="",E6323="!!!"),"",IF(OR(J6323=0,AND(J6323=1,K6323=1),AND(J6323=1,I6323="SBJ"),AND(J6323=1,I6323=0)),"?IN_FOCUS",IF(J6323&lt;=2,"?ACTIVATED",IF(J6323&lt;&gt;"","?FAMILIAR",IF(F6323="NEW",IF(ISNA(VLOOKUP(E6323,#REF!,1,FALSE())),"?TYPE_IDENTIFIABLE","?REFERENTIAL"),"_")))))</f>
        <v> </v>
      </c>
      <c r="H6323" s="25" t="str">
        <f>IF(J6323&lt;&gt;1,"",IF(I6323="SBJ","CB","?"))</f>
        <v> </v>
      </c>
      <c r="I6323" s="26" t="str">
        <f>IF(OR(E6323="",E6323="!!!",F6323="NEW"),"",INDEX(B6322:B$2,-1+SUMPRODUCT(MAX(ROW(E6322:E$2)*(E6323=E6322:E$2)))))</f>
        <v> </v>
      </c>
      <c r="J6323" s="26" t="str">
        <f>IF(OR(E6323="",E6323="!!!",F6323="NEW"),"",COUNTBLANK(OFFSET(A$1,,,SUMPRODUCT(MAX(ROW(E$2:E6323)*(E6323=E$2:E6323)))))-COUNTBLANK(OFFSET(A$1,,,SUMPRODUCT(MAX(ROW(E$1:E6322)*(E2=E$1:E6322))))))</f>
        <v> </v>
      </c>
      <c r="K6323" s="26" t="str">
        <f>IF(OR(E6323="",E6323="!!!",F6323="NEW"),"",INDEX(J$1:J6322,SUMPRODUCT(MAX(ROW(E$1:E6322)*(E6323=E$1:E6322)))))</f>
        <v> </v>
      </c>
      <c r="L6323" s="27"/>
    </row>
    <row r="6324" spans="1:12">
      <c r="A6324" s="20" t="s">
        <v>1067</v>
      </c>
      <c r="E6324" s="22">
        <f>IF(D6324="?OLD","!!!","")</f>
        <v/>
      </c>
      <c r="F6324" s="23" t="str">
        <f>IF(OR(E6324="",E6324="!!!"),"",IF(NOT(ISNA(VLOOKUP(E6324,E$1:E6323,1,FALSE()))),"OLD",IF(AND(E6324&lt;&gt;"",E6324&lt;&gt;"!!!"),"NEW","")))</f>
        <v> </v>
      </c>
      <c r="G6324" s="24" t="str">
        <f>IF(OR(E6324="",E6324="!!!"),"",IF(OR(J6324=0,AND(J6324=1,K6324=1),AND(J6324=1,I6324="SBJ"),AND(J6324=1,I6324=0)),"?IN_FOCUS",IF(J6324&lt;=2,"?ACTIVATED",IF(J6324&lt;&gt;"","?FAMILIAR",IF(F6324="NEW",IF(ISNA(VLOOKUP(E6324,#REF!,1,FALSE())),"?TYPE_IDENTIFIABLE","?REFERENTIAL"),"_")))))</f>
        <v> </v>
      </c>
      <c r="H6324" s="25" t="str">
        <f>IF(J6324&lt;&gt;1,"",IF(I6324="SBJ","CB","?"))</f>
        <v> </v>
      </c>
      <c r="I6324" s="26" t="str">
        <f>IF(OR(E6324="",E6324="!!!",F6324="NEW"),"",INDEX(B6323:B$2,-1+SUMPRODUCT(MAX(ROW(E6323:E$2)*(E6324=E6323:E$2)))))</f>
        <v> </v>
      </c>
      <c r="J6324" s="26" t="str">
        <f>IF(OR(E6324="",E6324="!!!",F6324="NEW"),"",COUNTBLANK(OFFSET(A$1,,,SUMPRODUCT(MAX(ROW(E$2:E6324)*(E6324=E$2:E6324)))))-COUNTBLANK(OFFSET(A$1,,,SUMPRODUCT(MAX(ROW(E$1:E6323)*(E2=E$1:E6323))))))</f>
        <v> </v>
      </c>
      <c r="K6324" s="26" t="str">
        <f>IF(OR(E6324="",E6324="!!!",F6324="NEW"),"",INDEX(J$1:J6323,SUMPRODUCT(MAX(ROW(E$1:E6323)*(E6324=E$1:E6323)))))</f>
        <v> </v>
      </c>
      <c r="L6324" s="27"/>
    </row>
    <row r="6325" spans="1:12">
      <c r="A6325" s="20" t="s">
        <v>1189</v>
      </c>
      <c r="E6325" s="22">
        <f>IF(D6325="?OLD","!!!","")</f>
        <v/>
      </c>
      <c r="F6325" s="23" t="str">
        <f>IF(OR(E6325="",E6325="!!!"),"",IF(NOT(ISNA(VLOOKUP(E6325,E$1:E6324,1,FALSE()))),"OLD",IF(AND(E6325&lt;&gt;"",E6325&lt;&gt;"!!!"),"NEW","")))</f>
        <v> </v>
      </c>
      <c r="G6325" s="24" t="str">
        <f>IF(OR(E6325="",E6325="!!!"),"",IF(OR(J6325=0,AND(J6325=1,K6325=1),AND(J6325=1,I6325="SBJ"),AND(J6325=1,I6325=0)),"?IN_FOCUS",IF(J6325&lt;=2,"?ACTIVATED",IF(J6325&lt;&gt;"","?FAMILIAR",IF(F6325="NEW",IF(ISNA(VLOOKUP(E6325,#REF!,1,FALSE())),"?TYPE_IDENTIFIABLE","?REFERENTIAL"),"_")))))</f>
        <v> </v>
      </c>
      <c r="H6325" s="25" t="str">
        <f>IF(J6325&lt;&gt;1,"",IF(I6325="SBJ","CB","?"))</f>
        <v> </v>
      </c>
      <c r="I6325" s="26" t="str">
        <f>IF(OR(E6325="",E6325="!!!",F6325="NEW"),"",INDEX(B6324:B$2,-1+SUMPRODUCT(MAX(ROW(E6324:E$2)*(E6325=E6324:E$2)))))</f>
        <v> </v>
      </c>
      <c r="J6325" s="26" t="str">
        <f>IF(OR(E6325="",E6325="!!!",F6325="NEW"),"",COUNTBLANK(OFFSET(A$1,,,SUMPRODUCT(MAX(ROW(E$2:E6325)*(E6325=E$2:E6325)))))-COUNTBLANK(OFFSET(A$1,,,SUMPRODUCT(MAX(ROW(E$1:E6324)*(E2=E$1:E6324))))))</f>
        <v> </v>
      </c>
      <c r="K6325" s="26" t="str">
        <f>IF(OR(E6325="",E6325="!!!",F6325="NEW"),"",INDEX(J$1:J6324,SUMPRODUCT(MAX(ROW(E$1:E6324)*(E6325=E$1:E6324)))))</f>
        <v> </v>
      </c>
      <c r="L6325" s="27"/>
    </row>
    <row r="6326" spans="1:12">
      <c r="A6326" s="20" t="s">
        <v>1482</v>
      </c>
      <c r="E6326" s="22">
        <f>IF(D6326="?OLD","!!!","")</f>
        <v/>
      </c>
      <c r="F6326" s="23" t="str">
        <f>IF(OR(E6326="",E6326="!!!"),"",IF(NOT(ISNA(VLOOKUP(E6326,E$1:E6325,1,FALSE()))),"OLD",IF(AND(E6326&lt;&gt;"",E6326&lt;&gt;"!!!"),"NEW","")))</f>
        <v> </v>
      </c>
      <c r="G6326" s="24" t="str">
        <f>IF(OR(E6326="",E6326="!!!"),"",IF(OR(J6326=0,AND(J6326=1,K6326=1),AND(J6326=1,I6326="SBJ"),AND(J6326=1,I6326=0)),"?IN_FOCUS",IF(J6326&lt;=2,"?ACTIVATED",IF(J6326&lt;&gt;"","?FAMILIAR",IF(F6326="NEW",IF(ISNA(VLOOKUP(E6326,#REF!,1,FALSE())),"?TYPE_IDENTIFIABLE","?REFERENTIAL"),"_")))))</f>
        <v> </v>
      </c>
      <c r="H6326" s="25" t="str">
        <f>IF(J6326&lt;&gt;1,"",IF(I6326="SBJ","CB","?"))</f>
        <v> </v>
      </c>
      <c r="I6326" s="26" t="str">
        <f>IF(OR(E6326="",E6326="!!!",F6326="NEW"),"",INDEX(B6325:B$2,-1+SUMPRODUCT(MAX(ROW(E6325:E$2)*(E6326=E6325:E$2)))))</f>
        <v> </v>
      </c>
      <c r="J6326" s="26" t="str">
        <f>IF(OR(E6326="",E6326="!!!",F6326="NEW"),"",COUNTBLANK(OFFSET(A$1,,,SUMPRODUCT(MAX(ROW(E$2:E6326)*(E6326=E$2:E6326)))))-COUNTBLANK(OFFSET(A$1,,,SUMPRODUCT(MAX(ROW(E$1:E6325)*(E2=E$1:E6325))))))</f>
        <v> </v>
      </c>
      <c r="K6326" s="26" t="str">
        <f>IF(OR(E6326="",E6326="!!!",F6326="NEW"),"",INDEX(J$1:J6325,SUMPRODUCT(MAX(ROW(E$1:E6325)*(E6326=E$1:E6325)))))</f>
        <v> </v>
      </c>
      <c r="L6326" s="27"/>
    </row>
    <row r="6327" spans="1:12">
      <c r="A6327" s="20" t="s">
        <v>2549</v>
      </c>
      <c r="E6327" s="22">
        <f>IF(D6327="?OLD","!!!","")</f>
        <v/>
      </c>
      <c r="F6327" s="23" t="str">
        <f>IF(OR(E6327="",E6327="!!!"),"",IF(NOT(ISNA(VLOOKUP(E6327,E$1:E6326,1,FALSE()))),"OLD",IF(AND(E6327&lt;&gt;"",E6327&lt;&gt;"!!!"),"NEW","")))</f>
        <v> </v>
      </c>
      <c r="G6327" s="24" t="str">
        <f>IF(OR(E6327="",E6327="!!!"),"",IF(OR(J6327=0,AND(J6327=1,K6327=1),AND(J6327=1,I6327="SBJ"),AND(J6327=1,I6327=0)),"?IN_FOCUS",IF(J6327&lt;=2,"?ACTIVATED",IF(J6327&lt;&gt;"","?FAMILIAR",IF(F6327="NEW",IF(ISNA(VLOOKUP(E6327,#REF!,1,FALSE())),"?TYPE_IDENTIFIABLE","?REFERENTIAL"),"_")))))</f>
        <v> </v>
      </c>
      <c r="H6327" s="25" t="str">
        <f>IF(J6327&lt;&gt;1,"",IF(I6327="SBJ","CB","?"))</f>
        <v> </v>
      </c>
      <c r="I6327" s="26" t="str">
        <f>IF(OR(E6327="",E6327="!!!",F6327="NEW"),"",INDEX(B6326:B$2,-1+SUMPRODUCT(MAX(ROW(E6326:E$2)*(E6327=E6326:E$2)))))</f>
        <v> </v>
      </c>
      <c r="J6327" s="26" t="str">
        <f>IF(OR(E6327="",E6327="!!!",F6327="NEW"),"",COUNTBLANK(OFFSET(A$1,,,SUMPRODUCT(MAX(ROW(E$2:E6327)*(E6327=E$2:E6327)))))-COUNTBLANK(OFFSET(A$1,,,SUMPRODUCT(MAX(ROW(E$1:E6326)*(E2=E$1:E6326))))))</f>
        <v> </v>
      </c>
      <c r="K6327" s="26" t="str">
        <f>IF(OR(E6327="",E6327="!!!",F6327="NEW"),"",INDEX(J$1:J6326,SUMPRODUCT(MAX(ROW(E$1:E6326)*(E6327=E$1:E6326)))))</f>
        <v> </v>
      </c>
      <c r="L6327" s="27"/>
    </row>
    <row r="6328" spans="1:12">
      <c r="A6328" s="20" t="s">
        <v>1310</v>
      </c>
      <c r="E6328" s="22">
        <f>IF(D6328="?OLD","!!!","")</f>
        <v/>
      </c>
      <c r="F6328" s="23" t="str">
        <f>IF(OR(E6328="",E6328="!!!"),"",IF(NOT(ISNA(VLOOKUP(E6328,E$1:E6327,1,FALSE()))),"OLD",IF(AND(E6328&lt;&gt;"",E6328&lt;&gt;"!!!"),"NEW","")))</f>
        <v> </v>
      </c>
      <c r="G6328" s="24" t="str">
        <f>IF(OR(E6328="",E6328="!!!"),"",IF(OR(J6328=0,AND(J6328=1,K6328=1),AND(J6328=1,I6328="SBJ"),AND(J6328=1,I6328=0)),"?IN_FOCUS",IF(J6328&lt;=2,"?ACTIVATED",IF(J6328&lt;&gt;"","?FAMILIAR",IF(F6328="NEW",IF(ISNA(VLOOKUP(E6328,#REF!,1,FALSE())),"?TYPE_IDENTIFIABLE","?REFERENTIAL"),"_")))))</f>
        <v> </v>
      </c>
      <c r="H6328" s="25" t="str">
        <f>IF(J6328&lt;&gt;1,"",IF(I6328="SBJ","CB","?"))</f>
        <v> </v>
      </c>
      <c r="I6328" s="26" t="str">
        <f>IF(OR(E6328="",E6328="!!!",F6328="NEW"),"",INDEX(B6327:B$2,-1+SUMPRODUCT(MAX(ROW(E6327:E$2)*(E6328=E6327:E$2)))))</f>
        <v> </v>
      </c>
      <c r="J6328" s="26" t="str">
        <f>IF(OR(E6328="",E6328="!!!",F6328="NEW"),"",COUNTBLANK(OFFSET(A$1,,,SUMPRODUCT(MAX(ROW(E$2:E6328)*(E6328=E$2:E6328)))))-COUNTBLANK(OFFSET(A$1,,,SUMPRODUCT(MAX(ROW(E$1:E6327)*(E2=E$1:E6327))))))</f>
        <v> </v>
      </c>
      <c r="K6328" s="26" t="str">
        <f>IF(OR(E6328="",E6328="!!!",F6328="NEW"),"",INDEX(J$1:J6327,SUMPRODUCT(MAX(ROW(E$1:E6327)*(E6328=E$1:E6327)))))</f>
        <v> </v>
      </c>
      <c r="L6328" s="27"/>
    </row>
    <row r="6329" spans="1:12">
      <c r="A6329" s="20" t="s">
        <v>2550</v>
      </c>
      <c r="E6329" s="22">
        <f>IF(D6329="?OLD","!!!","")</f>
        <v/>
      </c>
      <c r="F6329" s="23" t="str">
        <f>IF(OR(E6329="",E6329="!!!"),"",IF(NOT(ISNA(VLOOKUP(E6329,E$1:E6328,1,FALSE()))),"OLD",IF(AND(E6329&lt;&gt;"",E6329&lt;&gt;"!!!"),"NEW","")))</f>
        <v> </v>
      </c>
      <c r="G6329" s="24" t="str">
        <f>IF(OR(E6329="",E6329="!!!"),"",IF(OR(J6329=0,AND(J6329=1,K6329=1),AND(J6329=1,I6329="SBJ"),AND(J6329=1,I6329=0)),"?IN_FOCUS",IF(J6329&lt;=2,"?ACTIVATED",IF(J6329&lt;&gt;"","?FAMILIAR",IF(F6329="NEW",IF(ISNA(VLOOKUP(E6329,#REF!,1,FALSE())),"?TYPE_IDENTIFIABLE","?REFERENTIAL"),"_")))))</f>
        <v> </v>
      </c>
      <c r="H6329" s="25" t="str">
        <f>IF(J6329&lt;&gt;1,"",IF(I6329="SBJ","CB","?"))</f>
        <v> </v>
      </c>
      <c r="I6329" s="26" t="str">
        <f>IF(OR(E6329="",E6329="!!!",F6329="NEW"),"",INDEX(B6328:B$2,-1+SUMPRODUCT(MAX(ROW(E6328:E$2)*(E6329=E6328:E$2)))))</f>
        <v> </v>
      </c>
      <c r="J6329" s="26" t="str">
        <f>IF(OR(E6329="",E6329="!!!",F6329="NEW"),"",COUNTBLANK(OFFSET(A$1,,,SUMPRODUCT(MAX(ROW(E$2:E6329)*(E6329=E$2:E6329)))))-COUNTBLANK(OFFSET(A$1,,,SUMPRODUCT(MAX(ROW(E$1:E6328)*(E2=E$1:E6328))))))</f>
        <v> </v>
      </c>
      <c r="K6329" s="26" t="str">
        <f>IF(OR(E6329="",E6329="!!!",F6329="NEW"),"",INDEX(J$1:J6328,SUMPRODUCT(MAX(ROW(E$1:E6328)*(E6329=E$1:E6328)))))</f>
        <v> </v>
      </c>
      <c r="L6329" s="27"/>
    </row>
    <row r="6330" spans="1:12">
      <c r="A6330" s="20" t="s">
        <v>996</v>
      </c>
      <c r="E6330" s="22">
        <f>IF(D6330="?OLD","!!!","")</f>
        <v/>
      </c>
      <c r="F6330" s="23" t="str">
        <f>IF(OR(E6330="",E6330="!!!"),"",IF(NOT(ISNA(VLOOKUP(E6330,E$1:E6329,1,FALSE()))),"OLD",IF(AND(E6330&lt;&gt;"",E6330&lt;&gt;"!!!"),"NEW","")))</f>
        <v> </v>
      </c>
      <c r="G6330" s="24" t="str">
        <f>IF(OR(E6330="",E6330="!!!"),"",IF(OR(J6330=0,AND(J6330=1,K6330=1),AND(J6330=1,I6330="SBJ"),AND(J6330=1,I6330=0)),"?IN_FOCUS",IF(J6330&lt;=2,"?ACTIVATED",IF(J6330&lt;&gt;"","?FAMILIAR",IF(F6330="NEW",IF(ISNA(VLOOKUP(E6330,#REF!,1,FALSE())),"?TYPE_IDENTIFIABLE","?REFERENTIAL"),"_")))))</f>
        <v> </v>
      </c>
      <c r="H6330" s="25" t="str">
        <f>IF(J6330&lt;&gt;1,"",IF(I6330="SBJ","CB","?"))</f>
        <v> </v>
      </c>
      <c r="I6330" s="26" t="str">
        <f>IF(OR(E6330="",E6330="!!!",F6330="NEW"),"",INDEX(B6329:B$2,-1+SUMPRODUCT(MAX(ROW(E6329:E$2)*(E6330=E6329:E$2)))))</f>
        <v> </v>
      </c>
      <c r="J6330" s="26" t="str">
        <f>IF(OR(E6330="",E6330="!!!",F6330="NEW"),"",COUNTBLANK(OFFSET(A$1,,,SUMPRODUCT(MAX(ROW(E$2:E6330)*(E6330=E$2:E6330)))))-COUNTBLANK(OFFSET(A$1,,,SUMPRODUCT(MAX(ROW(E$1:E6329)*(E2=E$1:E6329))))))</f>
        <v> </v>
      </c>
      <c r="K6330" s="26" t="str">
        <f>IF(OR(E6330="",E6330="!!!",F6330="NEW"),"",INDEX(J$1:J6329,SUMPRODUCT(MAX(ROW(E$1:E6329)*(E6330=E$1:E6329)))))</f>
        <v> </v>
      </c>
      <c r="L6330" s="27"/>
    </row>
    <row r="6331" spans="1:12">
      <c r="A6331" s="20" t="s">
        <v>1757</v>
      </c>
      <c r="B6331" s="21" t="s">
        <v>1040</v>
      </c>
      <c r="C6331" s="21" t="s">
        <v>987</v>
      </c>
      <c r="D6331" s="21" t="s">
        <v>978</v>
      </c>
      <c r="E6331" s="22">
        <f>IF(D6331="?OLD","!!!","")</f>
        <v/>
      </c>
      <c r="F6331" s="23" t="str">
        <f>IF(OR(E6331="",E6331="!!!"),"",IF(NOT(ISNA(VLOOKUP(E6331,E$1:E6330,1,FALSE()))),"OLD",IF(AND(E6331&lt;&gt;"",E6331&lt;&gt;"!!!"),"NEW","")))</f>
        <v> </v>
      </c>
      <c r="G6331" s="24" t="str">
        <f>IF(OR(E6331="",E6331="!!!"),"",IF(OR(J6331=0,AND(J6331=1,K6331=1),AND(J6331=1,I6331="SBJ"),AND(J6331=1,I6331=0)),"?IN_FOCUS",IF(J6331&lt;=2,"?ACTIVATED",IF(J6331&lt;&gt;"","?FAMILIAR",IF(F6331="NEW",IF(ISNA(VLOOKUP(E6331,#REF!,1,FALSE())),"?TYPE_IDENTIFIABLE","?REFERENTIAL"),"_")))))</f>
        <v> </v>
      </c>
      <c r="H6331" s="25" t="str">
        <f>IF(J6331&lt;&gt;1,"",IF(I6331="SBJ","CB","?"))</f>
        <v> </v>
      </c>
      <c r="I6331" s="26" t="str">
        <f>IF(OR(E6331="",E6331="!!!",F6331="NEW"),"",INDEX(B6330:B$2,-1+SUMPRODUCT(MAX(ROW(E6330:E$2)*(E6331=E6330:E$2)))))</f>
        <v> </v>
      </c>
      <c r="J6331" s="26" t="str">
        <f>IF(OR(E6331="",E6331="!!!",F6331="NEW"),"",COUNTBLANK(OFFSET(A$1,,,SUMPRODUCT(MAX(ROW(E$2:E6331)*(E6331=E$2:E6331)))))-COUNTBLANK(OFFSET(A$1,,,SUMPRODUCT(MAX(ROW(E$1:E6330)*(E2=E$1:E6330))))))</f>
        <v> </v>
      </c>
      <c r="K6331" s="26" t="str">
        <f>IF(OR(E6331="",E6331="!!!",F6331="NEW"),"",INDEX(J$1:J6330,SUMPRODUCT(MAX(ROW(E$1:E6330)*(E6331=E$1:E6330)))))</f>
        <v> </v>
      </c>
      <c r="L6331" s="27"/>
    </row>
    <row r="6332" spans="1:12">
      <c r="A6332" s="20" t="s">
        <v>1860</v>
      </c>
      <c r="B6332" s="21" t="s">
        <v>1084</v>
      </c>
      <c r="C6332" s="21" t="s">
        <v>990</v>
      </c>
      <c r="D6332" s="21" t="s">
        <v>978</v>
      </c>
      <c r="E6332" s="22">
        <f>IF(D6332="?OLD","!!!","")</f>
        <v/>
      </c>
      <c r="F6332" s="23" t="str">
        <f>IF(OR(E6332="",E6332="!!!"),"",IF(NOT(ISNA(VLOOKUP(E6332,E$1:E6331,1,FALSE()))),"OLD",IF(AND(E6332&lt;&gt;"",E6332&lt;&gt;"!!!"),"NEW","")))</f>
        <v> </v>
      </c>
      <c r="G6332" s="24" t="str">
        <f>IF(OR(E6332="",E6332="!!!"),"",IF(OR(J6332=0,AND(J6332=1,K6332=1),AND(J6332=1,I6332="SBJ"),AND(J6332=1,I6332=0)),"?IN_FOCUS",IF(J6332&lt;=2,"?ACTIVATED",IF(J6332&lt;&gt;"","?FAMILIAR",IF(F6332="NEW",IF(ISNA(VLOOKUP(E6332,#REF!,1,FALSE())),"?TYPE_IDENTIFIABLE","?REFERENTIAL"),"_")))))</f>
        <v> </v>
      </c>
      <c r="H6332" s="25" t="str">
        <f>IF(J6332&lt;&gt;1,"",IF(I6332="SBJ","CB","?"))</f>
        <v> </v>
      </c>
      <c r="I6332" s="26" t="str">
        <f>IF(OR(E6332="",E6332="!!!",F6332="NEW"),"",INDEX(B6331:B$2,-1+SUMPRODUCT(MAX(ROW(E6331:E$2)*(E6332=E6331:E$2)))))</f>
        <v> </v>
      </c>
      <c r="J6332" s="26" t="str">
        <f>IF(OR(E6332="",E6332="!!!",F6332="NEW"),"",COUNTBLANK(OFFSET(A$1,,,SUMPRODUCT(MAX(ROW(E$2:E6332)*(E6332=E$2:E6332)))))-COUNTBLANK(OFFSET(A$1,,,SUMPRODUCT(MAX(ROW(E$1:E6331)*(E2=E$1:E6331))))))</f>
        <v> </v>
      </c>
      <c r="K6332" s="26" t="str">
        <f>IF(OR(E6332="",E6332="!!!",F6332="NEW"),"",INDEX(J$1:J6331,SUMPRODUCT(MAX(ROW(E$1:E6331)*(E6332=E$1:E6331)))))</f>
        <v> </v>
      </c>
      <c r="L6332" s="27"/>
    </row>
    <row r="6333" spans="1:12">
      <c r="A6333" s="20" t="s">
        <v>1022</v>
      </c>
      <c r="E6333" s="22">
        <f>IF(D6333="?OLD","!!!","")</f>
        <v/>
      </c>
      <c r="F6333" s="23" t="str">
        <f>IF(OR(E6333="",E6333="!!!"),"",IF(NOT(ISNA(VLOOKUP(E6333,E$1:E6332,1,FALSE()))),"OLD",IF(AND(E6333&lt;&gt;"",E6333&lt;&gt;"!!!"),"NEW","")))</f>
        <v> </v>
      </c>
      <c r="G6333" s="24" t="str">
        <f>IF(OR(E6333="",E6333="!!!"),"",IF(OR(J6333=0,AND(J6333=1,K6333=1),AND(J6333=1,I6333="SBJ"),AND(J6333=1,I6333=0)),"?IN_FOCUS",IF(J6333&lt;=2,"?ACTIVATED",IF(J6333&lt;&gt;"","?FAMILIAR",IF(F6333="NEW",IF(ISNA(VLOOKUP(E6333,#REF!,1,FALSE())),"?TYPE_IDENTIFIABLE","?REFERENTIAL"),"_")))))</f>
        <v> </v>
      </c>
      <c r="H6333" s="25" t="str">
        <f>IF(J6333&lt;&gt;1,"",IF(I6333="SBJ","CB","?"))</f>
        <v> </v>
      </c>
      <c r="I6333" s="26" t="str">
        <f>IF(OR(E6333="",E6333="!!!",F6333="NEW"),"",INDEX(B6332:B$2,-1+SUMPRODUCT(MAX(ROW(E6332:E$2)*(E6333=E6332:E$2)))))</f>
        <v> </v>
      </c>
      <c r="J6333" s="26" t="str">
        <f>IF(OR(E6333="",E6333="!!!",F6333="NEW"),"",COUNTBLANK(OFFSET(A$1,,,SUMPRODUCT(MAX(ROW(E$2:E6333)*(E6333=E$2:E6333)))))-COUNTBLANK(OFFSET(A$1,,,SUMPRODUCT(MAX(ROW(E$1:E6332)*(E2=E$1:E6332))))))</f>
        <v> </v>
      </c>
      <c r="K6333" s="26" t="str">
        <f>IF(OR(E6333="",E6333="!!!",F6333="NEW"),"",INDEX(J$1:J6332,SUMPRODUCT(MAX(ROW(E$1:E6332)*(E6333=E$1:E6332)))))</f>
        <v> </v>
      </c>
      <c r="L6333" s="27"/>
    </row>
    <row r="6334" spans="1:12">
      <c r="A6334" s="20"/>
    </row>
    <row r="6335" spans="1:12">
      <c r="A6335" s="20" t="s">
        <v>2551</v>
      </c>
    </row>
    <row r="6336" spans="1:12">
      <c r="A6336" s="20" t="s">
        <v>190</v>
      </c>
      <c r="E6336" s="22">
        <f>IF(D6336="?OLD","!!!","")</f>
        <v/>
      </c>
      <c r="F6336" s="23" t="str">
        <f>IF(OR(E6336="",E6336="!!!"),"",IF(NOT(ISNA(VLOOKUP(E6336,E$1:E6335,1,FALSE()))),"OLD",IF(AND(E6336&lt;&gt;"",E6336&lt;&gt;"!!!"),"NEW","")))</f>
        <v> </v>
      </c>
      <c r="G6336" s="24" t="str">
        <f>IF(OR(E6336="",E6336="!!!"),"",IF(OR(J6336=0,AND(J6336=1,K6336=1),AND(J6336=1,I6336="SBJ"),AND(J6336=1,I6336=0)),"?IN_FOCUS",IF(J6336&lt;=2,"?ACTIVATED",IF(J6336&lt;&gt;"","?FAMILIAR",IF(F6336="NEW",IF(ISNA(VLOOKUP(E6336,#REF!,1,FALSE())),"?TYPE_IDENTIFIABLE","?REFERENTIAL"),"_")))))</f>
        <v> </v>
      </c>
      <c r="H6336" s="25" t="str">
        <f>IF(J6336&lt;&gt;1,"",IF(I6336="SBJ","CB","?"))</f>
        <v> </v>
      </c>
      <c r="I6336" s="26" t="str">
        <f>IF(OR(E6336="",E6336="!!!",F6336="NEW"),"",INDEX(B6335:B$2,-1+SUMPRODUCT(MAX(ROW(E6335:E$2)*(E6336=E6335:E$2)))))</f>
        <v> </v>
      </c>
      <c r="J6336" s="26" t="str">
        <f>IF(OR(E6336="",E6336="!!!",F6336="NEW"),"",COUNTBLANK(OFFSET(A$1,,,SUMPRODUCT(MAX(ROW(E$2:E6336)*(E6336=E$2:E6336)))))-COUNTBLANK(OFFSET(A$1,,,SUMPRODUCT(MAX(ROW(E$1:E6335)*(E2=E$1:E6335))))))</f>
        <v> </v>
      </c>
      <c r="K6336" s="26" t="str">
        <f>IF(OR(E6336="",E6336="!!!",F6336="NEW"),"",INDEX(J$1:J6335,SUMPRODUCT(MAX(ROW(E$1:E6335)*(E6336=E$1:E6335)))))</f>
        <v> </v>
      </c>
      <c r="L6336" s="27"/>
    </row>
    <row r="6337" spans="1:12">
      <c r="A6337" s="20" t="s">
        <v>992</v>
      </c>
      <c r="E6337" s="22">
        <f>IF(D6337="?OLD","!!!","")</f>
        <v/>
      </c>
      <c r="F6337" s="23" t="str">
        <f>IF(OR(E6337="",E6337="!!!"),"",IF(NOT(ISNA(VLOOKUP(E6337,E$1:E6336,1,FALSE()))),"OLD",IF(AND(E6337&lt;&gt;"",E6337&lt;&gt;"!!!"),"NEW","")))</f>
        <v> </v>
      </c>
      <c r="G6337" s="24" t="str">
        <f>IF(OR(E6337="",E6337="!!!"),"",IF(OR(J6337=0,AND(J6337=1,K6337=1),AND(J6337=1,I6337="SBJ"),AND(J6337=1,I6337=0)),"?IN_FOCUS",IF(J6337&lt;=2,"?ACTIVATED",IF(J6337&lt;&gt;"","?FAMILIAR",IF(F6337="NEW",IF(ISNA(VLOOKUP(E6337,#REF!,1,FALSE())),"?TYPE_IDENTIFIABLE","?REFERENTIAL"),"_")))))</f>
        <v> </v>
      </c>
      <c r="H6337" s="25" t="str">
        <f>IF(J6337&lt;&gt;1,"",IF(I6337="SBJ","CB","?"))</f>
        <v> </v>
      </c>
      <c r="I6337" s="26" t="str">
        <f>IF(OR(E6337="",E6337="!!!",F6337="NEW"),"",INDEX(B6336:B$2,-1+SUMPRODUCT(MAX(ROW(E6336:E$2)*(E6337=E6336:E$2)))))</f>
        <v> </v>
      </c>
      <c r="J6337" s="26" t="str">
        <f>IF(OR(E6337="",E6337="!!!",F6337="NEW"),"",COUNTBLANK(OFFSET(A$1,,,SUMPRODUCT(MAX(ROW(E$2:E6337)*(E6337=E$2:E6337)))))-COUNTBLANK(OFFSET(A$1,,,SUMPRODUCT(MAX(ROW(E$1:E6336)*(E2=E$1:E6336))))))</f>
        <v> </v>
      </c>
      <c r="K6337" s="26" t="str">
        <f>IF(OR(E6337="",E6337="!!!",F6337="NEW"),"",INDEX(J$1:J6336,SUMPRODUCT(MAX(ROW(E$1:E6336)*(E6337=E$1:E6336)))))</f>
        <v> </v>
      </c>
      <c r="L6337" s="27"/>
    </row>
    <row r="6338" spans="1:12">
      <c r="A6338" s="20" t="s">
        <v>1046</v>
      </c>
      <c r="E6338" s="22">
        <f>IF(D6338="?OLD","!!!","")</f>
        <v/>
      </c>
      <c r="F6338" s="23" t="str">
        <f>IF(OR(E6338="",E6338="!!!"),"",IF(NOT(ISNA(VLOOKUP(E6338,E$1:E6337,1,FALSE()))),"OLD",IF(AND(E6338&lt;&gt;"",E6338&lt;&gt;"!!!"),"NEW","")))</f>
        <v> </v>
      </c>
      <c r="G6338" s="24" t="str">
        <f>IF(OR(E6338="",E6338="!!!"),"",IF(OR(J6338=0,AND(J6338=1,K6338=1),AND(J6338=1,I6338="SBJ"),AND(J6338=1,I6338=0)),"?IN_FOCUS",IF(J6338&lt;=2,"?ACTIVATED",IF(J6338&lt;&gt;"","?FAMILIAR",IF(F6338="NEW",IF(ISNA(VLOOKUP(E6338,#REF!,1,FALSE())),"?TYPE_IDENTIFIABLE","?REFERENTIAL"),"_")))))</f>
        <v> </v>
      </c>
      <c r="H6338" s="25" t="str">
        <f>IF(J6338&lt;&gt;1,"",IF(I6338="SBJ","CB","?"))</f>
        <v> </v>
      </c>
      <c r="I6338" s="26" t="str">
        <f>IF(OR(E6338="",E6338="!!!",F6338="NEW"),"",INDEX(B6337:B$2,-1+SUMPRODUCT(MAX(ROW(E6337:E$2)*(E6338=E6337:E$2)))))</f>
        <v> </v>
      </c>
      <c r="J6338" s="26" t="str">
        <f>IF(OR(E6338="",E6338="!!!",F6338="NEW"),"",COUNTBLANK(OFFSET(A$1,,,SUMPRODUCT(MAX(ROW(E$2:E6338)*(E6338=E$2:E6338)))))-COUNTBLANK(OFFSET(A$1,,,SUMPRODUCT(MAX(ROW(E$1:E6337)*(E2=E$1:E6337))))))</f>
        <v> </v>
      </c>
      <c r="K6338" s="26" t="str">
        <f>IF(OR(E6338="",E6338="!!!",F6338="NEW"),"",INDEX(J$1:J6337,SUMPRODUCT(MAX(ROW(E$1:E6337)*(E6338=E$1:E6337)))))</f>
        <v> </v>
      </c>
      <c r="L6338" s="27"/>
    </row>
    <row r="6339" spans="1:12">
      <c r="A6339" s="20" t="s">
        <v>1047</v>
      </c>
      <c r="B6339" s="21" t="s">
        <v>976</v>
      </c>
      <c r="C6339" s="21" t="s">
        <v>977</v>
      </c>
      <c r="D6339" s="21" t="s">
        <v>978</v>
      </c>
      <c r="E6339" s="22">
        <f>IF(D6339="?OLD","!!!","")</f>
        <v/>
      </c>
      <c r="F6339" s="23" t="str">
        <f>IF(OR(E6339="",E6339="!!!"),"",IF(NOT(ISNA(VLOOKUP(E6339,E$1:E6338,1,FALSE()))),"OLD",IF(AND(E6339&lt;&gt;"",E6339&lt;&gt;"!!!"),"NEW","")))</f>
        <v> </v>
      </c>
      <c r="G6339" s="24" t="str">
        <f>IF(OR(E6339="",E6339="!!!"),"",IF(OR(J6339=0,AND(J6339=1,K6339=1),AND(J6339=1,I6339="SBJ"),AND(J6339=1,I6339=0)),"?IN_FOCUS",IF(J6339&lt;=2,"?ACTIVATED",IF(J6339&lt;&gt;"","?FAMILIAR",IF(F6339="NEW",IF(ISNA(VLOOKUP(E6339,#REF!,1,FALSE())),"?TYPE_IDENTIFIABLE","?REFERENTIAL"),"_")))))</f>
        <v> </v>
      </c>
      <c r="H6339" s="25" t="str">
        <f>IF(J6339&lt;&gt;1,"",IF(I6339="SBJ","CB","?"))</f>
        <v> </v>
      </c>
      <c r="I6339" s="26" t="str">
        <f>IF(OR(E6339="",E6339="!!!",F6339="NEW"),"",INDEX(B6338:B$2,-1+SUMPRODUCT(MAX(ROW(E6338:E$2)*(E6339=E6338:E$2)))))</f>
        <v> </v>
      </c>
      <c r="J6339" s="26" t="str">
        <f>IF(OR(E6339="",E6339="!!!",F6339="NEW"),"",COUNTBLANK(OFFSET(A$1,,,SUMPRODUCT(MAX(ROW(E$2:E6339)*(E6339=E$2:E6339)))))-COUNTBLANK(OFFSET(A$1,,,SUMPRODUCT(MAX(ROW(E$1:E6338)*(E2=E$1:E6338))))))</f>
        <v> </v>
      </c>
      <c r="K6339" s="26" t="str">
        <f>IF(OR(E6339="",E6339="!!!",F6339="NEW"),"",INDEX(J$1:J6338,SUMPRODUCT(MAX(ROW(E$1:E6338)*(E6339=E$1:E6338)))))</f>
        <v> </v>
      </c>
      <c r="L6339" s="27"/>
    </row>
    <row r="6340" spans="1:12">
      <c r="A6340" s="20" t="s">
        <v>1011</v>
      </c>
      <c r="B6340" s="21" t="s">
        <v>982</v>
      </c>
      <c r="C6340" s="21" t="s">
        <v>977</v>
      </c>
      <c r="D6340" s="21" t="s">
        <v>978</v>
      </c>
      <c r="E6340" s="22">
        <f>IF(D6340="?OLD","!!!","")</f>
        <v/>
      </c>
      <c r="F6340" s="23" t="str">
        <f>IF(OR(E6340="",E6340="!!!"),"",IF(NOT(ISNA(VLOOKUP(E6340,E$1:E6339,1,FALSE()))),"OLD",IF(AND(E6340&lt;&gt;"",E6340&lt;&gt;"!!!"),"NEW","")))</f>
        <v> </v>
      </c>
      <c r="G6340" s="24" t="str">
        <f>IF(OR(E6340="",E6340="!!!"),"",IF(OR(J6340=0,AND(J6340=1,K6340=1),AND(J6340=1,I6340="SBJ"),AND(J6340=1,I6340=0)),"?IN_FOCUS",IF(J6340&lt;=2,"?ACTIVATED",IF(J6340&lt;&gt;"","?FAMILIAR",IF(F6340="NEW",IF(ISNA(VLOOKUP(E6340,#REF!,1,FALSE())),"?TYPE_IDENTIFIABLE","?REFERENTIAL"),"_")))))</f>
        <v> </v>
      </c>
      <c r="H6340" s="25" t="str">
        <f>IF(J6340&lt;&gt;1,"",IF(I6340="SBJ","CB","?"))</f>
        <v> </v>
      </c>
      <c r="I6340" s="26" t="str">
        <f>IF(OR(E6340="",E6340="!!!",F6340="NEW"),"",INDEX(B6339:B$2,-1+SUMPRODUCT(MAX(ROW(E6339:E$2)*(E6340=E6339:E$2)))))</f>
        <v> </v>
      </c>
      <c r="J6340" s="26" t="str">
        <f>IF(OR(E6340="",E6340="!!!",F6340="NEW"),"",COUNTBLANK(OFFSET(A$1,,,SUMPRODUCT(MAX(ROW(E$2:E6340)*(E6340=E$2:E6340)))))-COUNTBLANK(OFFSET(A$1,,,SUMPRODUCT(MAX(ROW(E$1:E6339)*(E2=E$1:E6339))))))</f>
        <v> </v>
      </c>
      <c r="K6340" s="26" t="str">
        <f>IF(OR(E6340="",E6340="!!!",F6340="NEW"),"",INDEX(J$1:J6339,SUMPRODUCT(MAX(ROW(E$1:E6339)*(E6340=E$1:E6339)))))</f>
        <v> </v>
      </c>
      <c r="L6340" s="27"/>
    </row>
    <row r="6341" spans="1:12">
      <c r="A6341" s="20" t="s">
        <v>1164</v>
      </c>
      <c r="E6341" s="22">
        <f>IF(D6341="?OLD","!!!","")</f>
        <v/>
      </c>
      <c r="F6341" s="23" t="str">
        <f>IF(OR(E6341="",E6341="!!!"),"",IF(NOT(ISNA(VLOOKUP(E6341,E$1:E6340,1,FALSE()))),"OLD",IF(AND(E6341&lt;&gt;"",E6341&lt;&gt;"!!!"),"NEW","")))</f>
        <v> </v>
      </c>
      <c r="G6341" s="24" t="str">
        <f>IF(OR(E6341="",E6341="!!!"),"",IF(OR(J6341=0,AND(J6341=1,K6341=1),AND(J6341=1,I6341="SBJ"),AND(J6341=1,I6341=0)),"?IN_FOCUS",IF(J6341&lt;=2,"?ACTIVATED",IF(J6341&lt;&gt;"","?FAMILIAR",IF(F6341="NEW",IF(ISNA(VLOOKUP(E6341,#REF!,1,FALSE())),"?TYPE_IDENTIFIABLE","?REFERENTIAL"),"_")))))</f>
        <v> </v>
      </c>
      <c r="H6341" s="25" t="str">
        <f>IF(J6341&lt;&gt;1,"",IF(I6341="SBJ","CB","?"))</f>
        <v> </v>
      </c>
      <c r="I6341" s="26" t="str">
        <f>IF(OR(E6341="",E6341="!!!",F6341="NEW"),"",INDEX(B6340:B$2,-1+SUMPRODUCT(MAX(ROW(E6340:E$2)*(E6341=E6340:E$2)))))</f>
        <v> </v>
      </c>
      <c r="J6341" s="26" t="str">
        <f>IF(OR(E6341="",E6341="!!!",F6341="NEW"),"",COUNTBLANK(OFFSET(A$1,,,SUMPRODUCT(MAX(ROW(E$2:E6341)*(E6341=E$2:E6341)))))-COUNTBLANK(OFFSET(A$1,,,SUMPRODUCT(MAX(ROW(E$1:E6340)*(E2=E$1:E6340))))))</f>
        <v> </v>
      </c>
      <c r="K6341" s="26" t="str">
        <f>IF(OR(E6341="",E6341="!!!",F6341="NEW"),"",INDEX(J$1:J6340,SUMPRODUCT(MAX(ROW(E$1:E6340)*(E6341=E$1:E6340)))))</f>
        <v> </v>
      </c>
      <c r="L6341" s="27"/>
    </row>
    <row r="6342" spans="1:12">
      <c r="A6342" s="20" t="s">
        <v>1267</v>
      </c>
      <c r="E6342" s="22">
        <f>IF(D6342="?OLD","!!!","")</f>
        <v/>
      </c>
      <c r="F6342" s="23" t="str">
        <f>IF(OR(E6342="",E6342="!!!"),"",IF(NOT(ISNA(VLOOKUP(E6342,E$1:E6341,1,FALSE()))),"OLD",IF(AND(E6342&lt;&gt;"",E6342&lt;&gt;"!!!"),"NEW","")))</f>
        <v> </v>
      </c>
      <c r="G6342" s="24" t="str">
        <f>IF(OR(E6342="",E6342="!!!"),"",IF(OR(J6342=0,AND(J6342=1,K6342=1),AND(J6342=1,I6342="SBJ"),AND(J6342=1,I6342=0)),"?IN_FOCUS",IF(J6342&lt;=2,"?ACTIVATED",IF(J6342&lt;&gt;"","?FAMILIAR",IF(F6342="NEW",IF(ISNA(VLOOKUP(E6342,#REF!,1,FALSE())),"?TYPE_IDENTIFIABLE","?REFERENTIAL"),"_")))))</f>
        <v> </v>
      </c>
      <c r="H6342" s="25" t="str">
        <f>IF(J6342&lt;&gt;1,"",IF(I6342="SBJ","CB","?"))</f>
        <v> </v>
      </c>
      <c r="I6342" s="26" t="str">
        <f>IF(OR(E6342="",E6342="!!!",F6342="NEW"),"",INDEX(B6341:B$2,-1+SUMPRODUCT(MAX(ROW(E6341:E$2)*(E6342=E6341:E$2)))))</f>
        <v> </v>
      </c>
      <c r="J6342" s="26" t="str">
        <f>IF(OR(E6342="",E6342="!!!",F6342="NEW"),"",COUNTBLANK(OFFSET(A$1,,,SUMPRODUCT(MAX(ROW(E$2:E6342)*(E6342=E$2:E6342)))))-COUNTBLANK(OFFSET(A$1,,,SUMPRODUCT(MAX(ROW(E$1:E6341)*(E2=E$1:E6341))))))</f>
        <v> </v>
      </c>
      <c r="K6342" s="26" t="str">
        <f>IF(OR(E6342="",E6342="!!!",F6342="NEW"),"",INDEX(J$1:J6341,SUMPRODUCT(MAX(ROW(E$1:E6341)*(E6342=E$1:E6341)))))</f>
        <v> </v>
      </c>
      <c r="L6342" s="27"/>
    </row>
    <row r="6343" spans="1:12">
      <c r="A6343" s="20" t="s">
        <v>1268</v>
      </c>
      <c r="B6343" s="21" t="s">
        <v>982</v>
      </c>
      <c r="C6343" s="21" t="s">
        <v>1057</v>
      </c>
      <c r="E6343" s="22">
        <f>IF(D6343="?OLD","!!!","")</f>
        <v/>
      </c>
      <c r="F6343" s="23" t="str">
        <f>IF(OR(E6343="",E6343="!!!"),"",IF(NOT(ISNA(VLOOKUP(E6343,E$1:E6342,1,FALSE()))),"OLD",IF(AND(E6343&lt;&gt;"",E6343&lt;&gt;"!!!"),"NEW","")))</f>
        <v> </v>
      </c>
      <c r="G6343" s="24" t="str">
        <f>IF(OR(E6343="",E6343="!!!"),"",IF(OR(J6343=0,AND(J6343=1,K6343=1),AND(J6343=1,I6343="SBJ"),AND(J6343=1,I6343=0)),"?IN_FOCUS",IF(J6343&lt;=2,"?ACTIVATED",IF(J6343&lt;&gt;"","?FAMILIAR",IF(F6343="NEW",IF(ISNA(VLOOKUP(E6343,#REF!,1,FALSE())),"?TYPE_IDENTIFIABLE","?REFERENTIAL"),"_")))))</f>
        <v> </v>
      </c>
      <c r="H6343" s="25" t="str">
        <f>IF(J6343&lt;&gt;1,"",IF(I6343="SBJ","CB","?"))</f>
        <v> </v>
      </c>
      <c r="I6343" s="26" t="str">
        <f>IF(OR(E6343="",E6343="!!!",F6343="NEW"),"",INDEX(B6342:B$2,-1+SUMPRODUCT(MAX(ROW(E6342:E$2)*(E6343=E6342:E$2)))))</f>
        <v> </v>
      </c>
      <c r="J6343" s="26" t="str">
        <f>IF(OR(E6343="",E6343="!!!",F6343="NEW"),"",COUNTBLANK(OFFSET(A$1,,,SUMPRODUCT(MAX(ROW(E$2:E6343)*(E6343=E$2:E6343)))))-COUNTBLANK(OFFSET(A$1,,,SUMPRODUCT(MAX(ROW(E$1:E6342)*(E2=E$1:E6342))))))</f>
        <v> </v>
      </c>
      <c r="K6343" s="26" t="str">
        <f>IF(OR(E6343="",E6343="!!!",F6343="NEW"),"",INDEX(J$1:J6342,SUMPRODUCT(MAX(ROW(E$1:E6342)*(E6343=E$1:E6342)))))</f>
        <v> </v>
      </c>
      <c r="L6343" s="27"/>
    </row>
    <row r="6344" spans="1:12">
      <c r="A6344" s="20" t="s">
        <v>1002</v>
      </c>
      <c r="E6344" s="22">
        <f>IF(D6344="?OLD","!!!","")</f>
        <v/>
      </c>
      <c r="F6344" s="23" t="str">
        <f>IF(OR(E6344="",E6344="!!!"),"",IF(NOT(ISNA(VLOOKUP(E6344,E$1:E6343,1,FALSE()))),"OLD",IF(AND(E6344&lt;&gt;"",E6344&lt;&gt;"!!!"),"NEW","")))</f>
        <v> </v>
      </c>
      <c r="G6344" s="24" t="str">
        <f>IF(OR(E6344="",E6344="!!!"),"",IF(OR(J6344=0,AND(J6344=1,K6344=1),AND(J6344=1,I6344="SBJ"),AND(J6344=1,I6344=0)),"?IN_FOCUS",IF(J6344&lt;=2,"?ACTIVATED",IF(J6344&lt;&gt;"","?FAMILIAR",IF(F6344="NEW",IF(ISNA(VLOOKUP(E6344,#REF!,1,FALSE())),"?TYPE_IDENTIFIABLE","?REFERENTIAL"),"_")))))</f>
        <v> </v>
      </c>
      <c r="H6344" s="25" t="str">
        <f>IF(J6344&lt;&gt;1,"",IF(I6344="SBJ","CB","?"))</f>
        <v> </v>
      </c>
      <c r="I6344" s="26" t="str">
        <f>IF(OR(E6344="",E6344="!!!",F6344="NEW"),"",INDEX(B6343:B$2,-1+SUMPRODUCT(MAX(ROW(E6343:E$2)*(E6344=E6343:E$2)))))</f>
        <v> </v>
      </c>
      <c r="J6344" s="26" t="str">
        <f>IF(OR(E6344="",E6344="!!!",F6344="NEW"),"",COUNTBLANK(OFFSET(A$1,,,SUMPRODUCT(MAX(ROW(E$2:E6344)*(E6344=E$2:E6344)))))-COUNTBLANK(OFFSET(A$1,,,SUMPRODUCT(MAX(ROW(E$1:E6343)*(E2=E$1:E6343))))))</f>
        <v> </v>
      </c>
      <c r="K6344" s="26" t="str">
        <f>IF(OR(E6344="",E6344="!!!",F6344="NEW"),"",INDEX(J$1:J6343,SUMPRODUCT(MAX(ROW(E$1:E6343)*(E6344=E$1:E6343)))))</f>
        <v> </v>
      </c>
      <c r="L6344" s="27"/>
    </row>
    <row r="6345" spans="1:12">
      <c r="A6345" s="20" t="s">
        <v>1009</v>
      </c>
      <c r="E6345" s="22">
        <f>IF(D6345="?OLD","!!!","")</f>
        <v/>
      </c>
      <c r="F6345" s="23" t="str">
        <f>IF(OR(E6345="",E6345="!!!"),"",IF(NOT(ISNA(VLOOKUP(E6345,E$1:E6344,1,FALSE()))),"OLD",IF(AND(E6345&lt;&gt;"",E6345&lt;&gt;"!!!"),"NEW","")))</f>
        <v> </v>
      </c>
      <c r="G6345" s="24" t="str">
        <f>IF(OR(E6345="",E6345="!!!"),"",IF(OR(J6345=0,AND(J6345=1,K6345=1),AND(J6345=1,I6345="SBJ"),AND(J6345=1,I6345=0)),"?IN_FOCUS",IF(J6345&lt;=2,"?ACTIVATED",IF(J6345&lt;&gt;"","?FAMILIAR",IF(F6345="NEW",IF(ISNA(VLOOKUP(E6345,#REF!,1,FALSE())),"?TYPE_IDENTIFIABLE","?REFERENTIAL"),"_")))))</f>
        <v> </v>
      </c>
      <c r="H6345" s="25" t="str">
        <f>IF(J6345&lt;&gt;1,"",IF(I6345="SBJ","CB","?"))</f>
        <v> </v>
      </c>
      <c r="I6345" s="26" t="str">
        <f>IF(OR(E6345="",E6345="!!!",F6345="NEW"),"",INDEX(B6344:B$2,-1+SUMPRODUCT(MAX(ROW(E6344:E$2)*(E6345=E6344:E$2)))))</f>
        <v> </v>
      </c>
      <c r="J6345" s="26" t="str">
        <f>IF(OR(E6345="",E6345="!!!",F6345="NEW"),"",COUNTBLANK(OFFSET(A$1,,,SUMPRODUCT(MAX(ROW(E$2:E6345)*(E6345=E$2:E6345)))))-COUNTBLANK(OFFSET(A$1,,,SUMPRODUCT(MAX(ROW(E$1:E6344)*(E2=E$1:E6344))))))</f>
        <v> </v>
      </c>
      <c r="K6345" s="26" t="str">
        <f>IF(OR(E6345="",E6345="!!!",F6345="NEW"),"",INDEX(J$1:J6344,SUMPRODUCT(MAX(ROW(E$1:E6344)*(E6345=E$1:E6344)))))</f>
        <v> </v>
      </c>
      <c r="L6345" s="27"/>
    </row>
    <row r="6346" spans="1:12">
      <c r="A6346" s="20" t="s">
        <v>1025</v>
      </c>
      <c r="B6346" s="21" t="s">
        <v>1095</v>
      </c>
      <c r="C6346" s="21" t="s">
        <v>977</v>
      </c>
      <c r="D6346" s="21" t="s">
        <v>978</v>
      </c>
      <c r="E6346" s="22">
        <f>IF(D6346="?OLD","!!!","")</f>
        <v/>
      </c>
      <c r="F6346" s="23" t="str">
        <f>IF(OR(E6346="",E6346="!!!"),"",IF(NOT(ISNA(VLOOKUP(E6346,E$1:E6345,1,FALSE()))),"OLD",IF(AND(E6346&lt;&gt;"",E6346&lt;&gt;"!!!"),"NEW","")))</f>
        <v> </v>
      </c>
      <c r="G6346" s="24" t="str">
        <f>IF(OR(E6346="",E6346="!!!"),"",IF(OR(J6346=0,AND(J6346=1,K6346=1),AND(J6346=1,I6346="SBJ"),AND(J6346=1,I6346=0)),"?IN_FOCUS",IF(J6346&lt;=2,"?ACTIVATED",IF(J6346&lt;&gt;"","?FAMILIAR",IF(F6346="NEW",IF(ISNA(VLOOKUP(E6346,#REF!,1,FALSE())),"?TYPE_IDENTIFIABLE","?REFERENTIAL"),"_")))))</f>
        <v> </v>
      </c>
      <c r="H6346" s="25" t="str">
        <f>IF(J6346&lt;&gt;1,"",IF(I6346="SBJ","CB","?"))</f>
        <v> </v>
      </c>
      <c r="I6346" s="26" t="str">
        <f>IF(OR(E6346="",E6346="!!!",F6346="NEW"),"",INDEX(B6345:B$2,-1+SUMPRODUCT(MAX(ROW(E6345:E$2)*(E6346=E6345:E$2)))))</f>
        <v> </v>
      </c>
      <c r="J6346" s="26" t="str">
        <f>IF(OR(E6346="",E6346="!!!",F6346="NEW"),"",COUNTBLANK(OFFSET(A$1,,,SUMPRODUCT(MAX(ROW(E$2:E6346)*(E6346=E$2:E6346)))))-COUNTBLANK(OFFSET(A$1,,,SUMPRODUCT(MAX(ROW(E$1:E6345)*(E2=E$1:E6345))))))</f>
        <v> </v>
      </c>
      <c r="K6346" s="26" t="str">
        <f>IF(OR(E6346="",E6346="!!!",F6346="NEW"),"",INDEX(J$1:J6345,SUMPRODUCT(MAX(ROW(E$1:E6345)*(E6346=E$1:E6345)))))</f>
        <v> </v>
      </c>
      <c r="L6346" s="27"/>
    </row>
    <row r="6347" spans="1:12">
      <c r="A6347" s="20" t="s">
        <v>1072</v>
      </c>
      <c r="E6347" s="22">
        <f>IF(D6347="?OLD","!!!","")</f>
        <v/>
      </c>
      <c r="F6347" s="23" t="str">
        <f>IF(OR(E6347="",E6347="!!!"),"",IF(NOT(ISNA(VLOOKUP(E6347,E$1:E6346,1,FALSE()))),"OLD",IF(AND(E6347&lt;&gt;"",E6347&lt;&gt;"!!!"),"NEW","")))</f>
        <v> </v>
      </c>
      <c r="G6347" s="24" t="str">
        <f>IF(OR(E6347="",E6347="!!!"),"",IF(OR(J6347=0,AND(J6347=1,K6347=1),AND(J6347=1,I6347="SBJ"),AND(J6347=1,I6347=0)),"?IN_FOCUS",IF(J6347&lt;=2,"?ACTIVATED",IF(J6347&lt;&gt;"","?FAMILIAR",IF(F6347="NEW",IF(ISNA(VLOOKUP(E6347,#REF!,1,FALSE())),"?TYPE_IDENTIFIABLE","?REFERENTIAL"),"_")))))</f>
        <v> </v>
      </c>
      <c r="H6347" s="25" t="str">
        <f>IF(J6347&lt;&gt;1,"",IF(I6347="SBJ","CB","?"))</f>
        <v> </v>
      </c>
      <c r="I6347" s="26" t="str">
        <f>IF(OR(E6347="",E6347="!!!",F6347="NEW"),"",INDEX(B6346:B$2,-1+SUMPRODUCT(MAX(ROW(E6346:E$2)*(E6347=E6346:E$2)))))</f>
        <v> </v>
      </c>
      <c r="J6347" s="26" t="str">
        <f>IF(OR(E6347="",E6347="!!!",F6347="NEW"),"",COUNTBLANK(OFFSET(A$1,,,SUMPRODUCT(MAX(ROW(E$2:E6347)*(E6347=E$2:E6347)))))-COUNTBLANK(OFFSET(A$1,,,SUMPRODUCT(MAX(ROW(E$1:E6346)*(E2=E$1:E6346))))))</f>
        <v> </v>
      </c>
      <c r="K6347" s="26" t="str">
        <f>IF(OR(E6347="",E6347="!!!",F6347="NEW"),"",INDEX(J$1:J6346,SUMPRODUCT(MAX(ROW(E$1:E6346)*(E6347=E$1:E6346)))))</f>
        <v> </v>
      </c>
      <c r="L6347" s="27"/>
    </row>
    <row r="6348" spans="1:12">
      <c r="A6348" s="20" t="s">
        <v>999</v>
      </c>
      <c r="E6348" s="22">
        <f>IF(D6348="?OLD","!!!","")</f>
        <v/>
      </c>
      <c r="F6348" s="23" t="str">
        <f>IF(OR(E6348="",E6348="!!!"),"",IF(NOT(ISNA(VLOOKUP(E6348,E$1:E6347,1,FALSE()))),"OLD",IF(AND(E6348&lt;&gt;"",E6348&lt;&gt;"!!!"),"NEW","")))</f>
        <v> </v>
      </c>
      <c r="G6348" s="24" t="str">
        <f>IF(OR(E6348="",E6348="!!!"),"",IF(OR(J6348=0,AND(J6348=1,K6348=1),AND(J6348=1,I6348="SBJ"),AND(J6348=1,I6348=0)),"?IN_FOCUS",IF(J6348&lt;=2,"?ACTIVATED",IF(J6348&lt;&gt;"","?FAMILIAR",IF(F6348="NEW",IF(ISNA(VLOOKUP(E6348,#REF!,1,FALSE())),"?TYPE_IDENTIFIABLE","?REFERENTIAL"),"_")))))</f>
        <v> </v>
      </c>
      <c r="H6348" s="25" t="str">
        <f>IF(J6348&lt;&gt;1,"",IF(I6348="SBJ","CB","?"))</f>
        <v> </v>
      </c>
      <c r="I6348" s="26" t="str">
        <f>IF(OR(E6348="",E6348="!!!",F6348="NEW"),"",INDEX(B6347:B$2,-1+SUMPRODUCT(MAX(ROW(E6347:E$2)*(E6348=E6347:E$2)))))</f>
        <v> </v>
      </c>
      <c r="J6348" s="26" t="str">
        <f>IF(OR(E6348="",E6348="!!!",F6348="NEW"),"",COUNTBLANK(OFFSET(A$1,,,SUMPRODUCT(MAX(ROW(E$2:E6348)*(E6348=E$2:E6348)))))-COUNTBLANK(OFFSET(A$1,,,SUMPRODUCT(MAX(ROW(E$1:E6347)*(E2=E$1:E6347))))))</f>
        <v> </v>
      </c>
      <c r="K6348" s="26" t="str">
        <f>IF(OR(E6348="",E6348="!!!",F6348="NEW"),"",INDEX(J$1:J6347,SUMPRODUCT(MAX(ROW(E$1:E6347)*(E6348=E$1:E6347)))))</f>
        <v> </v>
      </c>
      <c r="L6348" s="27"/>
    </row>
    <row r="6349" spans="1:12">
      <c r="A6349" s="20" t="s">
        <v>1670</v>
      </c>
      <c r="E6349" s="22">
        <f>IF(D6349="?OLD","!!!","")</f>
        <v/>
      </c>
      <c r="F6349" s="23" t="str">
        <f>IF(OR(E6349="",E6349="!!!"),"",IF(NOT(ISNA(VLOOKUP(E6349,E$1:E6348,1,FALSE()))),"OLD",IF(AND(E6349&lt;&gt;"",E6349&lt;&gt;"!!!"),"NEW","")))</f>
        <v> </v>
      </c>
      <c r="G6349" s="24" t="str">
        <f>IF(OR(E6349="",E6349="!!!"),"",IF(OR(J6349=0,AND(J6349=1,K6349=1),AND(J6349=1,I6349="SBJ"),AND(J6349=1,I6349=0)),"?IN_FOCUS",IF(J6349&lt;=2,"?ACTIVATED",IF(J6349&lt;&gt;"","?FAMILIAR",IF(F6349="NEW",IF(ISNA(VLOOKUP(E6349,#REF!,1,FALSE())),"?TYPE_IDENTIFIABLE","?REFERENTIAL"),"_")))))</f>
        <v> </v>
      </c>
      <c r="H6349" s="25" t="str">
        <f>IF(J6349&lt;&gt;1,"",IF(I6349="SBJ","CB","?"))</f>
        <v> </v>
      </c>
      <c r="I6349" s="26" t="str">
        <f>IF(OR(E6349="",E6349="!!!",F6349="NEW"),"",INDEX(B6348:B$2,-1+SUMPRODUCT(MAX(ROW(E6348:E$2)*(E6349=E6348:E$2)))))</f>
        <v> </v>
      </c>
      <c r="J6349" s="26" t="str">
        <f>IF(OR(E6349="",E6349="!!!",F6349="NEW"),"",COUNTBLANK(OFFSET(A$1,,,SUMPRODUCT(MAX(ROW(E$2:E6349)*(E6349=E$2:E6349)))))-COUNTBLANK(OFFSET(A$1,,,SUMPRODUCT(MAX(ROW(E$1:E6348)*(E2=E$1:E6348))))))</f>
        <v> </v>
      </c>
      <c r="K6349" s="26" t="str">
        <f>IF(OR(E6349="",E6349="!!!",F6349="NEW"),"",INDEX(J$1:J6348,SUMPRODUCT(MAX(ROW(E$1:E6348)*(E6349=E$1:E6348)))))</f>
        <v> </v>
      </c>
      <c r="L6349" s="27"/>
    </row>
    <row r="6350" spans="1:12">
      <c r="A6350" s="20" t="s">
        <v>414</v>
      </c>
      <c r="E6350" s="22">
        <f>IF(D6350="?OLD","!!!","")</f>
        <v/>
      </c>
      <c r="F6350" s="23" t="str">
        <f>IF(OR(E6350="",E6350="!!!"),"",IF(NOT(ISNA(VLOOKUP(E6350,E$1:E6349,1,FALSE()))),"OLD",IF(AND(E6350&lt;&gt;"",E6350&lt;&gt;"!!!"),"NEW","")))</f>
        <v> </v>
      </c>
      <c r="G6350" s="24" t="str">
        <f>IF(OR(E6350="",E6350="!!!"),"",IF(OR(J6350=0,AND(J6350=1,K6350=1),AND(J6350=1,I6350="SBJ"),AND(J6350=1,I6350=0)),"?IN_FOCUS",IF(J6350&lt;=2,"?ACTIVATED",IF(J6350&lt;&gt;"","?FAMILIAR",IF(F6350="NEW",IF(ISNA(VLOOKUP(E6350,#REF!,1,FALSE())),"?TYPE_IDENTIFIABLE","?REFERENTIAL"),"_")))))</f>
        <v> </v>
      </c>
      <c r="H6350" s="25" t="str">
        <f>IF(J6350&lt;&gt;1,"",IF(I6350="SBJ","CB","?"))</f>
        <v> </v>
      </c>
      <c r="I6350" s="26" t="str">
        <f>IF(OR(E6350="",E6350="!!!",F6350="NEW"),"",INDEX(B6349:B$2,-1+SUMPRODUCT(MAX(ROW(E6349:E$2)*(E6350=E6349:E$2)))))</f>
        <v> </v>
      </c>
      <c r="J6350" s="26" t="str">
        <f>IF(OR(E6350="",E6350="!!!",F6350="NEW"),"",COUNTBLANK(OFFSET(A$1,,,SUMPRODUCT(MAX(ROW(E$2:E6350)*(E6350=E$2:E6350)))))-COUNTBLANK(OFFSET(A$1,,,SUMPRODUCT(MAX(ROW(E$1:E6349)*(E2=E$1:E6349))))))</f>
        <v> </v>
      </c>
      <c r="K6350" s="26" t="str">
        <f>IF(OR(E6350="",E6350="!!!",F6350="NEW"),"",INDEX(J$1:J6349,SUMPRODUCT(MAX(ROW(E$1:E6349)*(E6350=E$1:E6349)))))</f>
        <v> </v>
      </c>
      <c r="L6350" s="27"/>
    </row>
    <row r="6351" spans="1:12">
      <c r="A6351" s="20" t="s">
        <v>1183</v>
      </c>
      <c r="B6351" s="21" t="s">
        <v>1101</v>
      </c>
      <c r="E6351" s="22">
        <f>IF(D6351="?OLD","!!!","")</f>
        <v/>
      </c>
      <c r="F6351" s="23" t="str">
        <f>IF(OR(E6351="",E6351="!!!"),"",IF(NOT(ISNA(VLOOKUP(E6351,E$1:E6350,1,FALSE()))),"OLD",IF(AND(E6351&lt;&gt;"",E6351&lt;&gt;"!!!"),"NEW","")))</f>
        <v> </v>
      </c>
      <c r="G6351" s="24" t="str">
        <f>IF(OR(E6351="",E6351="!!!"),"",IF(OR(J6351=0,AND(J6351=1,K6351=1),AND(J6351=1,I6351="SBJ"),AND(J6351=1,I6351=0)),"?IN_FOCUS",IF(J6351&lt;=2,"?ACTIVATED",IF(J6351&lt;&gt;"","?FAMILIAR",IF(F6351="NEW",IF(ISNA(VLOOKUP(E6351,#REF!,1,FALSE())),"?TYPE_IDENTIFIABLE","?REFERENTIAL"),"_")))))</f>
        <v> </v>
      </c>
      <c r="H6351" s="25" t="str">
        <f>IF(J6351&lt;&gt;1,"",IF(I6351="SBJ","CB","?"))</f>
        <v> </v>
      </c>
      <c r="I6351" s="26" t="str">
        <f>IF(OR(E6351="",E6351="!!!",F6351="NEW"),"",INDEX(B6350:B$2,-1+SUMPRODUCT(MAX(ROW(E6350:E$2)*(E6351=E6350:E$2)))))</f>
        <v> </v>
      </c>
      <c r="J6351" s="26" t="str">
        <f>IF(OR(E6351="",E6351="!!!",F6351="NEW"),"",COUNTBLANK(OFFSET(A$1,,,SUMPRODUCT(MAX(ROW(E$2:E6351)*(E6351=E$2:E6351)))))-COUNTBLANK(OFFSET(A$1,,,SUMPRODUCT(MAX(ROW(E$1:E6350)*(E2=E$1:E6350))))))</f>
        <v> </v>
      </c>
      <c r="K6351" s="26" t="str">
        <f>IF(OR(E6351="",E6351="!!!",F6351="NEW"),"",INDEX(J$1:J6350,SUMPRODUCT(MAX(ROW(E$1:E6350)*(E6351=E$1:E6350)))))</f>
        <v> </v>
      </c>
      <c r="L6351" s="27"/>
    </row>
    <row r="6352" spans="1:12">
      <c r="A6352" s="20" t="s">
        <v>1038</v>
      </c>
      <c r="E6352" s="22">
        <f>IF(D6352="?OLD","!!!","")</f>
        <v/>
      </c>
      <c r="F6352" s="23" t="str">
        <f>IF(OR(E6352="",E6352="!!!"),"",IF(NOT(ISNA(VLOOKUP(E6352,E$1:E6351,1,FALSE()))),"OLD",IF(AND(E6352&lt;&gt;"",E6352&lt;&gt;"!!!"),"NEW","")))</f>
        <v> </v>
      </c>
      <c r="G6352" s="24" t="str">
        <f>IF(OR(E6352="",E6352="!!!"),"",IF(OR(J6352=0,AND(J6352=1,K6352=1),AND(J6352=1,I6352="SBJ"),AND(J6352=1,I6352=0)),"?IN_FOCUS",IF(J6352&lt;=2,"?ACTIVATED",IF(J6352&lt;&gt;"","?FAMILIAR",IF(F6352="NEW",IF(ISNA(VLOOKUP(E6352,#REF!,1,FALSE())),"?TYPE_IDENTIFIABLE","?REFERENTIAL"),"_")))))</f>
        <v> </v>
      </c>
      <c r="H6352" s="25" t="str">
        <f>IF(J6352&lt;&gt;1,"",IF(I6352="SBJ","CB","?"))</f>
        <v> </v>
      </c>
      <c r="I6352" s="26" t="str">
        <f>IF(OR(E6352="",E6352="!!!",F6352="NEW"),"",INDEX(B6351:B$2,-1+SUMPRODUCT(MAX(ROW(E6351:E$2)*(E6352=E6351:E$2)))))</f>
        <v> </v>
      </c>
      <c r="J6352" s="26" t="str">
        <f>IF(OR(E6352="",E6352="!!!",F6352="NEW"),"",COUNTBLANK(OFFSET(A$1,,,SUMPRODUCT(MAX(ROW(E$2:E6352)*(E6352=E$2:E6352)))))-COUNTBLANK(OFFSET(A$1,,,SUMPRODUCT(MAX(ROW(E$1:E6351)*(E2=E$1:E6351))))))</f>
        <v> </v>
      </c>
      <c r="K6352" s="26" t="str">
        <f>IF(OR(E6352="",E6352="!!!",F6352="NEW"),"",INDEX(J$1:J6351,SUMPRODUCT(MAX(ROW(E$1:E6351)*(E6352=E$1:E6351)))))</f>
        <v> </v>
      </c>
      <c r="L6352" s="27"/>
    </row>
    <row r="6353" spans="1:12">
      <c r="A6353" s="20" t="s">
        <v>1168</v>
      </c>
      <c r="E6353" s="22">
        <f>IF(D6353="?OLD","!!!","")</f>
        <v/>
      </c>
      <c r="F6353" s="23" t="str">
        <f>IF(OR(E6353="",E6353="!!!"),"",IF(NOT(ISNA(VLOOKUP(E6353,E$1:E6352,1,FALSE()))),"OLD",IF(AND(E6353&lt;&gt;"",E6353&lt;&gt;"!!!"),"NEW","")))</f>
        <v> </v>
      </c>
      <c r="G6353" s="24" t="str">
        <f>IF(OR(E6353="",E6353="!!!"),"",IF(OR(J6353=0,AND(J6353=1,K6353=1),AND(J6353=1,I6353="SBJ"),AND(J6353=1,I6353=0)),"?IN_FOCUS",IF(J6353&lt;=2,"?ACTIVATED",IF(J6353&lt;&gt;"","?FAMILIAR",IF(F6353="NEW",IF(ISNA(VLOOKUP(E6353,#REF!,1,FALSE())),"?TYPE_IDENTIFIABLE","?REFERENTIAL"),"_")))))</f>
        <v> </v>
      </c>
      <c r="H6353" s="25" t="str">
        <f>IF(J6353&lt;&gt;1,"",IF(I6353="SBJ","CB","?"))</f>
        <v> </v>
      </c>
      <c r="I6353" s="26" t="str">
        <f>IF(OR(E6353="",E6353="!!!",F6353="NEW"),"",INDEX(B6352:B$2,-1+SUMPRODUCT(MAX(ROW(E6352:E$2)*(E6353=E6352:E$2)))))</f>
        <v> </v>
      </c>
      <c r="J6353" s="26" t="str">
        <f>IF(OR(E6353="",E6353="!!!",F6353="NEW"),"",COUNTBLANK(OFFSET(A$1,,,SUMPRODUCT(MAX(ROW(E$2:E6353)*(E6353=E$2:E6353)))))-COUNTBLANK(OFFSET(A$1,,,SUMPRODUCT(MAX(ROW(E$1:E6352)*(E2=E$1:E6352))))))</f>
        <v> </v>
      </c>
      <c r="K6353" s="26" t="str">
        <f>IF(OR(E6353="",E6353="!!!",F6353="NEW"),"",INDEX(J$1:J6352,SUMPRODUCT(MAX(ROW(E$1:E6352)*(E6353=E$1:E6352)))))</f>
        <v> </v>
      </c>
      <c r="L6353" s="27"/>
    </row>
    <row r="6354" spans="1:12">
      <c r="A6354" s="20" t="s">
        <v>2047</v>
      </c>
      <c r="E6354" s="22">
        <f>IF(D6354="?OLD","!!!","")</f>
        <v/>
      </c>
      <c r="F6354" s="23" t="str">
        <f>IF(OR(E6354="",E6354="!!!"),"",IF(NOT(ISNA(VLOOKUP(E6354,E$1:E6353,1,FALSE()))),"OLD",IF(AND(E6354&lt;&gt;"",E6354&lt;&gt;"!!!"),"NEW","")))</f>
        <v> </v>
      </c>
      <c r="G6354" s="24" t="str">
        <f>IF(OR(E6354="",E6354="!!!"),"",IF(OR(J6354=0,AND(J6354=1,K6354=1),AND(J6354=1,I6354="SBJ"),AND(J6354=1,I6354=0)),"?IN_FOCUS",IF(J6354&lt;=2,"?ACTIVATED",IF(J6354&lt;&gt;"","?FAMILIAR",IF(F6354="NEW",IF(ISNA(VLOOKUP(E6354,#REF!,1,FALSE())),"?TYPE_IDENTIFIABLE","?REFERENTIAL"),"_")))))</f>
        <v> </v>
      </c>
      <c r="H6354" s="25" t="str">
        <f>IF(J6354&lt;&gt;1,"",IF(I6354="SBJ","CB","?"))</f>
        <v> </v>
      </c>
      <c r="I6354" s="26" t="str">
        <f>IF(OR(E6354="",E6354="!!!",F6354="NEW"),"",INDEX(B6353:B$2,-1+SUMPRODUCT(MAX(ROW(E6353:E$2)*(E6354=E6353:E$2)))))</f>
        <v> </v>
      </c>
      <c r="J6354" s="26" t="str">
        <f>IF(OR(E6354="",E6354="!!!",F6354="NEW"),"",COUNTBLANK(OFFSET(A$1,,,SUMPRODUCT(MAX(ROW(E$2:E6354)*(E6354=E$2:E6354)))))-COUNTBLANK(OFFSET(A$1,,,SUMPRODUCT(MAX(ROW(E$1:E6353)*(E2=E$1:E6353))))))</f>
        <v> </v>
      </c>
      <c r="K6354" s="26" t="str">
        <f>IF(OR(E6354="",E6354="!!!",F6354="NEW"),"",INDEX(J$1:J6353,SUMPRODUCT(MAX(ROW(E$1:E6353)*(E6354=E$1:E6353)))))</f>
        <v> </v>
      </c>
      <c r="L6354" s="27"/>
    </row>
    <row r="6355" spans="1:12">
      <c r="A6355" s="20" t="s">
        <v>1937</v>
      </c>
      <c r="B6355" s="21" t="s">
        <v>1007</v>
      </c>
      <c r="C6355" s="21" t="s">
        <v>1104</v>
      </c>
      <c r="E6355" s="22">
        <f>IF(D6355="?OLD","!!!","")</f>
        <v/>
      </c>
      <c r="F6355" s="23" t="str">
        <f>IF(OR(E6355="",E6355="!!!"),"",IF(NOT(ISNA(VLOOKUP(E6355,E$1:E6354,1,FALSE()))),"OLD",IF(AND(E6355&lt;&gt;"",E6355&lt;&gt;"!!!"),"NEW","")))</f>
        <v> </v>
      </c>
      <c r="G6355" s="24" t="str">
        <f>IF(OR(E6355="",E6355="!!!"),"",IF(OR(J6355=0,AND(J6355=1,K6355=1),AND(J6355=1,I6355="SBJ"),AND(J6355=1,I6355=0)),"?IN_FOCUS",IF(J6355&lt;=2,"?ACTIVATED",IF(J6355&lt;&gt;"","?FAMILIAR",IF(F6355="NEW",IF(ISNA(VLOOKUP(E6355,#REF!,1,FALSE())),"?TYPE_IDENTIFIABLE","?REFERENTIAL"),"_")))))</f>
        <v> </v>
      </c>
      <c r="H6355" s="25" t="str">
        <f>IF(J6355&lt;&gt;1,"",IF(I6355="SBJ","CB","?"))</f>
        <v> </v>
      </c>
      <c r="I6355" s="26" t="str">
        <f>IF(OR(E6355="",E6355="!!!",F6355="NEW"),"",INDEX(B6354:B$2,-1+SUMPRODUCT(MAX(ROW(E6354:E$2)*(E6355=E6354:E$2)))))</f>
        <v> </v>
      </c>
      <c r="J6355" s="26" t="str">
        <f>IF(OR(E6355="",E6355="!!!",F6355="NEW"),"",COUNTBLANK(OFFSET(A$1,,,SUMPRODUCT(MAX(ROW(E$2:E6355)*(E6355=E$2:E6355)))))-COUNTBLANK(OFFSET(A$1,,,SUMPRODUCT(MAX(ROW(E$1:E6354)*(E2=E$1:E6354))))))</f>
        <v> </v>
      </c>
      <c r="K6355" s="26" t="str">
        <f>IF(OR(E6355="",E6355="!!!",F6355="NEW"),"",INDEX(J$1:J6354,SUMPRODUCT(MAX(ROW(E$1:E6354)*(E6355=E$1:E6354)))))</f>
        <v> </v>
      </c>
      <c r="L6355" s="27"/>
    </row>
    <row r="6356" spans="1:12">
      <c r="A6356" s="20" t="s">
        <v>996</v>
      </c>
      <c r="E6356" s="22">
        <f>IF(D6356="?OLD","!!!","")</f>
        <v/>
      </c>
      <c r="F6356" s="23" t="str">
        <f>IF(OR(E6356="",E6356="!!!"),"",IF(NOT(ISNA(VLOOKUP(E6356,E$1:E6355,1,FALSE()))),"OLD",IF(AND(E6356&lt;&gt;"",E6356&lt;&gt;"!!!"),"NEW","")))</f>
        <v> </v>
      </c>
      <c r="G6356" s="24" t="str">
        <f>IF(OR(E6356="",E6356="!!!"),"",IF(OR(J6356=0,AND(J6356=1,K6356=1),AND(J6356=1,I6356="SBJ"),AND(J6356=1,I6356=0)),"?IN_FOCUS",IF(J6356&lt;=2,"?ACTIVATED",IF(J6356&lt;&gt;"","?FAMILIAR",IF(F6356="NEW",IF(ISNA(VLOOKUP(E6356,#REF!,1,FALSE())),"?TYPE_IDENTIFIABLE","?REFERENTIAL"),"_")))))</f>
        <v> </v>
      </c>
      <c r="H6356" s="25" t="str">
        <f>IF(J6356&lt;&gt;1,"",IF(I6356="SBJ","CB","?"))</f>
        <v> </v>
      </c>
      <c r="I6356" s="26" t="str">
        <f>IF(OR(E6356="",E6356="!!!",F6356="NEW"),"",INDEX(B6355:B$2,-1+SUMPRODUCT(MAX(ROW(E6355:E$2)*(E6356=E6355:E$2)))))</f>
        <v> </v>
      </c>
      <c r="J6356" s="26" t="str">
        <f>IF(OR(E6356="",E6356="!!!",F6356="NEW"),"",COUNTBLANK(OFFSET(A$1,,,SUMPRODUCT(MAX(ROW(E$2:E6356)*(E6356=E$2:E6356)))))-COUNTBLANK(OFFSET(A$1,,,SUMPRODUCT(MAX(ROW(E$1:E6355)*(E2=E$1:E6355))))))</f>
        <v> </v>
      </c>
      <c r="K6356" s="26" t="str">
        <f>IF(OR(E6356="",E6356="!!!",F6356="NEW"),"",INDEX(J$1:J6355,SUMPRODUCT(MAX(ROW(E$1:E6355)*(E6356=E$1:E6355)))))</f>
        <v> </v>
      </c>
      <c r="L6356" s="27"/>
    </row>
    <row r="6357" spans="1:12">
      <c r="A6357" s="20" t="s">
        <v>2552</v>
      </c>
      <c r="B6357" s="21" t="s">
        <v>1084</v>
      </c>
      <c r="C6357" s="21" t="s">
        <v>1057</v>
      </c>
      <c r="E6357" s="22">
        <f>IF(D6357="?OLD","!!!","")</f>
        <v/>
      </c>
      <c r="F6357" s="23" t="str">
        <f>IF(OR(E6357="",E6357="!!!"),"",IF(NOT(ISNA(VLOOKUP(E6357,E$1:E6356,1,FALSE()))),"OLD",IF(AND(E6357&lt;&gt;"",E6357&lt;&gt;"!!!"),"NEW","")))</f>
        <v> </v>
      </c>
      <c r="G6357" s="24" t="str">
        <f>IF(OR(E6357="",E6357="!!!"),"",IF(OR(J6357=0,AND(J6357=1,K6357=1),AND(J6357=1,I6357="SBJ"),AND(J6357=1,I6357=0)),"?IN_FOCUS",IF(J6357&lt;=2,"?ACTIVATED",IF(J6357&lt;&gt;"","?FAMILIAR",IF(F6357="NEW",IF(ISNA(VLOOKUP(E6357,#REF!,1,FALSE())),"?TYPE_IDENTIFIABLE","?REFERENTIAL"),"_")))))</f>
        <v> </v>
      </c>
      <c r="H6357" s="25" t="str">
        <f>IF(J6357&lt;&gt;1,"",IF(I6357="SBJ","CB","?"))</f>
        <v> </v>
      </c>
      <c r="I6357" s="26" t="str">
        <f>IF(OR(E6357="",E6357="!!!",F6357="NEW"),"",INDEX(B6356:B$2,-1+SUMPRODUCT(MAX(ROW(E6356:E$2)*(E6357=E6356:E$2)))))</f>
        <v> </v>
      </c>
      <c r="J6357" s="26" t="str">
        <f>IF(OR(E6357="",E6357="!!!",F6357="NEW"),"",COUNTBLANK(OFFSET(A$1,,,SUMPRODUCT(MAX(ROW(E$2:E6357)*(E6357=E$2:E6357)))))-COUNTBLANK(OFFSET(A$1,,,SUMPRODUCT(MAX(ROW(E$1:E6356)*(E2=E$1:E6356))))))</f>
        <v> </v>
      </c>
      <c r="K6357" s="26" t="str">
        <f>IF(OR(E6357="",E6357="!!!",F6357="NEW"),"",INDEX(J$1:J6356,SUMPRODUCT(MAX(ROW(E$1:E6356)*(E6357=E$1:E6356)))))</f>
        <v> </v>
      </c>
      <c r="L6357" s="27"/>
    </row>
    <row r="6358" spans="1:12">
      <c r="A6358" s="20" t="s">
        <v>1022</v>
      </c>
      <c r="E6358" s="22">
        <f>IF(D6358="?OLD","!!!","")</f>
        <v/>
      </c>
      <c r="F6358" s="23" t="str">
        <f>IF(OR(E6358="",E6358="!!!"),"",IF(NOT(ISNA(VLOOKUP(E6358,E$1:E6357,1,FALSE()))),"OLD",IF(AND(E6358&lt;&gt;"",E6358&lt;&gt;"!!!"),"NEW","")))</f>
        <v> </v>
      </c>
      <c r="G6358" s="24" t="str">
        <f>IF(OR(E6358="",E6358="!!!"),"",IF(OR(J6358=0,AND(J6358=1,K6358=1),AND(J6358=1,I6358="SBJ"),AND(J6358=1,I6358=0)),"?IN_FOCUS",IF(J6358&lt;=2,"?ACTIVATED",IF(J6358&lt;&gt;"","?FAMILIAR",IF(F6358="NEW",IF(ISNA(VLOOKUP(E6358,#REF!,1,FALSE())),"?TYPE_IDENTIFIABLE","?REFERENTIAL"),"_")))))</f>
        <v> </v>
      </c>
      <c r="H6358" s="25" t="str">
        <f>IF(J6358&lt;&gt;1,"",IF(I6358="SBJ","CB","?"))</f>
        <v> </v>
      </c>
      <c r="I6358" s="26" t="str">
        <f>IF(OR(E6358="",E6358="!!!",F6358="NEW"),"",INDEX(B6357:B$2,-1+SUMPRODUCT(MAX(ROW(E6357:E$2)*(E6358=E6357:E$2)))))</f>
        <v> </v>
      </c>
      <c r="J6358" s="26" t="str">
        <f>IF(OR(E6358="",E6358="!!!",F6358="NEW"),"",COUNTBLANK(OFFSET(A$1,,,SUMPRODUCT(MAX(ROW(E$2:E6358)*(E6358=E$2:E6358)))))-COUNTBLANK(OFFSET(A$1,,,SUMPRODUCT(MAX(ROW(E$1:E6357)*(E2=E$1:E6357))))))</f>
        <v> </v>
      </c>
      <c r="K6358" s="26" t="str">
        <f>IF(OR(E6358="",E6358="!!!",F6358="NEW"),"",INDEX(J$1:J6357,SUMPRODUCT(MAX(ROW(E$1:E6357)*(E6358=E$1:E6357)))))</f>
        <v> </v>
      </c>
      <c r="L6358" s="27"/>
    </row>
    <row r="6359" spans="1:12">
      <c r="A6359" s="20"/>
    </row>
    <row r="6360" spans="1:12">
      <c r="A6360" s="20" t="s">
        <v>2553</v>
      </c>
    </row>
    <row r="6361" spans="1:12">
      <c r="A6361" s="20" t="s">
        <v>2538</v>
      </c>
      <c r="B6361" s="21" t="s">
        <v>976</v>
      </c>
      <c r="C6361" s="21" t="s">
        <v>1008</v>
      </c>
      <c r="D6361" s="21" t="s">
        <v>978</v>
      </c>
      <c r="E6361" s="22">
        <f>IF(D6361="?OLD","!!!","")</f>
        <v/>
      </c>
      <c r="F6361" s="23" t="str">
        <f>IF(OR(E6361="",E6361="!!!"),"",IF(NOT(ISNA(VLOOKUP(E6361,E$1:E6360,1,FALSE()))),"OLD",IF(AND(E6361&lt;&gt;"",E6361&lt;&gt;"!!!"),"NEW","")))</f>
        <v> </v>
      </c>
      <c r="G6361" s="24" t="str">
        <f>IF(OR(E6361="",E6361="!!!"),"",IF(OR(J6361=0,AND(J6361=1,K6361=1),AND(J6361=1,I6361="SBJ"),AND(J6361=1,I6361=0)),"?IN_FOCUS",IF(J6361&lt;=2,"?ACTIVATED",IF(J6361&lt;&gt;"","?FAMILIAR",IF(F6361="NEW",IF(ISNA(VLOOKUP(E6361,#REF!,1,FALSE())),"?TYPE_IDENTIFIABLE","?REFERENTIAL"),"_")))))</f>
        <v> </v>
      </c>
      <c r="H6361" s="25" t="str">
        <f>IF(J6361&lt;&gt;1,"",IF(I6361="SBJ","CB","?"))</f>
        <v> </v>
      </c>
      <c r="I6361" s="26" t="str">
        <f>IF(OR(E6361="",E6361="!!!",F6361="NEW"),"",INDEX(B6360:B$2,-1+SUMPRODUCT(MAX(ROW(E6360:E$2)*(E6361=E6360:E$2)))))</f>
        <v> </v>
      </c>
      <c r="J6361" s="26" t="str">
        <f>IF(OR(E6361="",E6361="!!!",F6361="NEW"),"",COUNTBLANK(OFFSET(A$1,,,SUMPRODUCT(MAX(ROW(E$2:E6361)*(E6361=E$2:E6361)))))-COUNTBLANK(OFFSET(A$1,,,SUMPRODUCT(MAX(ROW(E$1:E6360)*(E2=E$1:E6360))))))</f>
        <v> </v>
      </c>
      <c r="K6361" s="26" t="str">
        <f>IF(OR(E6361="",E6361="!!!",F6361="NEW"),"",INDEX(J$1:J6360,SUMPRODUCT(MAX(ROW(E$1:E6360)*(E6361=E$1:E6360)))))</f>
        <v> </v>
      </c>
      <c r="L6361" s="27"/>
    </row>
    <row r="6362" spans="1:12">
      <c r="A6362" s="20" t="s">
        <v>2554</v>
      </c>
      <c r="E6362" s="22">
        <f>IF(D6362="?OLD","!!!","")</f>
        <v/>
      </c>
      <c r="F6362" s="23" t="str">
        <f>IF(OR(E6362="",E6362="!!!"),"",IF(NOT(ISNA(VLOOKUP(E6362,E$1:E6361,1,FALSE()))),"OLD",IF(AND(E6362&lt;&gt;"",E6362&lt;&gt;"!!!"),"NEW","")))</f>
        <v> </v>
      </c>
      <c r="G6362" s="24" t="str">
        <f>IF(OR(E6362="",E6362="!!!"),"",IF(OR(J6362=0,AND(J6362=1,K6362=1),AND(J6362=1,I6362="SBJ"),AND(J6362=1,I6362=0)),"?IN_FOCUS",IF(J6362&lt;=2,"?ACTIVATED",IF(J6362&lt;&gt;"","?FAMILIAR",IF(F6362="NEW",IF(ISNA(VLOOKUP(E6362,#REF!,1,FALSE())),"?TYPE_IDENTIFIABLE","?REFERENTIAL"),"_")))))</f>
        <v> </v>
      </c>
      <c r="H6362" s="25" t="str">
        <f>IF(J6362&lt;&gt;1,"",IF(I6362="SBJ","CB","?"))</f>
        <v> </v>
      </c>
      <c r="I6362" s="26" t="str">
        <f>IF(OR(E6362="",E6362="!!!",F6362="NEW"),"",INDEX(B6361:B$2,-1+SUMPRODUCT(MAX(ROW(E6361:E$2)*(E6362=E6361:E$2)))))</f>
        <v> </v>
      </c>
      <c r="J6362" s="26" t="str">
        <f>IF(OR(E6362="",E6362="!!!",F6362="NEW"),"",COUNTBLANK(OFFSET(A$1,,,SUMPRODUCT(MAX(ROW(E$2:E6362)*(E6362=E$2:E6362)))))-COUNTBLANK(OFFSET(A$1,,,SUMPRODUCT(MAX(ROW(E$1:E6361)*(E2=E$1:E6361))))))</f>
        <v> </v>
      </c>
      <c r="K6362" s="26" t="str">
        <f>IF(OR(E6362="",E6362="!!!",F6362="NEW"),"",INDEX(J$1:J6361,SUMPRODUCT(MAX(ROW(E$1:E6361)*(E6362=E$1:E6361)))))</f>
        <v> </v>
      </c>
      <c r="L6362" s="27"/>
    </row>
    <row r="6363" spans="1:12">
      <c r="A6363" s="20" t="s">
        <v>1065</v>
      </c>
      <c r="E6363" s="22">
        <f>IF(D6363="?OLD","!!!","")</f>
        <v/>
      </c>
      <c r="F6363" s="23" t="str">
        <f>IF(OR(E6363="",E6363="!!!"),"",IF(NOT(ISNA(VLOOKUP(E6363,E$1:E6362,1,FALSE()))),"OLD",IF(AND(E6363&lt;&gt;"",E6363&lt;&gt;"!!!"),"NEW","")))</f>
        <v> </v>
      </c>
      <c r="G6363" s="24" t="str">
        <f>IF(OR(E6363="",E6363="!!!"),"",IF(OR(J6363=0,AND(J6363=1,K6363=1),AND(J6363=1,I6363="SBJ"),AND(J6363=1,I6363=0)),"?IN_FOCUS",IF(J6363&lt;=2,"?ACTIVATED",IF(J6363&lt;&gt;"","?FAMILIAR",IF(F6363="NEW",IF(ISNA(VLOOKUP(E6363,#REF!,1,FALSE())),"?TYPE_IDENTIFIABLE","?REFERENTIAL"),"_")))))</f>
        <v> </v>
      </c>
      <c r="H6363" s="25" t="str">
        <f>IF(J6363&lt;&gt;1,"",IF(I6363="SBJ","CB","?"))</f>
        <v> </v>
      </c>
      <c r="I6363" s="26" t="str">
        <f>IF(OR(E6363="",E6363="!!!",F6363="NEW"),"",INDEX(B6362:B$2,-1+SUMPRODUCT(MAX(ROW(E6362:E$2)*(E6363=E6362:E$2)))))</f>
        <v> </v>
      </c>
      <c r="J6363" s="26" t="str">
        <f>IF(OR(E6363="",E6363="!!!",F6363="NEW"),"",COUNTBLANK(OFFSET(A$1,,,SUMPRODUCT(MAX(ROW(E$2:E6363)*(E6363=E$2:E6363)))))-COUNTBLANK(OFFSET(A$1,,,SUMPRODUCT(MAX(ROW(E$1:E6362)*(E2=E$1:E6362))))))</f>
        <v> </v>
      </c>
      <c r="K6363" s="26" t="str">
        <f>IF(OR(E6363="",E6363="!!!",F6363="NEW"),"",INDEX(J$1:J6362,SUMPRODUCT(MAX(ROW(E$1:E6362)*(E6363=E$1:E6362)))))</f>
        <v> </v>
      </c>
      <c r="L6363" s="27"/>
    </row>
    <row r="6364" spans="1:12">
      <c r="A6364" s="20" t="s">
        <v>2353</v>
      </c>
      <c r="E6364" s="22">
        <f>IF(D6364="?OLD","!!!","")</f>
        <v/>
      </c>
      <c r="F6364" s="23" t="str">
        <f>IF(OR(E6364="",E6364="!!!"),"",IF(NOT(ISNA(VLOOKUP(E6364,E$1:E6363,1,FALSE()))),"OLD",IF(AND(E6364&lt;&gt;"",E6364&lt;&gt;"!!!"),"NEW","")))</f>
        <v> </v>
      </c>
      <c r="G6364" s="24" t="str">
        <f>IF(OR(E6364="",E6364="!!!"),"",IF(OR(J6364=0,AND(J6364=1,K6364=1),AND(J6364=1,I6364="SBJ"),AND(J6364=1,I6364=0)),"?IN_FOCUS",IF(J6364&lt;=2,"?ACTIVATED",IF(J6364&lt;&gt;"","?FAMILIAR",IF(F6364="NEW",IF(ISNA(VLOOKUP(E6364,#REF!,1,FALSE())),"?TYPE_IDENTIFIABLE","?REFERENTIAL"),"_")))))</f>
        <v> </v>
      </c>
      <c r="H6364" s="25" t="str">
        <f>IF(J6364&lt;&gt;1,"",IF(I6364="SBJ","CB","?"))</f>
        <v> </v>
      </c>
      <c r="I6364" s="26" t="str">
        <f>IF(OR(E6364="",E6364="!!!",F6364="NEW"),"",INDEX(B6363:B$2,-1+SUMPRODUCT(MAX(ROW(E6363:E$2)*(E6364=E6363:E$2)))))</f>
        <v> </v>
      </c>
      <c r="J6364" s="26" t="str">
        <f>IF(OR(E6364="",E6364="!!!",F6364="NEW"),"",COUNTBLANK(OFFSET(A$1,,,SUMPRODUCT(MAX(ROW(E$2:E6364)*(E6364=E$2:E6364)))))-COUNTBLANK(OFFSET(A$1,,,SUMPRODUCT(MAX(ROW(E$1:E6363)*(E2=E$1:E6363))))))</f>
        <v> </v>
      </c>
      <c r="K6364" s="26" t="str">
        <f>IF(OR(E6364="",E6364="!!!",F6364="NEW"),"",INDEX(J$1:J6363,SUMPRODUCT(MAX(ROW(E$1:E6363)*(E6364=E$1:E6363)))))</f>
        <v> </v>
      </c>
      <c r="L6364" s="27"/>
    </row>
    <row r="6365" spans="1:12">
      <c r="A6365" s="20" t="s">
        <v>1050</v>
      </c>
      <c r="E6365" s="22">
        <f>IF(D6365="?OLD","!!!","")</f>
        <v/>
      </c>
      <c r="F6365" s="23" t="str">
        <f>IF(OR(E6365="",E6365="!!!"),"",IF(NOT(ISNA(VLOOKUP(E6365,E$1:E6364,1,FALSE()))),"OLD",IF(AND(E6365&lt;&gt;"",E6365&lt;&gt;"!!!"),"NEW","")))</f>
        <v> </v>
      </c>
      <c r="G6365" s="24" t="str">
        <f>IF(OR(E6365="",E6365="!!!"),"",IF(OR(J6365=0,AND(J6365=1,K6365=1),AND(J6365=1,I6365="SBJ"),AND(J6365=1,I6365=0)),"?IN_FOCUS",IF(J6365&lt;=2,"?ACTIVATED",IF(J6365&lt;&gt;"","?FAMILIAR",IF(F6365="NEW",IF(ISNA(VLOOKUP(E6365,#REF!,1,FALSE())),"?TYPE_IDENTIFIABLE","?REFERENTIAL"),"_")))))</f>
        <v> </v>
      </c>
      <c r="H6365" s="25" t="str">
        <f>IF(J6365&lt;&gt;1,"",IF(I6365="SBJ","CB","?"))</f>
        <v> </v>
      </c>
      <c r="I6365" s="26" t="str">
        <f>IF(OR(E6365="",E6365="!!!",F6365="NEW"),"",INDEX(B6364:B$2,-1+SUMPRODUCT(MAX(ROW(E6364:E$2)*(E6365=E6364:E$2)))))</f>
        <v> </v>
      </c>
      <c r="J6365" s="26" t="str">
        <f>IF(OR(E6365="",E6365="!!!",F6365="NEW"),"",COUNTBLANK(OFFSET(A$1,,,SUMPRODUCT(MAX(ROW(E$2:E6365)*(E6365=E$2:E6365)))))-COUNTBLANK(OFFSET(A$1,,,SUMPRODUCT(MAX(ROW(E$1:E6364)*(E2=E$1:E6364))))))</f>
        <v> </v>
      </c>
      <c r="K6365" s="26" t="str">
        <f>IF(OR(E6365="",E6365="!!!",F6365="NEW"),"",INDEX(J$1:J6364,SUMPRODUCT(MAX(ROW(E$1:E6364)*(E6365=E$1:E6364)))))</f>
        <v> </v>
      </c>
      <c r="L6365" s="27"/>
    </row>
    <row r="6366" spans="1:12">
      <c r="A6366" s="20" t="s">
        <v>2555</v>
      </c>
      <c r="B6366" s="21" t="s">
        <v>982</v>
      </c>
      <c r="C6366" s="21" t="s">
        <v>983</v>
      </c>
      <c r="E6366" s="22">
        <f>IF(D6366="?OLD","!!!","")</f>
        <v/>
      </c>
      <c r="F6366" s="23" t="str">
        <f>IF(OR(E6366="",E6366="!!!"),"",IF(NOT(ISNA(VLOOKUP(E6366,E$1:E6365,1,FALSE()))),"OLD",IF(AND(E6366&lt;&gt;"",E6366&lt;&gt;"!!!"),"NEW","")))</f>
        <v> </v>
      </c>
      <c r="G6366" s="24" t="str">
        <f>IF(OR(E6366="",E6366="!!!"),"",IF(OR(J6366=0,AND(J6366=1,K6366=1),AND(J6366=1,I6366="SBJ"),AND(J6366=1,I6366=0)),"?IN_FOCUS",IF(J6366&lt;=2,"?ACTIVATED",IF(J6366&lt;&gt;"","?FAMILIAR",IF(F6366="NEW",IF(ISNA(VLOOKUP(E6366,#REF!,1,FALSE())),"?TYPE_IDENTIFIABLE","?REFERENTIAL"),"_")))))</f>
        <v> </v>
      </c>
      <c r="H6366" s="25" t="str">
        <f>IF(J6366&lt;&gt;1,"",IF(I6366="SBJ","CB","?"))</f>
        <v> </v>
      </c>
      <c r="I6366" s="26" t="str">
        <f>IF(OR(E6366="",E6366="!!!",F6366="NEW"),"",INDEX(B6365:B$2,-1+SUMPRODUCT(MAX(ROW(E6365:E$2)*(E6366=E6365:E$2)))))</f>
        <v> </v>
      </c>
      <c r="J6366" s="26" t="str">
        <f>IF(OR(E6366="",E6366="!!!",F6366="NEW"),"",COUNTBLANK(OFFSET(A$1,,,SUMPRODUCT(MAX(ROW(E$2:E6366)*(E6366=E$2:E6366)))))-COUNTBLANK(OFFSET(A$1,,,SUMPRODUCT(MAX(ROW(E$1:E6365)*(E2=E$1:E6365))))))</f>
        <v> </v>
      </c>
      <c r="K6366" s="26" t="str">
        <f>IF(OR(E6366="",E6366="!!!",F6366="NEW"),"",INDEX(J$1:J6365,SUMPRODUCT(MAX(ROW(E$1:E6365)*(E6366=E$1:E6365)))))</f>
        <v> </v>
      </c>
      <c r="L6366" s="27"/>
    </row>
    <row r="6367" spans="1:12">
      <c r="A6367" s="20" t="s">
        <v>2031</v>
      </c>
      <c r="E6367" s="22">
        <f>IF(D6367="?OLD","!!!","")</f>
        <v/>
      </c>
      <c r="F6367" s="23" t="str">
        <f>IF(OR(E6367="",E6367="!!!"),"",IF(NOT(ISNA(VLOOKUP(E6367,E$1:E6366,1,FALSE()))),"OLD",IF(AND(E6367&lt;&gt;"",E6367&lt;&gt;"!!!"),"NEW","")))</f>
        <v> </v>
      </c>
      <c r="G6367" s="24" t="str">
        <f>IF(OR(E6367="",E6367="!!!"),"",IF(OR(J6367=0,AND(J6367=1,K6367=1),AND(J6367=1,I6367="SBJ"),AND(J6367=1,I6367=0)),"?IN_FOCUS",IF(J6367&lt;=2,"?ACTIVATED",IF(J6367&lt;&gt;"","?FAMILIAR",IF(F6367="NEW",IF(ISNA(VLOOKUP(E6367,#REF!,1,FALSE())),"?TYPE_IDENTIFIABLE","?REFERENTIAL"),"_")))))</f>
        <v> </v>
      </c>
      <c r="H6367" s="25" t="str">
        <f>IF(J6367&lt;&gt;1,"",IF(I6367="SBJ","CB","?"))</f>
        <v> </v>
      </c>
      <c r="I6367" s="26" t="str">
        <f>IF(OR(E6367="",E6367="!!!",F6367="NEW"),"",INDEX(B6366:B$2,-1+SUMPRODUCT(MAX(ROW(E6366:E$2)*(E6367=E6366:E$2)))))</f>
        <v> </v>
      </c>
      <c r="J6367" s="26" t="str">
        <f>IF(OR(E6367="",E6367="!!!",F6367="NEW"),"",COUNTBLANK(OFFSET(A$1,,,SUMPRODUCT(MAX(ROW(E$2:E6367)*(E6367=E$2:E6367)))))-COUNTBLANK(OFFSET(A$1,,,SUMPRODUCT(MAX(ROW(E$1:E6366)*(E2=E$1:E6366))))))</f>
        <v> </v>
      </c>
      <c r="K6367" s="26" t="str">
        <f>IF(OR(E6367="",E6367="!!!",F6367="NEW"),"",INDEX(J$1:J6366,SUMPRODUCT(MAX(ROW(E$1:E6366)*(E6367=E$1:E6366)))))</f>
        <v> </v>
      </c>
      <c r="L6367" s="27"/>
    </row>
    <row r="6368" spans="1:12">
      <c r="A6368" s="20" t="s">
        <v>1047</v>
      </c>
      <c r="B6368" s="21" t="s">
        <v>1066</v>
      </c>
      <c r="C6368" s="21" t="s">
        <v>977</v>
      </c>
      <c r="D6368" s="21" t="s">
        <v>978</v>
      </c>
      <c r="E6368" s="22">
        <f>IF(D6368="?OLD","!!!","")</f>
        <v/>
      </c>
      <c r="F6368" s="23" t="str">
        <f>IF(OR(E6368="",E6368="!!!"),"",IF(NOT(ISNA(VLOOKUP(E6368,E$1:E6367,1,FALSE()))),"OLD",IF(AND(E6368&lt;&gt;"",E6368&lt;&gt;"!!!"),"NEW","")))</f>
        <v> </v>
      </c>
      <c r="G6368" s="24" t="str">
        <f>IF(OR(E6368="",E6368="!!!"),"",IF(OR(J6368=0,AND(J6368=1,K6368=1),AND(J6368=1,I6368="SBJ"),AND(J6368=1,I6368=0)),"?IN_FOCUS",IF(J6368&lt;=2,"?ACTIVATED",IF(J6368&lt;&gt;"","?FAMILIAR",IF(F6368="NEW",IF(ISNA(VLOOKUP(E6368,#REF!,1,FALSE())),"?TYPE_IDENTIFIABLE","?REFERENTIAL"),"_")))))</f>
        <v> </v>
      </c>
      <c r="H6368" s="25" t="str">
        <f>IF(J6368&lt;&gt;1,"",IF(I6368="SBJ","CB","?"))</f>
        <v> </v>
      </c>
      <c r="I6368" s="26" t="str">
        <f>IF(OR(E6368="",E6368="!!!",F6368="NEW"),"",INDEX(B6367:B$2,-1+SUMPRODUCT(MAX(ROW(E6367:E$2)*(E6368=E6367:E$2)))))</f>
        <v> </v>
      </c>
      <c r="J6368" s="26" t="str">
        <f>IF(OR(E6368="",E6368="!!!",F6368="NEW"),"",COUNTBLANK(OFFSET(A$1,,,SUMPRODUCT(MAX(ROW(E$2:E6368)*(E6368=E$2:E6368)))))-COUNTBLANK(OFFSET(A$1,,,SUMPRODUCT(MAX(ROW(E$1:E6367)*(E2=E$1:E6367))))))</f>
        <v> </v>
      </c>
      <c r="K6368" s="26" t="str">
        <f>IF(OR(E6368="",E6368="!!!",F6368="NEW"),"",INDEX(J$1:J6367,SUMPRODUCT(MAX(ROW(E$1:E6367)*(E6368=E$1:E6367)))))</f>
        <v> </v>
      </c>
      <c r="L6368" s="27"/>
    </row>
    <row r="6369" spans="1:12">
      <c r="A6369" s="20" t="s">
        <v>1072</v>
      </c>
      <c r="E6369" s="22">
        <f>IF(D6369="?OLD","!!!","")</f>
        <v/>
      </c>
      <c r="F6369" s="23" t="str">
        <f>IF(OR(E6369="",E6369="!!!"),"",IF(NOT(ISNA(VLOOKUP(E6369,E$1:E6368,1,FALSE()))),"OLD",IF(AND(E6369&lt;&gt;"",E6369&lt;&gt;"!!!"),"NEW","")))</f>
        <v> </v>
      </c>
      <c r="G6369" s="24" t="str">
        <f>IF(OR(E6369="",E6369="!!!"),"",IF(OR(J6369=0,AND(J6369=1,K6369=1),AND(J6369=1,I6369="SBJ"),AND(J6369=1,I6369=0)),"?IN_FOCUS",IF(J6369&lt;=2,"?ACTIVATED",IF(J6369&lt;&gt;"","?FAMILIAR",IF(F6369="NEW",IF(ISNA(VLOOKUP(E6369,#REF!,1,FALSE())),"?TYPE_IDENTIFIABLE","?REFERENTIAL"),"_")))))</f>
        <v> </v>
      </c>
      <c r="H6369" s="25" t="str">
        <f>IF(J6369&lt;&gt;1,"",IF(I6369="SBJ","CB","?"))</f>
        <v> </v>
      </c>
      <c r="I6369" s="26" t="str">
        <f>IF(OR(E6369="",E6369="!!!",F6369="NEW"),"",INDEX(B6368:B$2,-1+SUMPRODUCT(MAX(ROW(E6368:E$2)*(E6369=E6368:E$2)))))</f>
        <v> </v>
      </c>
      <c r="J6369" s="26" t="str">
        <f>IF(OR(E6369="",E6369="!!!",F6369="NEW"),"",COUNTBLANK(OFFSET(A$1,,,SUMPRODUCT(MAX(ROW(E$2:E6369)*(E6369=E$2:E6369)))))-COUNTBLANK(OFFSET(A$1,,,SUMPRODUCT(MAX(ROW(E$1:E6368)*(E2=E$1:E6368))))))</f>
        <v> </v>
      </c>
      <c r="K6369" s="26" t="str">
        <f>IF(OR(E6369="",E6369="!!!",F6369="NEW"),"",INDEX(J$1:J6368,SUMPRODUCT(MAX(ROW(E$1:E6368)*(E6369=E$1:E6368)))))</f>
        <v> </v>
      </c>
      <c r="L6369" s="27"/>
    </row>
    <row r="6370" spans="1:12">
      <c r="A6370" s="20" t="s">
        <v>1185</v>
      </c>
      <c r="E6370" s="22">
        <f>IF(D6370="?OLD","!!!","")</f>
        <v/>
      </c>
      <c r="F6370" s="23" t="str">
        <f>IF(OR(E6370="",E6370="!!!"),"",IF(NOT(ISNA(VLOOKUP(E6370,E$1:E6369,1,FALSE()))),"OLD",IF(AND(E6370&lt;&gt;"",E6370&lt;&gt;"!!!"),"NEW","")))</f>
        <v> </v>
      </c>
      <c r="G6370" s="24" t="str">
        <f>IF(OR(E6370="",E6370="!!!"),"",IF(OR(J6370=0,AND(J6370=1,K6370=1),AND(J6370=1,I6370="SBJ"),AND(J6370=1,I6370=0)),"?IN_FOCUS",IF(J6370&lt;=2,"?ACTIVATED",IF(J6370&lt;&gt;"","?FAMILIAR",IF(F6370="NEW",IF(ISNA(VLOOKUP(E6370,#REF!,1,FALSE())),"?TYPE_IDENTIFIABLE","?REFERENTIAL"),"_")))))</f>
        <v> </v>
      </c>
      <c r="H6370" s="25" t="str">
        <f>IF(J6370&lt;&gt;1,"",IF(I6370="SBJ","CB","?"))</f>
        <v> </v>
      </c>
      <c r="I6370" s="26" t="str">
        <f>IF(OR(E6370="",E6370="!!!",F6370="NEW"),"",INDEX(B6369:B$2,-1+SUMPRODUCT(MAX(ROW(E6369:E$2)*(E6370=E6369:E$2)))))</f>
        <v> </v>
      </c>
      <c r="J6370" s="26" t="str">
        <f>IF(OR(E6370="",E6370="!!!",F6370="NEW"),"",COUNTBLANK(OFFSET(A$1,,,SUMPRODUCT(MAX(ROW(E$2:E6370)*(E6370=E$2:E6370)))))-COUNTBLANK(OFFSET(A$1,,,SUMPRODUCT(MAX(ROW(E$1:E6369)*(E2=E$1:E6369))))))</f>
        <v> </v>
      </c>
      <c r="K6370" s="26" t="str">
        <f>IF(OR(E6370="",E6370="!!!",F6370="NEW"),"",INDEX(J$1:J6369,SUMPRODUCT(MAX(ROW(E$1:E6369)*(E6370=E$1:E6369)))))</f>
        <v> </v>
      </c>
      <c r="L6370" s="27"/>
    </row>
    <row r="6371" spans="1:12">
      <c r="A6371" s="20" t="s">
        <v>1189</v>
      </c>
      <c r="E6371" s="22">
        <f>IF(D6371="?OLD","!!!","")</f>
        <v/>
      </c>
      <c r="F6371" s="23" t="str">
        <f>IF(OR(E6371="",E6371="!!!"),"",IF(NOT(ISNA(VLOOKUP(E6371,E$1:E6370,1,FALSE()))),"OLD",IF(AND(E6371&lt;&gt;"",E6371&lt;&gt;"!!!"),"NEW","")))</f>
        <v> </v>
      </c>
      <c r="G6371" s="24" t="str">
        <f>IF(OR(E6371="",E6371="!!!"),"",IF(OR(J6371=0,AND(J6371=1,K6371=1),AND(J6371=1,I6371="SBJ"),AND(J6371=1,I6371=0)),"?IN_FOCUS",IF(J6371&lt;=2,"?ACTIVATED",IF(J6371&lt;&gt;"","?FAMILIAR",IF(F6371="NEW",IF(ISNA(VLOOKUP(E6371,#REF!,1,FALSE())),"?TYPE_IDENTIFIABLE","?REFERENTIAL"),"_")))))</f>
        <v> </v>
      </c>
      <c r="H6371" s="25" t="str">
        <f>IF(J6371&lt;&gt;1,"",IF(I6371="SBJ","CB","?"))</f>
        <v> </v>
      </c>
      <c r="I6371" s="26" t="str">
        <f>IF(OR(E6371="",E6371="!!!",F6371="NEW"),"",INDEX(B6370:B$2,-1+SUMPRODUCT(MAX(ROW(E6370:E$2)*(E6371=E6370:E$2)))))</f>
        <v> </v>
      </c>
      <c r="J6371" s="26" t="str">
        <f>IF(OR(E6371="",E6371="!!!",F6371="NEW"),"",COUNTBLANK(OFFSET(A$1,,,SUMPRODUCT(MAX(ROW(E$2:E6371)*(E6371=E$2:E6371)))))-COUNTBLANK(OFFSET(A$1,,,SUMPRODUCT(MAX(ROW(E$1:E6370)*(E2=E$1:E6370))))))</f>
        <v> </v>
      </c>
      <c r="K6371" s="26" t="str">
        <f>IF(OR(E6371="",E6371="!!!",F6371="NEW"),"",INDEX(J$1:J6370,SUMPRODUCT(MAX(ROW(E$1:E6370)*(E6371=E$1:E6370)))))</f>
        <v> </v>
      </c>
      <c r="L6371" s="27"/>
    </row>
    <row r="6372" spans="1:12">
      <c r="A6372" s="20" t="s">
        <v>996</v>
      </c>
      <c r="E6372" s="22">
        <f>IF(D6372="?OLD","!!!","")</f>
        <v/>
      </c>
      <c r="F6372" s="23" t="str">
        <f>IF(OR(E6372="",E6372="!!!"),"",IF(NOT(ISNA(VLOOKUP(E6372,E$1:E6371,1,FALSE()))),"OLD",IF(AND(E6372&lt;&gt;"",E6372&lt;&gt;"!!!"),"NEW","")))</f>
        <v> </v>
      </c>
      <c r="G6372" s="24" t="str">
        <f>IF(OR(E6372="",E6372="!!!"),"",IF(OR(J6372=0,AND(J6372=1,K6372=1),AND(J6372=1,I6372="SBJ"),AND(J6372=1,I6372=0)),"?IN_FOCUS",IF(J6372&lt;=2,"?ACTIVATED",IF(J6372&lt;&gt;"","?FAMILIAR",IF(F6372="NEW",IF(ISNA(VLOOKUP(E6372,#REF!,1,FALSE())),"?TYPE_IDENTIFIABLE","?REFERENTIAL"),"_")))))</f>
        <v> </v>
      </c>
      <c r="H6372" s="25" t="str">
        <f>IF(J6372&lt;&gt;1,"",IF(I6372="SBJ","CB","?"))</f>
        <v> </v>
      </c>
      <c r="I6372" s="26" t="str">
        <f>IF(OR(E6372="",E6372="!!!",F6372="NEW"),"",INDEX(B6371:B$2,-1+SUMPRODUCT(MAX(ROW(E6371:E$2)*(E6372=E6371:E$2)))))</f>
        <v> </v>
      </c>
      <c r="J6372" s="26" t="str">
        <f>IF(OR(E6372="",E6372="!!!",F6372="NEW"),"",COUNTBLANK(OFFSET(A$1,,,SUMPRODUCT(MAX(ROW(E$2:E6372)*(E6372=E$2:E6372)))))-COUNTBLANK(OFFSET(A$1,,,SUMPRODUCT(MAX(ROW(E$1:E6371)*(E2=E$1:E6371))))))</f>
        <v> </v>
      </c>
      <c r="K6372" s="26" t="str">
        <f>IF(OR(E6372="",E6372="!!!",F6372="NEW"),"",INDEX(J$1:J6371,SUMPRODUCT(MAX(ROW(E$1:E6371)*(E6372=E$1:E6371)))))</f>
        <v> </v>
      </c>
      <c r="L6372" s="27"/>
    </row>
    <row r="6373" spans="1:12">
      <c r="A6373" s="20" t="s">
        <v>2544</v>
      </c>
      <c r="B6373" s="21" t="s">
        <v>1054</v>
      </c>
      <c r="C6373" s="21" t="s">
        <v>1116</v>
      </c>
      <c r="D6373" s="21" t="s">
        <v>978</v>
      </c>
      <c r="E6373" s="22">
        <f>IF(D6373="?OLD","!!!","")</f>
        <v/>
      </c>
      <c r="F6373" s="23" t="str">
        <f>IF(OR(E6373="",E6373="!!!"),"",IF(NOT(ISNA(VLOOKUP(E6373,E$1:E6372,1,FALSE()))),"OLD",IF(AND(E6373&lt;&gt;"",E6373&lt;&gt;"!!!"),"NEW","")))</f>
        <v> </v>
      </c>
      <c r="G6373" s="24" t="str">
        <f>IF(OR(E6373="",E6373="!!!"),"",IF(OR(J6373=0,AND(J6373=1,K6373=1),AND(J6373=1,I6373="SBJ"),AND(J6373=1,I6373=0)),"?IN_FOCUS",IF(J6373&lt;=2,"?ACTIVATED",IF(J6373&lt;&gt;"","?FAMILIAR",IF(F6373="NEW",IF(ISNA(VLOOKUP(E6373,#REF!,1,FALSE())),"?TYPE_IDENTIFIABLE","?REFERENTIAL"),"_")))))</f>
        <v> </v>
      </c>
      <c r="H6373" s="25" t="str">
        <f>IF(J6373&lt;&gt;1,"",IF(I6373="SBJ","CB","?"))</f>
        <v> </v>
      </c>
      <c r="I6373" s="26" t="str">
        <f>IF(OR(E6373="",E6373="!!!",F6373="NEW"),"",INDEX(B6372:B$2,-1+SUMPRODUCT(MAX(ROW(E6372:E$2)*(E6373=E6372:E$2)))))</f>
        <v> </v>
      </c>
      <c r="J6373" s="26" t="str">
        <f>IF(OR(E6373="",E6373="!!!",F6373="NEW"),"",COUNTBLANK(OFFSET(A$1,,,SUMPRODUCT(MAX(ROW(E$2:E6373)*(E6373=E$2:E6373)))))-COUNTBLANK(OFFSET(A$1,,,SUMPRODUCT(MAX(ROW(E$1:E6372)*(E2=E$1:E6372))))))</f>
        <v> </v>
      </c>
      <c r="K6373" s="26" t="str">
        <f>IF(OR(E6373="",E6373="!!!",F6373="NEW"),"",INDEX(J$1:J6372,SUMPRODUCT(MAX(ROW(E$1:E6372)*(E6373=E$1:E6372)))))</f>
        <v> </v>
      </c>
      <c r="L6373" s="27"/>
    </row>
    <row r="6374" spans="1:12">
      <c r="A6374" s="20" t="s">
        <v>1000</v>
      </c>
      <c r="E6374" s="22">
        <f>IF(D6374="?OLD","!!!","")</f>
        <v/>
      </c>
      <c r="F6374" s="23" t="str">
        <f>IF(OR(E6374="",E6374="!!!"),"",IF(NOT(ISNA(VLOOKUP(E6374,E$1:E6373,1,FALSE()))),"OLD",IF(AND(E6374&lt;&gt;"",E6374&lt;&gt;"!!!"),"NEW","")))</f>
        <v> </v>
      </c>
      <c r="G6374" s="24" t="str">
        <f>IF(OR(E6374="",E6374="!!!"),"",IF(OR(J6374=0,AND(J6374=1,K6374=1),AND(J6374=1,I6374="SBJ"),AND(J6374=1,I6374=0)),"?IN_FOCUS",IF(J6374&lt;=2,"?ACTIVATED",IF(J6374&lt;&gt;"","?FAMILIAR",IF(F6374="NEW",IF(ISNA(VLOOKUP(E6374,#REF!,1,FALSE())),"?TYPE_IDENTIFIABLE","?REFERENTIAL"),"_")))))</f>
        <v> </v>
      </c>
      <c r="H6374" s="25" t="str">
        <f>IF(J6374&lt;&gt;1,"",IF(I6374="SBJ","CB","?"))</f>
        <v> </v>
      </c>
      <c r="I6374" s="26" t="str">
        <f>IF(OR(E6374="",E6374="!!!",F6374="NEW"),"",INDEX(B6373:B$2,-1+SUMPRODUCT(MAX(ROW(E6373:E$2)*(E6374=E6373:E$2)))))</f>
        <v> </v>
      </c>
      <c r="J6374" s="26" t="str">
        <f>IF(OR(E6374="",E6374="!!!",F6374="NEW"),"",COUNTBLANK(OFFSET(A$1,,,SUMPRODUCT(MAX(ROW(E$2:E6374)*(E6374=E$2:E6374)))))-COUNTBLANK(OFFSET(A$1,,,SUMPRODUCT(MAX(ROW(E$1:E6373)*(E2=E$1:E6373))))))</f>
        <v> </v>
      </c>
      <c r="K6374" s="26" t="str">
        <f>IF(OR(E6374="",E6374="!!!",F6374="NEW"),"",INDEX(J$1:J6373,SUMPRODUCT(MAX(ROW(E$1:E6373)*(E6374=E$1:E6373)))))</f>
        <v> </v>
      </c>
      <c r="L6374" s="27"/>
    </row>
    <row r="6375" spans="1:12">
      <c r="A6375" s="20" t="s">
        <v>1047</v>
      </c>
      <c r="B6375" s="21" t="s">
        <v>1035</v>
      </c>
      <c r="C6375" s="21" t="s">
        <v>977</v>
      </c>
      <c r="D6375" s="21" t="s">
        <v>978</v>
      </c>
      <c r="E6375" s="22">
        <f>IF(D6375="?OLD","!!!","")</f>
        <v/>
      </c>
      <c r="F6375" s="23" t="str">
        <f>IF(OR(E6375="",E6375="!!!"),"",IF(NOT(ISNA(VLOOKUP(E6375,E$1:E6374,1,FALSE()))),"OLD",IF(AND(E6375&lt;&gt;"",E6375&lt;&gt;"!!!"),"NEW","")))</f>
        <v> </v>
      </c>
      <c r="G6375" s="24" t="str">
        <f>IF(OR(E6375="",E6375="!!!"),"",IF(OR(J6375=0,AND(J6375=1,K6375=1),AND(J6375=1,I6375="SBJ"),AND(J6375=1,I6375=0)),"?IN_FOCUS",IF(J6375&lt;=2,"?ACTIVATED",IF(J6375&lt;&gt;"","?FAMILIAR",IF(F6375="NEW",IF(ISNA(VLOOKUP(E6375,#REF!,1,FALSE())),"?TYPE_IDENTIFIABLE","?REFERENTIAL"),"_")))))</f>
        <v> </v>
      </c>
      <c r="H6375" s="25" t="str">
        <f>IF(J6375&lt;&gt;1,"",IF(I6375="SBJ","CB","?"))</f>
        <v> </v>
      </c>
      <c r="I6375" s="26" t="str">
        <f>IF(OR(E6375="",E6375="!!!",F6375="NEW"),"",INDEX(B6374:B$2,-1+SUMPRODUCT(MAX(ROW(E6374:E$2)*(E6375=E6374:E$2)))))</f>
        <v> </v>
      </c>
      <c r="J6375" s="26" t="str">
        <f>IF(OR(E6375="",E6375="!!!",F6375="NEW"),"",COUNTBLANK(OFFSET(A$1,,,SUMPRODUCT(MAX(ROW(E$2:E6375)*(E6375=E$2:E6375)))))-COUNTBLANK(OFFSET(A$1,,,SUMPRODUCT(MAX(ROW(E$1:E6374)*(E2=E$1:E6374))))))</f>
        <v> </v>
      </c>
      <c r="K6375" s="26" t="str">
        <f>IF(OR(E6375="",E6375="!!!",F6375="NEW"),"",INDEX(J$1:J6374,SUMPRODUCT(MAX(ROW(E$1:E6374)*(E6375=E$1:E6374)))))</f>
        <v> </v>
      </c>
      <c r="L6375" s="27"/>
    </row>
    <row r="6376" spans="1:12">
      <c r="A6376" s="20" t="s">
        <v>1116</v>
      </c>
      <c r="E6376" s="22">
        <f>IF(D6376="?OLD","!!!","")</f>
        <v/>
      </c>
      <c r="F6376" s="23" t="str">
        <f>IF(OR(E6376="",E6376="!!!"),"",IF(NOT(ISNA(VLOOKUP(E6376,E$1:E6375,1,FALSE()))),"OLD",IF(AND(E6376&lt;&gt;"",E6376&lt;&gt;"!!!"),"NEW","")))</f>
        <v> </v>
      </c>
      <c r="G6376" s="24" t="str">
        <f>IF(OR(E6376="",E6376="!!!"),"",IF(OR(J6376=0,AND(J6376=1,K6376=1),AND(J6376=1,I6376="SBJ"),AND(J6376=1,I6376=0)),"?IN_FOCUS",IF(J6376&lt;=2,"?ACTIVATED",IF(J6376&lt;&gt;"","?FAMILIAR",IF(F6376="NEW",IF(ISNA(VLOOKUP(E6376,#REF!,1,FALSE())),"?TYPE_IDENTIFIABLE","?REFERENTIAL"),"_")))))</f>
        <v> </v>
      </c>
      <c r="H6376" s="25" t="str">
        <f>IF(J6376&lt;&gt;1,"",IF(I6376="SBJ","CB","?"))</f>
        <v> </v>
      </c>
      <c r="I6376" s="26" t="str">
        <f>IF(OR(E6376="",E6376="!!!",F6376="NEW"),"",INDEX(B6375:B$2,-1+SUMPRODUCT(MAX(ROW(E6375:E$2)*(E6376=E6375:E$2)))))</f>
        <v> </v>
      </c>
      <c r="J6376" s="26" t="str">
        <f>IF(OR(E6376="",E6376="!!!",F6376="NEW"),"",COUNTBLANK(OFFSET(A$1,,,SUMPRODUCT(MAX(ROW(E$2:E6376)*(E6376=E$2:E6376)))))-COUNTBLANK(OFFSET(A$1,,,SUMPRODUCT(MAX(ROW(E$1:E6375)*(E2=E$1:E6375))))))</f>
        <v> </v>
      </c>
      <c r="K6376" s="26" t="str">
        <f>IF(OR(E6376="",E6376="!!!",F6376="NEW"),"",INDEX(J$1:J6375,SUMPRODUCT(MAX(ROW(E$1:E6375)*(E6376=E$1:E6375)))))</f>
        <v> </v>
      </c>
      <c r="L6376" s="27"/>
    </row>
    <row r="6377" spans="1:12">
      <c r="A6377" s="20" t="s">
        <v>2556</v>
      </c>
      <c r="E6377" s="22">
        <f>IF(D6377="?OLD","!!!","")</f>
        <v/>
      </c>
      <c r="F6377" s="23" t="str">
        <f>IF(OR(E6377="",E6377="!!!"),"",IF(NOT(ISNA(VLOOKUP(E6377,E$1:E6376,1,FALSE()))),"OLD",IF(AND(E6377&lt;&gt;"",E6377&lt;&gt;"!!!"),"NEW","")))</f>
        <v> </v>
      </c>
      <c r="G6377" s="24" t="str">
        <f>IF(OR(E6377="",E6377="!!!"),"",IF(OR(J6377=0,AND(J6377=1,K6377=1),AND(J6377=1,I6377="SBJ"),AND(J6377=1,I6377=0)),"?IN_FOCUS",IF(J6377&lt;=2,"?ACTIVATED",IF(J6377&lt;&gt;"","?FAMILIAR",IF(F6377="NEW",IF(ISNA(VLOOKUP(E6377,#REF!,1,FALSE())),"?TYPE_IDENTIFIABLE","?REFERENTIAL"),"_")))))</f>
        <v> </v>
      </c>
      <c r="H6377" s="25" t="str">
        <f>IF(J6377&lt;&gt;1,"",IF(I6377="SBJ","CB","?"))</f>
        <v> </v>
      </c>
      <c r="I6377" s="26" t="str">
        <f>IF(OR(E6377="",E6377="!!!",F6377="NEW"),"",INDEX(B6376:B$2,-1+SUMPRODUCT(MAX(ROW(E6376:E$2)*(E6377=E6376:E$2)))))</f>
        <v> </v>
      </c>
      <c r="J6377" s="26" t="str">
        <f>IF(OR(E6377="",E6377="!!!",F6377="NEW"),"",COUNTBLANK(OFFSET(A$1,,,SUMPRODUCT(MAX(ROW(E$2:E6377)*(E6377=E$2:E6377)))))-COUNTBLANK(OFFSET(A$1,,,SUMPRODUCT(MAX(ROW(E$1:E6376)*(E2=E$1:E6376))))))</f>
        <v> </v>
      </c>
      <c r="K6377" s="26" t="str">
        <f>IF(OR(E6377="",E6377="!!!",F6377="NEW"),"",INDEX(J$1:J6376,SUMPRODUCT(MAX(ROW(E$1:E6376)*(E6377=E$1:E6376)))))</f>
        <v> </v>
      </c>
      <c r="L6377" s="27"/>
    </row>
    <row r="6378" spans="1:12">
      <c r="A6378" s="20" t="s">
        <v>1189</v>
      </c>
      <c r="E6378" s="22">
        <f>IF(D6378="?OLD","!!!","")</f>
        <v/>
      </c>
      <c r="F6378" s="23" t="str">
        <f>IF(OR(E6378="",E6378="!!!"),"",IF(NOT(ISNA(VLOOKUP(E6378,E$1:E6377,1,FALSE()))),"OLD",IF(AND(E6378&lt;&gt;"",E6378&lt;&gt;"!!!"),"NEW","")))</f>
        <v> </v>
      </c>
      <c r="G6378" s="24" t="str">
        <f>IF(OR(E6378="",E6378="!!!"),"",IF(OR(J6378=0,AND(J6378=1,K6378=1),AND(J6378=1,I6378="SBJ"),AND(J6378=1,I6378=0)),"?IN_FOCUS",IF(J6378&lt;=2,"?ACTIVATED",IF(J6378&lt;&gt;"","?FAMILIAR",IF(F6378="NEW",IF(ISNA(VLOOKUP(E6378,#REF!,1,FALSE())),"?TYPE_IDENTIFIABLE","?REFERENTIAL"),"_")))))</f>
        <v> </v>
      </c>
      <c r="H6378" s="25" t="str">
        <f>IF(J6378&lt;&gt;1,"",IF(I6378="SBJ","CB","?"))</f>
        <v> </v>
      </c>
      <c r="I6378" s="26" t="str">
        <f>IF(OR(E6378="",E6378="!!!",F6378="NEW"),"",INDEX(B6377:B$2,-1+SUMPRODUCT(MAX(ROW(E6377:E$2)*(E6378=E6377:E$2)))))</f>
        <v> </v>
      </c>
      <c r="J6378" s="26" t="str">
        <f>IF(OR(E6378="",E6378="!!!",F6378="NEW"),"",COUNTBLANK(OFFSET(A$1,,,SUMPRODUCT(MAX(ROW(E$2:E6378)*(E6378=E$2:E6378)))))-COUNTBLANK(OFFSET(A$1,,,SUMPRODUCT(MAX(ROW(E$1:E6377)*(E2=E$1:E6377))))))</f>
        <v> </v>
      </c>
      <c r="K6378" s="26" t="str">
        <f>IF(OR(E6378="",E6378="!!!",F6378="NEW"),"",INDEX(J$1:J6377,SUMPRODUCT(MAX(ROW(E$1:E6377)*(E6378=E$1:E6377)))))</f>
        <v> </v>
      </c>
      <c r="L6378" s="27"/>
    </row>
    <row r="6379" spans="1:12">
      <c r="A6379" s="20" t="s">
        <v>1002</v>
      </c>
      <c r="E6379" s="22">
        <f>IF(D6379="?OLD","!!!","")</f>
        <v/>
      </c>
      <c r="F6379" s="23" t="str">
        <f>IF(OR(E6379="",E6379="!!!"),"",IF(NOT(ISNA(VLOOKUP(E6379,E$1:E6378,1,FALSE()))),"OLD",IF(AND(E6379&lt;&gt;"",E6379&lt;&gt;"!!!"),"NEW","")))</f>
        <v> </v>
      </c>
      <c r="G6379" s="24" t="str">
        <f>IF(OR(E6379="",E6379="!!!"),"",IF(OR(J6379=0,AND(J6379=1,K6379=1),AND(J6379=1,I6379="SBJ"),AND(J6379=1,I6379=0)),"?IN_FOCUS",IF(J6379&lt;=2,"?ACTIVATED",IF(J6379&lt;&gt;"","?FAMILIAR",IF(F6379="NEW",IF(ISNA(VLOOKUP(E6379,#REF!,1,FALSE())),"?TYPE_IDENTIFIABLE","?REFERENTIAL"),"_")))))</f>
        <v> </v>
      </c>
      <c r="H6379" s="25" t="str">
        <f>IF(J6379&lt;&gt;1,"",IF(I6379="SBJ","CB","?"))</f>
        <v> </v>
      </c>
      <c r="I6379" s="26" t="str">
        <f>IF(OR(E6379="",E6379="!!!",F6379="NEW"),"",INDEX(B6378:B$2,-1+SUMPRODUCT(MAX(ROW(E6378:E$2)*(E6379=E6378:E$2)))))</f>
        <v> </v>
      </c>
      <c r="J6379" s="26" t="str">
        <f>IF(OR(E6379="",E6379="!!!",F6379="NEW"),"",COUNTBLANK(OFFSET(A$1,,,SUMPRODUCT(MAX(ROW(E$2:E6379)*(E6379=E$2:E6379)))))-COUNTBLANK(OFFSET(A$1,,,SUMPRODUCT(MAX(ROW(E$1:E6378)*(E2=E$1:E6378))))))</f>
        <v> </v>
      </c>
      <c r="K6379" s="26" t="str">
        <f>IF(OR(E6379="",E6379="!!!",F6379="NEW"),"",INDEX(J$1:J6378,SUMPRODUCT(MAX(ROW(E$1:E6378)*(E6379=E$1:E6378)))))</f>
        <v> </v>
      </c>
      <c r="L6379" s="27"/>
    </row>
    <row r="6380" spans="1:12">
      <c r="A6380" s="20" t="s">
        <v>1194</v>
      </c>
      <c r="E6380" s="22">
        <f>IF(D6380="?OLD","!!!","")</f>
        <v/>
      </c>
      <c r="F6380" s="23" t="str">
        <f>IF(OR(E6380="",E6380="!!!"),"",IF(NOT(ISNA(VLOOKUP(E6380,E$1:E6379,1,FALSE()))),"OLD",IF(AND(E6380&lt;&gt;"",E6380&lt;&gt;"!!!"),"NEW","")))</f>
        <v> </v>
      </c>
      <c r="G6380" s="24" t="str">
        <f>IF(OR(E6380="",E6380="!!!"),"",IF(OR(J6380=0,AND(J6380=1,K6380=1),AND(J6380=1,I6380="SBJ"),AND(J6380=1,I6380=0)),"?IN_FOCUS",IF(J6380&lt;=2,"?ACTIVATED",IF(J6380&lt;&gt;"","?FAMILIAR",IF(F6380="NEW",IF(ISNA(VLOOKUP(E6380,#REF!,1,FALSE())),"?TYPE_IDENTIFIABLE","?REFERENTIAL"),"_")))))</f>
        <v> </v>
      </c>
      <c r="H6380" s="25" t="str">
        <f>IF(J6380&lt;&gt;1,"",IF(I6380="SBJ","CB","?"))</f>
        <v> </v>
      </c>
      <c r="I6380" s="26" t="str">
        <f>IF(OR(E6380="",E6380="!!!",F6380="NEW"),"",INDEX(B6379:B$2,-1+SUMPRODUCT(MAX(ROW(E6379:E$2)*(E6380=E6379:E$2)))))</f>
        <v> </v>
      </c>
      <c r="J6380" s="26" t="str">
        <f>IF(OR(E6380="",E6380="!!!",F6380="NEW"),"",COUNTBLANK(OFFSET(A$1,,,SUMPRODUCT(MAX(ROW(E$2:E6380)*(E6380=E$2:E6380)))))-COUNTBLANK(OFFSET(A$1,,,SUMPRODUCT(MAX(ROW(E$1:E6379)*(E2=E$1:E6379))))))</f>
        <v> </v>
      </c>
      <c r="K6380" s="26" t="str">
        <f>IF(OR(E6380="",E6380="!!!",F6380="NEW"),"",INDEX(J$1:J6379,SUMPRODUCT(MAX(ROW(E$1:E6379)*(E6380=E$1:E6379)))))</f>
        <v> </v>
      </c>
      <c r="L6380" s="27"/>
    </row>
    <row r="6381" spans="1:12">
      <c r="A6381" s="20" t="s">
        <v>1154</v>
      </c>
      <c r="B6381" s="21" t="s">
        <v>1095</v>
      </c>
      <c r="C6381" s="21" t="s">
        <v>977</v>
      </c>
      <c r="D6381" s="21" t="s">
        <v>978</v>
      </c>
      <c r="E6381" s="22">
        <f>IF(D6381="?OLD","!!!","")</f>
        <v/>
      </c>
      <c r="F6381" s="23" t="str">
        <f>IF(OR(E6381="",E6381="!!!"),"",IF(NOT(ISNA(VLOOKUP(E6381,E$1:E6380,1,FALSE()))),"OLD",IF(AND(E6381&lt;&gt;"",E6381&lt;&gt;"!!!"),"NEW","")))</f>
        <v> </v>
      </c>
      <c r="G6381" s="24" t="str">
        <f>IF(OR(E6381="",E6381="!!!"),"",IF(OR(J6381=0,AND(J6381=1,K6381=1),AND(J6381=1,I6381="SBJ"),AND(J6381=1,I6381=0)),"?IN_FOCUS",IF(J6381&lt;=2,"?ACTIVATED",IF(J6381&lt;&gt;"","?FAMILIAR",IF(F6381="NEW",IF(ISNA(VLOOKUP(E6381,#REF!,1,FALSE())),"?TYPE_IDENTIFIABLE","?REFERENTIAL"),"_")))))</f>
        <v> </v>
      </c>
      <c r="H6381" s="25" t="str">
        <f>IF(J6381&lt;&gt;1,"",IF(I6381="SBJ","CB","?"))</f>
        <v> </v>
      </c>
      <c r="I6381" s="26" t="str">
        <f>IF(OR(E6381="",E6381="!!!",F6381="NEW"),"",INDEX(B6380:B$2,-1+SUMPRODUCT(MAX(ROW(E6380:E$2)*(E6381=E6380:E$2)))))</f>
        <v> </v>
      </c>
      <c r="J6381" s="26" t="str">
        <f>IF(OR(E6381="",E6381="!!!",F6381="NEW"),"",COUNTBLANK(OFFSET(A$1,,,SUMPRODUCT(MAX(ROW(E$2:E6381)*(E6381=E$2:E6381)))))-COUNTBLANK(OFFSET(A$1,,,SUMPRODUCT(MAX(ROW(E$1:E6380)*(E2=E$1:E6380))))))</f>
        <v> </v>
      </c>
      <c r="K6381" s="26" t="str">
        <f>IF(OR(E6381="",E6381="!!!",F6381="NEW"),"",INDEX(J$1:J6380,SUMPRODUCT(MAX(ROW(E$1:E6380)*(E6381=E$1:E6380)))))</f>
        <v> </v>
      </c>
      <c r="L6381" s="27"/>
    </row>
    <row r="6382" spans="1:12">
      <c r="A6382" s="20" t="s">
        <v>1363</v>
      </c>
      <c r="E6382" s="22">
        <f>IF(D6382="?OLD","!!!","")</f>
        <v/>
      </c>
      <c r="F6382" s="23" t="str">
        <f>IF(OR(E6382="",E6382="!!!"),"",IF(NOT(ISNA(VLOOKUP(E6382,E$1:E6381,1,FALSE()))),"OLD",IF(AND(E6382&lt;&gt;"",E6382&lt;&gt;"!!!"),"NEW","")))</f>
        <v> </v>
      </c>
      <c r="G6382" s="24" t="str">
        <f>IF(OR(E6382="",E6382="!!!"),"",IF(OR(J6382=0,AND(J6382=1,K6382=1),AND(J6382=1,I6382="SBJ"),AND(J6382=1,I6382=0)),"?IN_FOCUS",IF(J6382&lt;=2,"?ACTIVATED",IF(J6382&lt;&gt;"","?FAMILIAR",IF(F6382="NEW",IF(ISNA(VLOOKUP(E6382,#REF!,1,FALSE())),"?TYPE_IDENTIFIABLE","?REFERENTIAL"),"_")))))</f>
        <v> </v>
      </c>
      <c r="H6382" s="25" t="str">
        <f>IF(J6382&lt;&gt;1,"",IF(I6382="SBJ","CB","?"))</f>
        <v> </v>
      </c>
      <c r="I6382" s="26" t="str">
        <f>IF(OR(E6382="",E6382="!!!",F6382="NEW"),"",INDEX(B6381:B$2,-1+SUMPRODUCT(MAX(ROW(E6381:E$2)*(E6382=E6381:E$2)))))</f>
        <v> </v>
      </c>
      <c r="J6382" s="26" t="str">
        <f>IF(OR(E6382="",E6382="!!!",F6382="NEW"),"",COUNTBLANK(OFFSET(A$1,,,SUMPRODUCT(MAX(ROW(E$2:E6382)*(E6382=E$2:E6382)))))-COUNTBLANK(OFFSET(A$1,,,SUMPRODUCT(MAX(ROW(E$1:E6381)*(E2=E$1:E6381))))))</f>
        <v> </v>
      </c>
      <c r="K6382" s="26" t="str">
        <f>IF(OR(E6382="",E6382="!!!",F6382="NEW"),"",INDEX(J$1:J6381,SUMPRODUCT(MAX(ROW(E$1:E6381)*(E6382=E$1:E6381)))))</f>
        <v> </v>
      </c>
      <c r="L6382" s="27"/>
    </row>
    <row r="6383" spans="1:12">
      <c r="A6383" s="20" t="s">
        <v>1004</v>
      </c>
      <c r="E6383" s="22">
        <f>IF(D6383="?OLD","!!!","")</f>
        <v/>
      </c>
      <c r="F6383" s="23" t="str">
        <f>IF(OR(E6383="",E6383="!!!"),"",IF(NOT(ISNA(VLOOKUP(E6383,E$1:E6382,1,FALSE()))),"OLD",IF(AND(E6383&lt;&gt;"",E6383&lt;&gt;"!!!"),"NEW","")))</f>
        <v> </v>
      </c>
      <c r="G6383" s="24" t="str">
        <f>IF(OR(E6383="",E6383="!!!"),"",IF(OR(J6383=0,AND(J6383=1,K6383=1),AND(J6383=1,I6383="SBJ"),AND(J6383=1,I6383=0)),"?IN_FOCUS",IF(J6383&lt;=2,"?ACTIVATED",IF(J6383&lt;&gt;"","?FAMILIAR",IF(F6383="NEW",IF(ISNA(VLOOKUP(E6383,#REF!,1,FALSE())),"?TYPE_IDENTIFIABLE","?REFERENTIAL"),"_")))))</f>
        <v> </v>
      </c>
      <c r="H6383" s="25" t="str">
        <f>IF(J6383&lt;&gt;1,"",IF(I6383="SBJ","CB","?"))</f>
        <v> </v>
      </c>
      <c r="I6383" s="26" t="str">
        <f>IF(OR(E6383="",E6383="!!!",F6383="NEW"),"",INDEX(B6382:B$2,-1+SUMPRODUCT(MAX(ROW(E6382:E$2)*(E6383=E6382:E$2)))))</f>
        <v> </v>
      </c>
      <c r="J6383" s="26" t="str">
        <f>IF(OR(E6383="",E6383="!!!",F6383="NEW"),"",COUNTBLANK(OFFSET(A$1,,,SUMPRODUCT(MAX(ROW(E$2:E6383)*(E6383=E$2:E6383)))))-COUNTBLANK(OFFSET(A$1,,,SUMPRODUCT(MAX(ROW(E$1:E6382)*(E2=E$1:E6382))))))</f>
        <v> </v>
      </c>
      <c r="K6383" s="26" t="str">
        <f>IF(OR(E6383="",E6383="!!!",F6383="NEW"),"",INDEX(J$1:J6382,SUMPRODUCT(MAX(ROW(E$1:E6382)*(E6383=E$1:E6382)))))</f>
        <v> </v>
      </c>
      <c r="L6383" s="27"/>
    </row>
    <row r="6384" spans="1:12">
      <c r="A6384" s="20" t="s">
        <v>2523</v>
      </c>
      <c r="E6384" s="22">
        <f>IF(D6384="?OLD","!!!","")</f>
        <v/>
      </c>
      <c r="F6384" s="23" t="str">
        <f>IF(OR(E6384="",E6384="!!!"),"",IF(NOT(ISNA(VLOOKUP(E6384,E$1:E6383,1,FALSE()))),"OLD",IF(AND(E6384&lt;&gt;"",E6384&lt;&gt;"!!!"),"NEW","")))</f>
        <v> </v>
      </c>
      <c r="G6384" s="24" t="str">
        <f>IF(OR(E6384="",E6384="!!!"),"",IF(OR(J6384=0,AND(J6384=1,K6384=1),AND(J6384=1,I6384="SBJ"),AND(J6384=1,I6384=0)),"?IN_FOCUS",IF(J6384&lt;=2,"?ACTIVATED",IF(J6384&lt;&gt;"","?FAMILIAR",IF(F6384="NEW",IF(ISNA(VLOOKUP(E6384,#REF!,1,FALSE())),"?TYPE_IDENTIFIABLE","?REFERENTIAL"),"_")))))</f>
        <v> </v>
      </c>
      <c r="H6384" s="25" t="str">
        <f>IF(J6384&lt;&gt;1,"",IF(I6384="SBJ","CB","?"))</f>
        <v> </v>
      </c>
      <c r="I6384" s="26" t="str">
        <f>IF(OR(E6384="",E6384="!!!",F6384="NEW"),"",INDEX(B6383:B$2,-1+SUMPRODUCT(MAX(ROW(E6383:E$2)*(E6384=E6383:E$2)))))</f>
        <v> </v>
      </c>
      <c r="J6384" s="26" t="str">
        <f>IF(OR(E6384="",E6384="!!!",F6384="NEW"),"",COUNTBLANK(OFFSET(A$1,,,SUMPRODUCT(MAX(ROW(E$2:E6384)*(E6384=E$2:E6384)))))-COUNTBLANK(OFFSET(A$1,,,SUMPRODUCT(MAX(ROW(E$1:E6383)*(E2=E$1:E6383))))))</f>
        <v> </v>
      </c>
      <c r="K6384" s="26" t="str">
        <f>IF(OR(E6384="",E6384="!!!",F6384="NEW"),"",INDEX(J$1:J6383,SUMPRODUCT(MAX(ROW(E$1:E6383)*(E6384=E$1:E6383)))))</f>
        <v> </v>
      </c>
      <c r="L6384" s="27"/>
    </row>
    <row r="6385" spans="1:12">
      <c r="A6385" s="20" t="s">
        <v>1009</v>
      </c>
      <c r="E6385" s="22">
        <f>IF(D6385="?OLD","!!!","")</f>
        <v/>
      </c>
      <c r="F6385" s="23" t="str">
        <f>IF(OR(E6385="",E6385="!!!"),"",IF(NOT(ISNA(VLOOKUP(E6385,E$1:E6384,1,FALSE()))),"OLD",IF(AND(E6385&lt;&gt;"",E6385&lt;&gt;"!!!"),"NEW","")))</f>
        <v> </v>
      </c>
      <c r="G6385" s="24" t="str">
        <f>IF(OR(E6385="",E6385="!!!"),"",IF(OR(J6385=0,AND(J6385=1,K6385=1),AND(J6385=1,I6385="SBJ"),AND(J6385=1,I6385=0)),"?IN_FOCUS",IF(J6385&lt;=2,"?ACTIVATED",IF(J6385&lt;&gt;"","?FAMILIAR",IF(F6385="NEW",IF(ISNA(VLOOKUP(E6385,#REF!,1,FALSE())),"?TYPE_IDENTIFIABLE","?REFERENTIAL"),"_")))))</f>
        <v> </v>
      </c>
      <c r="H6385" s="25" t="str">
        <f>IF(J6385&lt;&gt;1,"",IF(I6385="SBJ","CB","?"))</f>
        <v> </v>
      </c>
      <c r="I6385" s="26" t="str">
        <f>IF(OR(E6385="",E6385="!!!",F6385="NEW"),"",INDEX(B6384:B$2,-1+SUMPRODUCT(MAX(ROW(E6384:E$2)*(E6385=E6384:E$2)))))</f>
        <v> </v>
      </c>
      <c r="J6385" s="26" t="str">
        <f>IF(OR(E6385="",E6385="!!!",F6385="NEW"),"",COUNTBLANK(OFFSET(A$1,,,SUMPRODUCT(MAX(ROW(E$2:E6385)*(E6385=E$2:E6385)))))-COUNTBLANK(OFFSET(A$1,,,SUMPRODUCT(MAX(ROW(E$1:E6384)*(E2=E$1:E6384))))))</f>
        <v> </v>
      </c>
      <c r="K6385" s="26" t="str">
        <f>IF(OR(E6385="",E6385="!!!",F6385="NEW"),"",INDEX(J$1:J6384,SUMPRODUCT(MAX(ROW(E$1:E6384)*(E6385=E$1:E6384)))))</f>
        <v> </v>
      </c>
      <c r="L6385" s="27"/>
    </row>
    <row r="6386" spans="1:12">
      <c r="A6386" s="20" t="s">
        <v>1956</v>
      </c>
      <c r="B6386" s="21" t="s">
        <v>1007</v>
      </c>
      <c r="C6386" s="21" t="s">
        <v>1020</v>
      </c>
      <c r="D6386" s="21" t="s">
        <v>978</v>
      </c>
      <c r="E6386" s="22">
        <f>IF(D6386="?OLD","!!!","")</f>
        <v/>
      </c>
      <c r="F6386" s="23" t="str">
        <f>IF(OR(E6386="",E6386="!!!"),"",IF(NOT(ISNA(VLOOKUP(E6386,E$1:E6385,1,FALSE()))),"OLD",IF(AND(E6386&lt;&gt;"",E6386&lt;&gt;"!!!"),"NEW","")))</f>
        <v> </v>
      </c>
      <c r="G6386" s="24" t="str">
        <f>IF(OR(E6386="",E6386="!!!"),"",IF(OR(J6386=0,AND(J6386=1,K6386=1),AND(J6386=1,I6386="SBJ"),AND(J6386=1,I6386=0)),"?IN_FOCUS",IF(J6386&lt;=2,"?ACTIVATED",IF(J6386&lt;&gt;"","?FAMILIAR",IF(F6386="NEW",IF(ISNA(VLOOKUP(E6386,#REF!,1,FALSE())),"?TYPE_IDENTIFIABLE","?REFERENTIAL"),"_")))))</f>
        <v> </v>
      </c>
      <c r="H6386" s="25" t="str">
        <f>IF(J6386&lt;&gt;1,"",IF(I6386="SBJ","CB","?"))</f>
        <v> </v>
      </c>
      <c r="I6386" s="26" t="str">
        <f>IF(OR(E6386="",E6386="!!!",F6386="NEW"),"",INDEX(B6385:B$2,-1+SUMPRODUCT(MAX(ROW(E6385:E$2)*(E6386=E6385:E$2)))))</f>
        <v> </v>
      </c>
      <c r="J6386" s="26" t="str">
        <f>IF(OR(E6386="",E6386="!!!",F6386="NEW"),"",COUNTBLANK(OFFSET(A$1,,,SUMPRODUCT(MAX(ROW(E$2:E6386)*(E6386=E$2:E6386)))))-COUNTBLANK(OFFSET(A$1,,,SUMPRODUCT(MAX(ROW(E$1:E6385)*(E2=E$1:E6385))))))</f>
        <v> </v>
      </c>
      <c r="K6386" s="26" t="str">
        <f>IF(OR(E6386="",E6386="!!!",F6386="NEW"),"",INDEX(J$1:J6385,SUMPRODUCT(MAX(ROW(E$1:E6385)*(E6386=E$1:E6385)))))</f>
        <v> </v>
      </c>
      <c r="L6386" s="27"/>
    </row>
    <row r="6387" spans="1:12">
      <c r="A6387" s="20" t="s">
        <v>1002</v>
      </c>
      <c r="E6387" s="22">
        <f>IF(D6387="?OLD","!!!","")</f>
        <v/>
      </c>
      <c r="F6387" s="23" t="str">
        <f>IF(OR(E6387="",E6387="!!!"),"",IF(NOT(ISNA(VLOOKUP(E6387,E$1:E6386,1,FALSE()))),"OLD",IF(AND(E6387&lt;&gt;"",E6387&lt;&gt;"!!!"),"NEW","")))</f>
        <v> </v>
      </c>
      <c r="G6387" s="24" t="str">
        <f>IF(OR(E6387="",E6387="!!!"),"",IF(OR(J6387=0,AND(J6387=1,K6387=1),AND(J6387=1,I6387="SBJ"),AND(J6387=1,I6387=0)),"?IN_FOCUS",IF(J6387&lt;=2,"?ACTIVATED",IF(J6387&lt;&gt;"","?FAMILIAR",IF(F6387="NEW",IF(ISNA(VLOOKUP(E6387,#REF!,1,FALSE())),"?TYPE_IDENTIFIABLE","?REFERENTIAL"),"_")))))</f>
        <v> </v>
      </c>
      <c r="H6387" s="25" t="str">
        <f>IF(J6387&lt;&gt;1,"",IF(I6387="SBJ","CB","?"))</f>
        <v> </v>
      </c>
      <c r="I6387" s="26" t="str">
        <f>IF(OR(E6387="",E6387="!!!",F6387="NEW"),"",INDEX(B6386:B$2,-1+SUMPRODUCT(MAX(ROW(E6386:E$2)*(E6387=E6386:E$2)))))</f>
        <v> </v>
      </c>
      <c r="J6387" s="26" t="str">
        <f>IF(OR(E6387="",E6387="!!!",F6387="NEW"),"",COUNTBLANK(OFFSET(A$1,,,SUMPRODUCT(MAX(ROW(E$2:E6387)*(E6387=E$2:E6387)))))-COUNTBLANK(OFFSET(A$1,,,SUMPRODUCT(MAX(ROW(E$1:E6386)*(E2=E$1:E6386))))))</f>
        <v> </v>
      </c>
      <c r="K6387" s="26" t="str">
        <f>IF(OR(E6387="",E6387="!!!",F6387="NEW"),"",INDEX(J$1:J6386,SUMPRODUCT(MAX(ROW(E$1:E6386)*(E6387=E$1:E6386)))))</f>
        <v> </v>
      </c>
      <c r="L6387" s="27"/>
    </row>
    <row r="6388" spans="1:12">
      <c r="A6388" s="20" t="s">
        <v>1025</v>
      </c>
      <c r="B6388" s="21" t="s">
        <v>1035</v>
      </c>
      <c r="C6388" s="21" t="s">
        <v>977</v>
      </c>
      <c r="D6388" s="21" t="s">
        <v>978</v>
      </c>
      <c r="E6388" s="22">
        <f>IF(D6388="?OLD","!!!","")</f>
        <v/>
      </c>
      <c r="F6388" s="23" t="str">
        <f>IF(OR(E6388="",E6388="!!!"),"",IF(NOT(ISNA(VLOOKUP(E6388,E$1:E6387,1,FALSE()))),"OLD",IF(AND(E6388&lt;&gt;"",E6388&lt;&gt;"!!!"),"NEW","")))</f>
        <v> </v>
      </c>
      <c r="G6388" s="24" t="str">
        <f>IF(OR(E6388="",E6388="!!!"),"",IF(OR(J6388=0,AND(J6388=1,K6388=1),AND(J6388=1,I6388="SBJ"),AND(J6388=1,I6388=0)),"?IN_FOCUS",IF(J6388&lt;=2,"?ACTIVATED",IF(J6388&lt;&gt;"","?FAMILIAR",IF(F6388="NEW",IF(ISNA(VLOOKUP(E6388,#REF!,1,FALSE())),"?TYPE_IDENTIFIABLE","?REFERENTIAL"),"_")))))</f>
        <v> </v>
      </c>
      <c r="H6388" s="25" t="str">
        <f>IF(J6388&lt;&gt;1,"",IF(I6388="SBJ","CB","?"))</f>
        <v> </v>
      </c>
      <c r="I6388" s="26" t="str">
        <f>IF(OR(E6388="",E6388="!!!",F6388="NEW"),"",INDEX(B6387:B$2,-1+SUMPRODUCT(MAX(ROW(E6387:E$2)*(E6388=E6387:E$2)))))</f>
        <v> </v>
      </c>
      <c r="J6388" s="26" t="str">
        <f>IF(OR(E6388="",E6388="!!!",F6388="NEW"),"",COUNTBLANK(OFFSET(A$1,,,SUMPRODUCT(MAX(ROW(E$2:E6388)*(E6388=E$2:E6388)))))-COUNTBLANK(OFFSET(A$1,,,SUMPRODUCT(MAX(ROW(E$1:E6387)*(E2=E$1:E6387))))))</f>
        <v> </v>
      </c>
      <c r="K6388" s="26" t="str">
        <f>IF(OR(E6388="",E6388="!!!",F6388="NEW"),"",INDEX(J$1:J6387,SUMPRODUCT(MAX(ROW(E$1:E6387)*(E6388=E$1:E6387)))))</f>
        <v> </v>
      </c>
      <c r="L6388" s="27"/>
    </row>
    <row r="6389" spans="1:12">
      <c r="A6389" s="20" t="s">
        <v>1074</v>
      </c>
      <c r="B6389" s="21" t="s">
        <v>1036</v>
      </c>
      <c r="C6389" s="21" t="s">
        <v>977</v>
      </c>
      <c r="D6389" s="21" t="s">
        <v>978</v>
      </c>
      <c r="E6389" s="22">
        <f>IF(D6389="?OLD","!!!","")</f>
        <v/>
      </c>
      <c r="F6389" s="23" t="str">
        <f>IF(OR(E6389="",E6389="!!!"),"",IF(NOT(ISNA(VLOOKUP(E6389,E$1:E6388,1,FALSE()))),"OLD",IF(AND(E6389&lt;&gt;"",E6389&lt;&gt;"!!!"),"NEW","")))</f>
        <v> </v>
      </c>
      <c r="G6389" s="24" t="str">
        <f>IF(OR(E6389="",E6389="!!!"),"",IF(OR(J6389=0,AND(J6389=1,K6389=1),AND(J6389=1,I6389="SBJ"),AND(J6389=1,I6389=0)),"?IN_FOCUS",IF(J6389&lt;=2,"?ACTIVATED",IF(J6389&lt;&gt;"","?FAMILIAR",IF(F6389="NEW",IF(ISNA(VLOOKUP(E6389,#REF!,1,FALSE())),"?TYPE_IDENTIFIABLE","?REFERENTIAL"),"_")))))</f>
        <v> </v>
      </c>
      <c r="H6389" s="25" t="str">
        <f>IF(J6389&lt;&gt;1,"",IF(I6389="SBJ","CB","?"))</f>
        <v> </v>
      </c>
      <c r="I6389" s="26" t="str">
        <f>IF(OR(E6389="",E6389="!!!",F6389="NEW"),"",INDEX(B6388:B$2,-1+SUMPRODUCT(MAX(ROW(E6388:E$2)*(E6389=E6388:E$2)))))</f>
        <v> </v>
      </c>
      <c r="J6389" s="26" t="str">
        <f>IF(OR(E6389="",E6389="!!!",F6389="NEW"),"",COUNTBLANK(OFFSET(A$1,,,SUMPRODUCT(MAX(ROW(E$2:E6389)*(E6389=E$2:E6389)))))-COUNTBLANK(OFFSET(A$1,,,SUMPRODUCT(MAX(ROW(E$1:E6388)*(E2=E$1:E6388))))))</f>
        <v> </v>
      </c>
      <c r="K6389" s="26" t="str">
        <f>IF(OR(E6389="",E6389="!!!",F6389="NEW"),"",INDEX(J$1:J6388,SUMPRODUCT(MAX(ROW(E$1:E6388)*(E6389=E$1:E6388)))))</f>
        <v> </v>
      </c>
      <c r="L6389" s="27"/>
    </row>
    <row r="6390" spans="1:12">
      <c r="A6390" s="20" t="s">
        <v>1462</v>
      </c>
      <c r="E6390" s="22">
        <f>IF(D6390="?OLD","!!!","")</f>
        <v/>
      </c>
      <c r="F6390" s="23" t="str">
        <f>IF(OR(E6390="",E6390="!!!"),"",IF(NOT(ISNA(VLOOKUP(E6390,E$1:E6389,1,FALSE()))),"OLD",IF(AND(E6390&lt;&gt;"",E6390&lt;&gt;"!!!"),"NEW","")))</f>
        <v> </v>
      </c>
      <c r="G6390" s="24" t="str">
        <f>IF(OR(E6390="",E6390="!!!"),"",IF(OR(J6390=0,AND(J6390=1,K6390=1),AND(J6390=1,I6390="SBJ"),AND(J6390=1,I6390=0)),"?IN_FOCUS",IF(J6390&lt;=2,"?ACTIVATED",IF(J6390&lt;&gt;"","?FAMILIAR",IF(F6390="NEW",IF(ISNA(VLOOKUP(E6390,#REF!,1,FALSE())),"?TYPE_IDENTIFIABLE","?REFERENTIAL"),"_")))))</f>
        <v> </v>
      </c>
      <c r="H6390" s="25" t="str">
        <f>IF(J6390&lt;&gt;1,"",IF(I6390="SBJ","CB","?"))</f>
        <v> </v>
      </c>
      <c r="I6390" s="26" t="str">
        <f>IF(OR(E6390="",E6390="!!!",F6390="NEW"),"",INDEX(B6389:B$2,-1+SUMPRODUCT(MAX(ROW(E6389:E$2)*(E6390=E6389:E$2)))))</f>
        <v> </v>
      </c>
      <c r="J6390" s="26" t="str">
        <f>IF(OR(E6390="",E6390="!!!",F6390="NEW"),"",COUNTBLANK(OFFSET(A$1,,,SUMPRODUCT(MAX(ROW(E$2:E6390)*(E6390=E$2:E6390)))))-COUNTBLANK(OFFSET(A$1,,,SUMPRODUCT(MAX(ROW(E$1:E6389)*(E2=E$1:E6389))))))</f>
        <v> </v>
      </c>
      <c r="K6390" s="26" t="str">
        <f>IF(OR(E6390="",E6390="!!!",F6390="NEW"),"",INDEX(J$1:J6389,SUMPRODUCT(MAX(ROW(E$1:E6389)*(E6390=E$1:E6389)))))</f>
        <v> </v>
      </c>
      <c r="L6390" s="27"/>
    </row>
    <row r="6391" spans="1:12">
      <c r="A6391" s="20" t="s">
        <v>1000</v>
      </c>
      <c r="E6391" s="22">
        <f>IF(D6391="?OLD","!!!","")</f>
        <v/>
      </c>
      <c r="F6391" s="23" t="str">
        <f>IF(OR(E6391="",E6391="!!!"),"",IF(NOT(ISNA(VLOOKUP(E6391,E$1:E6390,1,FALSE()))),"OLD",IF(AND(E6391&lt;&gt;"",E6391&lt;&gt;"!!!"),"NEW","")))</f>
        <v> </v>
      </c>
      <c r="G6391" s="24" t="str">
        <f>IF(OR(E6391="",E6391="!!!"),"",IF(OR(J6391=0,AND(J6391=1,K6391=1),AND(J6391=1,I6391="SBJ"),AND(J6391=1,I6391=0)),"?IN_FOCUS",IF(J6391&lt;=2,"?ACTIVATED",IF(J6391&lt;&gt;"","?FAMILIAR",IF(F6391="NEW",IF(ISNA(VLOOKUP(E6391,#REF!,1,FALSE())),"?TYPE_IDENTIFIABLE","?REFERENTIAL"),"_")))))</f>
        <v> </v>
      </c>
      <c r="H6391" s="25" t="str">
        <f>IF(J6391&lt;&gt;1,"",IF(I6391="SBJ","CB","?"))</f>
        <v> </v>
      </c>
      <c r="I6391" s="26" t="str">
        <f>IF(OR(E6391="",E6391="!!!",F6391="NEW"),"",INDEX(B6390:B$2,-1+SUMPRODUCT(MAX(ROW(E6390:E$2)*(E6391=E6390:E$2)))))</f>
        <v> </v>
      </c>
      <c r="J6391" s="26" t="str">
        <f>IF(OR(E6391="",E6391="!!!",F6391="NEW"),"",COUNTBLANK(OFFSET(A$1,,,SUMPRODUCT(MAX(ROW(E$2:E6391)*(E6391=E$2:E6391)))))-COUNTBLANK(OFFSET(A$1,,,SUMPRODUCT(MAX(ROW(E$1:E6390)*(E2=E$1:E6390))))))</f>
        <v> </v>
      </c>
      <c r="K6391" s="26" t="str">
        <f>IF(OR(E6391="",E6391="!!!",F6391="NEW"),"",INDEX(J$1:J6390,SUMPRODUCT(MAX(ROW(E$1:E6390)*(E6391=E$1:E6390)))))</f>
        <v> </v>
      </c>
      <c r="L6391" s="27"/>
    </row>
    <row r="6392" spans="1:12">
      <c r="A6392" s="20" t="s">
        <v>1025</v>
      </c>
      <c r="B6392" s="21" t="s">
        <v>1035</v>
      </c>
      <c r="C6392" s="21" t="s">
        <v>977</v>
      </c>
      <c r="D6392" s="21" t="s">
        <v>978</v>
      </c>
      <c r="E6392" s="22">
        <f>IF(D6392="?OLD","!!!","")</f>
        <v/>
      </c>
      <c r="F6392" s="23" t="str">
        <f>IF(OR(E6392="",E6392="!!!"),"",IF(NOT(ISNA(VLOOKUP(E6392,E$1:E6391,1,FALSE()))),"OLD",IF(AND(E6392&lt;&gt;"",E6392&lt;&gt;"!!!"),"NEW","")))</f>
        <v> </v>
      </c>
      <c r="G6392" s="24" t="str">
        <f>IF(OR(E6392="",E6392="!!!"),"",IF(OR(J6392=0,AND(J6392=1,K6392=1),AND(J6392=1,I6392="SBJ"),AND(J6392=1,I6392=0)),"?IN_FOCUS",IF(J6392&lt;=2,"?ACTIVATED",IF(J6392&lt;&gt;"","?FAMILIAR",IF(F6392="NEW",IF(ISNA(VLOOKUP(E6392,#REF!,1,FALSE())),"?TYPE_IDENTIFIABLE","?REFERENTIAL"),"_")))))</f>
        <v> </v>
      </c>
      <c r="H6392" s="25" t="str">
        <f>IF(J6392&lt;&gt;1,"",IF(I6392="SBJ","CB","?"))</f>
        <v> </v>
      </c>
      <c r="I6392" s="26" t="str">
        <f>IF(OR(E6392="",E6392="!!!",F6392="NEW"),"",INDEX(B6391:B$2,-1+SUMPRODUCT(MAX(ROW(E6391:E$2)*(E6392=E6391:E$2)))))</f>
        <v> </v>
      </c>
      <c r="J6392" s="26" t="str">
        <f>IF(OR(E6392="",E6392="!!!",F6392="NEW"),"",COUNTBLANK(OFFSET(A$1,,,SUMPRODUCT(MAX(ROW(E$2:E6392)*(E6392=E$2:E6392)))))-COUNTBLANK(OFFSET(A$1,,,SUMPRODUCT(MAX(ROW(E$1:E6391)*(E2=E$1:E6391))))))</f>
        <v> </v>
      </c>
      <c r="K6392" s="26" t="str">
        <f>IF(OR(E6392="",E6392="!!!",F6392="NEW"),"",INDEX(J$1:J6391,SUMPRODUCT(MAX(ROW(E$1:E6391)*(E6392=E$1:E6391)))))</f>
        <v> </v>
      </c>
      <c r="L6392" s="27"/>
    </row>
    <row r="6393" spans="1:12">
      <c r="A6393" s="20" t="s">
        <v>999</v>
      </c>
      <c r="E6393" s="22">
        <f>IF(D6393="?OLD","!!!","")</f>
        <v/>
      </c>
      <c r="F6393" s="23" t="str">
        <f>IF(OR(E6393="",E6393="!!!"),"",IF(NOT(ISNA(VLOOKUP(E6393,E$1:E6392,1,FALSE()))),"OLD",IF(AND(E6393&lt;&gt;"",E6393&lt;&gt;"!!!"),"NEW","")))</f>
        <v> </v>
      </c>
      <c r="G6393" s="24" t="str">
        <f>IF(OR(E6393="",E6393="!!!"),"",IF(OR(J6393=0,AND(J6393=1,K6393=1),AND(J6393=1,I6393="SBJ"),AND(J6393=1,I6393=0)),"?IN_FOCUS",IF(J6393&lt;=2,"?ACTIVATED",IF(J6393&lt;&gt;"","?FAMILIAR",IF(F6393="NEW",IF(ISNA(VLOOKUP(E6393,#REF!,1,FALSE())),"?TYPE_IDENTIFIABLE","?REFERENTIAL"),"_")))))</f>
        <v> </v>
      </c>
      <c r="H6393" s="25" t="str">
        <f>IF(J6393&lt;&gt;1,"",IF(I6393="SBJ","CB","?"))</f>
        <v> </v>
      </c>
      <c r="I6393" s="26" t="str">
        <f>IF(OR(E6393="",E6393="!!!",F6393="NEW"),"",INDEX(B6392:B$2,-1+SUMPRODUCT(MAX(ROW(E6392:E$2)*(E6393=E6392:E$2)))))</f>
        <v> </v>
      </c>
      <c r="J6393" s="26" t="str">
        <f>IF(OR(E6393="",E6393="!!!",F6393="NEW"),"",COUNTBLANK(OFFSET(A$1,,,SUMPRODUCT(MAX(ROW(E$2:E6393)*(E6393=E$2:E6393)))))-COUNTBLANK(OFFSET(A$1,,,SUMPRODUCT(MAX(ROW(E$1:E6392)*(E2=E$1:E6392))))))</f>
        <v> </v>
      </c>
      <c r="K6393" s="26" t="str">
        <f>IF(OR(E6393="",E6393="!!!",F6393="NEW"),"",INDEX(J$1:J6392,SUMPRODUCT(MAX(ROW(E$1:E6392)*(E6393=E$1:E6392)))))</f>
        <v> </v>
      </c>
      <c r="L6393" s="27"/>
    </row>
    <row r="6394" spans="1:12">
      <c r="A6394" s="20" t="s">
        <v>62</v>
      </c>
      <c r="E6394" s="22">
        <f>IF(D6394="?OLD","!!!","")</f>
        <v/>
      </c>
      <c r="F6394" s="23" t="str">
        <f>IF(OR(E6394="",E6394="!!!"),"",IF(NOT(ISNA(VLOOKUP(E6394,E$1:E6393,1,FALSE()))),"OLD",IF(AND(E6394&lt;&gt;"",E6394&lt;&gt;"!!!"),"NEW","")))</f>
        <v> </v>
      </c>
      <c r="G6394" s="24" t="str">
        <f>IF(OR(E6394="",E6394="!!!"),"",IF(OR(J6394=0,AND(J6394=1,K6394=1),AND(J6394=1,I6394="SBJ"),AND(J6394=1,I6394=0)),"?IN_FOCUS",IF(J6394&lt;=2,"?ACTIVATED",IF(J6394&lt;&gt;"","?FAMILIAR",IF(F6394="NEW",IF(ISNA(VLOOKUP(E6394,#REF!,1,FALSE())),"?TYPE_IDENTIFIABLE","?REFERENTIAL"),"_")))))</f>
        <v> </v>
      </c>
      <c r="H6394" s="25" t="str">
        <f>IF(J6394&lt;&gt;1,"",IF(I6394="SBJ","CB","?"))</f>
        <v> </v>
      </c>
      <c r="I6394" s="26" t="str">
        <f>IF(OR(E6394="",E6394="!!!",F6394="NEW"),"",INDEX(B6393:B$2,-1+SUMPRODUCT(MAX(ROW(E6393:E$2)*(E6394=E6393:E$2)))))</f>
        <v> </v>
      </c>
      <c r="J6394" s="26" t="str">
        <f>IF(OR(E6394="",E6394="!!!",F6394="NEW"),"",COUNTBLANK(OFFSET(A$1,,,SUMPRODUCT(MAX(ROW(E$2:E6394)*(E6394=E$2:E6394)))))-COUNTBLANK(OFFSET(A$1,,,SUMPRODUCT(MAX(ROW(E$1:E6393)*(E2=E$1:E6393))))))</f>
        <v> </v>
      </c>
      <c r="K6394" s="26" t="str">
        <f>IF(OR(E6394="",E6394="!!!",F6394="NEW"),"",INDEX(J$1:J6393,SUMPRODUCT(MAX(ROW(E$1:E6393)*(E6394=E$1:E6393)))))</f>
        <v> </v>
      </c>
      <c r="L6394" s="27"/>
    </row>
    <row r="6395" spans="1:12">
      <c r="A6395" s="20" t="s">
        <v>1022</v>
      </c>
      <c r="E6395" s="22">
        <f>IF(D6395="?OLD","!!!","")</f>
        <v/>
      </c>
      <c r="F6395" s="23" t="str">
        <f>IF(OR(E6395="",E6395="!!!"),"",IF(NOT(ISNA(VLOOKUP(E6395,E$1:E6394,1,FALSE()))),"OLD",IF(AND(E6395&lt;&gt;"",E6395&lt;&gt;"!!!"),"NEW","")))</f>
        <v> </v>
      </c>
      <c r="G6395" s="24" t="str">
        <f>IF(OR(E6395="",E6395="!!!"),"",IF(OR(J6395=0,AND(J6395=1,K6395=1),AND(J6395=1,I6395="SBJ"),AND(J6395=1,I6395=0)),"?IN_FOCUS",IF(J6395&lt;=2,"?ACTIVATED",IF(J6395&lt;&gt;"","?FAMILIAR",IF(F6395="NEW",IF(ISNA(VLOOKUP(E6395,#REF!,1,FALSE())),"?TYPE_IDENTIFIABLE","?REFERENTIAL"),"_")))))</f>
        <v> </v>
      </c>
      <c r="H6395" s="25" t="str">
        <f>IF(J6395&lt;&gt;1,"",IF(I6395="SBJ","CB","?"))</f>
        <v> </v>
      </c>
      <c r="I6395" s="26" t="str">
        <f>IF(OR(E6395="",E6395="!!!",F6395="NEW"),"",INDEX(B6394:B$2,-1+SUMPRODUCT(MAX(ROW(E6394:E$2)*(E6395=E6394:E$2)))))</f>
        <v> </v>
      </c>
      <c r="J6395" s="26" t="str">
        <f>IF(OR(E6395="",E6395="!!!",F6395="NEW"),"",COUNTBLANK(OFFSET(A$1,,,SUMPRODUCT(MAX(ROW(E$2:E6395)*(E6395=E$2:E6395)))))-COUNTBLANK(OFFSET(A$1,,,SUMPRODUCT(MAX(ROW(E$1:E6394)*(E2=E$1:E6394))))))</f>
        <v> </v>
      </c>
      <c r="K6395" s="26" t="str">
        <f>IF(OR(E6395="",E6395="!!!",F6395="NEW"),"",INDEX(J$1:J6394,SUMPRODUCT(MAX(ROW(E$1:E6394)*(E6395=E$1:E6394)))))</f>
        <v> </v>
      </c>
      <c r="L6395" s="27"/>
    </row>
    <row r="6396" spans="1:12">
      <c r="A6396" s="20"/>
    </row>
    <row r="6397" spans="1:12">
      <c r="A6397" s="20" t="s">
        <v>2557</v>
      </c>
    </row>
    <row r="6398" spans="1:12">
      <c r="A6398" s="20" t="s">
        <v>2558</v>
      </c>
      <c r="B6398" s="21" t="s">
        <v>986</v>
      </c>
      <c r="C6398" s="21" t="s">
        <v>987</v>
      </c>
      <c r="D6398" s="21" t="s">
        <v>978</v>
      </c>
      <c r="E6398" s="22">
        <f>IF(D6398="?OLD","!!!","")</f>
        <v/>
      </c>
      <c r="F6398" s="23" t="str">
        <f>IF(OR(E6398="",E6398="!!!"),"",IF(NOT(ISNA(VLOOKUP(E6398,E$1:E6397,1,FALSE()))),"OLD",IF(AND(E6398&lt;&gt;"",E6398&lt;&gt;"!!!"),"NEW","")))</f>
        <v> </v>
      </c>
      <c r="G6398" s="24" t="str">
        <f>IF(OR(E6398="",E6398="!!!"),"",IF(OR(J6398=0,AND(J6398=1,K6398=1),AND(J6398=1,I6398="SBJ"),AND(J6398=1,I6398=0)),"?IN_FOCUS",IF(J6398&lt;=2,"?ACTIVATED",IF(J6398&lt;&gt;"","?FAMILIAR",IF(F6398="NEW",IF(ISNA(VLOOKUP(E6398,#REF!,1,FALSE())),"?TYPE_IDENTIFIABLE","?REFERENTIAL"),"_")))))</f>
        <v> </v>
      </c>
      <c r="H6398" s="25" t="str">
        <f>IF(J6398&lt;&gt;1,"",IF(I6398="SBJ","CB","?"))</f>
        <v> </v>
      </c>
      <c r="I6398" s="26" t="str">
        <f>IF(OR(E6398="",E6398="!!!",F6398="NEW"),"",INDEX(B6397:B$2,-1+SUMPRODUCT(MAX(ROW(E6397:E$2)*(E6398=E6397:E$2)))))</f>
        <v> </v>
      </c>
      <c r="J6398" s="26" t="str">
        <f>IF(OR(E6398="",E6398="!!!",F6398="NEW"),"",COUNTBLANK(OFFSET(A$1,,,SUMPRODUCT(MAX(ROW(E$2:E6398)*(E6398=E$2:E6398)))))-COUNTBLANK(OFFSET(A$1,,,SUMPRODUCT(MAX(ROW(E$1:E6397)*(E2=E$1:E6397))))))</f>
        <v> </v>
      </c>
      <c r="K6398" s="26" t="str">
        <f>IF(OR(E6398="",E6398="!!!",F6398="NEW"),"",INDEX(J$1:J6397,SUMPRODUCT(MAX(ROW(E$1:E6397)*(E6398=E$1:E6397)))))</f>
        <v> </v>
      </c>
      <c r="L6398" s="27"/>
    </row>
    <row r="6399" spans="1:12">
      <c r="A6399" s="20" t="s">
        <v>2559</v>
      </c>
      <c r="B6399" s="21" t="s">
        <v>976</v>
      </c>
      <c r="C6399" s="21" t="s">
        <v>990</v>
      </c>
      <c r="D6399" s="21" t="s">
        <v>978</v>
      </c>
      <c r="E6399" s="22">
        <f>IF(D6399="?OLD","!!!","")</f>
        <v/>
      </c>
      <c r="F6399" s="23" t="str">
        <f>IF(OR(E6399="",E6399="!!!"),"",IF(NOT(ISNA(VLOOKUP(E6399,E$1:E6398,1,FALSE()))),"OLD",IF(AND(E6399&lt;&gt;"",E6399&lt;&gt;"!!!"),"NEW","")))</f>
        <v> </v>
      </c>
      <c r="G6399" s="24" t="str">
        <f>IF(OR(E6399="",E6399="!!!"),"",IF(OR(J6399=0,AND(J6399=1,K6399=1),AND(J6399=1,I6399="SBJ"),AND(J6399=1,I6399=0)),"?IN_FOCUS",IF(J6399&lt;=2,"?ACTIVATED",IF(J6399&lt;&gt;"","?FAMILIAR",IF(F6399="NEW",IF(ISNA(VLOOKUP(E6399,#REF!,1,FALSE())),"?TYPE_IDENTIFIABLE","?REFERENTIAL"),"_")))))</f>
        <v> </v>
      </c>
      <c r="H6399" s="25" t="str">
        <f>IF(J6399&lt;&gt;1,"",IF(I6399="SBJ","CB","?"))</f>
        <v> </v>
      </c>
      <c r="I6399" s="26" t="str">
        <f>IF(OR(E6399="",E6399="!!!",F6399="NEW"),"",INDEX(B6398:B$2,-1+SUMPRODUCT(MAX(ROW(E6398:E$2)*(E6399=E6398:E$2)))))</f>
        <v> </v>
      </c>
      <c r="J6399" s="26" t="str">
        <f>IF(OR(E6399="",E6399="!!!",F6399="NEW"),"",COUNTBLANK(OFFSET(A$1,,,SUMPRODUCT(MAX(ROW(E$2:E6399)*(E6399=E$2:E6399)))))-COUNTBLANK(OFFSET(A$1,,,SUMPRODUCT(MAX(ROW(E$1:E6398)*(E2=E$1:E6398))))))</f>
        <v> </v>
      </c>
      <c r="K6399" s="26" t="str">
        <f>IF(OR(E6399="",E6399="!!!",F6399="NEW"),"",INDEX(J$1:J6398,SUMPRODUCT(MAX(ROW(E$1:E6398)*(E6399=E$1:E6398)))))</f>
        <v> </v>
      </c>
      <c r="L6399" s="27"/>
    </row>
    <row r="6400" spans="1:12">
      <c r="A6400" s="20" t="s">
        <v>1478</v>
      </c>
      <c r="E6400" s="22">
        <f>IF(D6400="?OLD","!!!","")</f>
        <v/>
      </c>
      <c r="F6400" s="23" t="str">
        <f>IF(OR(E6400="",E6400="!!!"),"",IF(NOT(ISNA(VLOOKUP(E6400,E$1:E6399,1,FALSE()))),"OLD",IF(AND(E6400&lt;&gt;"",E6400&lt;&gt;"!!!"),"NEW","")))</f>
        <v> </v>
      </c>
      <c r="G6400" s="24" t="str">
        <f>IF(OR(E6400="",E6400="!!!"),"",IF(OR(J6400=0,AND(J6400=1,K6400=1),AND(J6400=1,I6400="SBJ"),AND(J6400=1,I6400=0)),"?IN_FOCUS",IF(J6400&lt;=2,"?ACTIVATED",IF(J6400&lt;&gt;"","?FAMILIAR",IF(F6400="NEW",IF(ISNA(VLOOKUP(E6400,#REF!,1,FALSE())),"?TYPE_IDENTIFIABLE","?REFERENTIAL"),"_")))))</f>
        <v> </v>
      </c>
      <c r="H6400" s="25" t="str">
        <f>IF(J6400&lt;&gt;1,"",IF(I6400="SBJ","CB","?"))</f>
        <v> </v>
      </c>
      <c r="I6400" s="26" t="str">
        <f>IF(OR(E6400="",E6400="!!!",F6400="NEW"),"",INDEX(B6399:B$2,-1+SUMPRODUCT(MAX(ROW(E6399:E$2)*(E6400=E6399:E$2)))))</f>
        <v> </v>
      </c>
      <c r="J6400" s="26" t="str">
        <f>IF(OR(E6400="",E6400="!!!",F6400="NEW"),"",COUNTBLANK(OFFSET(A$1,,,SUMPRODUCT(MAX(ROW(E$2:E6400)*(E6400=E$2:E6400)))))-COUNTBLANK(OFFSET(A$1,,,SUMPRODUCT(MAX(ROW(E$1:E6399)*(E2=E$1:E6399))))))</f>
        <v> </v>
      </c>
      <c r="K6400" s="26" t="str">
        <f>IF(OR(E6400="",E6400="!!!",F6400="NEW"),"",INDEX(J$1:J6399,SUMPRODUCT(MAX(ROW(E$1:E6399)*(E6400=E$1:E6399)))))</f>
        <v> </v>
      </c>
      <c r="L6400" s="27"/>
    </row>
    <row r="6401" spans="1:12">
      <c r="A6401" s="20" t="s">
        <v>1497</v>
      </c>
      <c r="B6401" s="21" t="s">
        <v>989</v>
      </c>
      <c r="C6401" s="21" t="s">
        <v>987</v>
      </c>
      <c r="D6401" s="21" t="s">
        <v>978</v>
      </c>
      <c r="E6401" s="22">
        <f>IF(D6401="?OLD","!!!","")</f>
        <v/>
      </c>
      <c r="F6401" s="23" t="str">
        <f>IF(OR(E6401="",E6401="!!!"),"",IF(NOT(ISNA(VLOOKUP(E6401,E$1:E6400,1,FALSE()))),"OLD",IF(AND(E6401&lt;&gt;"",E6401&lt;&gt;"!!!"),"NEW","")))</f>
        <v> </v>
      </c>
      <c r="G6401" s="24" t="str">
        <f>IF(OR(E6401="",E6401="!!!"),"",IF(OR(J6401=0,AND(J6401=1,K6401=1),AND(J6401=1,I6401="SBJ"),AND(J6401=1,I6401=0)),"?IN_FOCUS",IF(J6401&lt;=2,"?ACTIVATED",IF(J6401&lt;&gt;"","?FAMILIAR",IF(F6401="NEW",IF(ISNA(VLOOKUP(E6401,#REF!,1,FALSE())),"?TYPE_IDENTIFIABLE","?REFERENTIAL"),"_")))))</f>
        <v> </v>
      </c>
      <c r="H6401" s="25" t="str">
        <f>IF(J6401&lt;&gt;1,"",IF(I6401="SBJ","CB","?"))</f>
        <v> </v>
      </c>
      <c r="I6401" s="26" t="str">
        <f>IF(OR(E6401="",E6401="!!!",F6401="NEW"),"",INDEX(B6400:B$2,-1+SUMPRODUCT(MAX(ROW(E6400:E$2)*(E6401=E6400:E$2)))))</f>
        <v> </v>
      </c>
      <c r="J6401" s="26" t="str">
        <f>IF(OR(E6401="",E6401="!!!",F6401="NEW"),"",COUNTBLANK(OFFSET(A$1,,,SUMPRODUCT(MAX(ROW(E$2:E6401)*(E6401=E$2:E6401)))))-COUNTBLANK(OFFSET(A$1,,,SUMPRODUCT(MAX(ROW(E$1:E6400)*(E2=E$1:E6400))))))</f>
        <v> </v>
      </c>
      <c r="K6401" s="26" t="str">
        <f>IF(OR(E6401="",E6401="!!!",F6401="NEW"),"",INDEX(J$1:J6400,SUMPRODUCT(MAX(ROW(E$1:E6400)*(E6401=E$1:E6400)))))</f>
        <v> </v>
      </c>
      <c r="L6401" s="27"/>
    </row>
    <row r="6402" spans="1:12">
      <c r="A6402" s="20" t="s">
        <v>1183</v>
      </c>
      <c r="E6402" s="22">
        <f>IF(D6402="?OLD","!!!","")</f>
        <v/>
      </c>
      <c r="F6402" s="23" t="str">
        <f>IF(OR(E6402="",E6402="!!!"),"",IF(NOT(ISNA(VLOOKUP(E6402,E$1:E6401,1,FALSE()))),"OLD",IF(AND(E6402&lt;&gt;"",E6402&lt;&gt;"!!!"),"NEW","")))</f>
        <v> </v>
      </c>
      <c r="G6402" s="24" t="str">
        <f>IF(OR(E6402="",E6402="!!!"),"",IF(OR(J6402=0,AND(J6402=1,K6402=1),AND(J6402=1,I6402="SBJ"),AND(J6402=1,I6402=0)),"?IN_FOCUS",IF(J6402&lt;=2,"?ACTIVATED",IF(J6402&lt;&gt;"","?FAMILIAR",IF(F6402="NEW",IF(ISNA(VLOOKUP(E6402,#REF!,1,FALSE())),"?TYPE_IDENTIFIABLE","?REFERENTIAL"),"_")))))</f>
        <v> </v>
      </c>
      <c r="H6402" s="25" t="str">
        <f>IF(J6402&lt;&gt;1,"",IF(I6402="SBJ","CB","?"))</f>
        <v> </v>
      </c>
      <c r="I6402" s="26" t="str">
        <f>IF(OR(E6402="",E6402="!!!",F6402="NEW"),"",INDEX(B6401:B$2,-1+SUMPRODUCT(MAX(ROW(E6401:E$2)*(E6402=E6401:E$2)))))</f>
        <v> </v>
      </c>
      <c r="J6402" s="26" t="str">
        <f>IF(OR(E6402="",E6402="!!!",F6402="NEW"),"",COUNTBLANK(OFFSET(A$1,,,SUMPRODUCT(MAX(ROW(E$2:E6402)*(E6402=E$2:E6402)))))-COUNTBLANK(OFFSET(A$1,,,SUMPRODUCT(MAX(ROW(E$1:E6401)*(E2=E$1:E6401))))))</f>
        <v> </v>
      </c>
      <c r="K6402" s="26" t="str">
        <f>IF(OR(E6402="",E6402="!!!",F6402="NEW"),"",INDEX(J$1:J6401,SUMPRODUCT(MAX(ROW(E$1:E6401)*(E6402=E$1:E6401)))))</f>
        <v> </v>
      </c>
      <c r="L6402" s="27"/>
    </row>
    <row r="6403" spans="1:12">
      <c r="A6403" s="20" t="s">
        <v>2560</v>
      </c>
      <c r="E6403" s="22">
        <f>IF(D6403="?OLD","!!!","")</f>
        <v/>
      </c>
      <c r="F6403" s="23" t="str">
        <f>IF(OR(E6403="",E6403="!!!"),"",IF(NOT(ISNA(VLOOKUP(E6403,E$1:E6402,1,FALSE()))),"OLD",IF(AND(E6403&lt;&gt;"",E6403&lt;&gt;"!!!"),"NEW","")))</f>
        <v> </v>
      </c>
      <c r="G6403" s="24" t="str">
        <f>IF(OR(E6403="",E6403="!!!"),"",IF(OR(J6403=0,AND(J6403=1,K6403=1),AND(J6403=1,I6403="SBJ"),AND(J6403=1,I6403=0)),"?IN_FOCUS",IF(J6403&lt;=2,"?ACTIVATED",IF(J6403&lt;&gt;"","?FAMILIAR",IF(F6403="NEW",IF(ISNA(VLOOKUP(E6403,#REF!,1,FALSE())),"?TYPE_IDENTIFIABLE","?REFERENTIAL"),"_")))))</f>
        <v> </v>
      </c>
      <c r="H6403" s="25" t="str">
        <f>IF(J6403&lt;&gt;1,"",IF(I6403="SBJ","CB","?"))</f>
        <v> </v>
      </c>
      <c r="I6403" s="26" t="str">
        <f>IF(OR(E6403="",E6403="!!!",F6403="NEW"),"",INDEX(B6402:B$2,-1+SUMPRODUCT(MAX(ROW(E6402:E$2)*(E6403=E6402:E$2)))))</f>
        <v> </v>
      </c>
      <c r="J6403" s="26" t="str">
        <f>IF(OR(E6403="",E6403="!!!",F6403="NEW"),"",COUNTBLANK(OFFSET(A$1,,,SUMPRODUCT(MAX(ROW(E$2:E6403)*(E6403=E$2:E6403)))))-COUNTBLANK(OFFSET(A$1,,,SUMPRODUCT(MAX(ROW(E$1:E6402)*(E2=E$1:E6402))))))</f>
        <v> </v>
      </c>
      <c r="K6403" s="26" t="str">
        <f>IF(OR(E6403="",E6403="!!!",F6403="NEW"),"",INDEX(J$1:J6402,SUMPRODUCT(MAX(ROW(E$1:E6402)*(E6403=E$1:E6402)))))</f>
        <v> </v>
      </c>
      <c r="L6403" s="27"/>
    </row>
    <row r="6404" spans="1:12">
      <c r="A6404" s="20" t="s">
        <v>2561</v>
      </c>
      <c r="B6404" s="21" t="s">
        <v>989</v>
      </c>
      <c r="C6404" s="21" t="s">
        <v>990</v>
      </c>
      <c r="D6404" s="21" t="s">
        <v>978</v>
      </c>
      <c r="E6404" s="22">
        <f>IF(D6404="?OLD","!!!","")</f>
        <v/>
      </c>
      <c r="F6404" s="23" t="str">
        <f>IF(OR(E6404="",E6404="!!!"),"",IF(NOT(ISNA(VLOOKUP(E6404,E$1:E6403,1,FALSE()))),"OLD",IF(AND(E6404&lt;&gt;"",E6404&lt;&gt;"!!!"),"NEW","")))</f>
        <v> </v>
      </c>
      <c r="G6404" s="24" t="str">
        <f>IF(OR(E6404="",E6404="!!!"),"",IF(OR(J6404=0,AND(J6404=1,K6404=1),AND(J6404=1,I6404="SBJ"),AND(J6404=1,I6404=0)),"?IN_FOCUS",IF(J6404&lt;=2,"?ACTIVATED",IF(J6404&lt;&gt;"","?FAMILIAR",IF(F6404="NEW",IF(ISNA(VLOOKUP(E6404,#REF!,1,FALSE())),"?TYPE_IDENTIFIABLE","?REFERENTIAL"),"_")))))</f>
        <v> </v>
      </c>
      <c r="H6404" s="25" t="str">
        <f>IF(J6404&lt;&gt;1,"",IF(I6404="SBJ","CB","?"))</f>
        <v> </v>
      </c>
      <c r="I6404" s="26" t="str">
        <f>IF(OR(E6404="",E6404="!!!",F6404="NEW"),"",INDEX(B6403:B$2,-1+SUMPRODUCT(MAX(ROW(E6403:E$2)*(E6404=E6403:E$2)))))</f>
        <v> </v>
      </c>
      <c r="J6404" s="26" t="str">
        <f>IF(OR(E6404="",E6404="!!!",F6404="NEW"),"",COUNTBLANK(OFFSET(A$1,,,SUMPRODUCT(MAX(ROW(E$2:E6404)*(E6404=E$2:E6404)))))-COUNTBLANK(OFFSET(A$1,,,SUMPRODUCT(MAX(ROW(E$1:E6403)*(E2=E$1:E6403))))))</f>
        <v> </v>
      </c>
      <c r="K6404" s="26" t="str">
        <f>IF(OR(E6404="",E6404="!!!",F6404="NEW"),"",INDEX(J$1:J6403,SUMPRODUCT(MAX(ROW(E$1:E6403)*(E6404=E$1:E6403)))))</f>
        <v> </v>
      </c>
      <c r="L6404" s="27"/>
    </row>
    <row r="6405" spans="1:12">
      <c r="A6405" s="20" t="s">
        <v>1022</v>
      </c>
      <c r="E6405" s="22">
        <f>IF(D6405="?OLD","!!!","")</f>
        <v/>
      </c>
      <c r="F6405" s="23" t="str">
        <f>IF(OR(E6405="",E6405="!!!"),"",IF(NOT(ISNA(VLOOKUP(E6405,E$1:E6404,1,FALSE()))),"OLD",IF(AND(E6405&lt;&gt;"",E6405&lt;&gt;"!!!"),"NEW","")))</f>
        <v> </v>
      </c>
      <c r="G6405" s="24" t="str">
        <f>IF(OR(E6405="",E6405="!!!"),"",IF(OR(J6405=0,AND(J6405=1,K6405=1),AND(J6405=1,I6405="SBJ"),AND(J6405=1,I6405=0)),"?IN_FOCUS",IF(J6405&lt;=2,"?ACTIVATED",IF(J6405&lt;&gt;"","?FAMILIAR",IF(F6405="NEW",IF(ISNA(VLOOKUP(E6405,#REF!,1,FALSE())),"?TYPE_IDENTIFIABLE","?REFERENTIAL"),"_")))))</f>
        <v> </v>
      </c>
      <c r="H6405" s="25" t="str">
        <f>IF(J6405&lt;&gt;1,"",IF(I6405="SBJ","CB","?"))</f>
        <v> </v>
      </c>
      <c r="I6405" s="26" t="str">
        <f>IF(OR(E6405="",E6405="!!!",F6405="NEW"),"",INDEX(B6404:B$2,-1+SUMPRODUCT(MAX(ROW(E6404:E$2)*(E6405=E6404:E$2)))))</f>
        <v> </v>
      </c>
      <c r="J6405" s="26" t="str">
        <f>IF(OR(E6405="",E6405="!!!",F6405="NEW"),"",COUNTBLANK(OFFSET(A$1,,,SUMPRODUCT(MAX(ROW(E$2:E6405)*(E6405=E$2:E6405)))))-COUNTBLANK(OFFSET(A$1,,,SUMPRODUCT(MAX(ROW(E$1:E6404)*(E2=E$1:E6404))))))</f>
        <v> </v>
      </c>
      <c r="K6405" s="26" t="str">
        <f>IF(OR(E6405="",E6405="!!!",F6405="NEW"),"",INDEX(J$1:J6404,SUMPRODUCT(MAX(ROW(E$1:E6404)*(E6405=E$1:E6404)))))</f>
        <v> </v>
      </c>
      <c r="L6405" s="27"/>
    </row>
    <row r="6406" spans="1:12">
      <c r="A6406" s="20"/>
    </row>
    <row r="6407" spans="1:12">
      <c r="A6407" s="20" t="s">
        <v>2562</v>
      </c>
    </row>
    <row r="6408" spans="1:12">
      <c r="A6408" s="20" t="s">
        <v>1357</v>
      </c>
      <c r="E6408" s="22">
        <f>IF(D6408="?OLD","!!!","")</f>
        <v/>
      </c>
      <c r="F6408" s="23" t="str">
        <f>IF(OR(E6408="",E6408="!!!"),"",IF(NOT(ISNA(VLOOKUP(E6408,E$1:E6407,1,FALSE()))),"OLD",IF(AND(E6408&lt;&gt;"",E6408&lt;&gt;"!!!"),"NEW","")))</f>
        <v> </v>
      </c>
      <c r="G6408" s="24" t="str">
        <f>IF(OR(E6408="",E6408="!!!"),"",IF(OR(J6408=0,AND(J6408=1,K6408=1),AND(J6408=1,I6408="SBJ"),AND(J6408=1,I6408=0)),"?IN_FOCUS",IF(J6408&lt;=2,"?ACTIVATED",IF(J6408&lt;&gt;"","?FAMILIAR",IF(F6408="NEW",IF(ISNA(VLOOKUP(E6408,#REF!,1,FALSE())),"?TYPE_IDENTIFIABLE","?REFERENTIAL"),"_")))))</f>
        <v> </v>
      </c>
      <c r="H6408" s="25" t="str">
        <f>IF(J6408&lt;&gt;1,"",IF(I6408="SBJ","CB","?"))</f>
        <v> </v>
      </c>
      <c r="I6408" s="26" t="str">
        <f>IF(OR(E6408="",E6408="!!!",F6408="NEW"),"",INDEX(B6407:B$2,-1+SUMPRODUCT(MAX(ROW(E6407:E$2)*(E6408=E6407:E$2)))))</f>
        <v> </v>
      </c>
      <c r="J6408" s="26" t="str">
        <f>IF(OR(E6408="",E6408="!!!",F6408="NEW"),"",COUNTBLANK(OFFSET(A$1,,,SUMPRODUCT(MAX(ROW(E$2:E6408)*(E6408=E$2:E6408)))))-COUNTBLANK(OFFSET(A$1,,,SUMPRODUCT(MAX(ROW(E$1:E6407)*(E2=E$1:E6407))))))</f>
        <v> </v>
      </c>
      <c r="K6408" s="26" t="str">
        <f>IF(OR(E6408="",E6408="!!!",F6408="NEW"),"",INDEX(J$1:J6407,SUMPRODUCT(MAX(ROW(E$1:E6407)*(E6408=E$1:E6407)))))</f>
        <v> </v>
      </c>
      <c r="L6408" s="27"/>
    </row>
    <row r="6409" spans="1:12">
      <c r="A6409" s="20" t="s">
        <v>1017</v>
      </c>
      <c r="E6409" s="22">
        <f>IF(D6409="?OLD","!!!","")</f>
        <v/>
      </c>
      <c r="F6409" s="23" t="str">
        <f>IF(OR(E6409="",E6409="!!!"),"",IF(NOT(ISNA(VLOOKUP(E6409,E$1:E6408,1,FALSE()))),"OLD",IF(AND(E6409&lt;&gt;"",E6409&lt;&gt;"!!!"),"NEW","")))</f>
        <v> </v>
      </c>
      <c r="G6409" s="24" t="str">
        <f>IF(OR(E6409="",E6409="!!!"),"",IF(OR(J6409=0,AND(J6409=1,K6409=1),AND(J6409=1,I6409="SBJ"),AND(J6409=1,I6409=0)),"?IN_FOCUS",IF(J6409&lt;=2,"?ACTIVATED",IF(J6409&lt;&gt;"","?FAMILIAR",IF(F6409="NEW",IF(ISNA(VLOOKUP(E6409,#REF!,1,FALSE())),"?TYPE_IDENTIFIABLE","?REFERENTIAL"),"_")))))</f>
        <v> </v>
      </c>
      <c r="H6409" s="25" t="str">
        <f>IF(J6409&lt;&gt;1,"",IF(I6409="SBJ","CB","?"))</f>
        <v> </v>
      </c>
      <c r="I6409" s="26" t="str">
        <f>IF(OR(E6409="",E6409="!!!",F6409="NEW"),"",INDEX(B6408:B$2,-1+SUMPRODUCT(MAX(ROW(E6408:E$2)*(E6409=E6408:E$2)))))</f>
        <v> </v>
      </c>
      <c r="J6409" s="26" t="str">
        <f>IF(OR(E6409="",E6409="!!!",F6409="NEW"),"",COUNTBLANK(OFFSET(A$1,,,SUMPRODUCT(MAX(ROW(E$2:E6409)*(E6409=E$2:E6409)))))-COUNTBLANK(OFFSET(A$1,,,SUMPRODUCT(MAX(ROW(E$1:E6408)*(E2=E$1:E6408))))))</f>
        <v> </v>
      </c>
      <c r="K6409" s="26" t="str">
        <f>IF(OR(E6409="",E6409="!!!",F6409="NEW"),"",INDEX(J$1:J6408,SUMPRODUCT(MAX(ROW(E$1:E6408)*(E6409=E$1:E6408)))))</f>
        <v> </v>
      </c>
      <c r="L6409" s="27"/>
    </row>
    <row r="6410" spans="1:12">
      <c r="A6410" s="20" t="s">
        <v>2209</v>
      </c>
      <c r="E6410" s="22">
        <f>IF(D6410="?OLD","!!!","")</f>
        <v/>
      </c>
      <c r="F6410" s="23" t="str">
        <f>IF(OR(E6410="",E6410="!!!"),"",IF(NOT(ISNA(VLOOKUP(E6410,E$1:E6409,1,FALSE()))),"OLD",IF(AND(E6410&lt;&gt;"",E6410&lt;&gt;"!!!"),"NEW","")))</f>
        <v> </v>
      </c>
      <c r="G6410" s="24" t="str">
        <f>IF(OR(E6410="",E6410="!!!"),"",IF(OR(J6410=0,AND(J6410=1,K6410=1),AND(J6410=1,I6410="SBJ"),AND(J6410=1,I6410=0)),"?IN_FOCUS",IF(J6410&lt;=2,"?ACTIVATED",IF(J6410&lt;&gt;"","?FAMILIAR",IF(F6410="NEW",IF(ISNA(VLOOKUP(E6410,#REF!,1,FALSE())),"?TYPE_IDENTIFIABLE","?REFERENTIAL"),"_")))))</f>
        <v> </v>
      </c>
      <c r="H6410" s="25" t="str">
        <f>IF(J6410&lt;&gt;1,"",IF(I6410="SBJ","CB","?"))</f>
        <v> </v>
      </c>
      <c r="I6410" s="26" t="str">
        <f>IF(OR(E6410="",E6410="!!!",F6410="NEW"),"",INDEX(B6409:B$2,-1+SUMPRODUCT(MAX(ROW(E6409:E$2)*(E6410=E6409:E$2)))))</f>
        <v> </v>
      </c>
      <c r="J6410" s="26" t="str">
        <f>IF(OR(E6410="",E6410="!!!",F6410="NEW"),"",COUNTBLANK(OFFSET(A$1,,,SUMPRODUCT(MAX(ROW(E$2:E6410)*(E6410=E$2:E6410)))))-COUNTBLANK(OFFSET(A$1,,,SUMPRODUCT(MAX(ROW(E$1:E6409)*(E2=E$1:E6409))))))</f>
        <v> </v>
      </c>
      <c r="K6410" s="26" t="str">
        <f>IF(OR(E6410="",E6410="!!!",F6410="NEW"),"",INDEX(J$1:J6409,SUMPRODUCT(MAX(ROW(E$1:E6409)*(E6410=E$1:E6409)))))</f>
        <v> </v>
      </c>
      <c r="L6410" s="27"/>
    </row>
    <row r="6411" spans="1:12">
      <c r="A6411" s="20" t="s">
        <v>1038</v>
      </c>
      <c r="E6411" s="22">
        <f>IF(D6411="?OLD","!!!","")</f>
        <v/>
      </c>
      <c r="F6411" s="23" t="str">
        <f>IF(OR(E6411="",E6411="!!!"),"",IF(NOT(ISNA(VLOOKUP(E6411,E$1:E6410,1,FALSE()))),"OLD",IF(AND(E6411&lt;&gt;"",E6411&lt;&gt;"!!!"),"NEW","")))</f>
        <v> </v>
      </c>
      <c r="G6411" s="24" t="str">
        <f>IF(OR(E6411="",E6411="!!!"),"",IF(OR(J6411=0,AND(J6411=1,K6411=1),AND(J6411=1,I6411="SBJ"),AND(J6411=1,I6411=0)),"?IN_FOCUS",IF(J6411&lt;=2,"?ACTIVATED",IF(J6411&lt;&gt;"","?FAMILIAR",IF(F6411="NEW",IF(ISNA(VLOOKUP(E6411,#REF!,1,FALSE())),"?TYPE_IDENTIFIABLE","?REFERENTIAL"),"_")))))</f>
        <v> </v>
      </c>
      <c r="H6411" s="25" t="str">
        <f>IF(J6411&lt;&gt;1,"",IF(I6411="SBJ","CB","?"))</f>
        <v> </v>
      </c>
      <c r="I6411" s="26" t="str">
        <f>IF(OR(E6411="",E6411="!!!",F6411="NEW"),"",INDEX(B6410:B$2,-1+SUMPRODUCT(MAX(ROW(E6410:E$2)*(E6411=E6410:E$2)))))</f>
        <v> </v>
      </c>
      <c r="J6411" s="26" t="str">
        <f>IF(OR(E6411="",E6411="!!!",F6411="NEW"),"",COUNTBLANK(OFFSET(A$1,,,SUMPRODUCT(MAX(ROW(E$2:E6411)*(E6411=E$2:E6411)))))-COUNTBLANK(OFFSET(A$1,,,SUMPRODUCT(MAX(ROW(E$1:E6410)*(E2=E$1:E6410))))))</f>
        <v> </v>
      </c>
      <c r="K6411" s="26" t="str">
        <f>IF(OR(E6411="",E6411="!!!",F6411="NEW"),"",INDEX(J$1:J6410,SUMPRODUCT(MAX(ROW(E$1:E6410)*(E6411=E$1:E6410)))))</f>
        <v> </v>
      </c>
      <c r="L6411" s="27"/>
    </row>
    <row r="6412" spans="1:12">
      <c r="A6412" s="20" t="s">
        <v>1154</v>
      </c>
      <c r="B6412" s="21" t="s">
        <v>1095</v>
      </c>
      <c r="C6412" s="21" t="s">
        <v>977</v>
      </c>
      <c r="D6412" s="21" t="s">
        <v>978</v>
      </c>
      <c r="E6412" s="22">
        <f>IF(D6412="?OLD","!!!","")</f>
        <v/>
      </c>
      <c r="F6412" s="23" t="str">
        <f>IF(OR(E6412="",E6412="!!!"),"",IF(NOT(ISNA(VLOOKUP(E6412,E$1:E6411,1,FALSE()))),"OLD",IF(AND(E6412&lt;&gt;"",E6412&lt;&gt;"!!!"),"NEW","")))</f>
        <v> </v>
      </c>
      <c r="G6412" s="24" t="str">
        <f>IF(OR(E6412="",E6412="!!!"),"",IF(OR(J6412=0,AND(J6412=1,K6412=1),AND(J6412=1,I6412="SBJ"),AND(J6412=1,I6412=0)),"?IN_FOCUS",IF(J6412&lt;=2,"?ACTIVATED",IF(J6412&lt;&gt;"","?FAMILIAR",IF(F6412="NEW",IF(ISNA(VLOOKUP(E6412,#REF!,1,FALSE())),"?TYPE_IDENTIFIABLE","?REFERENTIAL"),"_")))))</f>
        <v> </v>
      </c>
      <c r="H6412" s="25" t="str">
        <f>IF(J6412&lt;&gt;1,"",IF(I6412="SBJ","CB","?"))</f>
        <v> </v>
      </c>
      <c r="I6412" s="26" t="str">
        <f>IF(OR(E6412="",E6412="!!!",F6412="NEW"),"",INDEX(B6411:B$2,-1+SUMPRODUCT(MAX(ROW(E6411:E$2)*(E6412=E6411:E$2)))))</f>
        <v> </v>
      </c>
      <c r="J6412" s="26" t="str">
        <f>IF(OR(E6412="",E6412="!!!",F6412="NEW"),"",COUNTBLANK(OFFSET(A$1,,,SUMPRODUCT(MAX(ROW(E$2:E6412)*(E6412=E$2:E6412)))))-COUNTBLANK(OFFSET(A$1,,,SUMPRODUCT(MAX(ROW(E$1:E6411)*(E2=E$1:E6411))))))</f>
        <v> </v>
      </c>
      <c r="K6412" s="26" t="str">
        <f>IF(OR(E6412="",E6412="!!!",F6412="NEW"),"",INDEX(J$1:J6411,SUMPRODUCT(MAX(ROW(E$1:E6411)*(E6412=E$1:E6411)))))</f>
        <v> </v>
      </c>
      <c r="L6412" s="27"/>
    </row>
    <row r="6413" spans="1:12">
      <c r="A6413" s="20" t="s">
        <v>979</v>
      </c>
      <c r="E6413" s="22">
        <f>IF(D6413="?OLD","!!!","")</f>
        <v/>
      </c>
      <c r="F6413" s="23" t="str">
        <f>IF(OR(E6413="",E6413="!!!"),"",IF(NOT(ISNA(VLOOKUP(E6413,E$1:E6412,1,FALSE()))),"OLD",IF(AND(E6413&lt;&gt;"",E6413&lt;&gt;"!!!"),"NEW","")))</f>
        <v> </v>
      </c>
      <c r="G6413" s="24" t="str">
        <f>IF(OR(E6413="",E6413="!!!"),"",IF(OR(J6413=0,AND(J6413=1,K6413=1),AND(J6413=1,I6413="SBJ"),AND(J6413=1,I6413=0)),"?IN_FOCUS",IF(J6413&lt;=2,"?ACTIVATED",IF(J6413&lt;&gt;"","?FAMILIAR",IF(F6413="NEW",IF(ISNA(VLOOKUP(E6413,#REF!,1,FALSE())),"?TYPE_IDENTIFIABLE","?REFERENTIAL"),"_")))))</f>
        <v> </v>
      </c>
      <c r="H6413" s="25" t="str">
        <f>IF(J6413&lt;&gt;1,"",IF(I6413="SBJ","CB","?"))</f>
        <v> </v>
      </c>
      <c r="I6413" s="26" t="str">
        <f>IF(OR(E6413="",E6413="!!!",F6413="NEW"),"",INDEX(B6412:B$2,-1+SUMPRODUCT(MAX(ROW(E6412:E$2)*(E6413=E6412:E$2)))))</f>
        <v> </v>
      </c>
      <c r="J6413" s="26" t="str">
        <f>IF(OR(E6413="",E6413="!!!",F6413="NEW"),"",COUNTBLANK(OFFSET(A$1,,,SUMPRODUCT(MAX(ROW(E$2:E6413)*(E6413=E$2:E6413)))))-COUNTBLANK(OFFSET(A$1,,,SUMPRODUCT(MAX(ROW(E$1:E6412)*(E2=E$1:E6412))))))</f>
        <v> </v>
      </c>
      <c r="K6413" s="26" t="str">
        <f>IF(OR(E6413="",E6413="!!!",F6413="NEW"),"",INDEX(J$1:J6412,SUMPRODUCT(MAX(ROW(E$1:E6412)*(E6413=E$1:E6412)))))</f>
        <v> </v>
      </c>
      <c r="L6413" s="27"/>
    </row>
    <row r="6414" spans="1:12">
      <c r="A6414" s="20" t="s">
        <v>2539</v>
      </c>
      <c r="E6414" s="22">
        <f>IF(D6414="?OLD","!!!","")</f>
        <v/>
      </c>
      <c r="F6414" s="23" t="str">
        <f>IF(OR(E6414="",E6414="!!!"),"",IF(NOT(ISNA(VLOOKUP(E6414,E$1:E6413,1,FALSE()))),"OLD",IF(AND(E6414&lt;&gt;"",E6414&lt;&gt;"!!!"),"NEW","")))</f>
        <v> </v>
      </c>
      <c r="G6414" s="24" t="str">
        <f>IF(OR(E6414="",E6414="!!!"),"",IF(OR(J6414=0,AND(J6414=1,K6414=1),AND(J6414=1,I6414="SBJ"),AND(J6414=1,I6414=0)),"?IN_FOCUS",IF(J6414&lt;=2,"?ACTIVATED",IF(J6414&lt;&gt;"","?FAMILIAR",IF(F6414="NEW",IF(ISNA(VLOOKUP(E6414,#REF!,1,FALSE())),"?TYPE_IDENTIFIABLE","?REFERENTIAL"),"_")))))</f>
        <v> </v>
      </c>
      <c r="H6414" s="25" t="str">
        <f>IF(J6414&lt;&gt;1,"",IF(I6414="SBJ","CB","?"))</f>
        <v> </v>
      </c>
      <c r="I6414" s="26" t="str">
        <f>IF(OR(E6414="",E6414="!!!",F6414="NEW"),"",INDEX(B6413:B$2,-1+SUMPRODUCT(MAX(ROW(E6413:E$2)*(E6414=E6413:E$2)))))</f>
        <v> </v>
      </c>
      <c r="J6414" s="26" t="str">
        <f>IF(OR(E6414="",E6414="!!!",F6414="NEW"),"",COUNTBLANK(OFFSET(A$1,,,SUMPRODUCT(MAX(ROW(E$2:E6414)*(E6414=E$2:E6414)))))-COUNTBLANK(OFFSET(A$1,,,SUMPRODUCT(MAX(ROW(E$1:E6413)*(E2=E$1:E6413))))))</f>
        <v> </v>
      </c>
      <c r="K6414" s="26" t="str">
        <f>IF(OR(E6414="",E6414="!!!",F6414="NEW"),"",INDEX(J$1:J6413,SUMPRODUCT(MAX(ROW(E$1:E6413)*(E6414=E$1:E6413)))))</f>
        <v> </v>
      </c>
      <c r="L6414" s="27"/>
    </row>
    <row r="6415" spans="1:12">
      <c r="A6415" s="20" t="s">
        <v>1004</v>
      </c>
      <c r="E6415" s="22">
        <f>IF(D6415="?OLD","!!!","")</f>
        <v/>
      </c>
      <c r="F6415" s="23" t="str">
        <f>IF(OR(E6415="",E6415="!!!"),"",IF(NOT(ISNA(VLOOKUP(E6415,E$1:E6414,1,FALSE()))),"OLD",IF(AND(E6415&lt;&gt;"",E6415&lt;&gt;"!!!"),"NEW","")))</f>
        <v> </v>
      </c>
      <c r="G6415" s="24" t="str">
        <f>IF(OR(E6415="",E6415="!!!"),"",IF(OR(J6415=0,AND(J6415=1,K6415=1),AND(J6415=1,I6415="SBJ"),AND(J6415=1,I6415=0)),"?IN_FOCUS",IF(J6415&lt;=2,"?ACTIVATED",IF(J6415&lt;&gt;"","?FAMILIAR",IF(F6415="NEW",IF(ISNA(VLOOKUP(E6415,#REF!,1,FALSE())),"?TYPE_IDENTIFIABLE","?REFERENTIAL"),"_")))))</f>
        <v> </v>
      </c>
      <c r="H6415" s="25" t="str">
        <f>IF(J6415&lt;&gt;1,"",IF(I6415="SBJ","CB","?"))</f>
        <v> </v>
      </c>
      <c r="I6415" s="26" t="str">
        <f>IF(OR(E6415="",E6415="!!!",F6415="NEW"),"",INDEX(B6414:B$2,-1+SUMPRODUCT(MAX(ROW(E6414:E$2)*(E6415=E6414:E$2)))))</f>
        <v> </v>
      </c>
      <c r="J6415" s="26" t="str">
        <f>IF(OR(E6415="",E6415="!!!",F6415="NEW"),"",COUNTBLANK(OFFSET(A$1,,,SUMPRODUCT(MAX(ROW(E$2:E6415)*(E6415=E$2:E6415)))))-COUNTBLANK(OFFSET(A$1,,,SUMPRODUCT(MAX(ROW(E$1:E6414)*(E2=E$1:E6414))))))</f>
        <v> </v>
      </c>
      <c r="K6415" s="26" t="str">
        <f>IF(OR(E6415="",E6415="!!!",F6415="NEW"),"",INDEX(J$1:J6414,SUMPRODUCT(MAX(ROW(E$1:E6414)*(E6415=E$1:E6414)))))</f>
        <v> </v>
      </c>
      <c r="L6415" s="27"/>
    </row>
    <row r="6416" spans="1:12">
      <c r="A6416" s="20" t="s">
        <v>2563</v>
      </c>
      <c r="E6416" s="22">
        <f>IF(D6416="?OLD","!!!","")</f>
        <v/>
      </c>
      <c r="F6416" s="23" t="str">
        <f>IF(OR(E6416="",E6416="!!!"),"",IF(NOT(ISNA(VLOOKUP(E6416,E$1:E6415,1,FALSE()))),"OLD",IF(AND(E6416&lt;&gt;"",E6416&lt;&gt;"!!!"),"NEW","")))</f>
        <v> </v>
      </c>
      <c r="G6416" s="24" t="str">
        <f>IF(OR(E6416="",E6416="!!!"),"",IF(OR(J6416=0,AND(J6416=1,K6416=1),AND(J6416=1,I6416="SBJ"),AND(J6416=1,I6416=0)),"?IN_FOCUS",IF(J6416&lt;=2,"?ACTIVATED",IF(J6416&lt;&gt;"","?FAMILIAR",IF(F6416="NEW",IF(ISNA(VLOOKUP(E6416,#REF!,1,FALSE())),"?TYPE_IDENTIFIABLE","?REFERENTIAL"),"_")))))</f>
        <v> </v>
      </c>
      <c r="H6416" s="25" t="str">
        <f>IF(J6416&lt;&gt;1,"",IF(I6416="SBJ","CB","?"))</f>
        <v> </v>
      </c>
      <c r="I6416" s="26" t="str">
        <f>IF(OR(E6416="",E6416="!!!",F6416="NEW"),"",INDEX(B6415:B$2,-1+SUMPRODUCT(MAX(ROW(E6415:E$2)*(E6416=E6415:E$2)))))</f>
        <v> </v>
      </c>
      <c r="J6416" s="26" t="str">
        <f>IF(OR(E6416="",E6416="!!!",F6416="NEW"),"",COUNTBLANK(OFFSET(A$1,,,SUMPRODUCT(MAX(ROW(E$2:E6416)*(E6416=E$2:E6416)))))-COUNTBLANK(OFFSET(A$1,,,SUMPRODUCT(MAX(ROW(E$1:E6415)*(E2=E$1:E6415))))))</f>
        <v> </v>
      </c>
      <c r="K6416" s="26" t="str">
        <f>IF(OR(E6416="",E6416="!!!",F6416="NEW"),"",INDEX(J$1:J6415,SUMPRODUCT(MAX(ROW(E$1:E6415)*(E6416=E$1:E6415)))))</f>
        <v> </v>
      </c>
      <c r="L6416" s="27"/>
    </row>
    <row r="6417" spans="1:12">
      <c r="A6417" s="20" t="s">
        <v>1065</v>
      </c>
      <c r="E6417" s="22">
        <f>IF(D6417="?OLD","!!!","")</f>
        <v/>
      </c>
      <c r="F6417" s="23" t="str">
        <f>IF(OR(E6417="",E6417="!!!"),"",IF(NOT(ISNA(VLOOKUP(E6417,E$1:E6416,1,FALSE()))),"OLD",IF(AND(E6417&lt;&gt;"",E6417&lt;&gt;"!!!"),"NEW","")))</f>
        <v> </v>
      </c>
      <c r="G6417" s="24" t="str">
        <f>IF(OR(E6417="",E6417="!!!"),"",IF(OR(J6417=0,AND(J6417=1,K6417=1),AND(J6417=1,I6417="SBJ"),AND(J6417=1,I6417=0)),"?IN_FOCUS",IF(J6417&lt;=2,"?ACTIVATED",IF(J6417&lt;&gt;"","?FAMILIAR",IF(F6417="NEW",IF(ISNA(VLOOKUP(E6417,#REF!,1,FALSE())),"?TYPE_IDENTIFIABLE","?REFERENTIAL"),"_")))))</f>
        <v> </v>
      </c>
      <c r="H6417" s="25" t="str">
        <f>IF(J6417&lt;&gt;1,"",IF(I6417="SBJ","CB","?"))</f>
        <v> </v>
      </c>
      <c r="I6417" s="26" t="str">
        <f>IF(OR(E6417="",E6417="!!!",F6417="NEW"),"",INDEX(B6416:B$2,-1+SUMPRODUCT(MAX(ROW(E6416:E$2)*(E6417=E6416:E$2)))))</f>
        <v> </v>
      </c>
      <c r="J6417" s="26" t="str">
        <f>IF(OR(E6417="",E6417="!!!",F6417="NEW"),"",COUNTBLANK(OFFSET(A$1,,,SUMPRODUCT(MAX(ROW(E$2:E6417)*(E6417=E$2:E6417)))))-COUNTBLANK(OFFSET(A$1,,,SUMPRODUCT(MAX(ROW(E$1:E6416)*(E2=E$1:E6416))))))</f>
        <v> </v>
      </c>
      <c r="K6417" s="26" t="str">
        <f>IF(OR(E6417="",E6417="!!!",F6417="NEW"),"",INDEX(J$1:J6416,SUMPRODUCT(MAX(ROW(E$1:E6416)*(E6417=E$1:E6416)))))</f>
        <v> </v>
      </c>
      <c r="L6417" s="27"/>
    </row>
    <row r="6418" spans="1:12">
      <c r="A6418" s="20" t="s">
        <v>172</v>
      </c>
      <c r="B6418" s="21" t="s">
        <v>1101</v>
      </c>
      <c r="C6418" s="21" t="s">
        <v>1008</v>
      </c>
      <c r="D6418" s="21" t="s">
        <v>978</v>
      </c>
      <c r="E6418" s="22">
        <f>IF(D6418="?OLD","!!!","")</f>
        <v/>
      </c>
      <c r="F6418" s="23" t="str">
        <f>IF(OR(E6418="",E6418="!!!"),"",IF(NOT(ISNA(VLOOKUP(E6418,E$1:E6417,1,FALSE()))),"OLD",IF(AND(E6418&lt;&gt;"",E6418&lt;&gt;"!!!"),"NEW","")))</f>
        <v> </v>
      </c>
      <c r="G6418" s="24" t="str">
        <f>IF(OR(E6418="",E6418="!!!"),"",IF(OR(J6418=0,AND(J6418=1,K6418=1),AND(J6418=1,I6418="SBJ"),AND(J6418=1,I6418=0)),"?IN_FOCUS",IF(J6418&lt;=2,"?ACTIVATED",IF(J6418&lt;&gt;"","?FAMILIAR",IF(F6418="NEW",IF(ISNA(VLOOKUP(E6418,#REF!,1,FALSE())),"?TYPE_IDENTIFIABLE","?REFERENTIAL"),"_")))))</f>
        <v> </v>
      </c>
      <c r="H6418" s="25" t="str">
        <f>IF(J6418&lt;&gt;1,"",IF(I6418="SBJ","CB","?"))</f>
        <v> </v>
      </c>
      <c r="I6418" s="26" t="str">
        <f>IF(OR(E6418="",E6418="!!!",F6418="NEW"),"",INDEX(B6417:B$2,-1+SUMPRODUCT(MAX(ROW(E6417:E$2)*(E6418=E6417:E$2)))))</f>
        <v> </v>
      </c>
      <c r="J6418" s="26" t="str">
        <f>IF(OR(E6418="",E6418="!!!",F6418="NEW"),"",COUNTBLANK(OFFSET(A$1,,,SUMPRODUCT(MAX(ROW(E$2:E6418)*(E6418=E$2:E6418)))))-COUNTBLANK(OFFSET(A$1,,,SUMPRODUCT(MAX(ROW(E$1:E6417)*(E2=E$1:E6417))))))</f>
        <v> </v>
      </c>
      <c r="K6418" s="26" t="str">
        <f>IF(OR(E6418="",E6418="!!!",F6418="NEW"),"",INDEX(J$1:J6417,SUMPRODUCT(MAX(ROW(E$1:E6417)*(E6418=E$1:E6417)))))</f>
        <v> </v>
      </c>
      <c r="L6418" s="27"/>
    </row>
    <row r="6419" spans="1:12">
      <c r="A6419" s="20" t="s">
        <v>2129</v>
      </c>
      <c r="E6419" s="22">
        <f>IF(D6419="?OLD","!!!","")</f>
        <v/>
      </c>
      <c r="F6419" s="23" t="str">
        <f>IF(OR(E6419="",E6419="!!!"),"",IF(NOT(ISNA(VLOOKUP(E6419,E$1:E6418,1,FALSE()))),"OLD",IF(AND(E6419&lt;&gt;"",E6419&lt;&gt;"!!!"),"NEW","")))</f>
        <v> </v>
      </c>
      <c r="G6419" s="24" t="str">
        <f>IF(OR(E6419="",E6419="!!!"),"",IF(OR(J6419=0,AND(J6419=1,K6419=1),AND(J6419=1,I6419="SBJ"),AND(J6419=1,I6419=0)),"?IN_FOCUS",IF(J6419&lt;=2,"?ACTIVATED",IF(J6419&lt;&gt;"","?FAMILIAR",IF(F6419="NEW",IF(ISNA(VLOOKUP(E6419,#REF!,1,FALSE())),"?TYPE_IDENTIFIABLE","?REFERENTIAL"),"_")))))</f>
        <v> </v>
      </c>
      <c r="H6419" s="25" t="str">
        <f>IF(J6419&lt;&gt;1,"",IF(I6419="SBJ","CB","?"))</f>
        <v> </v>
      </c>
      <c r="I6419" s="26" t="str">
        <f>IF(OR(E6419="",E6419="!!!",F6419="NEW"),"",INDEX(B6418:B$2,-1+SUMPRODUCT(MAX(ROW(E6418:E$2)*(E6419=E6418:E$2)))))</f>
        <v> </v>
      </c>
      <c r="J6419" s="26" t="str">
        <f>IF(OR(E6419="",E6419="!!!",F6419="NEW"),"",COUNTBLANK(OFFSET(A$1,,,SUMPRODUCT(MAX(ROW(E$2:E6419)*(E6419=E$2:E6419)))))-COUNTBLANK(OFFSET(A$1,,,SUMPRODUCT(MAX(ROW(E$1:E6418)*(E2=E$1:E6418))))))</f>
        <v> </v>
      </c>
      <c r="K6419" s="26" t="str">
        <f>IF(OR(E6419="",E6419="!!!",F6419="NEW"),"",INDEX(J$1:J6418,SUMPRODUCT(MAX(ROW(E$1:E6418)*(E6419=E$1:E6418)))))</f>
        <v> </v>
      </c>
      <c r="L6419" s="27"/>
    </row>
    <row r="6420" spans="1:12">
      <c r="A6420" s="20" t="s">
        <v>1154</v>
      </c>
      <c r="B6420" s="21" t="s">
        <v>1042</v>
      </c>
      <c r="C6420" s="21" t="s">
        <v>977</v>
      </c>
      <c r="D6420" s="21" t="s">
        <v>978</v>
      </c>
      <c r="E6420" s="22">
        <f>IF(D6420="?OLD","!!!","")</f>
        <v/>
      </c>
      <c r="F6420" s="23" t="str">
        <f>IF(OR(E6420="",E6420="!!!"),"",IF(NOT(ISNA(VLOOKUP(E6420,E$1:E6419,1,FALSE()))),"OLD",IF(AND(E6420&lt;&gt;"",E6420&lt;&gt;"!!!"),"NEW","")))</f>
        <v> </v>
      </c>
      <c r="G6420" s="24" t="str">
        <f>IF(OR(E6420="",E6420="!!!"),"",IF(OR(J6420=0,AND(J6420=1,K6420=1),AND(J6420=1,I6420="SBJ"),AND(J6420=1,I6420=0)),"?IN_FOCUS",IF(J6420&lt;=2,"?ACTIVATED",IF(J6420&lt;&gt;"","?FAMILIAR",IF(F6420="NEW",IF(ISNA(VLOOKUP(E6420,#REF!,1,FALSE())),"?TYPE_IDENTIFIABLE","?REFERENTIAL"),"_")))))</f>
        <v> </v>
      </c>
      <c r="H6420" s="25" t="str">
        <f>IF(J6420&lt;&gt;1,"",IF(I6420="SBJ","CB","?"))</f>
        <v> </v>
      </c>
      <c r="I6420" s="26" t="str">
        <f>IF(OR(E6420="",E6420="!!!",F6420="NEW"),"",INDEX(B6419:B$2,-1+SUMPRODUCT(MAX(ROW(E6419:E$2)*(E6420=E6419:E$2)))))</f>
        <v> </v>
      </c>
      <c r="J6420" s="26" t="str">
        <f>IF(OR(E6420="",E6420="!!!",F6420="NEW"),"",COUNTBLANK(OFFSET(A$1,,,SUMPRODUCT(MAX(ROW(E$2:E6420)*(E6420=E$2:E6420)))))-COUNTBLANK(OFFSET(A$1,,,SUMPRODUCT(MAX(ROW(E$1:E6419)*(E2=E$1:E6419))))))</f>
        <v> </v>
      </c>
      <c r="K6420" s="26" t="str">
        <f>IF(OR(E6420="",E6420="!!!",F6420="NEW"),"",INDEX(J$1:J6419,SUMPRODUCT(MAX(ROW(E$1:E6419)*(E6420=E$1:E6419)))))</f>
        <v> </v>
      </c>
      <c r="L6420" s="27"/>
    </row>
    <row r="6421" spans="1:12">
      <c r="A6421" s="20" t="s">
        <v>979</v>
      </c>
      <c r="E6421" s="22">
        <f>IF(D6421="?OLD","!!!","")</f>
        <v/>
      </c>
      <c r="F6421" s="23" t="str">
        <f>IF(OR(E6421="",E6421="!!!"),"",IF(NOT(ISNA(VLOOKUP(E6421,E$1:E6420,1,FALSE()))),"OLD",IF(AND(E6421&lt;&gt;"",E6421&lt;&gt;"!!!"),"NEW","")))</f>
        <v> </v>
      </c>
      <c r="G6421" s="24" t="str">
        <f>IF(OR(E6421="",E6421="!!!"),"",IF(OR(J6421=0,AND(J6421=1,K6421=1),AND(J6421=1,I6421="SBJ"),AND(J6421=1,I6421=0)),"?IN_FOCUS",IF(J6421&lt;=2,"?ACTIVATED",IF(J6421&lt;&gt;"","?FAMILIAR",IF(F6421="NEW",IF(ISNA(VLOOKUP(E6421,#REF!,1,FALSE())),"?TYPE_IDENTIFIABLE","?REFERENTIAL"),"_")))))</f>
        <v> </v>
      </c>
      <c r="H6421" s="25" t="str">
        <f>IF(J6421&lt;&gt;1,"",IF(I6421="SBJ","CB","?"))</f>
        <v> </v>
      </c>
      <c r="I6421" s="26" t="str">
        <f>IF(OR(E6421="",E6421="!!!",F6421="NEW"),"",INDEX(B6420:B$2,-1+SUMPRODUCT(MAX(ROW(E6420:E$2)*(E6421=E6420:E$2)))))</f>
        <v> </v>
      </c>
      <c r="J6421" s="26" t="str">
        <f>IF(OR(E6421="",E6421="!!!",F6421="NEW"),"",COUNTBLANK(OFFSET(A$1,,,SUMPRODUCT(MAX(ROW(E$2:E6421)*(E6421=E$2:E6421)))))-COUNTBLANK(OFFSET(A$1,,,SUMPRODUCT(MAX(ROW(E$1:E6420)*(E2=E$1:E6420))))))</f>
        <v> </v>
      </c>
      <c r="K6421" s="26" t="str">
        <f>IF(OR(E6421="",E6421="!!!",F6421="NEW"),"",INDEX(J$1:J6420,SUMPRODUCT(MAX(ROW(E$1:E6420)*(E6421=E$1:E6420)))))</f>
        <v> </v>
      </c>
      <c r="L6421" s="27"/>
    </row>
    <row r="6422" spans="1:12">
      <c r="A6422" s="20" t="s">
        <v>2130</v>
      </c>
      <c r="B6422" s="21" t="s">
        <v>1146</v>
      </c>
      <c r="C6422" s="21" t="s">
        <v>1057</v>
      </c>
      <c r="E6422" s="22">
        <f>IF(D6422="?OLD","!!!","")</f>
        <v/>
      </c>
      <c r="F6422" s="23" t="str">
        <f>IF(OR(E6422="",E6422="!!!"),"",IF(NOT(ISNA(VLOOKUP(E6422,E$1:E6421,1,FALSE()))),"OLD",IF(AND(E6422&lt;&gt;"",E6422&lt;&gt;"!!!"),"NEW","")))</f>
        <v> </v>
      </c>
      <c r="G6422" s="24" t="str">
        <f>IF(OR(E6422="",E6422="!!!"),"",IF(OR(J6422=0,AND(J6422=1,K6422=1),AND(J6422=1,I6422="SBJ"),AND(J6422=1,I6422=0)),"?IN_FOCUS",IF(J6422&lt;=2,"?ACTIVATED",IF(J6422&lt;&gt;"","?FAMILIAR",IF(F6422="NEW",IF(ISNA(VLOOKUP(E6422,#REF!,1,FALSE())),"?TYPE_IDENTIFIABLE","?REFERENTIAL"),"_")))))</f>
        <v> </v>
      </c>
      <c r="H6422" s="25" t="str">
        <f>IF(J6422&lt;&gt;1,"",IF(I6422="SBJ","CB","?"))</f>
        <v> </v>
      </c>
      <c r="I6422" s="26" t="str">
        <f>IF(OR(E6422="",E6422="!!!",F6422="NEW"),"",INDEX(B6421:B$2,-1+SUMPRODUCT(MAX(ROW(E6421:E$2)*(E6422=E6421:E$2)))))</f>
        <v> </v>
      </c>
      <c r="J6422" s="26" t="str">
        <f>IF(OR(E6422="",E6422="!!!",F6422="NEW"),"",COUNTBLANK(OFFSET(A$1,,,SUMPRODUCT(MAX(ROW(E$2:E6422)*(E6422=E$2:E6422)))))-COUNTBLANK(OFFSET(A$1,,,SUMPRODUCT(MAX(ROW(E$1:E6421)*(E2=E$1:E6421))))))</f>
        <v> </v>
      </c>
      <c r="K6422" s="26" t="str">
        <f>IF(OR(E6422="",E6422="!!!",F6422="NEW"),"",INDEX(J$1:J6421,SUMPRODUCT(MAX(ROW(E$1:E6421)*(E6422=E$1:E6421)))))</f>
        <v> </v>
      </c>
      <c r="L6422" s="27"/>
    </row>
    <row r="6423" spans="1:12">
      <c r="A6423" s="20" t="s">
        <v>1022</v>
      </c>
      <c r="E6423" s="22">
        <f>IF(D6423="?OLD","!!!","")</f>
        <v/>
      </c>
      <c r="F6423" s="23" t="str">
        <f>IF(OR(E6423="",E6423="!!!"),"",IF(NOT(ISNA(VLOOKUP(E6423,E$1:E6422,1,FALSE()))),"OLD",IF(AND(E6423&lt;&gt;"",E6423&lt;&gt;"!!!"),"NEW","")))</f>
        <v> </v>
      </c>
      <c r="G6423" s="24" t="str">
        <f>IF(OR(E6423="",E6423="!!!"),"",IF(OR(J6423=0,AND(J6423=1,K6423=1),AND(J6423=1,I6423="SBJ"),AND(J6423=1,I6423=0)),"?IN_FOCUS",IF(J6423&lt;=2,"?ACTIVATED",IF(J6423&lt;&gt;"","?FAMILIAR",IF(F6423="NEW",IF(ISNA(VLOOKUP(E6423,#REF!,1,FALSE())),"?TYPE_IDENTIFIABLE","?REFERENTIAL"),"_")))))</f>
        <v> </v>
      </c>
      <c r="H6423" s="25" t="str">
        <f>IF(J6423&lt;&gt;1,"",IF(I6423="SBJ","CB","?"))</f>
        <v> </v>
      </c>
      <c r="I6423" s="26" t="str">
        <f>IF(OR(E6423="",E6423="!!!",F6423="NEW"),"",INDEX(B6422:B$2,-1+SUMPRODUCT(MAX(ROW(E6422:E$2)*(E6423=E6422:E$2)))))</f>
        <v> </v>
      </c>
      <c r="J6423" s="26" t="str">
        <f>IF(OR(E6423="",E6423="!!!",F6423="NEW"),"",COUNTBLANK(OFFSET(A$1,,,SUMPRODUCT(MAX(ROW(E$2:E6423)*(E6423=E$2:E6423)))))-COUNTBLANK(OFFSET(A$1,,,SUMPRODUCT(MAX(ROW(E$1:E6422)*(E2=E$1:E6422))))))</f>
        <v> </v>
      </c>
      <c r="K6423" s="26" t="str">
        <f>IF(OR(E6423="",E6423="!!!",F6423="NEW"),"",INDEX(J$1:J6422,SUMPRODUCT(MAX(ROW(E$1:E6422)*(E6423=E$1:E6422)))))</f>
        <v> </v>
      </c>
      <c r="L6423" s="27"/>
    </row>
    <row r="6424" spans="1:12">
      <c r="A6424" s="20"/>
    </row>
    <row r="6425" spans="1:12">
      <c r="A6425" s="20" t="s">
        <v>2564</v>
      </c>
    </row>
    <row r="6426" spans="1:12">
      <c r="A6426" s="20" t="s">
        <v>190</v>
      </c>
      <c r="E6426" s="22">
        <f>IF(D6426="?OLD","!!!","")</f>
        <v/>
      </c>
      <c r="F6426" s="23" t="str">
        <f>IF(OR(E6426="",E6426="!!!"),"",IF(NOT(ISNA(VLOOKUP(E6426,E$1:E6425,1,FALSE()))),"OLD",IF(AND(E6426&lt;&gt;"",E6426&lt;&gt;"!!!"),"NEW","")))</f>
        <v> </v>
      </c>
      <c r="G6426" s="24" t="str">
        <f>IF(OR(E6426="",E6426="!!!"),"",IF(OR(J6426=0,AND(J6426=1,K6426=1),AND(J6426=1,I6426="SBJ"),AND(J6426=1,I6426=0)),"?IN_FOCUS",IF(J6426&lt;=2,"?ACTIVATED",IF(J6426&lt;&gt;"","?FAMILIAR",IF(F6426="NEW",IF(ISNA(VLOOKUP(E6426,#REF!,1,FALSE())),"?TYPE_IDENTIFIABLE","?REFERENTIAL"),"_")))))</f>
        <v> </v>
      </c>
      <c r="H6426" s="25" t="str">
        <f>IF(J6426&lt;&gt;1,"",IF(I6426="SBJ","CB","?"))</f>
        <v> </v>
      </c>
      <c r="I6426" s="26" t="str">
        <f>IF(OR(E6426="",E6426="!!!",F6426="NEW"),"",INDEX(B6425:B$2,-1+SUMPRODUCT(MAX(ROW(E6425:E$2)*(E6426=E6425:E$2)))))</f>
        <v> </v>
      </c>
      <c r="J6426" s="26" t="str">
        <f>IF(OR(E6426="",E6426="!!!",F6426="NEW"),"",COUNTBLANK(OFFSET(A$1,,,SUMPRODUCT(MAX(ROW(E$2:E6426)*(E6426=E$2:E6426)))))-COUNTBLANK(OFFSET(A$1,,,SUMPRODUCT(MAX(ROW(E$1:E6425)*(E2=E$1:E6425))))))</f>
        <v> </v>
      </c>
      <c r="K6426" s="26" t="str">
        <f>IF(OR(E6426="",E6426="!!!",F6426="NEW"),"",INDEX(J$1:J6425,SUMPRODUCT(MAX(ROW(E$1:E6425)*(E6426=E$1:E6425)))))</f>
        <v> </v>
      </c>
      <c r="L6426" s="27"/>
    </row>
    <row r="6427" spans="1:12">
      <c r="A6427" s="20" t="s">
        <v>2565</v>
      </c>
      <c r="B6427" s="21" t="s">
        <v>976</v>
      </c>
      <c r="E6427" s="22">
        <f>IF(D6427="?OLD","!!!","")</f>
        <v/>
      </c>
      <c r="F6427" s="23" t="str">
        <f>IF(OR(E6427="",E6427="!!!"),"",IF(NOT(ISNA(VLOOKUP(E6427,E$1:E6426,1,FALSE()))),"OLD",IF(AND(E6427&lt;&gt;"",E6427&lt;&gt;"!!!"),"NEW","")))</f>
        <v> </v>
      </c>
      <c r="G6427" s="24" t="str">
        <f>IF(OR(E6427="",E6427="!!!"),"",IF(OR(J6427=0,AND(J6427=1,K6427=1),AND(J6427=1,I6427="SBJ"),AND(J6427=1,I6427=0)),"?IN_FOCUS",IF(J6427&lt;=2,"?ACTIVATED",IF(J6427&lt;&gt;"","?FAMILIAR",IF(F6427="NEW",IF(ISNA(VLOOKUP(E6427,#REF!,1,FALSE())),"?TYPE_IDENTIFIABLE","?REFERENTIAL"),"_")))))</f>
        <v> </v>
      </c>
      <c r="H6427" s="25" t="str">
        <f>IF(J6427&lt;&gt;1,"",IF(I6427="SBJ","CB","?"))</f>
        <v> </v>
      </c>
      <c r="I6427" s="26" t="str">
        <f>IF(OR(E6427="",E6427="!!!",F6427="NEW"),"",INDEX(B6426:B$2,-1+SUMPRODUCT(MAX(ROW(E6426:E$2)*(E6427=E6426:E$2)))))</f>
        <v> </v>
      </c>
      <c r="J6427" s="26" t="str">
        <f>IF(OR(E6427="",E6427="!!!",F6427="NEW"),"",COUNTBLANK(OFFSET(A$1,,,SUMPRODUCT(MAX(ROW(E$2:E6427)*(E6427=E$2:E6427)))))-COUNTBLANK(OFFSET(A$1,,,SUMPRODUCT(MAX(ROW(E$1:E6426)*(E2=E$1:E6426))))))</f>
        <v> </v>
      </c>
      <c r="K6427" s="26" t="str">
        <f>IF(OR(E6427="",E6427="!!!",F6427="NEW"),"",INDEX(J$1:J6426,SUMPRODUCT(MAX(ROW(E$1:E6426)*(E6427=E$1:E6426)))))</f>
        <v> </v>
      </c>
      <c r="L6427" s="27"/>
    </row>
    <row r="6428" spans="1:12">
      <c r="A6428" s="20" t="s">
        <v>2409</v>
      </c>
      <c r="B6428" s="21" t="s">
        <v>1054</v>
      </c>
      <c r="C6428" s="21" t="s">
        <v>987</v>
      </c>
      <c r="D6428" s="21" t="s">
        <v>978</v>
      </c>
      <c r="E6428" s="22">
        <f>IF(D6428="?OLD","!!!","")</f>
        <v/>
      </c>
      <c r="F6428" s="23" t="str">
        <f>IF(OR(E6428="",E6428="!!!"),"",IF(NOT(ISNA(VLOOKUP(E6428,E$1:E6427,1,FALSE()))),"OLD",IF(AND(E6428&lt;&gt;"",E6428&lt;&gt;"!!!"),"NEW","")))</f>
        <v> </v>
      </c>
      <c r="G6428" s="24" t="str">
        <f>IF(OR(E6428="",E6428="!!!"),"",IF(OR(J6428=0,AND(J6428=1,K6428=1),AND(J6428=1,I6428="SBJ"),AND(J6428=1,I6428=0)),"?IN_FOCUS",IF(J6428&lt;=2,"?ACTIVATED",IF(J6428&lt;&gt;"","?FAMILIAR",IF(F6428="NEW",IF(ISNA(VLOOKUP(E6428,#REF!,1,FALSE())),"?TYPE_IDENTIFIABLE","?REFERENTIAL"),"_")))))</f>
        <v> </v>
      </c>
      <c r="H6428" s="25" t="str">
        <f>IF(J6428&lt;&gt;1,"",IF(I6428="SBJ","CB","?"))</f>
        <v> </v>
      </c>
      <c r="I6428" s="26" t="str">
        <f>IF(OR(E6428="",E6428="!!!",F6428="NEW"),"",INDEX(B6427:B$2,-1+SUMPRODUCT(MAX(ROW(E6427:E$2)*(E6428=E6427:E$2)))))</f>
        <v> </v>
      </c>
      <c r="J6428" s="26" t="str">
        <f>IF(OR(E6428="",E6428="!!!",F6428="NEW"),"",COUNTBLANK(OFFSET(A$1,,,SUMPRODUCT(MAX(ROW(E$2:E6428)*(E6428=E$2:E6428)))))-COUNTBLANK(OFFSET(A$1,,,SUMPRODUCT(MAX(ROW(E$1:E6427)*(E2=E$1:E6427))))))</f>
        <v> </v>
      </c>
      <c r="K6428" s="26" t="str">
        <f>IF(OR(E6428="",E6428="!!!",F6428="NEW"),"",INDEX(J$1:J6427,SUMPRODUCT(MAX(ROW(E$1:E6427)*(E6428=E$1:E6427)))))</f>
        <v> </v>
      </c>
      <c r="L6428" s="27"/>
    </row>
    <row r="6429" spans="1:12">
      <c r="A6429" s="20" t="s">
        <v>1111</v>
      </c>
      <c r="B6429" s="21" t="s">
        <v>1052</v>
      </c>
      <c r="C6429" s="21" t="s">
        <v>990</v>
      </c>
      <c r="D6429" s="21" t="s">
        <v>978</v>
      </c>
      <c r="E6429" s="22">
        <f>IF(D6429="?OLD","!!!","")</f>
        <v/>
      </c>
      <c r="F6429" s="23" t="str">
        <f>IF(OR(E6429="",E6429="!!!"),"",IF(NOT(ISNA(VLOOKUP(E6429,E$1:E6428,1,FALSE()))),"OLD",IF(AND(E6429&lt;&gt;"",E6429&lt;&gt;"!!!"),"NEW","")))</f>
        <v> </v>
      </c>
      <c r="G6429" s="24" t="str">
        <f>IF(OR(E6429="",E6429="!!!"),"",IF(OR(J6429=0,AND(J6429=1,K6429=1),AND(J6429=1,I6429="SBJ"),AND(J6429=1,I6429=0)),"?IN_FOCUS",IF(J6429&lt;=2,"?ACTIVATED",IF(J6429&lt;&gt;"","?FAMILIAR",IF(F6429="NEW",IF(ISNA(VLOOKUP(E6429,#REF!,1,FALSE())),"?TYPE_IDENTIFIABLE","?REFERENTIAL"),"_")))))</f>
        <v> </v>
      </c>
      <c r="H6429" s="25" t="str">
        <f>IF(J6429&lt;&gt;1,"",IF(I6429="SBJ","CB","?"))</f>
        <v> </v>
      </c>
      <c r="I6429" s="26" t="str">
        <f>IF(OR(E6429="",E6429="!!!",F6429="NEW"),"",INDEX(B6428:B$2,-1+SUMPRODUCT(MAX(ROW(E6428:E$2)*(E6429=E6428:E$2)))))</f>
        <v> </v>
      </c>
      <c r="J6429" s="26" t="str">
        <f>IF(OR(E6429="",E6429="!!!",F6429="NEW"),"",COUNTBLANK(OFFSET(A$1,,,SUMPRODUCT(MAX(ROW(E$2:E6429)*(E6429=E$2:E6429)))))-COUNTBLANK(OFFSET(A$1,,,SUMPRODUCT(MAX(ROW(E$1:E6428)*(E2=E$1:E6428))))))</f>
        <v> </v>
      </c>
      <c r="K6429" s="26" t="str">
        <f>IF(OR(E6429="",E6429="!!!",F6429="NEW"),"",INDEX(J$1:J6428,SUMPRODUCT(MAX(ROW(E$1:E6428)*(E6429=E$1:E6428)))))</f>
        <v> </v>
      </c>
      <c r="L6429" s="27"/>
    </row>
    <row r="6430" spans="1:12">
      <c r="A6430" s="20" t="s">
        <v>1072</v>
      </c>
      <c r="E6430" s="22">
        <f>IF(D6430="?OLD","!!!","")</f>
        <v/>
      </c>
      <c r="F6430" s="23" t="str">
        <f>IF(OR(E6430="",E6430="!!!"),"",IF(NOT(ISNA(VLOOKUP(E6430,E$1:E6429,1,FALSE()))),"OLD",IF(AND(E6430&lt;&gt;"",E6430&lt;&gt;"!!!"),"NEW","")))</f>
        <v> </v>
      </c>
      <c r="G6430" s="24" t="str">
        <f>IF(OR(E6430="",E6430="!!!"),"",IF(OR(J6430=0,AND(J6430=1,K6430=1),AND(J6430=1,I6430="SBJ"),AND(J6430=1,I6430=0)),"?IN_FOCUS",IF(J6430&lt;=2,"?ACTIVATED",IF(J6430&lt;&gt;"","?FAMILIAR",IF(F6430="NEW",IF(ISNA(VLOOKUP(E6430,#REF!,1,FALSE())),"?TYPE_IDENTIFIABLE","?REFERENTIAL"),"_")))))</f>
        <v> </v>
      </c>
      <c r="H6430" s="25" t="str">
        <f>IF(J6430&lt;&gt;1,"",IF(I6430="SBJ","CB","?"))</f>
        <v> </v>
      </c>
      <c r="I6430" s="26" t="str">
        <f>IF(OR(E6430="",E6430="!!!",F6430="NEW"),"",INDEX(B6429:B$2,-1+SUMPRODUCT(MAX(ROW(E6429:E$2)*(E6430=E6429:E$2)))))</f>
        <v> </v>
      </c>
      <c r="J6430" s="26" t="str">
        <f>IF(OR(E6430="",E6430="!!!",F6430="NEW"),"",COUNTBLANK(OFFSET(A$1,,,SUMPRODUCT(MAX(ROW(E$2:E6430)*(E6430=E$2:E6430)))))-COUNTBLANK(OFFSET(A$1,,,SUMPRODUCT(MAX(ROW(E$1:E6429)*(E2=E$1:E6429))))))</f>
        <v> </v>
      </c>
      <c r="K6430" s="26" t="str">
        <f>IF(OR(E6430="",E6430="!!!",F6430="NEW"),"",INDEX(J$1:J6429,SUMPRODUCT(MAX(ROW(E$1:E6429)*(E6430=E$1:E6429)))))</f>
        <v> </v>
      </c>
      <c r="L6430" s="27"/>
    </row>
    <row r="6431" spans="1:12">
      <c r="A6431" s="20" t="s">
        <v>2566</v>
      </c>
      <c r="E6431" s="22">
        <f>IF(D6431="?OLD","!!!","")</f>
        <v/>
      </c>
      <c r="F6431" s="23" t="str">
        <f>IF(OR(E6431="",E6431="!!!"),"",IF(NOT(ISNA(VLOOKUP(E6431,E$1:E6430,1,FALSE()))),"OLD",IF(AND(E6431&lt;&gt;"",E6431&lt;&gt;"!!!"),"NEW","")))</f>
        <v> </v>
      </c>
      <c r="G6431" s="24" t="str">
        <f>IF(OR(E6431="",E6431="!!!"),"",IF(OR(J6431=0,AND(J6431=1,K6431=1),AND(J6431=1,I6431="SBJ"),AND(J6431=1,I6431=0)),"?IN_FOCUS",IF(J6431&lt;=2,"?ACTIVATED",IF(J6431&lt;&gt;"","?FAMILIAR",IF(F6431="NEW",IF(ISNA(VLOOKUP(E6431,#REF!,1,FALSE())),"?TYPE_IDENTIFIABLE","?REFERENTIAL"),"_")))))</f>
        <v> </v>
      </c>
      <c r="H6431" s="25" t="str">
        <f>IF(J6431&lt;&gt;1,"",IF(I6431="SBJ","CB","?"))</f>
        <v> </v>
      </c>
      <c r="I6431" s="26" t="str">
        <f>IF(OR(E6431="",E6431="!!!",F6431="NEW"),"",INDEX(B6430:B$2,-1+SUMPRODUCT(MAX(ROW(E6430:E$2)*(E6431=E6430:E$2)))))</f>
        <v> </v>
      </c>
      <c r="J6431" s="26" t="str">
        <f>IF(OR(E6431="",E6431="!!!",F6431="NEW"),"",COUNTBLANK(OFFSET(A$1,,,SUMPRODUCT(MAX(ROW(E$2:E6431)*(E6431=E$2:E6431)))))-COUNTBLANK(OFFSET(A$1,,,SUMPRODUCT(MAX(ROW(E$1:E6430)*(E2=E$1:E6430))))))</f>
        <v> </v>
      </c>
      <c r="K6431" s="26" t="str">
        <f>IF(OR(E6431="",E6431="!!!",F6431="NEW"),"",INDEX(J$1:J6430,SUMPRODUCT(MAX(ROW(E$1:E6430)*(E6431=E$1:E6430)))))</f>
        <v> </v>
      </c>
      <c r="L6431" s="27"/>
    </row>
    <row r="6432" spans="1:12">
      <c r="A6432" s="20" t="s">
        <v>1189</v>
      </c>
      <c r="E6432" s="22">
        <f>IF(D6432="?OLD","!!!","")</f>
        <v/>
      </c>
      <c r="F6432" s="23" t="str">
        <f>IF(OR(E6432="",E6432="!!!"),"",IF(NOT(ISNA(VLOOKUP(E6432,E$1:E6431,1,FALSE()))),"OLD",IF(AND(E6432&lt;&gt;"",E6432&lt;&gt;"!!!"),"NEW","")))</f>
        <v> </v>
      </c>
      <c r="G6432" s="24" t="str">
        <f>IF(OR(E6432="",E6432="!!!"),"",IF(OR(J6432=0,AND(J6432=1,K6432=1),AND(J6432=1,I6432="SBJ"),AND(J6432=1,I6432=0)),"?IN_FOCUS",IF(J6432&lt;=2,"?ACTIVATED",IF(J6432&lt;&gt;"","?FAMILIAR",IF(F6432="NEW",IF(ISNA(VLOOKUP(E6432,#REF!,1,FALSE())),"?TYPE_IDENTIFIABLE","?REFERENTIAL"),"_")))))</f>
        <v> </v>
      </c>
      <c r="H6432" s="25" t="str">
        <f>IF(J6432&lt;&gt;1,"",IF(I6432="SBJ","CB","?"))</f>
        <v> </v>
      </c>
      <c r="I6432" s="26" t="str">
        <f>IF(OR(E6432="",E6432="!!!",F6432="NEW"),"",INDEX(B6431:B$2,-1+SUMPRODUCT(MAX(ROW(E6431:E$2)*(E6432=E6431:E$2)))))</f>
        <v> </v>
      </c>
      <c r="J6432" s="26" t="str">
        <f>IF(OR(E6432="",E6432="!!!",F6432="NEW"),"",COUNTBLANK(OFFSET(A$1,,,SUMPRODUCT(MAX(ROW(E$2:E6432)*(E6432=E$2:E6432)))))-COUNTBLANK(OFFSET(A$1,,,SUMPRODUCT(MAX(ROW(E$1:E6431)*(E2=E$1:E6431))))))</f>
        <v> </v>
      </c>
      <c r="K6432" s="26" t="str">
        <f>IF(OR(E6432="",E6432="!!!",F6432="NEW"),"",INDEX(J$1:J6431,SUMPRODUCT(MAX(ROW(E$1:E6431)*(E6432=E$1:E6431)))))</f>
        <v> </v>
      </c>
      <c r="L6432" s="27"/>
    </row>
    <row r="6433" spans="1:12">
      <c r="A6433" s="20" t="s">
        <v>1092</v>
      </c>
      <c r="E6433" s="22">
        <f>IF(D6433="?OLD","!!!","")</f>
        <v/>
      </c>
      <c r="F6433" s="23" t="str">
        <f>IF(OR(E6433="",E6433="!!!"),"",IF(NOT(ISNA(VLOOKUP(E6433,E$1:E6432,1,FALSE()))),"OLD",IF(AND(E6433&lt;&gt;"",E6433&lt;&gt;"!!!"),"NEW","")))</f>
        <v> </v>
      </c>
      <c r="G6433" s="24" t="str">
        <f>IF(OR(E6433="",E6433="!!!"),"",IF(OR(J6433=0,AND(J6433=1,K6433=1),AND(J6433=1,I6433="SBJ"),AND(J6433=1,I6433=0)),"?IN_FOCUS",IF(J6433&lt;=2,"?ACTIVATED",IF(J6433&lt;&gt;"","?FAMILIAR",IF(F6433="NEW",IF(ISNA(VLOOKUP(E6433,#REF!,1,FALSE())),"?TYPE_IDENTIFIABLE","?REFERENTIAL"),"_")))))</f>
        <v> </v>
      </c>
      <c r="H6433" s="25" t="str">
        <f>IF(J6433&lt;&gt;1,"",IF(I6433="SBJ","CB","?"))</f>
        <v> </v>
      </c>
      <c r="I6433" s="26" t="str">
        <f>IF(OR(E6433="",E6433="!!!",F6433="NEW"),"",INDEX(B6432:B$2,-1+SUMPRODUCT(MAX(ROW(E6432:E$2)*(E6433=E6432:E$2)))))</f>
        <v> </v>
      </c>
      <c r="J6433" s="26" t="str">
        <f>IF(OR(E6433="",E6433="!!!",F6433="NEW"),"",COUNTBLANK(OFFSET(A$1,,,SUMPRODUCT(MAX(ROW(E$2:E6433)*(E6433=E$2:E6433)))))-COUNTBLANK(OFFSET(A$1,,,SUMPRODUCT(MAX(ROW(E$1:E6432)*(E2=E$1:E6432))))))</f>
        <v> </v>
      </c>
      <c r="K6433" s="26" t="str">
        <f>IF(OR(E6433="",E6433="!!!",F6433="NEW"),"",INDEX(J$1:J6432,SUMPRODUCT(MAX(ROW(E$1:E6432)*(E6433=E$1:E6432)))))</f>
        <v> </v>
      </c>
      <c r="L6433" s="27"/>
    </row>
    <row r="6434" spans="1:12">
      <c r="A6434" s="20" t="s">
        <v>2567</v>
      </c>
      <c r="B6434" s="21" t="s">
        <v>982</v>
      </c>
      <c r="C6434" s="21" t="s">
        <v>995</v>
      </c>
      <c r="D6434" s="21" t="s">
        <v>978</v>
      </c>
      <c r="E6434" s="22">
        <f>IF(D6434="?OLD","!!!","")</f>
        <v/>
      </c>
      <c r="F6434" s="23" t="str">
        <f>IF(OR(E6434="",E6434="!!!"),"",IF(NOT(ISNA(VLOOKUP(E6434,E$1:E6433,1,FALSE()))),"OLD",IF(AND(E6434&lt;&gt;"",E6434&lt;&gt;"!!!"),"NEW","")))</f>
        <v> </v>
      </c>
      <c r="G6434" s="24" t="str">
        <f>IF(OR(E6434="",E6434="!!!"),"",IF(OR(J6434=0,AND(J6434=1,K6434=1),AND(J6434=1,I6434="SBJ"),AND(J6434=1,I6434=0)),"?IN_FOCUS",IF(J6434&lt;=2,"?ACTIVATED",IF(J6434&lt;&gt;"","?FAMILIAR",IF(F6434="NEW",IF(ISNA(VLOOKUP(E6434,#REF!,1,FALSE())),"?TYPE_IDENTIFIABLE","?REFERENTIAL"),"_")))))</f>
        <v> </v>
      </c>
      <c r="H6434" s="25" t="str">
        <f>IF(J6434&lt;&gt;1,"",IF(I6434="SBJ","CB","?"))</f>
        <v> </v>
      </c>
      <c r="I6434" s="26" t="str">
        <f>IF(OR(E6434="",E6434="!!!",F6434="NEW"),"",INDEX(B6433:B$2,-1+SUMPRODUCT(MAX(ROW(E6433:E$2)*(E6434=E6433:E$2)))))</f>
        <v> </v>
      </c>
      <c r="J6434" s="26" t="str">
        <f>IF(OR(E6434="",E6434="!!!",F6434="NEW"),"",COUNTBLANK(OFFSET(A$1,,,SUMPRODUCT(MAX(ROW(E$2:E6434)*(E6434=E$2:E6434)))))-COUNTBLANK(OFFSET(A$1,,,SUMPRODUCT(MAX(ROW(E$1:E6433)*(E2=E$1:E6433))))))</f>
        <v> </v>
      </c>
      <c r="K6434" s="26" t="str">
        <f>IF(OR(E6434="",E6434="!!!",F6434="NEW"),"",INDEX(J$1:J6433,SUMPRODUCT(MAX(ROW(E$1:E6433)*(E6434=E$1:E6433)))))</f>
        <v> </v>
      </c>
      <c r="L6434" s="27"/>
    </row>
    <row r="6435" spans="1:12">
      <c r="A6435" s="20" t="s">
        <v>1002</v>
      </c>
      <c r="E6435" s="22">
        <f>IF(D6435="?OLD","!!!","")</f>
        <v/>
      </c>
      <c r="F6435" s="23" t="str">
        <f>IF(OR(E6435="",E6435="!!!"),"",IF(NOT(ISNA(VLOOKUP(E6435,E$1:E6434,1,FALSE()))),"OLD",IF(AND(E6435&lt;&gt;"",E6435&lt;&gt;"!!!"),"NEW","")))</f>
        <v> </v>
      </c>
      <c r="G6435" s="24" t="str">
        <f>IF(OR(E6435="",E6435="!!!"),"",IF(OR(J6435=0,AND(J6435=1,K6435=1),AND(J6435=1,I6435="SBJ"),AND(J6435=1,I6435=0)),"?IN_FOCUS",IF(J6435&lt;=2,"?ACTIVATED",IF(J6435&lt;&gt;"","?FAMILIAR",IF(F6435="NEW",IF(ISNA(VLOOKUP(E6435,#REF!,1,FALSE())),"?TYPE_IDENTIFIABLE","?REFERENTIAL"),"_")))))</f>
        <v> </v>
      </c>
      <c r="H6435" s="25" t="str">
        <f>IF(J6435&lt;&gt;1,"",IF(I6435="SBJ","CB","?"))</f>
        <v> </v>
      </c>
      <c r="I6435" s="26" t="str">
        <f>IF(OR(E6435="",E6435="!!!",F6435="NEW"),"",INDEX(B6434:B$2,-1+SUMPRODUCT(MAX(ROW(E6434:E$2)*(E6435=E6434:E$2)))))</f>
        <v> </v>
      </c>
      <c r="J6435" s="26" t="str">
        <f>IF(OR(E6435="",E6435="!!!",F6435="NEW"),"",COUNTBLANK(OFFSET(A$1,,,SUMPRODUCT(MAX(ROW(E$2:E6435)*(E6435=E$2:E6435)))))-COUNTBLANK(OFFSET(A$1,,,SUMPRODUCT(MAX(ROW(E$1:E6434)*(E2=E$1:E6434))))))</f>
        <v> </v>
      </c>
      <c r="K6435" s="26" t="str">
        <f>IF(OR(E6435="",E6435="!!!",F6435="NEW"),"",INDEX(J$1:J6434,SUMPRODUCT(MAX(ROW(E$1:E6434)*(E6435=E$1:E6434)))))</f>
        <v> </v>
      </c>
      <c r="L6435" s="27"/>
    </row>
    <row r="6436" spans="1:12">
      <c r="A6436" s="20" t="s">
        <v>1194</v>
      </c>
      <c r="E6436" s="22">
        <f>IF(D6436="?OLD","!!!","")</f>
        <v/>
      </c>
      <c r="F6436" s="23" t="str">
        <f>IF(OR(E6436="",E6436="!!!"),"",IF(NOT(ISNA(VLOOKUP(E6436,E$1:E6435,1,FALSE()))),"OLD",IF(AND(E6436&lt;&gt;"",E6436&lt;&gt;"!!!"),"NEW","")))</f>
        <v> </v>
      </c>
      <c r="G6436" s="24" t="str">
        <f>IF(OR(E6436="",E6436="!!!"),"",IF(OR(J6436=0,AND(J6436=1,K6436=1),AND(J6436=1,I6436="SBJ"),AND(J6436=1,I6436=0)),"?IN_FOCUS",IF(J6436&lt;=2,"?ACTIVATED",IF(J6436&lt;&gt;"","?FAMILIAR",IF(F6436="NEW",IF(ISNA(VLOOKUP(E6436,#REF!,1,FALSE())),"?TYPE_IDENTIFIABLE","?REFERENTIAL"),"_")))))</f>
        <v> </v>
      </c>
      <c r="H6436" s="25" t="str">
        <f>IF(J6436&lt;&gt;1,"",IF(I6436="SBJ","CB","?"))</f>
        <v> </v>
      </c>
      <c r="I6436" s="26" t="str">
        <f>IF(OR(E6436="",E6436="!!!",F6436="NEW"),"",INDEX(B6435:B$2,-1+SUMPRODUCT(MAX(ROW(E6435:E$2)*(E6436=E6435:E$2)))))</f>
        <v> </v>
      </c>
      <c r="J6436" s="26" t="str">
        <f>IF(OR(E6436="",E6436="!!!",F6436="NEW"),"",COUNTBLANK(OFFSET(A$1,,,SUMPRODUCT(MAX(ROW(E$2:E6436)*(E6436=E$2:E6436)))))-COUNTBLANK(OFFSET(A$1,,,SUMPRODUCT(MAX(ROW(E$1:E6435)*(E2=E$1:E6435))))))</f>
        <v> </v>
      </c>
      <c r="K6436" s="26" t="str">
        <f>IF(OR(E6436="",E6436="!!!",F6436="NEW"),"",INDEX(J$1:J6435,SUMPRODUCT(MAX(ROW(E$1:E6435)*(E6436=E$1:E6435)))))</f>
        <v> </v>
      </c>
      <c r="L6436" s="27"/>
    </row>
    <row r="6437" spans="1:12">
      <c r="A6437" s="20" t="s">
        <v>1010</v>
      </c>
      <c r="B6437" s="21" t="s">
        <v>1095</v>
      </c>
      <c r="C6437" s="21" t="s">
        <v>977</v>
      </c>
      <c r="D6437" s="21" t="s">
        <v>978</v>
      </c>
      <c r="E6437" s="22">
        <f>IF(D6437="?OLD","!!!","")</f>
        <v/>
      </c>
      <c r="F6437" s="23" t="str">
        <f>IF(OR(E6437="",E6437="!!!"),"",IF(NOT(ISNA(VLOOKUP(E6437,E$1:E6436,1,FALSE()))),"OLD",IF(AND(E6437&lt;&gt;"",E6437&lt;&gt;"!!!"),"NEW","")))</f>
        <v> </v>
      </c>
      <c r="G6437" s="24" t="str">
        <f>IF(OR(E6437="",E6437="!!!"),"",IF(OR(J6437=0,AND(J6437=1,K6437=1),AND(J6437=1,I6437="SBJ"),AND(J6437=1,I6437=0)),"?IN_FOCUS",IF(J6437&lt;=2,"?ACTIVATED",IF(J6437&lt;&gt;"","?FAMILIAR",IF(F6437="NEW",IF(ISNA(VLOOKUP(E6437,#REF!,1,FALSE())),"?TYPE_IDENTIFIABLE","?REFERENTIAL"),"_")))))</f>
        <v> </v>
      </c>
      <c r="H6437" s="25" t="str">
        <f>IF(J6437&lt;&gt;1,"",IF(I6437="SBJ","CB","?"))</f>
        <v> </v>
      </c>
      <c r="I6437" s="26" t="str">
        <f>IF(OR(E6437="",E6437="!!!",F6437="NEW"),"",INDEX(B6436:B$2,-1+SUMPRODUCT(MAX(ROW(E6436:E$2)*(E6437=E6436:E$2)))))</f>
        <v> </v>
      </c>
      <c r="J6437" s="26" t="str">
        <f>IF(OR(E6437="",E6437="!!!",F6437="NEW"),"",COUNTBLANK(OFFSET(A$1,,,SUMPRODUCT(MAX(ROW(E$2:E6437)*(E6437=E$2:E6437)))))-COUNTBLANK(OFFSET(A$1,,,SUMPRODUCT(MAX(ROW(E$1:E6436)*(E2=E$1:E6436))))))</f>
        <v> </v>
      </c>
      <c r="K6437" s="26" t="str">
        <f>IF(OR(E6437="",E6437="!!!",F6437="NEW"),"",INDEX(J$1:J6436,SUMPRODUCT(MAX(ROW(E$1:E6436)*(E6437=E$1:E6436)))))</f>
        <v> </v>
      </c>
      <c r="L6437" s="27"/>
    </row>
    <row r="6438" spans="1:12">
      <c r="A6438" s="20" t="s">
        <v>1874</v>
      </c>
      <c r="E6438" s="22">
        <f>IF(D6438="?OLD","!!!","")</f>
        <v/>
      </c>
      <c r="F6438" s="23" t="str">
        <f>IF(OR(E6438="",E6438="!!!"),"",IF(NOT(ISNA(VLOOKUP(E6438,E$1:E6437,1,FALSE()))),"OLD",IF(AND(E6438&lt;&gt;"",E6438&lt;&gt;"!!!"),"NEW","")))</f>
        <v> </v>
      </c>
      <c r="G6438" s="24" t="str">
        <f>IF(OR(E6438="",E6438="!!!"),"",IF(OR(J6438=0,AND(J6438=1,K6438=1),AND(J6438=1,I6438="SBJ"),AND(J6438=1,I6438=0)),"?IN_FOCUS",IF(J6438&lt;=2,"?ACTIVATED",IF(J6438&lt;&gt;"","?FAMILIAR",IF(F6438="NEW",IF(ISNA(VLOOKUP(E6438,#REF!,1,FALSE())),"?TYPE_IDENTIFIABLE","?REFERENTIAL"),"_")))))</f>
        <v> </v>
      </c>
      <c r="H6438" s="25" t="str">
        <f>IF(J6438&lt;&gt;1,"",IF(I6438="SBJ","CB","?"))</f>
        <v> </v>
      </c>
      <c r="I6438" s="26" t="str">
        <f>IF(OR(E6438="",E6438="!!!",F6438="NEW"),"",INDEX(B6437:B$2,-1+SUMPRODUCT(MAX(ROW(E6437:E$2)*(E6438=E6437:E$2)))))</f>
        <v> </v>
      </c>
      <c r="J6438" s="26" t="str">
        <f>IF(OR(E6438="",E6438="!!!",F6438="NEW"),"",COUNTBLANK(OFFSET(A$1,,,SUMPRODUCT(MAX(ROW(E$2:E6438)*(E6438=E$2:E6438)))))-COUNTBLANK(OFFSET(A$1,,,SUMPRODUCT(MAX(ROW(E$1:E6437)*(E2=E$1:E6437))))))</f>
        <v> </v>
      </c>
      <c r="K6438" s="26" t="str">
        <f>IF(OR(E6438="",E6438="!!!",F6438="NEW"),"",INDEX(J$1:J6437,SUMPRODUCT(MAX(ROW(E$1:E6437)*(E6438=E$1:E6437)))))</f>
        <v> </v>
      </c>
      <c r="L6438" s="27"/>
    </row>
    <row r="6439" spans="1:12">
      <c r="A6439" s="20" t="s">
        <v>414</v>
      </c>
      <c r="E6439" s="22">
        <f>IF(D6439="?OLD","!!!","")</f>
        <v/>
      </c>
      <c r="F6439" s="23" t="str">
        <f>IF(OR(E6439="",E6439="!!!"),"",IF(NOT(ISNA(VLOOKUP(E6439,E$1:E6438,1,FALSE()))),"OLD",IF(AND(E6439&lt;&gt;"",E6439&lt;&gt;"!!!"),"NEW","")))</f>
        <v> </v>
      </c>
      <c r="G6439" s="24" t="str">
        <f>IF(OR(E6439="",E6439="!!!"),"",IF(OR(J6439=0,AND(J6439=1,K6439=1),AND(J6439=1,I6439="SBJ"),AND(J6439=1,I6439=0)),"?IN_FOCUS",IF(J6439&lt;=2,"?ACTIVATED",IF(J6439&lt;&gt;"","?FAMILIAR",IF(F6439="NEW",IF(ISNA(VLOOKUP(E6439,#REF!,1,FALSE())),"?TYPE_IDENTIFIABLE","?REFERENTIAL"),"_")))))</f>
        <v> </v>
      </c>
      <c r="H6439" s="25" t="str">
        <f>IF(J6439&lt;&gt;1,"",IF(I6439="SBJ","CB","?"))</f>
        <v> </v>
      </c>
      <c r="I6439" s="26" t="str">
        <f>IF(OR(E6439="",E6439="!!!",F6439="NEW"),"",INDEX(B6438:B$2,-1+SUMPRODUCT(MAX(ROW(E6438:E$2)*(E6439=E6438:E$2)))))</f>
        <v> </v>
      </c>
      <c r="J6439" s="26" t="str">
        <f>IF(OR(E6439="",E6439="!!!",F6439="NEW"),"",COUNTBLANK(OFFSET(A$1,,,SUMPRODUCT(MAX(ROW(E$2:E6439)*(E6439=E$2:E6439)))))-COUNTBLANK(OFFSET(A$1,,,SUMPRODUCT(MAX(ROW(E$1:E6438)*(E2=E$1:E6438))))))</f>
        <v> </v>
      </c>
      <c r="K6439" s="26" t="str">
        <f>IF(OR(E6439="",E6439="!!!",F6439="NEW"),"",INDEX(J$1:J6438,SUMPRODUCT(MAX(ROW(E$1:E6438)*(E6439=E$1:E6438)))))</f>
        <v> </v>
      </c>
      <c r="L6439" s="27"/>
    </row>
    <row r="6440" spans="1:12">
      <c r="A6440" s="20" t="s">
        <v>1018</v>
      </c>
      <c r="E6440" s="22">
        <f>IF(D6440="?OLD","!!!","")</f>
        <v/>
      </c>
      <c r="F6440" s="23" t="str">
        <f>IF(OR(E6440="",E6440="!!!"),"",IF(NOT(ISNA(VLOOKUP(E6440,E$1:E6439,1,FALSE()))),"OLD",IF(AND(E6440&lt;&gt;"",E6440&lt;&gt;"!!!"),"NEW","")))</f>
        <v> </v>
      </c>
      <c r="G6440" s="24" t="str">
        <f>IF(OR(E6440="",E6440="!!!"),"",IF(OR(J6440=0,AND(J6440=1,K6440=1),AND(J6440=1,I6440="SBJ"),AND(J6440=1,I6440=0)),"?IN_FOCUS",IF(J6440&lt;=2,"?ACTIVATED",IF(J6440&lt;&gt;"","?FAMILIAR",IF(F6440="NEW",IF(ISNA(VLOOKUP(E6440,#REF!,1,FALSE())),"?TYPE_IDENTIFIABLE","?REFERENTIAL"),"_")))))</f>
        <v> </v>
      </c>
      <c r="H6440" s="25" t="str">
        <f>IF(J6440&lt;&gt;1,"",IF(I6440="SBJ","CB","?"))</f>
        <v> </v>
      </c>
      <c r="I6440" s="26" t="str">
        <f>IF(OR(E6440="",E6440="!!!",F6440="NEW"),"",INDEX(B6439:B$2,-1+SUMPRODUCT(MAX(ROW(E6439:E$2)*(E6440=E6439:E$2)))))</f>
        <v> </v>
      </c>
      <c r="J6440" s="26" t="str">
        <f>IF(OR(E6440="",E6440="!!!",F6440="NEW"),"",COUNTBLANK(OFFSET(A$1,,,SUMPRODUCT(MAX(ROW(E$2:E6440)*(E6440=E$2:E6440)))))-COUNTBLANK(OFFSET(A$1,,,SUMPRODUCT(MAX(ROW(E$1:E6439)*(E2=E$1:E6439))))))</f>
        <v> </v>
      </c>
      <c r="K6440" s="26" t="str">
        <f>IF(OR(E6440="",E6440="!!!",F6440="NEW"),"",INDEX(J$1:J6439,SUMPRODUCT(MAX(ROW(E$1:E6439)*(E6440=E$1:E6439)))))</f>
        <v> </v>
      </c>
      <c r="L6440" s="27"/>
    </row>
    <row r="6441" spans="1:12">
      <c r="A6441" s="20" t="s">
        <v>2007</v>
      </c>
      <c r="B6441" s="21" t="s">
        <v>1054</v>
      </c>
      <c r="C6441" s="21" t="s">
        <v>1057</v>
      </c>
      <c r="E6441" s="22">
        <f>IF(D6441="?OLD","!!!","")</f>
        <v/>
      </c>
      <c r="F6441" s="23" t="str">
        <f>IF(OR(E6441="",E6441="!!!"),"",IF(NOT(ISNA(VLOOKUP(E6441,E$1:E6440,1,FALSE()))),"OLD",IF(AND(E6441&lt;&gt;"",E6441&lt;&gt;"!!!"),"NEW","")))</f>
        <v> </v>
      </c>
      <c r="G6441" s="24" t="str">
        <f>IF(OR(E6441="",E6441="!!!"),"",IF(OR(J6441=0,AND(J6441=1,K6441=1),AND(J6441=1,I6441="SBJ"),AND(J6441=1,I6441=0)),"?IN_FOCUS",IF(J6441&lt;=2,"?ACTIVATED",IF(J6441&lt;&gt;"","?FAMILIAR",IF(F6441="NEW",IF(ISNA(VLOOKUP(E6441,#REF!,1,FALSE())),"?TYPE_IDENTIFIABLE","?REFERENTIAL"),"_")))))</f>
        <v> </v>
      </c>
      <c r="H6441" s="25" t="str">
        <f>IF(J6441&lt;&gt;1,"",IF(I6441="SBJ","CB","?"))</f>
        <v> </v>
      </c>
      <c r="I6441" s="26" t="str">
        <f>IF(OR(E6441="",E6441="!!!",F6441="NEW"),"",INDEX(B6440:B$2,-1+SUMPRODUCT(MAX(ROW(E6440:E$2)*(E6441=E6440:E$2)))))</f>
        <v> </v>
      </c>
      <c r="J6441" s="26" t="str">
        <f>IF(OR(E6441="",E6441="!!!",F6441="NEW"),"",COUNTBLANK(OFFSET(A$1,,,SUMPRODUCT(MAX(ROW(E$2:E6441)*(E6441=E$2:E6441)))))-COUNTBLANK(OFFSET(A$1,,,SUMPRODUCT(MAX(ROW(E$1:E6440)*(E2=E$1:E6440))))))</f>
        <v> </v>
      </c>
      <c r="K6441" s="26" t="str">
        <f>IF(OR(E6441="",E6441="!!!",F6441="NEW"),"",INDEX(J$1:J6440,SUMPRODUCT(MAX(ROW(E$1:E6440)*(E6441=E$1:E6440)))))</f>
        <v> </v>
      </c>
      <c r="L6441" s="27"/>
    </row>
    <row r="6442" spans="1:12">
      <c r="A6442" s="20" t="s">
        <v>1009</v>
      </c>
      <c r="E6442" s="22">
        <f>IF(D6442="?OLD","!!!","")</f>
        <v/>
      </c>
      <c r="F6442" s="23" t="str">
        <f>IF(OR(E6442="",E6442="!!!"),"",IF(NOT(ISNA(VLOOKUP(E6442,E$1:E6441,1,FALSE()))),"OLD",IF(AND(E6442&lt;&gt;"",E6442&lt;&gt;"!!!"),"NEW","")))</f>
        <v> </v>
      </c>
      <c r="G6442" s="24" t="str">
        <f>IF(OR(E6442="",E6442="!!!"),"",IF(OR(J6442=0,AND(J6442=1,K6442=1),AND(J6442=1,I6442="SBJ"),AND(J6442=1,I6442=0)),"?IN_FOCUS",IF(J6442&lt;=2,"?ACTIVATED",IF(J6442&lt;&gt;"","?FAMILIAR",IF(F6442="NEW",IF(ISNA(VLOOKUP(E6442,#REF!,1,FALSE())),"?TYPE_IDENTIFIABLE","?REFERENTIAL"),"_")))))</f>
        <v> </v>
      </c>
      <c r="H6442" s="25" t="str">
        <f>IF(J6442&lt;&gt;1,"",IF(I6442="SBJ","CB","?"))</f>
        <v> </v>
      </c>
      <c r="I6442" s="26" t="str">
        <f>IF(OR(E6442="",E6442="!!!",F6442="NEW"),"",INDEX(B6441:B$2,-1+SUMPRODUCT(MAX(ROW(E6441:E$2)*(E6442=E6441:E$2)))))</f>
        <v> </v>
      </c>
      <c r="J6442" s="26" t="str">
        <f>IF(OR(E6442="",E6442="!!!",F6442="NEW"),"",COUNTBLANK(OFFSET(A$1,,,SUMPRODUCT(MAX(ROW(E$2:E6442)*(E6442=E$2:E6442)))))-COUNTBLANK(OFFSET(A$1,,,SUMPRODUCT(MAX(ROW(E$1:E6441)*(E2=E$1:E6441))))))</f>
        <v> </v>
      </c>
      <c r="K6442" s="26" t="str">
        <f>IF(OR(E6442="",E6442="!!!",F6442="NEW"),"",INDEX(J$1:J6441,SUMPRODUCT(MAX(ROW(E$1:E6441)*(E6442=E$1:E6441)))))</f>
        <v> </v>
      </c>
      <c r="L6442" s="27"/>
    </row>
    <row r="6443" spans="1:12">
      <c r="A6443" s="20" t="s">
        <v>1050</v>
      </c>
      <c r="E6443" s="22">
        <f>IF(D6443="?OLD","!!!","")</f>
        <v/>
      </c>
      <c r="F6443" s="23" t="str">
        <f>IF(OR(E6443="",E6443="!!!"),"",IF(NOT(ISNA(VLOOKUP(E6443,E$1:E6442,1,FALSE()))),"OLD",IF(AND(E6443&lt;&gt;"",E6443&lt;&gt;"!!!"),"NEW","")))</f>
        <v> </v>
      </c>
      <c r="G6443" s="24" t="str">
        <f>IF(OR(E6443="",E6443="!!!"),"",IF(OR(J6443=0,AND(J6443=1,K6443=1),AND(J6443=1,I6443="SBJ"),AND(J6443=1,I6443=0)),"?IN_FOCUS",IF(J6443&lt;=2,"?ACTIVATED",IF(J6443&lt;&gt;"","?FAMILIAR",IF(F6443="NEW",IF(ISNA(VLOOKUP(E6443,#REF!,1,FALSE())),"?TYPE_IDENTIFIABLE","?REFERENTIAL"),"_")))))</f>
        <v> </v>
      </c>
      <c r="H6443" s="25" t="str">
        <f>IF(J6443&lt;&gt;1,"",IF(I6443="SBJ","CB","?"))</f>
        <v> </v>
      </c>
      <c r="I6443" s="26" t="str">
        <f>IF(OR(E6443="",E6443="!!!",F6443="NEW"),"",INDEX(B6442:B$2,-1+SUMPRODUCT(MAX(ROW(E6442:E$2)*(E6443=E6442:E$2)))))</f>
        <v> </v>
      </c>
      <c r="J6443" s="26" t="str">
        <f>IF(OR(E6443="",E6443="!!!",F6443="NEW"),"",COUNTBLANK(OFFSET(A$1,,,SUMPRODUCT(MAX(ROW(E$2:E6443)*(E6443=E$2:E6443)))))-COUNTBLANK(OFFSET(A$1,,,SUMPRODUCT(MAX(ROW(E$1:E6442)*(E2=E$1:E6442))))))</f>
        <v> </v>
      </c>
      <c r="K6443" s="26" t="str">
        <f>IF(OR(E6443="",E6443="!!!",F6443="NEW"),"",INDEX(J$1:J6442,SUMPRODUCT(MAX(ROW(E$1:E6442)*(E6443=E$1:E6442)))))</f>
        <v> </v>
      </c>
      <c r="L6443" s="27"/>
    </row>
    <row r="6444" spans="1:12">
      <c r="A6444" s="20" t="s">
        <v>2567</v>
      </c>
      <c r="B6444" s="21" t="s">
        <v>1035</v>
      </c>
      <c r="C6444" s="21" t="s">
        <v>983</v>
      </c>
      <c r="E6444" s="22">
        <f>IF(D6444="?OLD","!!!","")</f>
        <v/>
      </c>
      <c r="F6444" s="23" t="str">
        <f>IF(OR(E6444="",E6444="!!!"),"",IF(NOT(ISNA(VLOOKUP(E6444,E$1:E6443,1,FALSE()))),"OLD",IF(AND(E6444&lt;&gt;"",E6444&lt;&gt;"!!!"),"NEW","")))</f>
        <v> </v>
      </c>
      <c r="G6444" s="24" t="str">
        <f>IF(OR(E6444="",E6444="!!!"),"",IF(OR(J6444=0,AND(J6444=1,K6444=1),AND(J6444=1,I6444="SBJ"),AND(J6444=1,I6444=0)),"?IN_FOCUS",IF(J6444&lt;=2,"?ACTIVATED",IF(J6444&lt;&gt;"","?FAMILIAR",IF(F6444="NEW",IF(ISNA(VLOOKUP(E6444,#REF!,1,FALSE())),"?TYPE_IDENTIFIABLE","?REFERENTIAL"),"_")))))</f>
        <v> </v>
      </c>
      <c r="H6444" s="25" t="str">
        <f>IF(J6444&lt;&gt;1,"",IF(I6444="SBJ","CB","?"))</f>
        <v> </v>
      </c>
      <c r="I6444" s="26" t="str">
        <f>IF(OR(E6444="",E6444="!!!",F6444="NEW"),"",INDEX(B6443:B$2,-1+SUMPRODUCT(MAX(ROW(E6443:E$2)*(E6444=E6443:E$2)))))</f>
        <v> </v>
      </c>
      <c r="J6444" s="26" t="str">
        <f>IF(OR(E6444="",E6444="!!!",F6444="NEW"),"",COUNTBLANK(OFFSET(A$1,,,SUMPRODUCT(MAX(ROW(E$2:E6444)*(E6444=E$2:E6444)))))-COUNTBLANK(OFFSET(A$1,,,SUMPRODUCT(MAX(ROW(E$1:E6443)*(E2=E$1:E6443))))))</f>
        <v> </v>
      </c>
      <c r="K6444" s="26" t="str">
        <f>IF(OR(E6444="",E6444="!!!",F6444="NEW"),"",INDEX(J$1:J6443,SUMPRODUCT(MAX(ROW(E$1:E6443)*(E6444=E$1:E6443)))))</f>
        <v> </v>
      </c>
      <c r="L6444" s="27"/>
    </row>
    <row r="6445" spans="1:12">
      <c r="A6445" s="20" t="s">
        <v>2568</v>
      </c>
      <c r="E6445" s="22">
        <f>IF(D6445="?OLD","!!!","")</f>
        <v/>
      </c>
      <c r="F6445" s="23" t="str">
        <f>IF(OR(E6445="",E6445="!!!"),"",IF(NOT(ISNA(VLOOKUP(E6445,E$1:E6444,1,FALSE()))),"OLD",IF(AND(E6445&lt;&gt;"",E6445&lt;&gt;"!!!"),"NEW","")))</f>
        <v> </v>
      </c>
      <c r="G6445" s="24" t="str">
        <f>IF(OR(E6445="",E6445="!!!"),"",IF(OR(J6445=0,AND(J6445=1,K6445=1),AND(J6445=1,I6445="SBJ"),AND(J6445=1,I6445=0)),"?IN_FOCUS",IF(J6445&lt;=2,"?ACTIVATED",IF(J6445&lt;&gt;"","?FAMILIAR",IF(F6445="NEW",IF(ISNA(VLOOKUP(E6445,#REF!,1,FALSE())),"?TYPE_IDENTIFIABLE","?REFERENTIAL"),"_")))))</f>
        <v> </v>
      </c>
      <c r="H6445" s="25" t="str">
        <f>IF(J6445&lt;&gt;1,"",IF(I6445="SBJ","CB","?"))</f>
        <v> </v>
      </c>
      <c r="I6445" s="26" t="str">
        <f>IF(OR(E6445="",E6445="!!!",F6445="NEW"),"",INDEX(B6444:B$2,-1+SUMPRODUCT(MAX(ROW(E6444:E$2)*(E6445=E6444:E$2)))))</f>
        <v> </v>
      </c>
      <c r="J6445" s="26" t="str">
        <f>IF(OR(E6445="",E6445="!!!",F6445="NEW"),"",COUNTBLANK(OFFSET(A$1,,,SUMPRODUCT(MAX(ROW(E$2:E6445)*(E6445=E$2:E6445)))))-COUNTBLANK(OFFSET(A$1,,,SUMPRODUCT(MAX(ROW(E$1:E6444)*(E2=E$1:E6444))))))</f>
        <v> </v>
      </c>
      <c r="K6445" s="26" t="str">
        <f>IF(OR(E6445="",E6445="!!!",F6445="NEW"),"",INDEX(J$1:J6444,SUMPRODUCT(MAX(ROW(E$1:E6444)*(E6445=E$1:E6444)))))</f>
        <v> </v>
      </c>
      <c r="L6445" s="27"/>
    </row>
    <row r="6446" spans="1:12">
      <c r="A6446" s="20" t="s">
        <v>1000</v>
      </c>
      <c r="E6446" s="22">
        <f>IF(D6446="?OLD","!!!","")</f>
        <v/>
      </c>
      <c r="F6446" s="23" t="str">
        <f>IF(OR(E6446="",E6446="!!!"),"",IF(NOT(ISNA(VLOOKUP(E6446,E$1:E6445,1,FALSE()))),"OLD",IF(AND(E6446&lt;&gt;"",E6446&lt;&gt;"!!!"),"NEW","")))</f>
        <v> </v>
      </c>
      <c r="G6446" s="24" t="str">
        <f>IF(OR(E6446="",E6446="!!!"),"",IF(OR(J6446=0,AND(J6446=1,K6446=1),AND(J6446=1,I6446="SBJ"),AND(J6446=1,I6446=0)),"?IN_FOCUS",IF(J6446&lt;=2,"?ACTIVATED",IF(J6446&lt;&gt;"","?FAMILIAR",IF(F6446="NEW",IF(ISNA(VLOOKUP(E6446,#REF!,1,FALSE())),"?TYPE_IDENTIFIABLE","?REFERENTIAL"),"_")))))</f>
        <v> </v>
      </c>
      <c r="H6446" s="25" t="str">
        <f>IF(J6446&lt;&gt;1,"",IF(I6446="SBJ","CB","?"))</f>
        <v> </v>
      </c>
      <c r="I6446" s="26" t="str">
        <f>IF(OR(E6446="",E6446="!!!",F6446="NEW"),"",INDEX(B6445:B$2,-1+SUMPRODUCT(MAX(ROW(E6445:E$2)*(E6446=E6445:E$2)))))</f>
        <v> </v>
      </c>
      <c r="J6446" s="26" t="str">
        <f>IF(OR(E6446="",E6446="!!!",F6446="NEW"),"",COUNTBLANK(OFFSET(A$1,,,SUMPRODUCT(MAX(ROW(E$2:E6446)*(E6446=E$2:E6446)))))-COUNTBLANK(OFFSET(A$1,,,SUMPRODUCT(MAX(ROW(E$1:E6445)*(E2=E$1:E6445))))))</f>
        <v> </v>
      </c>
      <c r="K6446" s="26" t="str">
        <f>IF(OR(E6446="",E6446="!!!",F6446="NEW"),"",INDEX(J$1:J6445,SUMPRODUCT(MAX(ROW(E$1:E6445)*(E6446=E$1:E6445)))))</f>
        <v> </v>
      </c>
      <c r="L6446" s="27"/>
    </row>
    <row r="6447" spans="1:12">
      <c r="A6447" s="20" t="s">
        <v>1092</v>
      </c>
      <c r="E6447" s="22">
        <f>IF(D6447="?OLD","!!!","")</f>
        <v/>
      </c>
      <c r="F6447" s="23" t="str">
        <f>IF(OR(E6447="",E6447="!!!"),"",IF(NOT(ISNA(VLOOKUP(E6447,E$1:E6446,1,FALSE()))),"OLD",IF(AND(E6447&lt;&gt;"",E6447&lt;&gt;"!!!"),"NEW","")))</f>
        <v> </v>
      </c>
      <c r="G6447" s="24" t="str">
        <f>IF(OR(E6447="",E6447="!!!"),"",IF(OR(J6447=0,AND(J6447=1,K6447=1),AND(J6447=1,I6447="SBJ"),AND(J6447=1,I6447=0)),"?IN_FOCUS",IF(J6447&lt;=2,"?ACTIVATED",IF(J6447&lt;&gt;"","?FAMILIAR",IF(F6447="NEW",IF(ISNA(VLOOKUP(E6447,#REF!,1,FALSE())),"?TYPE_IDENTIFIABLE","?REFERENTIAL"),"_")))))</f>
        <v> </v>
      </c>
      <c r="H6447" s="25" t="str">
        <f>IF(J6447&lt;&gt;1,"",IF(I6447="SBJ","CB","?"))</f>
        <v> </v>
      </c>
      <c r="I6447" s="26" t="str">
        <f>IF(OR(E6447="",E6447="!!!",F6447="NEW"),"",INDEX(B6446:B$2,-1+SUMPRODUCT(MAX(ROW(E6446:E$2)*(E6447=E6446:E$2)))))</f>
        <v> </v>
      </c>
      <c r="J6447" s="26" t="str">
        <f>IF(OR(E6447="",E6447="!!!",F6447="NEW"),"",COUNTBLANK(OFFSET(A$1,,,SUMPRODUCT(MAX(ROW(E$2:E6447)*(E6447=E$2:E6447)))))-COUNTBLANK(OFFSET(A$1,,,SUMPRODUCT(MAX(ROW(E$1:E6446)*(E2=E$1:E6446))))))</f>
        <v> </v>
      </c>
      <c r="K6447" s="26" t="str">
        <f>IF(OR(E6447="",E6447="!!!",F6447="NEW"),"",INDEX(J$1:J6446,SUMPRODUCT(MAX(ROW(E$1:E6446)*(E6447=E$1:E6446)))))</f>
        <v> </v>
      </c>
      <c r="L6447" s="27"/>
    </row>
    <row r="6448" spans="1:12">
      <c r="A6448" s="20" t="s">
        <v>2567</v>
      </c>
      <c r="B6448" s="21" t="s">
        <v>1084</v>
      </c>
      <c r="C6448" s="21" t="s">
        <v>995</v>
      </c>
      <c r="D6448" s="21" t="s">
        <v>978</v>
      </c>
      <c r="E6448" s="22">
        <f>IF(D6448="?OLD","!!!","")</f>
        <v/>
      </c>
      <c r="F6448" s="23" t="str">
        <f>IF(OR(E6448="",E6448="!!!"),"",IF(NOT(ISNA(VLOOKUP(E6448,E$1:E6447,1,FALSE()))),"OLD",IF(AND(E6448&lt;&gt;"",E6448&lt;&gt;"!!!"),"NEW","")))</f>
        <v> </v>
      </c>
      <c r="G6448" s="24" t="str">
        <f>IF(OR(E6448="",E6448="!!!"),"",IF(OR(J6448=0,AND(J6448=1,K6448=1),AND(J6448=1,I6448="SBJ"),AND(J6448=1,I6448=0)),"?IN_FOCUS",IF(J6448&lt;=2,"?ACTIVATED",IF(J6448&lt;&gt;"","?FAMILIAR",IF(F6448="NEW",IF(ISNA(VLOOKUP(E6448,#REF!,1,FALSE())),"?TYPE_IDENTIFIABLE","?REFERENTIAL"),"_")))))</f>
        <v> </v>
      </c>
      <c r="H6448" s="25" t="str">
        <f>IF(J6448&lt;&gt;1,"",IF(I6448="SBJ","CB","?"))</f>
        <v> </v>
      </c>
      <c r="I6448" s="26" t="str">
        <f>IF(OR(E6448="",E6448="!!!",F6448="NEW"),"",INDEX(B6447:B$2,-1+SUMPRODUCT(MAX(ROW(E6447:E$2)*(E6448=E6447:E$2)))))</f>
        <v> </v>
      </c>
      <c r="J6448" s="26" t="str">
        <f>IF(OR(E6448="",E6448="!!!",F6448="NEW"),"",COUNTBLANK(OFFSET(A$1,,,SUMPRODUCT(MAX(ROW(E$2:E6448)*(E6448=E$2:E6448)))))-COUNTBLANK(OFFSET(A$1,,,SUMPRODUCT(MAX(ROW(E$1:E6447)*(E2=E$1:E6447))))))</f>
        <v> </v>
      </c>
      <c r="K6448" s="26" t="str">
        <f>IF(OR(E6448="",E6448="!!!",F6448="NEW"),"",INDEX(J$1:J6447,SUMPRODUCT(MAX(ROW(E$1:E6447)*(E6448=E$1:E6447)))))</f>
        <v> </v>
      </c>
      <c r="L6448" s="27"/>
    </row>
    <row r="6449" spans="1:12">
      <c r="A6449" s="20" t="s">
        <v>1305</v>
      </c>
      <c r="E6449" s="22">
        <f>IF(D6449="?OLD","!!!","")</f>
        <v/>
      </c>
      <c r="F6449" s="23" t="str">
        <f>IF(OR(E6449="",E6449="!!!"),"",IF(NOT(ISNA(VLOOKUP(E6449,E$1:E6448,1,FALSE()))),"OLD",IF(AND(E6449&lt;&gt;"",E6449&lt;&gt;"!!!"),"NEW","")))</f>
        <v> </v>
      </c>
      <c r="G6449" s="24" t="str">
        <f>IF(OR(E6449="",E6449="!!!"),"",IF(OR(J6449=0,AND(J6449=1,K6449=1),AND(J6449=1,I6449="SBJ"),AND(J6449=1,I6449=0)),"?IN_FOCUS",IF(J6449&lt;=2,"?ACTIVATED",IF(J6449&lt;&gt;"","?FAMILIAR",IF(F6449="NEW",IF(ISNA(VLOOKUP(E6449,#REF!,1,FALSE())),"?TYPE_IDENTIFIABLE","?REFERENTIAL"),"_")))))</f>
        <v> </v>
      </c>
      <c r="H6449" s="25" t="str">
        <f>IF(J6449&lt;&gt;1,"",IF(I6449="SBJ","CB","?"))</f>
        <v> </v>
      </c>
      <c r="I6449" s="26" t="str">
        <f>IF(OR(E6449="",E6449="!!!",F6449="NEW"),"",INDEX(B6448:B$2,-1+SUMPRODUCT(MAX(ROW(E6448:E$2)*(E6449=E6448:E$2)))))</f>
        <v> </v>
      </c>
      <c r="J6449" s="26" t="str">
        <f>IF(OR(E6449="",E6449="!!!",F6449="NEW"),"",COUNTBLANK(OFFSET(A$1,,,SUMPRODUCT(MAX(ROW(E$2:E6449)*(E6449=E$2:E6449)))))-COUNTBLANK(OFFSET(A$1,,,SUMPRODUCT(MAX(ROW(E$1:E6448)*(E2=E$1:E6448))))))</f>
        <v> </v>
      </c>
      <c r="K6449" s="26" t="str">
        <f>IF(OR(E6449="",E6449="!!!",F6449="NEW"),"",INDEX(J$1:J6448,SUMPRODUCT(MAX(ROW(E$1:E6448)*(E6449=E$1:E6448)))))</f>
        <v> </v>
      </c>
      <c r="L6449" s="27"/>
    </row>
    <row r="6450" spans="1:12">
      <c r="A6450" s="20" t="s">
        <v>2569</v>
      </c>
      <c r="E6450" s="22">
        <f>IF(D6450="?OLD","!!!","")</f>
        <v/>
      </c>
      <c r="F6450" s="23" t="str">
        <f>IF(OR(E6450="",E6450="!!!"),"",IF(NOT(ISNA(VLOOKUP(E6450,E$1:E6449,1,FALSE()))),"OLD",IF(AND(E6450&lt;&gt;"",E6450&lt;&gt;"!!!"),"NEW","")))</f>
        <v> </v>
      </c>
      <c r="G6450" s="24" t="str">
        <f>IF(OR(E6450="",E6450="!!!"),"",IF(OR(J6450=0,AND(J6450=1,K6450=1),AND(J6450=1,I6450="SBJ"),AND(J6450=1,I6450=0)),"?IN_FOCUS",IF(J6450&lt;=2,"?ACTIVATED",IF(J6450&lt;&gt;"","?FAMILIAR",IF(F6450="NEW",IF(ISNA(VLOOKUP(E6450,#REF!,1,FALSE())),"?TYPE_IDENTIFIABLE","?REFERENTIAL"),"_")))))</f>
        <v> </v>
      </c>
      <c r="H6450" s="25" t="str">
        <f>IF(J6450&lt;&gt;1,"",IF(I6450="SBJ","CB","?"))</f>
        <v> </v>
      </c>
      <c r="I6450" s="26" t="str">
        <f>IF(OR(E6450="",E6450="!!!",F6450="NEW"),"",INDEX(B6449:B$2,-1+SUMPRODUCT(MAX(ROW(E6449:E$2)*(E6450=E6449:E$2)))))</f>
        <v> </v>
      </c>
      <c r="J6450" s="26" t="str">
        <f>IF(OR(E6450="",E6450="!!!",F6450="NEW"),"",COUNTBLANK(OFFSET(A$1,,,SUMPRODUCT(MAX(ROW(E$2:E6450)*(E6450=E$2:E6450)))))-COUNTBLANK(OFFSET(A$1,,,SUMPRODUCT(MAX(ROW(E$1:E6449)*(E2=E$1:E6449))))))</f>
        <v> </v>
      </c>
      <c r="K6450" s="26" t="str">
        <f>IF(OR(E6450="",E6450="!!!",F6450="NEW"),"",INDEX(J$1:J6449,SUMPRODUCT(MAX(ROW(E$1:E6449)*(E6450=E$1:E6449)))))</f>
        <v> </v>
      </c>
      <c r="L6450" s="27"/>
    </row>
    <row r="6451" spans="1:12">
      <c r="A6451" s="20" t="s">
        <v>1183</v>
      </c>
      <c r="E6451" s="22">
        <f>IF(D6451="?OLD","!!!","")</f>
        <v/>
      </c>
      <c r="F6451" s="23" t="str">
        <f>IF(OR(E6451="",E6451="!!!"),"",IF(NOT(ISNA(VLOOKUP(E6451,E$1:E6450,1,FALSE()))),"OLD",IF(AND(E6451&lt;&gt;"",E6451&lt;&gt;"!!!"),"NEW","")))</f>
        <v> </v>
      </c>
      <c r="G6451" s="24" t="str">
        <f>IF(OR(E6451="",E6451="!!!"),"",IF(OR(J6451=0,AND(J6451=1,K6451=1),AND(J6451=1,I6451="SBJ"),AND(J6451=1,I6451=0)),"?IN_FOCUS",IF(J6451&lt;=2,"?ACTIVATED",IF(J6451&lt;&gt;"","?FAMILIAR",IF(F6451="NEW",IF(ISNA(VLOOKUP(E6451,#REF!,1,FALSE())),"?TYPE_IDENTIFIABLE","?REFERENTIAL"),"_")))))</f>
        <v> </v>
      </c>
      <c r="H6451" s="25" t="str">
        <f>IF(J6451&lt;&gt;1,"",IF(I6451="SBJ","CB","?"))</f>
        <v> </v>
      </c>
      <c r="I6451" s="26" t="str">
        <f>IF(OR(E6451="",E6451="!!!",F6451="NEW"),"",INDEX(B6450:B$2,-1+SUMPRODUCT(MAX(ROW(E6450:E$2)*(E6451=E6450:E$2)))))</f>
        <v> </v>
      </c>
      <c r="J6451" s="26" t="str">
        <f>IF(OR(E6451="",E6451="!!!",F6451="NEW"),"",COUNTBLANK(OFFSET(A$1,,,SUMPRODUCT(MAX(ROW(E$2:E6451)*(E6451=E$2:E6451)))))-COUNTBLANK(OFFSET(A$1,,,SUMPRODUCT(MAX(ROW(E$1:E6450)*(E2=E$1:E6450))))))</f>
        <v> </v>
      </c>
      <c r="K6451" s="26" t="str">
        <f>IF(OR(E6451="",E6451="!!!",F6451="NEW"),"",INDEX(J$1:J6450,SUMPRODUCT(MAX(ROW(E$1:E6450)*(E6451=E$1:E6450)))))</f>
        <v> </v>
      </c>
      <c r="L6451" s="27"/>
    </row>
    <row r="6452" spans="1:12">
      <c r="A6452" s="20" t="s">
        <v>1728</v>
      </c>
      <c r="E6452" s="22">
        <f>IF(D6452="?OLD","!!!","")</f>
        <v/>
      </c>
      <c r="F6452" s="23" t="str">
        <f>IF(OR(E6452="",E6452="!!!"),"",IF(NOT(ISNA(VLOOKUP(E6452,E$1:E6451,1,FALSE()))),"OLD",IF(AND(E6452&lt;&gt;"",E6452&lt;&gt;"!!!"),"NEW","")))</f>
        <v> </v>
      </c>
      <c r="G6452" s="24" t="str">
        <f>IF(OR(E6452="",E6452="!!!"),"",IF(OR(J6452=0,AND(J6452=1,K6452=1),AND(J6452=1,I6452="SBJ"),AND(J6452=1,I6452=0)),"?IN_FOCUS",IF(J6452&lt;=2,"?ACTIVATED",IF(J6452&lt;&gt;"","?FAMILIAR",IF(F6452="NEW",IF(ISNA(VLOOKUP(E6452,#REF!,1,FALSE())),"?TYPE_IDENTIFIABLE","?REFERENTIAL"),"_")))))</f>
        <v> </v>
      </c>
      <c r="H6452" s="25" t="str">
        <f>IF(J6452&lt;&gt;1,"",IF(I6452="SBJ","CB","?"))</f>
        <v> </v>
      </c>
      <c r="I6452" s="26" t="str">
        <f>IF(OR(E6452="",E6452="!!!",F6452="NEW"),"",INDEX(B6451:B$2,-1+SUMPRODUCT(MAX(ROW(E6451:E$2)*(E6452=E6451:E$2)))))</f>
        <v> </v>
      </c>
      <c r="J6452" s="26" t="str">
        <f>IF(OR(E6452="",E6452="!!!",F6452="NEW"),"",COUNTBLANK(OFFSET(A$1,,,SUMPRODUCT(MAX(ROW(E$2:E6452)*(E6452=E$2:E6452)))))-COUNTBLANK(OFFSET(A$1,,,SUMPRODUCT(MAX(ROW(E$1:E6451)*(E2=E$1:E6451))))))</f>
        <v> </v>
      </c>
      <c r="K6452" s="26" t="str">
        <f>IF(OR(E6452="",E6452="!!!",F6452="NEW"),"",INDEX(J$1:J6451,SUMPRODUCT(MAX(ROW(E$1:E6451)*(E6452=E$1:E6451)))))</f>
        <v> </v>
      </c>
      <c r="L6452" s="27"/>
    </row>
    <row r="6453" spans="1:12">
      <c r="A6453" s="20" t="s">
        <v>1004</v>
      </c>
      <c r="E6453" s="22">
        <f>IF(D6453="?OLD","!!!","")</f>
        <v/>
      </c>
      <c r="F6453" s="23" t="str">
        <f>IF(OR(E6453="",E6453="!!!"),"",IF(NOT(ISNA(VLOOKUP(E6453,E$1:E6452,1,FALSE()))),"OLD",IF(AND(E6453&lt;&gt;"",E6453&lt;&gt;"!!!"),"NEW","")))</f>
        <v> </v>
      </c>
      <c r="G6453" s="24" t="str">
        <f>IF(OR(E6453="",E6453="!!!"),"",IF(OR(J6453=0,AND(J6453=1,K6453=1),AND(J6453=1,I6453="SBJ"),AND(J6453=1,I6453=0)),"?IN_FOCUS",IF(J6453&lt;=2,"?ACTIVATED",IF(J6453&lt;&gt;"","?FAMILIAR",IF(F6453="NEW",IF(ISNA(VLOOKUP(E6453,#REF!,1,FALSE())),"?TYPE_IDENTIFIABLE","?REFERENTIAL"),"_")))))</f>
        <v> </v>
      </c>
      <c r="H6453" s="25" t="str">
        <f>IF(J6453&lt;&gt;1,"",IF(I6453="SBJ","CB","?"))</f>
        <v> </v>
      </c>
      <c r="I6453" s="26" t="str">
        <f>IF(OR(E6453="",E6453="!!!",F6453="NEW"),"",INDEX(B6452:B$2,-1+SUMPRODUCT(MAX(ROW(E6452:E$2)*(E6453=E6452:E$2)))))</f>
        <v> </v>
      </c>
      <c r="J6453" s="26" t="str">
        <f>IF(OR(E6453="",E6453="!!!",F6453="NEW"),"",COUNTBLANK(OFFSET(A$1,,,SUMPRODUCT(MAX(ROW(E$2:E6453)*(E6453=E$2:E6453)))))-COUNTBLANK(OFFSET(A$1,,,SUMPRODUCT(MAX(ROW(E$1:E6452)*(E2=E$1:E6452))))))</f>
        <v> </v>
      </c>
      <c r="K6453" s="26" t="str">
        <f>IF(OR(E6453="",E6453="!!!",F6453="NEW"),"",INDEX(J$1:J6452,SUMPRODUCT(MAX(ROW(E$1:E6452)*(E6453=E$1:E6452)))))</f>
        <v> </v>
      </c>
      <c r="L6453" s="27"/>
    </row>
    <row r="6454" spans="1:12">
      <c r="A6454" s="20" t="s">
        <v>2523</v>
      </c>
      <c r="E6454" s="22">
        <f>IF(D6454="?OLD","!!!","")</f>
        <v/>
      </c>
      <c r="F6454" s="23" t="str">
        <f>IF(OR(E6454="",E6454="!!!"),"",IF(NOT(ISNA(VLOOKUP(E6454,E$1:E6453,1,FALSE()))),"OLD",IF(AND(E6454&lt;&gt;"",E6454&lt;&gt;"!!!"),"NEW","")))</f>
        <v> </v>
      </c>
      <c r="G6454" s="24" t="str">
        <f>IF(OR(E6454="",E6454="!!!"),"",IF(OR(J6454=0,AND(J6454=1,K6454=1),AND(J6454=1,I6454="SBJ"),AND(J6454=1,I6454=0)),"?IN_FOCUS",IF(J6454&lt;=2,"?ACTIVATED",IF(J6454&lt;&gt;"","?FAMILIAR",IF(F6454="NEW",IF(ISNA(VLOOKUP(E6454,#REF!,1,FALSE())),"?TYPE_IDENTIFIABLE","?REFERENTIAL"),"_")))))</f>
        <v> </v>
      </c>
      <c r="H6454" s="25" t="str">
        <f>IF(J6454&lt;&gt;1,"",IF(I6454="SBJ","CB","?"))</f>
        <v> </v>
      </c>
      <c r="I6454" s="26" t="str">
        <f>IF(OR(E6454="",E6454="!!!",F6454="NEW"),"",INDEX(B6453:B$2,-1+SUMPRODUCT(MAX(ROW(E6453:E$2)*(E6454=E6453:E$2)))))</f>
        <v> </v>
      </c>
      <c r="J6454" s="26" t="str">
        <f>IF(OR(E6454="",E6454="!!!",F6454="NEW"),"",COUNTBLANK(OFFSET(A$1,,,SUMPRODUCT(MAX(ROW(E$2:E6454)*(E6454=E$2:E6454)))))-COUNTBLANK(OFFSET(A$1,,,SUMPRODUCT(MAX(ROW(E$1:E6453)*(E2=E$1:E6453))))))</f>
        <v> </v>
      </c>
      <c r="K6454" s="26" t="str">
        <f>IF(OR(E6454="",E6454="!!!",F6454="NEW"),"",INDEX(J$1:J6453,SUMPRODUCT(MAX(ROW(E$1:E6453)*(E6454=E$1:E6453)))))</f>
        <v> </v>
      </c>
      <c r="L6454" s="27"/>
    </row>
    <row r="6455" spans="1:12">
      <c r="A6455" s="20" t="s">
        <v>1022</v>
      </c>
      <c r="E6455" s="22">
        <f>IF(D6455="?OLD","!!!","")</f>
        <v/>
      </c>
      <c r="F6455" s="23" t="str">
        <f>IF(OR(E6455="",E6455="!!!"),"",IF(NOT(ISNA(VLOOKUP(E6455,E$1:E6454,1,FALSE()))),"OLD",IF(AND(E6455&lt;&gt;"",E6455&lt;&gt;"!!!"),"NEW","")))</f>
        <v> </v>
      </c>
      <c r="G6455" s="24" t="str">
        <f>IF(OR(E6455="",E6455="!!!"),"",IF(OR(J6455=0,AND(J6455=1,K6455=1),AND(J6455=1,I6455="SBJ"),AND(J6455=1,I6455=0)),"?IN_FOCUS",IF(J6455&lt;=2,"?ACTIVATED",IF(J6455&lt;&gt;"","?FAMILIAR",IF(F6455="NEW",IF(ISNA(VLOOKUP(E6455,#REF!,1,FALSE())),"?TYPE_IDENTIFIABLE","?REFERENTIAL"),"_")))))</f>
        <v> </v>
      </c>
      <c r="H6455" s="25" t="str">
        <f>IF(J6455&lt;&gt;1,"",IF(I6455="SBJ","CB","?"))</f>
        <v> </v>
      </c>
      <c r="I6455" s="26" t="str">
        <f>IF(OR(E6455="",E6455="!!!",F6455="NEW"),"",INDEX(B6454:B$2,-1+SUMPRODUCT(MAX(ROW(E6454:E$2)*(E6455=E6454:E$2)))))</f>
        <v> </v>
      </c>
      <c r="J6455" s="26" t="str">
        <f>IF(OR(E6455="",E6455="!!!",F6455="NEW"),"",COUNTBLANK(OFFSET(A$1,,,SUMPRODUCT(MAX(ROW(E$2:E6455)*(E6455=E$2:E6455)))))-COUNTBLANK(OFFSET(A$1,,,SUMPRODUCT(MAX(ROW(E$1:E6454)*(E2=E$1:E6454))))))</f>
        <v> </v>
      </c>
      <c r="K6455" s="26" t="str">
        <f>IF(OR(E6455="",E6455="!!!",F6455="NEW"),"",INDEX(J$1:J6454,SUMPRODUCT(MAX(ROW(E$1:E6454)*(E6455=E$1:E6454)))))</f>
        <v> </v>
      </c>
      <c r="L6455" s="27"/>
    </row>
    <row r="6456" spans="1:12">
      <c r="A6456" s="20"/>
    </row>
    <row r="6457" spans="1:12">
      <c r="A6457" s="20" t="s">
        <v>2570</v>
      </c>
    </row>
    <row r="6458" spans="1:12">
      <c r="A6458" s="20" t="s">
        <v>1357</v>
      </c>
      <c r="E6458" s="22">
        <f>IF(D6458="?OLD","!!!","")</f>
        <v/>
      </c>
      <c r="F6458" s="23" t="str">
        <f>IF(OR(E6458="",E6458="!!!"),"",IF(NOT(ISNA(VLOOKUP(E6458,E$1:E6457,1,FALSE()))),"OLD",IF(AND(E6458&lt;&gt;"",E6458&lt;&gt;"!!!"),"NEW","")))</f>
        <v> </v>
      </c>
      <c r="G6458" s="24" t="str">
        <f>IF(OR(E6458="",E6458="!!!"),"",IF(OR(J6458=0,AND(J6458=1,K6458=1),AND(J6458=1,I6458="SBJ"),AND(J6458=1,I6458=0)),"?IN_FOCUS",IF(J6458&lt;=2,"?ACTIVATED",IF(J6458&lt;&gt;"","?FAMILIAR",IF(F6458="NEW",IF(ISNA(VLOOKUP(E6458,#REF!,1,FALSE())),"?TYPE_IDENTIFIABLE","?REFERENTIAL"),"_")))))</f>
        <v> </v>
      </c>
      <c r="H6458" s="25" t="str">
        <f>IF(J6458&lt;&gt;1,"",IF(I6458="SBJ","CB","?"))</f>
        <v> </v>
      </c>
      <c r="I6458" s="26" t="str">
        <f>IF(OR(E6458="",E6458="!!!",F6458="NEW"),"",INDEX(B6457:B$2,-1+SUMPRODUCT(MAX(ROW(E6457:E$2)*(E6458=E6457:E$2)))))</f>
        <v> </v>
      </c>
      <c r="J6458" s="26" t="str">
        <f>IF(OR(E6458="",E6458="!!!",F6458="NEW"),"",COUNTBLANK(OFFSET(A$1,,,SUMPRODUCT(MAX(ROW(E$2:E6458)*(E6458=E$2:E6458)))))-COUNTBLANK(OFFSET(A$1,,,SUMPRODUCT(MAX(ROW(E$1:E6457)*(E2=E$1:E6457))))))</f>
        <v> </v>
      </c>
      <c r="K6458" s="26" t="str">
        <f>IF(OR(E6458="",E6458="!!!",F6458="NEW"),"",INDEX(J$1:J6457,SUMPRODUCT(MAX(ROW(E$1:E6457)*(E6458=E$1:E6457)))))</f>
        <v> </v>
      </c>
      <c r="L6458" s="27"/>
    </row>
    <row r="6459" spans="1:12">
      <c r="A6459" s="20" t="s">
        <v>1116</v>
      </c>
      <c r="E6459" s="22">
        <f>IF(D6459="?OLD","!!!","")</f>
        <v/>
      </c>
      <c r="F6459" s="23" t="str">
        <f>IF(OR(E6459="",E6459="!!!"),"",IF(NOT(ISNA(VLOOKUP(E6459,E$1:E6458,1,FALSE()))),"OLD",IF(AND(E6459&lt;&gt;"",E6459&lt;&gt;"!!!"),"NEW","")))</f>
        <v> </v>
      </c>
      <c r="G6459" s="24" t="str">
        <f>IF(OR(E6459="",E6459="!!!"),"",IF(OR(J6459=0,AND(J6459=1,K6459=1),AND(J6459=1,I6459="SBJ"),AND(J6459=1,I6459=0)),"?IN_FOCUS",IF(J6459&lt;=2,"?ACTIVATED",IF(J6459&lt;&gt;"","?FAMILIAR",IF(F6459="NEW",IF(ISNA(VLOOKUP(E6459,#REF!,1,FALSE())),"?TYPE_IDENTIFIABLE","?REFERENTIAL"),"_")))))</f>
        <v> </v>
      </c>
      <c r="H6459" s="25" t="str">
        <f>IF(J6459&lt;&gt;1,"",IF(I6459="SBJ","CB","?"))</f>
        <v> </v>
      </c>
      <c r="I6459" s="26" t="str">
        <f>IF(OR(E6459="",E6459="!!!",F6459="NEW"),"",INDEX(B6458:B$2,-1+SUMPRODUCT(MAX(ROW(E6458:E$2)*(E6459=E6458:E$2)))))</f>
        <v> </v>
      </c>
      <c r="J6459" s="26" t="str">
        <f>IF(OR(E6459="",E6459="!!!",F6459="NEW"),"",COUNTBLANK(OFFSET(A$1,,,SUMPRODUCT(MAX(ROW(E$2:E6459)*(E6459=E$2:E6459)))))-COUNTBLANK(OFFSET(A$1,,,SUMPRODUCT(MAX(ROW(E$1:E6458)*(E2=E$1:E6458))))))</f>
        <v> </v>
      </c>
      <c r="K6459" s="26" t="str">
        <f>IF(OR(E6459="",E6459="!!!",F6459="NEW"),"",INDEX(J$1:J6458,SUMPRODUCT(MAX(ROW(E$1:E6458)*(E6459=E$1:E6458)))))</f>
        <v> </v>
      </c>
      <c r="L6459" s="27"/>
    </row>
    <row r="6460" spans="1:12">
      <c r="A6460" s="20" t="s">
        <v>1017</v>
      </c>
      <c r="E6460" s="22">
        <f>IF(D6460="?OLD","!!!","")</f>
        <v/>
      </c>
      <c r="F6460" s="23" t="str">
        <f>IF(OR(E6460="",E6460="!!!"),"",IF(NOT(ISNA(VLOOKUP(E6460,E$1:E6459,1,FALSE()))),"OLD",IF(AND(E6460&lt;&gt;"",E6460&lt;&gt;"!!!"),"NEW","")))</f>
        <v> </v>
      </c>
      <c r="G6460" s="24" t="str">
        <f>IF(OR(E6460="",E6460="!!!"),"",IF(OR(J6460=0,AND(J6460=1,K6460=1),AND(J6460=1,I6460="SBJ"),AND(J6460=1,I6460=0)),"?IN_FOCUS",IF(J6460&lt;=2,"?ACTIVATED",IF(J6460&lt;&gt;"","?FAMILIAR",IF(F6460="NEW",IF(ISNA(VLOOKUP(E6460,#REF!,1,FALSE())),"?TYPE_IDENTIFIABLE","?REFERENTIAL"),"_")))))</f>
        <v> </v>
      </c>
      <c r="H6460" s="25" t="str">
        <f>IF(J6460&lt;&gt;1,"",IF(I6460="SBJ","CB","?"))</f>
        <v> </v>
      </c>
      <c r="I6460" s="26" t="str">
        <f>IF(OR(E6460="",E6460="!!!",F6460="NEW"),"",INDEX(B6459:B$2,-1+SUMPRODUCT(MAX(ROW(E6459:E$2)*(E6460=E6459:E$2)))))</f>
        <v> </v>
      </c>
      <c r="J6460" s="26" t="str">
        <f>IF(OR(E6460="",E6460="!!!",F6460="NEW"),"",COUNTBLANK(OFFSET(A$1,,,SUMPRODUCT(MAX(ROW(E$2:E6460)*(E6460=E$2:E6460)))))-COUNTBLANK(OFFSET(A$1,,,SUMPRODUCT(MAX(ROW(E$1:E6459)*(E2=E$1:E6459))))))</f>
        <v> </v>
      </c>
      <c r="K6460" s="26" t="str">
        <f>IF(OR(E6460="",E6460="!!!",F6460="NEW"),"",INDEX(J$1:J6459,SUMPRODUCT(MAX(ROW(E$1:E6459)*(E6460=E$1:E6459)))))</f>
        <v> </v>
      </c>
      <c r="L6460" s="27"/>
    </row>
    <row r="6461" spans="1:12">
      <c r="A6461" s="20" t="s">
        <v>1549</v>
      </c>
      <c r="E6461" s="22">
        <f>IF(D6461="?OLD","!!!","")</f>
        <v/>
      </c>
      <c r="F6461" s="23" t="str">
        <f>IF(OR(E6461="",E6461="!!!"),"",IF(NOT(ISNA(VLOOKUP(E6461,E$1:E6460,1,FALSE()))),"OLD",IF(AND(E6461&lt;&gt;"",E6461&lt;&gt;"!!!"),"NEW","")))</f>
        <v> </v>
      </c>
      <c r="G6461" s="24" t="str">
        <f>IF(OR(E6461="",E6461="!!!"),"",IF(OR(J6461=0,AND(J6461=1,K6461=1),AND(J6461=1,I6461="SBJ"),AND(J6461=1,I6461=0)),"?IN_FOCUS",IF(J6461&lt;=2,"?ACTIVATED",IF(J6461&lt;&gt;"","?FAMILIAR",IF(F6461="NEW",IF(ISNA(VLOOKUP(E6461,#REF!,1,FALSE())),"?TYPE_IDENTIFIABLE","?REFERENTIAL"),"_")))))</f>
        <v> </v>
      </c>
      <c r="H6461" s="25" t="str">
        <f>IF(J6461&lt;&gt;1,"",IF(I6461="SBJ","CB","?"))</f>
        <v> </v>
      </c>
      <c r="I6461" s="26" t="str">
        <f>IF(OR(E6461="",E6461="!!!",F6461="NEW"),"",INDEX(B6460:B$2,-1+SUMPRODUCT(MAX(ROW(E6460:E$2)*(E6461=E6460:E$2)))))</f>
        <v> </v>
      </c>
      <c r="J6461" s="26" t="str">
        <f>IF(OR(E6461="",E6461="!!!",F6461="NEW"),"",COUNTBLANK(OFFSET(A$1,,,SUMPRODUCT(MAX(ROW(E$2:E6461)*(E6461=E$2:E6461)))))-COUNTBLANK(OFFSET(A$1,,,SUMPRODUCT(MAX(ROW(E$1:E6460)*(E2=E$1:E6460))))))</f>
        <v> </v>
      </c>
      <c r="K6461" s="26" t="str">
        <f>IF(OR(E6461="",E6461="!!!",F6461="NEW"),"",INDEX(J$1:J6460,SUMPRODUCT(MAX(ROW(E$1:E6460)*(E6461=E$1:E6460)))))</f>
        <v> </v>
      </c>
      <c r="L6461" s="27"/>
    </row>
    <row r="6462" spans="1:12">
      <c r="A6462" s="20" t="s">
        <v>1189</v>
      </c>
      <c r="E6462" s="22">
        <f>IF(D6462="?OLD","!!!","")</f>
        <v/>
      </c>
      <c r="F6462" s="23" t="str">
        <f>IF(OR(E6462="",E6462="!!!"),"",IF(NOT(ISNA(VLOOKUP(E6462,E$1:E6461,1,FALSE()))),"OLD",IF(AND(E6462&lt;&gt;"",E6462&lt;&gt;"!!!"),"NEW","")))</f>
        <v> </v>
      </c>
      <c r="G6462" s="24" t="str">
        <f>IF(OR(E6462="",E6462="!!!"),"",IF(OR(J6462=0,AND(J6462=1,K6462=1),AND(J6462=1,I6462="SBJ"),AND(J6462=1,I6462=0)),"?IN_FOCUS",IF(J6462&lt;=2,"?ACTIVATED",IF(J6462&lt;&gt;"","?FAMILIAR",IF(F6462="NEW",IF(ISNA(VLOOKUP(E6462,#REF!,1,FALSE())),"?TYPE_IDENTIFIABLE","?REFERENTIAL"),"_")))))</f>
        <v> </v>
      </c>
      <c r="H6462" s="25" t="str">
        <f>IF(J6462&lt;&gt;1,"",IF(I6462="SBJ","CB","?"))</f>
        <v> </v>
      </c>
      <c r="I6462" s="26" t="str">
        <f>IF(OR(E6462="",E6462="!!!",F6462="NEW"),"",INDEX(B6461:B$2,-1+SUMPRODUCT(MAX(ROW(E6461:E$2)*(E6462=E6461:E$2)))))</f>
        <v> </v>
      </c>
      <c r="J6462" s="26" t="str">
        <f>IF(OR(E6462="",E6462="!!!",F6462="NEW"),"",COUNTBLANK(OFFSET(A$1,,,SUMPRODUCT(MAX(ROW(E$2:E6462)*(E6462=E$2:E6462)))))-COUNTBLANK(OFFSET(A$1,,,SUMPRODUCT(MAX(ROW(E$1:E6461)*(E2=E$1:E6461))))))</f>
        <v> </v>
      </c>
      <c r="K6462" s="26" t="str">
        <f>IF(OR(E6462="",E6462="!!!",F6462="NEW"),"",INDEX(J$1:J6461,SUMPRODUCT(MAX(ROW(E$1:E6461)*(E6462=E$1:E6461)))))</f>
        <v> </v>
      </c>
      <c r="L6462" s="27"/>
    </row>
    <row r="6463" spans="1:12">
      <c r="A6463" s="20" t="s">
        <v>1492</v>
      </c>
      <c r="E6463" s="22">
        <f>IF(D6463="?OLD","!!!","")</f>
        <v/>
      </c>
      <c r="F6463" s="23" t="str">
        <f>IF(OR(E6463="",E6463="!!!"),"",IF(NOT(ISNA(VLOOKUP(E6463,E$1:E6462,1,FALSE()))),"OLD",IF(AND(E6463&lt;&gt;"",E6463&lt;&gt;"!!!"),"NEW","")))</f>
        <v> </v>
      </c>
      <c r="G6463" s="24" t="str">
        <f>IF(OR(E6463="",E6463="!!!"),"",IF(OR(J6463=0,AND(J6463=1,K6463=1),AND(J6463=1,I6463="SBJ"),AND(J6463=1,I6463=0)),"?IN_FOCUS",IF(J6463&lt;=2,"?ACTIVATED",IF(J6463&lt;&gt;"","?FAMILIAR",IF(F6463="NEW",IF(ISNA(VLOOKUP(E6463,#REF!,1,FALSE())),"?TYPE_IDENTIFIABLE","?REFERENTIAL"),"_")))))</f>
        <v> </v>
      </c>
      <c r="H6463" s="25" t="str">
        <f>IF(J6463&lt;&gt;1,"",IF(I6463="SBJ","CB","?"))</f>
        <v> </v>
      </c>
      <c r="I6463" s="26" t="str">
        <f>IF(OR(E6463="",E6463="!!!",F6463="NEW"),"",INDEX(B6462:B$2,-1+SUMPRODUCT(MAX(ROW(E6462:E$2)*(E6463=E6462:E$2)))))</f>
        <v> </v>
      </c>
      <c r="J6463" s="26" t="str">
        <f>IF(OR(E6463="",E6463="!!!",F6463="NEW"),"",COUNTBLANK(OFFSET(A$1,,,SUMPRODUCT(MAX(ROW(E$2:E6463)*(E6463=E$2:E6463)))))-COUNTBLANK(OFFSET(A$1,,,SUMPRODUCT(MAX(ROW(E$1:E6462)*(E2=E$1:E6462))))))</f>
        <v> </v>
      </c>
      <c r="K6463" s="26" t="str">
        <f>IF(OR(E6463="",E6463="!!!",F6463="NEW"),"",INDEX(J$1:J6462,SUMPRODUCT(MAX(ROW(E$1:E6462)*(E6463=E$1:E6462)))))</f>
        <v> </v>
      </c>
      <c r="L6463" s="27"/>
    </row>
    <row r="6464" spans="1:12">
      <c r="A6464" s="20" t="s">
        <v>996</v>
      </c>
      <c r="E6464" s="22">
        <f>IF(D6464="?OLD","!!!","")</f>
        <v/>
      </c>
      <c r="F6464" s="23" t="str">
        <f>IF(OR(E6464="",E6464="!!!"),"",IF(NOT(ISNA(VLOOKUP(E6464,E$1:E6463,1,FALSE()))),"OLD",IF(AND(E6464&lt;&gt;"",E6464&lt;&gt;"!!!"),"NEW","")))</f>
        <v> </v>
      </c>
      <c r="G6464" s="24" t="str">
        <f>IF(OR(E6464="",E6464="!!!"),"",IF(OR(J6464=0,AND(J6464=1,K6464=1),AND(J6464=1,I6464="SBJ"),AND(J6464=1,I6464=0)),"?IN_FOCUS",IF(J6464&lt;=2,"?ACTIVATED",IF(J6464&lt;&gt;"","?FAMILIAR",IF(F6464="NEW",IF(ISNA(VLOOKUP(E6464,#REF!,1,FALSE())),"?TYPE_IDENTIFIABLE","?REFERENTIAL"),"_")))))</f>
        <v> </v>
      </c>
      <c r="H6464" s="25" t="str">
        <f>IF(J6464&lt;&gt;1,"",IF(I6464="SBJ","CB","?"))</f>
        <v> </v>
      </c>
      <c r="I6464" s="26" t="str">
        <f>IF(OR(E6464="",E6464="!!!",F6464="NEW"),"",INDEX(B6463:B$2,-1+SUMPRODUCT(MAX(ROW(E6463:E$2)*(E6464=E6463:E$2)))))</f>
        <v> </v>
      </c>
      <c r="J6464" s="26" t="str">
        <f>IF(OR(E6464="",E6464="!!!",F6464="NEW"),"",COUNTBLANK(OFFSET(A$1,,,SUMPRODUCT(MAX(ROW(E$2:E6464)*(E6464=E$2:E6464)))))-COUNTBLANK(OFFSET(A$1,,,SUMPRODUCT(MAX(ROW(E$1:E6463)*(E2=E$1:E6463))))))</f>
        <v> </v>
      </c>
      <c r="K6464" s="26" t="str">
        <f>IF(OR(E6464="",E6464="!!!",F6464="NEW"),"",INDEX(J$1:J6463,SUMPRODUCT(MAX(ROW(E$1:E6463)*(E6464=E$1:E6463)))))</f>
        <v> </v>
      </c>
      <c r="L6464" s="27"/>
    </row>
    <row r="6465" spans="1:12">
      <c r="A6465" s="20" t="s">
        <v>54</v>
      </c>
      <c r="E6465" s="22">
        <f>IF(D6465="?OLD","!!!","")</f>
        <v/>
      </c>
      <c r="F6465" s="23" t="str">
        <f>IF(OR(E6465="",E6465="!!!"),"",IF(NOT(ISNA(VLOOKUP(E6465,E$1:E6464,1,FALSE()))),"OLD",IF(AND(E6465&lt;&gt;"",E6465&lt;&gt;"!!!"),"NEW","")))</f>
        <v> </v>
      </c>
      <c r="G6465" s="24" t="str">
        <f>IF(OR(E6465="",E6465="!!!"),"",IF(OR(J6465=0,AND(J6465=1,K6465=1),AND(J6465=1,I6465="SBJ"),AND(J6465=1,I6465=0)),"?IN_FOCUS",IF(J6465&lt;=2,"?ACTIVATED",IF(J6465&lt;&gt;"","?FAMILIAR",IF(F6465="NEW",IF(ISNA(VLOOKUP(E6465,#REF!,1,FALSE())),"?TYPE_IDENTIFIABLE","?REFERENTIAL"),"_")))))</f>
        <v> </v>
      </c>
      <c r="H6465" s="25" t="str">
        <f>IF(J6465&lt;&gt;1,"",IF(I6465="SBJ","CB","?"))</f>
        <v> </v>
      </c>
      <c r="I6465" s="26" t="str">
        <f>IF(OR(E6465="",E6465="!!!",F6465="NEW"),"",INDEX(B6464:B$2,-1+SUMPRODUCT(MAX(ROW(E6464:E$2)*(E6465=E6464:E$2)))))</f>
        <v> </v>
      </c>
      <c r="J6465" s="26" t="str">
        <f>IF(OR(E6465="",E6465="!!!",F6465="NEW"),"",COUNTBLANK(OFFSET(A$1,,,SUMPRODUCT(MAX(ROW(E$2:E6465)*(E6465=E$2:E6465)))))-COUNTBLANK(OFFSET(A$1,,,SUMPRODUCT(MAX(ROW(E$1:E6464)*(E2=E$1:E6464))))))</f>
        <v> </v>
      </c>
      <c r="K6465" s="26" t="str">
        <f>IF(OR(E6465="",E6465="!!!",F6465="NEW"),"",INDEX(J$1:J6464,SUMPRODUCT(MAX(ROW(E$1:E6464)*(E6465=E$1:E6464)))))</f>
        <v> </v>
      </c>
      <c r="L6465" s="27"/>
    </row>
    <row r="6466" spans="1:12">
      <c r="A6466" s="20" t="s">
        <v>1050</v>
      </c>
      <c r="E6466" s="22">
        <f>IF(D6466="?OLD","!!!","")</f>
        <v/>
      </c>
      <c r="F6466" s="23" t="str">
        <f>IF(OR(E6466="",E6466="!!!"),"",IF(NOT(ISNA(VLOOKUP(E6466,E$1:E6465,1,FALSE()))),"OLD",IF(AND(E6466&lt;&gt;"",E6466&lt;&gt;"!!!"),"NEW","")))</f>
        <v> </v>
      </c>
      <c r="G6466" s="24" t="str">
        <f>IF(OR(E6466="",E6466="!!!"),"",IF(OR(J6466=0,AND(J6466=1,K6466=1),AND(J6466=1,I6466="SBJ"),AND(J6466=1,I6466=0)),"?IN_FOCUS",IF(J6466&lt;=2,"?ACTIVATED",IF(J6466&lt;&gt;"","?FAMILIAR",IF(F6466="NEW",IF(ISNA(VLOOKUP(E6466,#REF!,1,FALSE())),"?TYPE_IDENTIFIABLE","?REFERENTIAL"),"_")))))</f>
        <v> </v>
      </c>
      <c r="H6466" s="25" t="str">
        <f>IF(J6466&lt;&gt;1,"",IF(I6466="SBJ","CB","?"))</f>
        <v> </v>
      </c>
      <c r="I6466" s="26" t="str">
        <f>IF(OR(E6466="",E6466="!!!",F6466="NEW"),"",INDEX(B6465:B$2,-1+SUMPRODUCT(MAX(ROW(E6465:E$2)*(E6466=E6465:E$2)))))</f>
        <v> </v>
      </c>
      <c r="J6466" s="26" t="str">
        <f>IF(OR(E6466="",E6466="!!!",F6466="NEW"),"",COUNTBLANK(OFFSET(A$1,,,SUMPRODUCT(MAX(ROW(E$2:E6466)*(E6466=E$2:E6466)))))-COUNTBLANK(OFFSET(A$1,,,SUMPRODUCT(MAX(ROW(E$1:E6465)*(E2=E$1:E6465))))))</f>
        <v> </v>
      </c>
      <c r="K6466" s="26" t="str">
        <f>IF(OR(E6466="",E6466="!!!",F6466="NEW"),"",INDEX(J$1:J6465,SUMPRODUCT(MAX(ROW(E$1:E6465)*(E6466=E$1:E6465)))))</f>
        <v> </v>
      </c>
      <c r="L6466" s="27"/>
    </row>
    <row r="6467" spans="1:12">
      <c r="A6467" s="20" t="s">
        <v>2571</v>
      </c>
      <c r="B6467" s="21" t="s">
        <v>1052</v>
      </c>
      <c r="C6467" s="21" t="s">
        <v>983</v>
      </c>
      <c r="E6467" s="22">
        <f>IF(D6467="?OLD","!!!","")</f>
        <v/>
      </c>
      <c r="F6467" s="23" t="str">
        <f>IF(OR(E6467="",E6467="!!!"),"",IF(NOT(ISNA(VLOOKUP(E6467,E$1:E6466,1,FALSE()))),"OLD",IF(AND(E6467&lt;&gt;"",E6467&lt;&gt;"!!!"),"NEW","")))</f>
        <v> </v>
      </c>
      <c r="G6467" s="24" t="str">
        <f>IF(OR(E6467="",E6467="!!!"),"",IF(OR(J6467=0,AND(J6467=1,K6467=1),AND(J6467=1,I6467="SBJ"),AND(J6467=1,I6467=0)),"?IN_FOCUS",IF(J6467&lt;=2,"?ACTIVATED",IF(J6467&lt;&gt;"","?FAMILIAR",IF(F6467="NEW",IF(ISNA(VLOOKUP(E6467,#REF!,1,FALSE())),"?TYPE_IDENTIFIABLE","?REFERENTIAL"),"_")))))</f>
        <v> </v>
      </c>
      <c r="H6467" s="25" t="str">
        <f>IF(J6467&lt;&gt;1,"",IF(I6467="SBJ","CB","?"))</f>
        <v> </v>
      </c>
      <c r="I6467" s="26" t="str">
        <f>IF(OR(E6467="",E6467="!!!",F6467="NEW"),"",INDEX(B6466:B$2,-1+SUMPRODUCT(MAX(ROW(E6466:E$2)*(E6467=E6466:E$2)))))</f>
        <v> </v>
      </c>
      <c r="J6467" s="26" t="str">
        <f>IF(OR(E6467="",E6467="!!!",F6467="NEW"),"",COUNTBLANK(OFFSET(A$1,,,SUMPRODUCT(MAX(ROW(E$2:E6467)*(E6467=E$2:E6467)))))-COUNTBLANK(OFFSET(A$1,,,SUMPRODUCT(MAX(ROW(E$1:E6466)*(E2=E$1:E6466))))))</f>
        <v> </v>
      </c>
      <c r="K6467" s="26" t="str">
        <f>IF(OR(E6467="",E6467="!!!",F6467="NEW"),"",INDEX(J$1:J6466,SUMPRODUCT(MAX(ROW(E$1:E6466)*(E6467=E$1:E6466)))))</f>
        <v> </v>
      </c>
      <c r="L6467" s="27"/>
    </row>
    <row r="6468" spans="1:12">
      <c r="A6468" s="20" t="s">
        <v>2375</v>
      </c>
      <c r="E6468" s="22">
        <f>IF(D6468="?OLD","!!!","")</f>
        <v/>
      </c>
      <c r="F6468" s="23" t="str">
        <f>IF(OR(E6468="",E6468="!!!"),"",IF(NOT(ISNA(VLOOKUP(E6468,E$1:E6467,1,FALSE()))),"OLD",IF(AND(E6468&lt;&gt;"",E6468&lt;&gt;"!!!"),"NEW","")))</f>
        <v> </v>
      </c>
      <c r="G6468" s="24" t="str">
        <f>IF(OR(E6468="",E6468="!!!"),"",IF(OR(J6468=0,AND(J6468=1,K6468=1),AND(J6468=1,I6468="SBJ"),AND(J6468=1,I6468=0)),"?IN_FOCUS",IF(J6468&lt;=2,"?ACTIVATED",IF(J6468&lt;&gt;"","?FAMILIAR",IF(F6468="NEW",IF(ISNA(VLOOKUP(E6468,#REF!,1,FALSE())),"?TYPE_IDENTIFIABLE","?REFERENTIAL"),"_")))))</f>
        <v> </v>
      </c>
      <c r="H6468" s="25" t="str">
        <f>IF(J6468&lt;&gt;1,"",IF(I6468="SBJ","CB","?"))</f>
        <v> </v>
      </c>
      <c r="I6468" s="26" t="str">
        <f>IF(OR(E6468="",E6468="!!!",F6468="NEW"),"",INDEX(B6467:B$2,-1+SUMPRODUCT(MAX(ROW(E6467:E$2)*(E6468=E6467:E$2)))))</f>
        <v> </v>
      </c>
      <c r="J6468" s="26" t="str">
        <f>IF(OR(E6468="",E6468="!!!",F6468="NEW"),"",COUNTBLANK(OFFSET(A$1,,,SUMPRODUCT(MAX(ROW(E$2:E6468)*(E6468=E$2:E6468)))))-COUNTBLANK(OFFSET(A$1,,,SUMPRODUCT(MAX(ROW(E$1:E6467)*(E2=E$1:E6467))))))</f>
        <v> </v>
      </c>
      <c r="K6468" s="26" t="str">
        <f>IF(OR(E6468="",E6468="!!!",F6468="NEW"),"",INDEX(J$1:J6467,SUMPRODUCT(MAX(ROW(E$1:E6467)*(E6468=E$1:E6467)))))</f>
        <v> </v>
      </c>
      <c r="L6468" s="27"/>
    </row>
    <row r="6469" spans="1:12">
      <c r="A6469" s="20" t="s">
        <v>1000</v>
      </c>
      <c r="E6469" s="22">
        <f>IF(D6469="?OLD","!!!","")</f>
        <v/>
      </c>
      <c r="F6469" s="23" t="str">
        <f>IF(OR(E6469="",E6469="!!!"),"",IF(NOT(ISNA(VLOOKUP(E6469,E$1:E6468,1,FALSE()))),"OLD",IF(AND(E6469&lt;&gt;"",E6469&lt;&gt;"!!!"),"NEW","")))</f>
        <v> </v>
      </c>
      <c r="G6469" s="24" t="str">
        <f>IF(OR(E6469="",E6469="!!!"),"",IF(OR(J6469=0,AND(J6469=1,K6469=1),AND(J6469=1,I6469="SBJ"),AND(J6469=1,I6469=0)),"?IN_FOCUS",IF(J6469&lt;=2,"?ACTIVATED",IF(J6469&lt;&gt;"","?FAMILIAR",IF(F6469="NEW",IF(ISNA(VLOOKUP(E6469,#REF!,1,FALSE())),"?TYPE_IDENTIFIABLE","?REFERENTIAL"),"_")))))</f>
        <v> </v>
      </c>
      <c r="H6469" s="25" t="str">
        <f>IF(J6469&lt;&gt;1,"",IF(I6469="SBJ","CB","?"))</f>
        <v> </v>
      </c>
      <c r="I6469" s="26" t="str">
        <f>IF(OR(E6469="",E6469="!!!",F6469="NEW"),"",INDEX(B6468:B$2,-1+SUMPRODUCT(MAX(ROW(E6468:E$2)*(E6469=E6468:E$2)))))</f>
        <v> </v>
      </c>
      <c r="J6469" s="26" t="str">
        <f>IF(OR(E6469="",E6469="!!!",F6469="NEW"),"",COUNTBLANK(OFFSET(A$1,,,SUMPRODUCT(MAX(ROW(E$2:E6469)*(E6469=E$2:E6469)))))-COUNTBLANK(OFFSET(A$1,,,SUMPRODUCT(MAX(ROW(E$1:E6468)*(E2=E$1:E6468))))))</f>
        <v> </v>
      </c>
      <c r="K6469" s="26" t="str">
        <f>IF(OR(E6469="",E6469="!!!",F6469="NEW"),"",INDEX(J$1:J6468,SUMPRODUCT(MAX(ROW(E$1:E6468)*(E6469=E$1:E6468)))))</f>
        <v> </v>
      </c>
      <c r="L6469" s="27"/>
    </row>
    <row r="6470" spans="1:12">
      <c r="A6470" s="20" t="s">
        <v>996</v>
      </c>
      <c r="E6470" s="22">
        <f>IF(D6470="?OLD","!!!","")</f>
        <v/>
      </c>
      <c r="F6470" s="23" t="str">
        <f>IF(OR(E6470="",E6470="!!!"),"",IF(NOT(ISNA(VLOOKUP(E6470,E$1:E6469,1,FALSE()))),"OLD",IF(AND(E6470&lt;&gt;"",E6470&lt;&gt;"!!!"),"NEW","")))</f>
        <v> </v>
      </c>
      <c r="G6470" s="24" t="str">
        <f>IF(OR(E6470="",E6470="!!!"),"",IF(OR(J6470=0,AND(J6470=1,K6470=1),AND(J6470=1,I6470="SBJ"),AND(J6470=1,I6470=0)),"?IN_FOCUS",IF(J6470&lt;=2,"?ACTIVATED",IF(J6470&lt;&gt;"","?FAMILIAR",IF(F6470="NEW",IF(ISNA(VLOOKUP(E6470,#REF!,1,FALSE())),"?TYPE_IDENTIFIABLE","?REFERENTIAL"),"_")))))</f>
        <v> </v>
      </c>
      <c r="H6470" s="25" t="str">
        <f>IF(J6470&lt;&gt;1,"",IF(I6470="SBJ","CB","?"))</f>
        <v> </v>
      </c>
      <c r="I6470" s="26" t="str">
        <f>IF(OR(E6470="",E6470="!!!",F6470="NEW"),"",INDEX(B6469:B$2,-1+SUMPRODUCT(MAX(ROW(E6469:E$2)*(E6470=E6469:E$2)))))</f>
        <v> </v>
      </c>
      <c r="J6470" s="26" t="str">
        <f>IF(OR(E6470="",E6470="!!!",F6470="NEW"),"",COUNTBLANK(OFFSET(A$1,,,SUMPRODUCT(MAX(ROW(E$2:E6470)*(E6470=E$2:E6470)))))-COUNTBLANK(OFFSET(A$1,,,SUMPRODUCT(MAX(ROW(E$1:E6469)*(E2=E$1:E6469))))))</f>
        <v> </v>
      </c>
      <c r="K6470" s="26" t="str">
        <f>IF(OR(E6470="",E6470="!!!",F6470="NEW"),"",INDEX(J$1:J6469,SUMPRODUCT(MAX(ROW(E$1:E6469)*(E6470=E$1:E6469)))))</f>
        <v> </v>
      </c>
      <c r="L6470" s="27"/>
    </row>
    <row r="6471" spans="1:12">
      <c r="A6471" s="20" t="s">
        <v>89</v>
      </c>
      <c r="E6471" s="22">
        <f>IF(D6471="?OLD","!!!","")</f>
        <v/>
      </c>
      <c r="F6471" s="23" t="str">
        <f>IF(OR(E6471="",E6471="!!!"),"",IF(NOT(ISNA(VLOOKUP(E6471,E$1:E6470,1,FALSE()))),"OLD",IF(AND(E6471&lt;&gt;"",E6471&lt;&gt;"!!!"),"NEW","")))</f>
        <v> </v>
      </c>
      <c r="G6471" s="24" t="str">
        <f>IF(OR(E6471="",E6471="!!!"),"",IF(OR(J6471=0,AND(J6471=1,K6471=1),AND(J6471=1,I6471="SBJ"),AND(J6471=1,I6471=0)),"?IN_FOCUS",IF(J6471&lt;=2,"?ACTIVATED",IF(J6471&lt;&gt;"","?FAMILIAR",IF(F6471="NEW",IF(ISNA(VLOOKUP(E6471,#REF!,1,FALSE())),"?TYPE_IDENTIFIABLE","?REFERENTIAL"),"_")))))</f>
        <v> </v>
      </c>
      <c r="H6471" s="25" t="str">
        <f>IF(J6471&lt;&gt;1,"",IF(I6471="SBJ","CB","?"))</f>
        <v> </v>
      </c>
      <c r="I6471" s="26" t="str">
        <f>IF(OR(E6471="",E6471="!!!",F6471="NEW"),"",INDEX(B6470:B$2,-1+SUMPRODUCT(MAX(ROW(E6470:E$2)*(E6471=E6470:E$2)))))</f>
        <v> </v>
      </c>
      <c r="J6471" s="26" t="str">
        <f>IF(OR(E6471="",E6471="!!!",F6471="NEW"),"",COUNTBLANK(OFFSET(A$1,,,SUMPRODUCT(MAX(ROW(E$2:E6471)*(E6471=E$2:E6471)))))-COUNTBLANK(OFFSET(A$1,,,SUMPRODUCT(MAX(ROW(E$1:E6470)*(E2=E$1:E6470))))))</f>
        <v> </v>
      </c>
      <c r="K6471" s="26" t="str">
        <f>IF(OR(E6471="",E6471="!!!",F6471="NEW"),"",INDEX(J$1:J6470,SUMPRODUCT(MAX(ROW(E$1:E6470)*(E6471=E$1:E6470)))))</f>
        <v> </v>
      </c>
      <c r="L6471" s="27"/>
    </row>
    <row r="6472" spans="1:12">
      <c r="A6472" s="20" t="s">
        <v>1038</v>
      </c>
      <c r="E6472" s="22">
        <f>IF(D6472="?OLD","!!!","")</f>
        <v/>
      </c>
      <c r="F6472" s="23" t="str">
        <f>IF(OR(E6472="",E6472="!!!"),"",IF(NOT(ISNA(VLOOKUP(E6472,E$1:E6471,1,FALSE()))),"OLD",IF(AND(E6472&lt;&gt;"",E6472&lt;&gt;"!!!"),"NEW","")))</f>
        <v> </v>
      </c>
      <c r="G6472" s="24" t="str">
        <f>IF(OR(E6472="",E6472="!!!"),"",IF(OR(J6472=0,AND(J6472=1,K6472=1),AND(J6472=1,I6472="SBJ"),AND(J6472=1,I6472=0)),"?IN_FOCUS",IF(J6472&lt;=2,"?ACTIVATED",IF(J6472&lt;&gt;"","?FAMILIAR",IF(F6472="NEW",IF(ISNA(VLOOKUP(E6472,#REF!,1,FALSE())),"?TYPE_IDENTIFIABLE","?REFERENTIAL"),"_")))))</f>
        <v> </v>
      </c>
      <c r="H6472" s="25" t="str">
        <f>IF(J6472&lt;&gt;1,"",IF(I6472="SBJ","CB","?"))</f>
        <v> </v>
      </c>
      <c r="I6472" s="26" t="str">
        <f>IF(OR(E6472="",E6472="!!!",F6472="NEW"),"",INDEX(B6471:B$2,-1+SUMPRODUCT(MAX(ROW(E6471:E$2)*(E6472=E6471:E$2)))))</f>
        <v> </v>
      </c>
      <c r="J6472" s="26" t="str">
        <f>IF(OR(E6472="",E6472="!!!",F6472="NEW"),"",COUNTBLANK(OFFSET(A$1,,,SUMPRODUCT(MAX(ROW(E$2:E6472)*(E6472=E$2:E6472)))))-COUNTBLANK(OFFSET(A$1,,,SUMPRODUCT(MAX(ROW(E$1:E6471)*(E2=E$1:E6471))))))</f>
        <v> </v>
      </c>
      <c r="K6472" s="26" t="str">
        <f>IF(OR(E6472="",E6472="!!!",F6472="NEW"),"",INDEX(J$1:J6471,SUMPRODUCT(MAX(ROW(E$1:E6471)*(E6472=E$1:E6471)))))</f>
        <v> </v>
      </c>
      <c r="L6472" s="27"/>
    </row>
    <row r="6473" spans="1:12">
      <c r="A6473" s="20" t="s">
        <v>2219</v>
      </c>
      <c r="B6473" s="21" t="s">
        <v>1084</v>
      </c>
      <c r="C6473" s="21" t="s">
        <v>987</v>
      </c>
      <c r="D6473" s="21" t="s">
        <v>978</v>
      </c>
      <c r="E6473" s="22">
        <f>IF(D6473="?OLD","!!!","")</f>
        <v/>
      </c>
      <c r="F6473" s="23" t="str">
        <f>IF(OR(E6473="",E6473="!!!"),"",IF(NOT(ISNA(VLOOKUP(E6473,E$1:E6472,1,FALSE()))),"OLD",IF(AND(E6473&lt;&gt;"",E6473&lt;&gt;"!!!"),"NEW","")))</f>
        <v> </v>
      </c>
      <c r="G6473" s="24" t="str">
        <f>IF(OR(E6473="",E6473="!!!"),"",IF(OR(J6473=0,AND(J6473=1,K6473=1),AND(J6473=1,I6473="SBJ"),AND(J6473=1,I6473=0)),"?IN_FOCUS",IF(J6473&lt;=2,"?ACTIVATED",IF(J6473&lt;&gt;"","?FAMILIAR",IF(F6473="NEW",IF(ISNA(VLOOKUP(E6473,#REF!,1,FALSE())),"?TYPE_IDENTIFIABLE","?REFERENTIAL"),"_")))))</f>
        <v> </v>
      </c>
      <c r="H6473" s="25" t="str">
        <f>IF(J6473&lt;&gt;1,"",IF(I6473="SBJ","CB","?"))</f>
        <v> </v>
      </c>
      <c r="I6473" s="26" t="str">
        <f>IF(OR(E6473="",E6473="!!!",F6473="NEW"),"",INDEX(B6472:B$2,-1+SUMPRODUCT(MAX(ROW(E6472:E$2)*(E6473=E6472:E$2)))))</f>
        <v> </v>
      </c>
      <c r="J6473" s="26" t="str">
        <f>IF(OR(E6473="",E6473="!!!",F6473="NEW"),"",COUNTBLANK(OFFSET(A$1,,,SUMPRODUCT(MAX(ROW(E$2:E6473)*(E6473=E$2:E6473)))))-COUNTBLANK(OFFSET(A$1,,,SUMPRODUCT(MAX(ROW(E$1:E6472)*(E2=E$1:E6472))))))</f>
        <v> </v>
      </c>
      <c r="K6473" s="26" t="str">
        <f>IF(OR(E6473="",E6473="!!!",F6473="NEW"),"",INDEX(J$1:J6472,SUMPRODUCT(MAX(ROW(E$1:E6472)*(E6473=E$1:E6472)))))</f>
        <v> </v>
      </c>
      <c r="L6473" s="27"/>
    </row>
    <row r="6474" spans="1:12">
      <c r="A6474" s="20" t="s">
        <v>1111</v>
      </c>
      <c r="B6474" s="21" t="s">
        <v>1035</v>
      </c>
      <c r="C6474" s="21" t="s">
        <v>990</v>
      </c>
      <c r="D6474" s="21" t="s">
        <v>978</v>
      </c>
      <c r="E6474" s="22">
        <f>IF(D6474="?OLD","!!!","")</f>
        <v/>
      </c>
      <c r="F6474" s="23" t="str">
        <f>IF(OR(E6474="",E6474="!!!"),"",IF(NOT(ISNA(VLOOKUP(E6474,E$1:E6473,1,FALSE()))),"OLD",IF(AND(E6474&lt;&gt;"",E6474&lt;&gt;"!!!"),"NEW","")))</f>
        <v> </v>
      </c>
      <c r="G6474" s="24" t="str">
        <f>IF(OR(E6474="",E6474="!!!"),"",IF(OR(J6474=0,AND(J6474=1,K6474=1),AND(J6474=1,I6474="SBJ"),AND(J6474=1,I6474=0)),"?IN_FOCUS",IF(J6474&lt;=2,"?ACTIVATED",IF(J6474&lt;&gt;"","?FAMILIAR",IF(F6474="NEW",IF(ISNA(VLOOKUP(E6474,#REF!,1,FALSE())),"?TYPE_IDENTIFIABLE","?REFERENTIAL"),"_")))))</f>
        <v> </v>
      </c>
      <c r="H6474" s="25" t="str">
        <f>IF(J6474&lt;&gt;1,"",IF(I6474="SBJ","CB","?"))</f>
        <v> </v>
      </c>
      <c r="I6474" s="26" t="str">
        <f>IF(OR(E6474="",E6474="!!!",F6474="NEW"),"",INDEX(B6473:B$2,-1+SUMPRODUCT(MAX(ROW(E6473:E$2)*(E6474=E6473:E$2)))))</f>
        <v> </v>
      </c>
      <c r="J6474" s="26" t="str">
        <f>IF(OR(E6474="",E6474="!!!",F6474="NEW"),"",COUNTBLANK(OFFSET(A$1,,,SUMPRODUCT(MAX(ROW(E$2:E6474)*(E6474=E$2:E6474)))))-COUNTBLANK(OFFSET(A$1,,,SUMPRODUCT(MAX(ROW(E$1:E6473)*(E2=E$1:E6473))))))</f>
        <v> </v>
      </c>
      <c r="K6474" s="26" t="str">
        <f>IF(OR(E6474="",E6474="!!!",F6474="NEW"),"",INDEX(J$1:J6473,SUMPRODUCT(MAX(ROW(E$1:E6473)*(E6474=E$1:E6473)))))</f>
        <v> </v>
      </c>
      <c r="L6474" s="27"/>
    </row>
    <row r="6475" spans="1:12">
      <c r="A6475" s="20" t="s">
        <v>1323</v>
      </c>
      <c r="E6475" s="22">
        <f>IF(D6475="?OLD","!!!","")</f>
        <v/>
      </c>
      <c r="F6475" s="23" t="str">
        <f>IF(OR(E6475="",E6475="!!!"),"",IF(NOT(ISNA(VLOOKUP(E6475,E$1:E6474,1,FALSE()))),"OLD",IF(AND(E6475&lt;&gt;"",E6475&lt;&gt;"!!!"),"NEW","")))</f>
        <v> </v>
      </c>
      <c r="G6475" s="24" t="str">
        <f>IF(OR(E6475="",E6475="!!!"),"",IF(OR(J6475=0,AND(J6475=1,K6475=1),AND(J6475=1,I6475="SBJ"),AND(J6475=1,I6475=0)),"?IN_FOCUS",IF(J6475&lt;=2,"?ACTIVATED",IF(J6475&lt;&gt;"","?FAMILIAR",IF(F6475="NEW",IF(ISNA(VLOOKUP(E6475,#REF!,1,FALSE())),"?TYPE_IDENTIFIABLE","?REFERENTIAL"),"_")))))</f>
        <v> </v>
      </c>
      <c r="H6475" s="25" t="str">
        <f>IF(J6475&lt;&gt;1,"",IF(I6475="SBJ","CB","?"))</f>
        <v> </v>
      </c>
      <c r="I6475" s="26" t="str">
        <f>IF(OR(E6475="",E6475="!!!",F6475="NEW"),"",INDEX(B6474:B$2,-1+SUMPRODUCT(MAX(ROW(E6474:E$2)*(E6475=E6474:E$2)))))</f>
        <v> </v>
      </c>
      <c r="J6475" s="26" t="str">
        <f>IF(OR(E6475="",E6475="!!!",F6475="NEW"),"",COUNTBLANK(OFFSET(A$1,,,SUMPRODUCT(MAX(ROW(E$2:E6475)*(E6475=E$2:E6475)))))-COUNTBLANK(OFFSET(A$1,,,SUMPRODUCT(MAX(ROW(E$1:E6474)*(E2=E$1:E6474))))))</f>
        <v> </v>
      </c>
      <c r="K6475" s="26" t="str">
        <f>IF(OR(E6475="",E6475="!!!",F6475="NEW"),"",INDEX(J$1:J6474,SUMPRODUCT(MAX(ROW(E$1:E6474)*(E6475=E$1:E6474)))))</f>
        <v> </v>
      </c>
      <c r="L6475" s="27"/>
    </row>
    <row r="6476" spans="1:12">
      <c r="A6476" s="20" t="s">
        <v>1401</v>
      </c>
      <c r="E6476" s="22">
        <f>IF(D6476="?OLD","!!!","")</f>
        <v/>
      </c>
      <c r="F6476" s="23" t="str">
        <f>IF(OR(E6476="",E6476="!!!"),"",IF(NOT(ISNA(VLOOKUP(E6476,E$1:E6475,1,FALSE()))),"OLD",IF(AND(E6476&lt;&gt;"",E6476&lt;&gt;"!!!"),"NEW","")))</f>
        <v> </v>
      </c>
      <c r="G6476" s="24" t="str">
        <f>IF(OR(E6476="",E6476="!!!"),"",IF(OR(J6476=0,AND(J6476=1,K6476=1),AND(J6476=1,I6476="SBJ"),AND(J6476=1,I6476=0)),"?IN_FOCUS",IF(J6476&lt;=2,"?ACTIVATED",IF(J6476&lt;&gt;"","?FAMILIAR",IF(F6476="NEW",IF(ISNA(VLOOKUP(E6476,#REF!,1,FALSE())),"?TYPE_IDENTIFIABLE","?REFERENTIAL"),"_")))))</f>
        <v> </v>
      </c>
      <c r="H6476" s="25" t="str">
        <f>IF(J6476&lt;&gt;1,"",IF(I6476="SBJ","CB","?"))</f>
        <v> </v>
      </c>
      <c r="I6476" s="26" t="str">
        <f>IF(OR(E6476="",E6476="!!!",F6476="NEW"),"",INDEX(B6475:B$2,-1+SUMPRODUCT(MAX(ROW(E6475:E$2)*(E6476=E6475:E$2)))))</f>
        <v> </v>
      </c>
      <c r="J6476" s="26" t="str">
        <f>IF(OR(E6476="",E6476="!!!",F6476="NEW"),"",COUNTBLANK(OFFSET(A$1,,,SUMPRODUCT(MAX(ROW(E$2:E6476)*(E6476=E$2:E6476)))))-COUNTBLANK(OFFSET(A$1,,,SUMPRODUCT(MAX(ROW(E$1:E6475)*(E2=E$1:E6475))))))</f>
        <v> </v>
      </c>
      <c r="K6476" s="26" t="str">
        <f>IF(OR(E6476="",E6476="!!!",F6476="NEW"),"",INDEX(J$1:J6475,SUMPRODUCT(MAX(ROW(E$1:E6475)*(E6476=E$1:E6475)))))</f>
        <v> </v>
      </c>
      <c r="L6476" s="27"/>
    </row>
    <row r="6477" spans="1:12">
      <c r="A6477" s="20" t="s">
        <v>1482</v>
      </c>
      <c r="E6477" s="22">
        <f>IF(D6477="?OLD","!!!","")</f>
        <v/>
      </c>
      <c r="F6477" s="23" t="str">
        <f>IF(OR(E6477="",E6477="!!!"),"",IF(NOT(ISNA(VLOOKUP(E6477,E$1:E6476,1,FALSE()))),"OLD",IF(AND(E6477&lt;&gt;"",E6477&lt;&gt;"!!!"),"NEW","")))</f>
        <v> </v>
      </c>
      <c r="G6477" s="24" t="str">
        <f>IF(OR(E6477="",E6477="!!!"),"",IF(OR(J6477=0,AND(J6477=1,K6477=1),AND(J6477=1,I6477="SBJ"),AND(J6477=1,I6477=0)),"?IN_FOCUS",IF(J6477&lt;=2,"?ACTIVATED",IF(J6477&lt;&gt;"","?FAMILIAR",IF(F6477="NEW",IF(ISNA(VLOOKUP(E6477,#REF!,1,FALSE())),"?TYPE_IDENTIFIABLE","?REFERENTIAL"),"_")))))</f>
        <v> </v>
      </c>
      <c r="H6477" s="25" t="str">
        <f>IF(J6477&lt;&gt;1,"",IF(I6477="SBJ","CB","?"))</f>
        <v> </v>
      </c>
      <c r="I6477" s="26" t="str">
        <f>IF(OR(E6477="",E6477="!!!",F6477="NEW"),"",INDEX(B6476:B$2,-1+SUMPRODUCT(MAX(ROW(E6476:E$2)*(E6477=E6476:E$2)))))</f>
        <v> </v>
      </c>
      <c r="J6477" s="26" t="str">
        <f>IF(OR(E6477="",E6477="!!!",F6477="NEW"),"",COUNTBLANK(OFFSET(A$1,,,SUMPRODUCT(MAX(ROW(E$2:E6477)*(E6477=E$2:E6477)))))-COUNTBLANK(OFFSET(A$1,,,SUMPRODUCT(MAX(ROW(E$1:E6476)*(E2=E$1:E6476))))))</f>
        <v> </v>
      </c>
      <c r="K6477" s="26" t="str">
        <f>IF(OR(E6477="",E6477="!!!",F6477="NEW"),"",INDEX(J$1:J6476,SUMPRODUCT(MAX(ROW(E$1:E6476)*(E6477=E$1:E6476)))))</f>
        <v> </v>
      </c>
      <c r="L6477" s="27"/>
    </row>
    <row r="6478" spans="1:12">
      <c r="A6478" s="20" t="s">
        <v>2572</v>
      </c>
      <c r="E6478" s="22">
        <f>IF(D6478="?OLD","!!!","")</f>
        <v/>
      </c>
      <c r="F6478" s="23" t="str">
        <f>IF(OR(E6478="",E6478="!!!"),"",IF(NOT(ISNA(VLOOKUP(E6478,E$1:E6477,1,FALSE()))),"OLD",IF(AND(E6478&lt;&gt;"",E6478&lt;&gt;"!!!"),"NEW","")))</f>
        <v> </v>
      </c>
      <c r="G6478" s="24" t="str">
        <f>IF(OR(E6478="",E6478="!!!"),"",IF(OR(J6478=0,AND(J6478=1,K6478=1),AND(J6478=1,I6478="SBJ"),AND(J6478=1,I6478=0)),"?IN_FOCUS",IF(J6478&lt;=2,"?ACTIVATED",IF(J6478&lt;&gt;"","?FAMILIAR",IF(F6478="NEW",IF(ISNA(VLOOKUP(E6478,#REF!,1,FALSE())),"?TYPE_IDENTIFIABLE","?REFERENTIAL"),"_")))))</f>
        <v> </v>
      </c>
      <c r="H6478" s="25" t="str">
        <f>IF(J6478&lt;&gt;1,"",IF(I6478="SBJ","CB","?"))</f>
        <v> </v>
      </c>
      <c r="I6478" s="26" t="str">
        <f>IF(OR(E6478="",E6478="!!!",F6478="NEW"),"",INDEX(B6477:B$2,-1+SUMPRODUCT(MAX(ROW(E6477:E$2)*(E6478=E6477:E$2)))))</f>
        <v> </v>
      </c>
      <c r="J6478" s="26" t="str">
        <f>IF(OR(E6478="",E6478="!!!",F6478="NEW"),"",COUNTBLANK(OFFSET(A$1,,,SUMPRODUCT(MAX(ROW(E$2:E6478)*(E6478=E$2:E6478)))))-COUNTBLANK(OFFSET(A$1,,,SUMPRODUCT(MAX(ROW(E$1:E6477)*(E2=E$1:E6477))))))</f>
        <v> </v>
      </c>
      <c r="K6478" s="26" t="str">
        <f>IF(OR(E6478="",E6478="!!!",F6478="NEW"),"",INDEX(J$1:J6477,SUMPRODUCT(MAX(ROW(E$1:E6477)*(E6478=E$1:E6477)))))</f>
        <v> </v>
      </c>
      <c r="L6478" s="27"/>
    </row>
    <row r="6479" spans="1:12">
      <c r="A6479" s="20" t="s">
        <v>1022</v>
      </c>
      <c r="E6479" s="22">
        <f>IF(D6479="?OLD","!!!","")</f>
        <v/>
      </c>
      <c r="F6479" s="23" t="str">
        <f>IF(OR(E6479="",E6479="!!!"),"",IF(NOT(ISNA(VLOOKUP(E6479,E$1:E6478,1,FALSE()))),"OLD",IF(AND(E6479&lt;&gt;"",E6479&lt;&gt;"!!!"),"NEW","")))</f>
        <v> </v>
      </c>
      <c r="G6479" s="24" t="str">
        <f>IF(OR(E6479="",E6479="!!!"),"",IF(OR(J6479=0,AND(J6479=1,K6479=1),AND(J6479=1,I6479="SBJ"),AND(J6479=1,I6479=0)),"?IN_FOCUS",IF(J6479&lt;=2,"?ACTIVATED",IF(J6479&lt;&gt;"","?FAMILIAR",IF(F6479="NEW",IF(ISNA(VLOOKUP(E6479,#REF!,1,FALSE())),"?TYPE_IDENTIFIABLE","?REFERENTIAL"),"_")))))</f>
        <v> </v>
      </c>
      <c r="H6479" s="25" t="str">
        <f>IF(J6479&lt;&gt;1,"",IF(I6479="SBJ","CB","?"))</f>
        <v> </v>
      </c>
      <c r="I6479" s="26" t="str">
        <f>IF(OR(E6479="",E6479="!!!",F6479="NEW"),"",INDEX(B6478:B$2,-1+SUMPRODUCT(MAX(ROW(E6478:E$2)*(E6479=E6478:E$2)))))</f>
        <v> </v>
      </c>
      <c r="J6479" s="26" t="str">
        <f>IF(OR(E6479="",E6479="!!!",F6479="NEW"),"",COUNTBLANK(OFFSET(A$1,,,SUMPRODUCT(MAX(ROW(E$2:E6479)*(E6479=E$2:E6479)))))-COUNTBLANK(OFFSET(A$1,,,SUMPRODUCT(MAX(ROW(E$1:E6478)*(E2=E$1:E6478))))))</f>
        <v> </v>
      </c>
      <c r="K6479" s="26" t="str">
        <f>IF(OR(E6479="",E6479="!!!",F6479="NEW"),"",INDEX(J$1:J6478,SUMPRODUCT(MAX(ROW(E$1:E6478)*(E6479=E$1:E6478)))))</f>
        <v> </v>
      </c>
      <c r="L6479" s="27"/>
    </row>
    <row r="6480" spans="1:12">
      <c r="A6480" s="20"/>
    </row>
    <row r="6481" spans="1:12">
      <c r="A6481" s="20" t="s">
        <v>2573</v>
      </c>
    </row>
    <row r="6482" spans="1:12">
      <c r="A6482" s="20" t="s">
        <v>1357</v>
      </c>
      <c r="E6482" s="22">
        <f>IF(D6482="?OLD","!!!","")</f>
        <v/>
      </c>
      <c r="F6482" s="23" t="str">
        <f>IF(OR(E6482="",E6482="!!!"),"",IF(NOT(ISNA(VLOOKUP(E6482,E$1:E6481,1,FALSE()))),"OLD",IF(AND(E6482&lt;&gt;"",E6482&lt;&gt;"!!!"),"NEW","")))</f>
        <v> </v>
      </c>
      <c r="G6482" s="24" t="str">
        <f>IF(OR(E6482="",E6482="!!!"),"",IF(OR(J6482=0,AND(J6482=1,K6482=1),AND(J6482=1,I6482="SBJ"),AND(J6482=1,I6482=0)),"?IN_FOCUS",IF(J6482&lt;=2,"?ACTIVATED",IF(J6482&lt;&gt;"","?FAMILIAR",IF(F6482="NEW",IF(ISNA(VLOOKUP(E6482,#REF!,1,FALSE())),"?TYPE_IDENTIFIABLE","?REFERENTIAL"),"_")))))</f>
        <v> </v>
      </c>
      <c r="H6482" s="25" t="str">
        <f>IF(J6482&lt;&gt;1,"",IF(I6482="SBJ","CB","?"))</f>
        <v> </v>
      </c>
      <c r="I6482" s="26" t="str">
        <f>IF(OR(E6482="",E6482="!!!",F6482="NEW"),"",INDEX(B6481:B$2,-1+SUMPRODUCT(MAX(ROW(E6481:E$2)*(E6482=E6481:E$2)))))</f>
        <v> </v>
      </c>
      <c r="J6482" s="26" t="str">
        <f>IF(OR(E6482="",E6482="!!!",F6482="NEW"),"",COUNTBLANK(OFFSET(A$1,,,SUMPRODUCT(MAX(ROW(E$2:E6482)*(E6482=E$2:E6482)))))-COUNTBLANK(OFFSET(A$1,,,SUMPRODUCT(MAX(ROW(E$1:E6481)*(E2=E$1:E6481))))))</f>
        <v> </v>
      </c>
      <c r="K6482" s="26" t="str">
        <f>IF(OR(E6482="",E6482="!!!",F6482="NEW"),"",INDEX(J$1:J6481,SUMPRODUCT(MAX(ROW(E$1:E6481)*(E6482=E$1:E6481)))))</f>
        <v> </v>
      </c>
      <c r="L6482" s="27"/>
    </row>
    <row r="6483" spans="1:12">
      <c r="A6483" s="20" t="s">
        <v>1017</v>
      </c>
      <c r="E6483" s="22">
        <f>IF(D6483="?OLD","!!!","")</f>
        <v/>
      </c>
      <c r="F6483" s="23" t="str">
        <f>IF(OR(E6483="",E6483="!!!"),"",IF(NOT(ISNA(VLOOKUP(E6483,E$1:E6482,1,FALSE()))),"OLD",IF(AND(E6483&lt;&gt;"",E6483&lt;&gt;"!!!"),"NEW","")))</f>
        <v> </v>
      </c>
      <c r="G6483" s="24" t="str">
        <f>IF(OR(E6483="",E6483="!!!"),"",IF(OR(J6483=0,AND(J6483=1,K6483=1),AND(J6483=1,I6483="SBJ"),AND(J6483=1,I6483=0)),"?IN_FOCUS",IF(J6483&lt;=2,"?ACTIVATED",IF(J6483&lt;&gt;"","?FAMILIAR",IF(F6483="NEW",IF(ISNA(VLOOKUP(E6483,#REF!,1,FALSE())),"?TYPE_IDENTIFIABLE","?REFERENTIAL"),"_")))))</f>
        <v> </v>
      </c>
      <c r="H6483" s="25" t="str">
        <f>IF(J6483&lt;&gt;1,"",IF(I6483="SBJ","CB","?"))</f>
        <v> </v>
      </c>
      <c r="I6483" s="26" t="str">
        <f>IF(OR(E6483="",E6483="!!!",F6483="NEW"),"",INDEX(B6482:B$2,-1+SUMPRODUCT(MAX(ROW(E6482:E$2)*(E6483=E6482:E$2)))))</f>
        <v> </v>
      </c>
      <c r="J6483" s="26" t="str">
        <f>IF(OR(E6483="",E6483="!!!",F6483="NEW"),"",COUNTBLANK(OFFSET(A$1,,,SUMPRODUCT(MAX(ROW(E$2:E6483)*(E6483=E$2:E6483)))))-COUNTBLANK(OFFSET(A$1,,,SUMPRODUCT(MAX(ROW(E$1:E6482)*(E2=E$1:E6482))))))</f>
        <v> </v>
      </c>
      <c r="K6483" s="26" t="str">
        <f>IF(OR(E6483="",E6483="!!!",F6483="NEW"),"",INDEX(J$1:J6482,SUMPRODUCT(MAX(ROW(E$1:E6482)*(E6483=E$1:E6482)))))</f>
        <v> </v>
      </c>
      <c r="L6483" s="27"/>
    </row>
    <row r="6484" spans="1:12">
      <c r="A6484" s="20" t="s">
        <v>1549</v>
      </c>
      <c r="E6484" s="22">
        <f>IF(D6484="?OLD","!!!","")</f>
        <v/>
      </c>
      <c r="F6484" s="23" t="str">
        <f>IF(OR(E6484="",E6484="!!!"),"",IF(NOT(ISNA(VLOOKUP(E6484,E$1:E6483,1,FALSE()))),"OLD",IF(AND(E6484&lt;&gt;"",E6484&lt;&gt;"!!!"),"NEW","")))</f>
        <v> </v>
      </c>
      <c r="G6484" s="24" t="str">
        <f>IF(OR(E6484="",E6484="!!!"),"",IF(OR(J6484=0,AND(J6484=1,K6484=1),AND(J6484=1,I6484="SBJ"),AND(J6484=1,I6484=0)),"?IN_FOCUS",IF(J6484&lt;=2,"?ACTIVATED",IF(J6484&lt;&gt;"","?FAMILIAR",IF(F6484="NEW",IF(ISNA(VLOOKUP(E6484,#REF!,1,FALSE())),"?TYPE_IDENTIFIABLE","?REFERENTIAL"),"_")))))</f>
        <v> </v>
      </c>
      <c r="H6484" s="25" t="str">
        <f>IF(J6484&lt;&gt;1,"",IF(I6484="SBJ","CB","?"))</f>
        <v> </v>
      </c>
      <c r="I6484" s="26" t="str">
        <f>IF(OR(E6484="",E6484="!!!",F6484="NEW"),"",INDEX(B6483:B$2,-1+SUMPRODUCT(MAX(ROW(E6483:E$2)*(E6484=E6483:E$2)))))</f>
        <v> </v>
      </c>
      <c r="J6484" s="26" t="str">
        <f>IF(OR(E6484="",E6484="!!!",F6484="NEW"),"",COUNTBLANK(OFFSET(A$1,,,SUMPRODUCT(MAX(ROW(E$2:E6484)*(E6484=E$2:E6484)))))-COUNTBLANK(OFFSET(A$1,,,SUMPRODUCT(MAX(ROW(E$1:E6483)*(E2=E$1:E6483))))))</f>
        <v> </v>
      </c>
      <c r="K6484" s="26" t="str">
        <f>IF(OR(E6484="",E6484="!!!",F6484="NEW"),"",INDEX(J$1:J6483,SUMPRODUCT(MAX(ROW(E$1:E6483)*(E6484=E$1:E6483)))))</f>
        <v> </v>
      </c>
      <c r="L6484" s="27"/>
    </row>
    <row r="6485" spans="1:12">
      <c r="A6485" s="20" t="s">
        <v>996</v>
      </c>
      <c r="E6485" s="22">
        <f>IF(D6485="?OLD","!!!","")</f>
        <v/>
      </c>
      <c r="F6485" s="23" t="str">
        <f>IF(OR(E6485="",E6485="!!!"),"",IF(NOT(ISNA(VLOOKUP(E6485,E$1:E6484,1,FALSE()))),"OLD",IF(AND(E6485&lt;&gt;"",E6485&lt;&gt;"!!!"),"NEW","")))</f>
        <v> </v>
      </c>
      <c r="G6485" s="24" t="str">
        <f>IF(OR(E6485="",E6485="!!!"),"",IF(OR(J6485=0,AND(J6485=1,K6485=1),AND(J6485=1,I6485="SBJ"),AND(J6485=1,I6485=0)),"?IN_FOCUS",IF(J6485&lt;=2,"?ACTIVATED",IF(J6485&lt;&gt;"","?FAMILIAR",IF(F6485="NEW",IF(ISNA(VLOOKUP(E6485,#REF!,1,FALSE())),"?TYPE_IDENTIFIABLE","?REFERENTIAL"),"_")))))</f>
        <v> </v>
      </c>
      <c r="H6485" s="25" t="str">
        <f>IF(J6485&lt;&gt;1,"",IF(I6485="SBJ","CB","?"))</f>
        <v> </v>
      </c>
      <c r="I6485" s="26" t="str">
        <f>IF(OR(E6485="",E6485="!!!",F6485="NEW"),"",INDEX(B6484:B$2,-1+SUMPRODUCT(MAX(ROW(E6484:E$2)*(E6485=E6484:E$2)))))</f>
        <v> </v>
      </c>
      <c r="J6485" s="26" t="str">
        <f>IF(OR(E6485="",E6485="!!!",F6485="NEW"),"",COUNTBLANK(OFFSET(A$1,,,SUMPRODUCT(MAX(ROW(E$2:E6485)*(E6485=E$2:E6485)))))-COUNTBLANK(OFFSET(A$1,,,SUMPRODUCT(MAX(ROW(E$1:E6484)*(E2=E$1:E6484))))))</f>
        <v> </v>
      </c>
      <c r="K6485" s="26" t="str">
        <f>IF(OR(E6485="",E6485="!!!",F6485="NEW"),"",INDEX(J$1:J6484,SUMPRODUCT(MAX(ROW(E$1:E6484)*(E6485=E$1:E6484)))))</f>
        <v> </v>
      </c>
      <c r="L6485" s="27"/>
    </row>
    <row r="6486" spans="1:12">
      <c r="A6486" s="20" t="s">
        <v>1596</v>
      </c>
      <c r="E6486" s="22">
        <f>IF(D6486="?OLD","!!!","")</f>
        <v/>
      </c>
      <c r="F6486" s="23" t="str">
        <f>IF(OR(E6486="",E6486="!!!"),"",IF(NOT(ISNA(VLOOKUP(E6486,E$1:E6485,1,FALSE()))),"OLD",IF(AND(E6486&lt;&gt;"",E6486&lt;&gt;"!!!"),"NEW","")))</f>
        <v> </v>
      </c>
      <c r="G6486" s="24" t="str">
        <f>IF(OR(E6486="",E6486="!!!"),"",IF(OR(J6486=0,AND(J6486=1,K6486=1),AND(J6486=1,I6486="SBJ"),AND(J6486=1,I6486=0)),"?IN_FOCUS",IF(J6486&lt;=2,"?ACTIVATED",IF(J6486&lt;&gt;"","?FAMILIAR",IF(F6486="NEW",IF(ISNA(VLOOKUP(E6486,#REF!,1,FALSE())),"?TYPE_IDENTIFIABLE","?REFERENTIAL"),"_")))))</f>
        <v> </v>
      </c>
      <c r="H6486" s="25" t="str">
        <f>IF(J6486&lt;&gt;1,"",IF(I6486="SBJ","CB","?"))</f>
        <v> </v>
      </c>
      <c r="I6486" s="26" t="str">
        <f>IF(OR(E6486="",E6486="!!!",F6486="NEW"),"",INDEX(B6485:B$2,-1+SUMPRODUCT(MAX(ROW(E6485:E$2)*(E6486=E6485:E$2)))))</f>
        <v> </v>
      </c>
      <c r="J6486" s="26" t="str">
        <f>IF(OR(E6486="",E6486="!!!",F6486="NEW"),"",COUNTBLANK(OFFSET(A$1,,,SUMPRODUCT(MAX(ROW(E$2:E6486)*(E6486=E$2:E6486)))))-COUNTBLANK(OFFSET(A$1,,,SUMPRODUCT(MAX(ROW(E$1:E6485)*(E2=E$1:E6485))))))</f>
        <v> </v>
      </c>
      <c r="K6486" s="26" t="str">
        <f>IF(OR(E6486="",E6486="!!!",F6486="NEW"),"",INDEX(J$1:J6485,SUMPRODUCT(MAX(ROW(E$1:E6485)*(E6486=E$1:E6485)))))</f>
        <v> </v>
      </c>
      <c r="L6486" s="27"/>
    </row>
    <row r="6487" spans="1:12">
      <c r="A6487" s="20" t="s">
        <v>1397</v>
      </c>
      <c r="E6487" s="22">
        <f>IF(D6487="?OLD","!!!","")</f>
        <v/>
      </c>
      <c r="F6487" s="23" t="str">
        <f>IF(OR(E6487="",E6487="!!!"),"",IF(NOT(ISNA(VLOOKUP(E6487,E$1:E6486,1,FALSE()))),"OLD",IF(AND(E6487&lt;&gt;"",E6487&lt;&gt;"!!!"),"NEW","")))</f>
        <v> </v>
      </c>
      <c r="G6487" s="24" t="str">
        <f>IF(OR(E6487="",E6487="!!!"),"",IF(OR(J6487=0,AND(J6487=1,K6487=1),AND(J6487=1,I6487="SBJ"),AND(J6487=1,I6487=0)),"?IN_FOCUS",IF(J6487&lt;=2,"?ACTIVATED",IF(J6487&lt;&gt;"","?FAMILIAR",IF(F6487="NEW",IF(ISNA(VLOOKUP(E6487,#REF!,1,FALSE())),"?TYPE_IDENTIFIABLE","?REFERENTIAL"),"_")))))</f>
        <v> </v>
      </c>
      <c r="H6487" s="25" t="str">
        <f>IF(J6487&lt;&gt;1,"",IF(I6487="SBJ","CB","?"))</f>
        <v> </v>
      </c>
      <c r="I6487" s="26" t="str">
        <f>IF(OR(E6487="",E6487="!!!",F6487="NEW"),"",INDEX(B6486:B$2,-1+SUMPRODUCT(MAX(ROW(E6486:E$2)*(E6487=E6486:E$2)))))</f>
        <v> </v>
      </c>
      <c r="J6487" s="26" t="str">
        <f>IF(OR(E6487="",E6487="!!!",F6487="NEW"),"",COUNTBLANK(OFFSET(A$1,,,SUMPRODUCT(MAX(ROW(E$2:E6487)*(E6487=E$2:E6487)))))-COUNTBLANK(OFFSET(A$1,,,SUMPRODUCT(MAX(ROW(E$1:E6486)*(E2=E$1:E6486))))))</f>
        <v> </v>
      </c>
      <c r="K6487" s="26" t="str">
        <f>IF(OR(E6487="",E6487="!!!",F6487="NEW"),"",INDEX(J$1:J6486,SUMPRODUCT(MAX(ROW(E$1:E6486)*(E6487=E$1:E6486)))))</f>
        <v> </v>
      </c>
      <c r="L6487" s="27"/>
    </row>
    <row r="6488" spans="1:12">
      <c r="A6488" s="20" t="s">
        <v>2571</v>
      </c>
      <c r="B6488" s="21" t="s">
        <v>1052</v>
      </c>
      <c r="C6488" s="21" t="s">
        <v>1063</v>
      </c>
      <c r="D6488" s="21" t="s">
        <v>978</v>
      </c>
      <c r="E6488" s="22">
        <f>IF(D6488="?OLD","!!!","")</f>
        <v/>
      </c>
      <c r="F6488" s="23" t="str">
        <f>IF(OR(E6488="",E6488="!!!"),"",IF(NOT(ISNA(VLOOKUP(E6488,E$1:E6487,1,FALSE()))),"OLD",IF(AND(E6488&lt;&gt;"",E6488&lt;&gt;"!!!"),"NEW","")))</f>
        <v> </v>
      </c>
      <c r="G6488" s="24" t="str">
        <f>IF(OR(E6488="",E6488="!!!"),"",IF(OR(J6488=0,AND(J6488=1,K6488=1),AND(J6488=1,I6488="SBJ"),AND(J6488=1,I6488=0)),"?IN_FOCUS",IF(J6488&lt;=2,"?ACTIVATED",IF(J6488&lt;&gt;"","?FAMILIAR",IF(F6488="NEW",IF(ISNA(VLOOKUP(E6488,#REF!,1,FALSE())),"?TYPE_IDENTIFIABLE","?REFERENTIAL"),"_")))))</f>
        <v> </v>
      </c>
      <c r="H6488" s="25" t="str">
        <f>IF(J6488&lt;&gt;1,"",IF(I6488="SBJ","CB","?"))</f>
        <v> </v>
      </c>
      <c r="I6488" s="26" t="str">
        <f>IF(OR(E6488="",E6488="!!!",F6488="NEW"),"",INDEX(B6487:B$2,-1+SUMPRODUCT(MAX(ROW(E6487:E$2)*(E6488=E6487:E$2)))))</f>
        <v> </v>
      </c>
      <c r="J6488" s="26" t="str">
        <f>IF(OR(E6488="",E6488="!!!",F6488="NEW"),"",COUNTBLANK(OFFSET(A$1,,,SUMPRODUCT(MAX(ROW(E$2:E6488)*(E6488=E$2:E6488)))))-COUNTBLANK(OFFSET(A$1,,,SUMPRODUCT(MAX(ROW(E$1:E6487)*(E2=E$1:E6487))))))</f>
        <v> </v>
      </c>
      <c r="K6488" s="26" t="str">
        <f>IF(OR(E6488="",E6488="!!!",F6488="NEW"),"",INDEX(J$1:J6487,SUMPRODUCT(MAX(ROW(E$1:E6487)*(E6488=E$1:E6487)))))</f>
        <v> </v>
      </c>
      <c r="L6488" s="27"/>
    </row>
    <row r="6489" spans="1:12">
      <c r="A6489" s="20" t="s">
        <v>1000</v>
      </c>
      <c r="E6489" s="22">
        <f>IF(D6489="?OLD","!!!","")</f>
        <v/>
      </c>
      <c r="F6489" s="23" t="str">
        <f>IF(OR(E6489="",E6489="!!!"),"",IF(NOT(ISNA(VLOOKUP(E6489,E$1:E6488,1,FALSE()))),"OLD",IF(AND(E6489&lt;&gt;"",E6489&lt;&gt;"!!!"),"NEW","")))</f>
        <v> </v>
      </c>
      <c r="G6489" s="24" t="str">
        <f>IF(OR(E6489="",E6489="!!!"),"",IF(OR(J6489=0,AND(J6489=1,K6489=1),AND(J6489=1,I6489="SBJ"),AND(J6489=1,I6489=0)),"?IN_FOCUS",IF(J6489&lt;=2,"?ACTIVATED",IF(J6489&lt;&gt;"","?FAMILIAR",IF(F6489="NEW",IF(ISNA(VLOOKUP(E6489,#REF!,1,FALSE())),"?TYPE_IDENTIFIABLE","?REFERENTIAL"),"_")))))</f>
        <v> </v>
      </c>
      <c r="H6489" s="25" t="str">
        <f>IF(J6489&lt;&gt;1,"",IF(I6489="SBJ","CB","?"))</f>
        <v> </v>
      </c>
      <c r="I6489" s="26" t="str">
        <f>IF(OR(E6489="",E6489="!!!",F6489="NEW"),"",INDEX(B6488:B$2,-1+SUMPRODUCT(MAX(ROW(E6488:E$2)*(E6489=E6488:E$2)))))</f>
        <v> </v>
      </c>
      <c r="J6489" s="26" t="str">
        <f>IF(OR(E6489="",E6489="!!!",F6489="NEW"),"",COUNTBLANK(OFFSET(A$1,,,SUMPRODUCT(MAX(ROW(E$2:E6489)*(E6489=E$2:E6489)))))-COUNTBLANK(OFFSET(A$1,,,SUMPRODUCT(MAX(ROW(E$1:E6488)*(E2=E$1:E6488))))))</f>
        <v> </v>
      </c>
      <c r="K6489" s="26" t="str">
        <f>IF(OR(E6489="",E6489="!!!",F6489="NEW"),"",INDEX(J$1:J6488,SUMPRODUCT(MAX(ROW(E$1:E6488)*(E6489=E$1:E6488)))))</f>
        <v> </v>
      </c>
      <c r="L6489" s="27"/>
    </row>
    <row r="6490" spans="1:12">
      <c r="A6490" s="20" t="s">
        <v>1017</v>
      </c>
      <c r="E6490" s="22">
        <f>IF(D6490="?OLD","!!!","")</f>
        <v/>
      </c>
      <c r="F6490" s="23" t="str">
        <f>IF(OR(E6490="",E6490="!!!"),"",IF(NOT(ISNA(VLOOKUP(E6490,E$1:E6489,1,FALSE()))),"OLD",IF(AND(E6490&lt;&gt;"",E6490&lt;&gt;"!!!"),"NEW","")))</f>
        <v> </v>
      </c>
      <c r="G6490" s="24" t="str">
        <f>IF(OR(E6490="",E6490="!!!"),"",IF(OR(J6490=0,AND(J6490=1,K6490=1),AND(J6490=1,I6490="SBJ"),AND(J6490=1,I6490=0)),"?IN_FOCUS",IF(J6490&lt;=2,"?ACTIVATED",IF(J6490&lt;&gt;"","?FAMILIAR",IF(F6490="NEW",IF(ISNA(VLOOKUP(E6490,#REF!,1,FALSE())),"?TYPE_IDENTIFIABLE","?REFERENTIAL"),"_")))))</f>
        <v> </v>
      </c>
      <c r="H6490" s="25" t="str">
        <f>IF(J6490&lt;&gt;1,"",IF(I6490="SBJ","CB","?"))</f>
        <v> </v>
      </c>
      <c r="I6490" s="26" t="str">
        <f>IF(OR(E6490="",E6490="!!!",F6490="NEW"),"",INDEX(B6489:B$2,-1+SUMPRODUCT(MAX(ROW(E6489:E$2)*(E6490=E6489:E$2)))))</f>
        <v> </v>
      </c>
      <c r="J6490" s="26" t="str">
        <f>IF(OR(E6490="",E6490="!!!",F6490="NEW"),"",COUNTBLANK(OFFSET(A$1,,,SUMPRODUCT(MAX(ROW(E$2:E6490)*(E6490=E$2:E6490)))))-COUNTBLANK(OFFSET(A$1,,,SUMPRODUCT(MAX(ROW(E$1:E6489)*(E2=E$1:E6489))))))</f>
        <v> </v>
      </c>
      <c r="K6490" s="26" t="str">
        <f>IF(OR(E6490="",E6490="!!!",F6490="NEW"),"",INDEX(J$1:J6489,SUMPRODUCT(MAX(ROW(E$1:E6489)*(E6490=E$1:E6489)))))</f>
        <v> </v>
      </c>
      <c r="L6490" s="27"/>
    </row>
    <row r="6491" spans="1:12">
      <c r="A6491" s="20" t="s">
        <v>2574</v>
      </c>
      <c r="E6491" s="22">
        <f>IF(D6491="?OLD","!!!","")</f>
        <v/>
      </c>
      <c r="F6491" s="23" t="str">
        <f>IF(OR(E6491="",E6491="!!!"),"",IF(NOT(ISNA(VLOOKUP(E6491,E$1:E6490,1,FALSE()))),"OLD",IF(AND(E6491&lt;&gt;"",E6491&lt;&gt;"!!!"),"NEW","")))</f>
        <v> </v>
      </c>
      <c r="G6491" s="24" t="str">
        <f>IF(OR(E6491="",E6491="!!!"),"",IF(OR(J6491=0,AND(J6491=1,K6491=1),AND(J6491=1,I6491="SBJ"),AND(J6491=1,I6491=0)),"?IN_FOCUS",IF(J6491&lt;=2,"?ACTIVATED",IF(J6491&lt;&gt;"","?FAMILIAR",IF(F6491="NEW",IF(ISNA(VLOOKUP(E6491,#REF!,1,FALSE())),"?TYPE_IDENTIFIABLE","?REFERENTIAL"),"_")))))</f>
        <v> </v>
      </c>
      <c r="H6491" s="25" t="str">
        <f>IF(J6491&lt;&gt;1,"",IF(I6491="SBJ","CB","?"))</f>
        <v> </v>
      </c>
      <c r="I6491" s="26" t="str">
        <f>IF(OR(E6491="",E6491="!!!",F6491="NEW"),"",INDEX(B6490:B$2,-1+SUMPRODUCT(MAX(ROW(E6490:E$2)*(E6491=E6490:E$2)))))</f>
        <v> </v>
      </c>
      <c r="J6491" s="26" t="str">
        <f>IF(OR(E6491="",E6491="!!!",F6491="NEW"),"",COUNTBLANK(OFFSET(A$1,,,SUMPRODUCT(MAX(ROW(E$2:E6491)*(E6491=E$2:E6491)))))-COUNTBLANK(OFFSET(A$1,,,SUMPRODUCT(MAX(ROW(E$1:E6490)*(E2=E$1:E6490))))))</f>
        <v> </v>
      </c>
      <c r="K6491" s="26" t="str">
        <f>IF(OR(E6491="",E6491="!!!",F6491="NEW"),"",INDEX(J$1:J6490,SUMPRODUCT(MAX(ROW(E$1:E6490)*(E6491=E$1:E6490)))))</f>
        <v> </v>
      </c>
      <c r="L6491" s="27"/>
    </row>
    <row r="6492" spans="1:12">
      <c r="A6492" s="20" t="s">
        <v>1002</v>
      </c>
      <c r="E6492" s="22">
        <f>IF(D6492="?OLD","!!!","")</f>
        <v/>
      </c>
      <c r="F6492" s="23" t="str">
        <f>IF(OR(E6492="",E6492="!!!"),"",IF(NOT(ISNA(VLOOKUP(E6492,E$1:E6491,1,FALSE()))),"OLD",IF(AND(E6492&lt;&gt;"",E6492&lt;&gt;"!!!"),"NEW","")))</f>
        <v> </v>
      </c>
      <c r="G6492" s="24" t="str">
        <f>IF(OR(E6492="",E6492="!!!"),"",IF(OR(J6492=0,AND(J6492=1,K6492=1),AND(J6492=1,I6492="SBJ"),AND(J6492=1,I6492=0)),"?IN_FOCUS",IF(J6492&lt;=2,"?ACTIVATED",IF(J6492&lt;&gt;"","?FAMILIAR",IF(F6492="NEW",IF(ISNA(VLOOKUP(E6492,#REF!,1,FALSE())),"?TYPE_IDENTIFIABLE","?REFERENTIAL"),"_")))))</f>
        <v> </v>
      </c>
      <c r="H6492" s="25" t="str">
        <f>IF(J6492&lt;&gt;1,"",IF(I6492="SBJ","CB","?"))</f>
        <v> </v>
      </c>
      <c r="I6492" s="26" t="str">
        <f>IF(OR(E6492="",E6492="!!!",F6492="NEW"),"",INDEX(B6491:B$2,-1+SUMPRODUCT(MAX(ROW(E6491:E$2)*(E6492=E6491:E$2)))))</f>
        <v> </v>
      </c>
      <c r="J6492" s="26" t="str">
        <f>IF(OR(E6492="",E6492="!!!",F6492="NEW"),"",COUNTBLANK(OFFSET(A$1,,,SUMPRODUCT(MAX(ROW(E$2:E6492)*(E6492=E$2:E6492)))))-COUNTBLANK(OFFSET(A$1,,,SUMPRODUCT(MAX(ROW(E$1:E6491)*(E2=E$1:E6491))))))</f>
        <v> </v>
      </c>
      <c r="K6492" s="26" t="str">
        <f>IF(OR(E6492="",E6492="!!!",F6492="NEW"),"",INDEX(J$1:J6491,SUMPRODUCT(MAX(ROW(E$1:E6491)*(E6492=E$1:E6491)))))</f>
        <v> </v>
      </c>
      <c r="L6492" s="27"/>
    </row>
    <row r="6493" spans="1:12">
      <c r="A6493" s="20" t="s">
        <v>1024</v>
      </c>
      <c r="E6493" s="22">
        <f>IF(D6493="?OLD","!!!","")</f>
        <v/>
      </c>
      <c r="F6493" s="23" t="str">
        <f>IF(OR(E6493="",E6493="!!!"),"",IF(NOT(ISNA(VLOOKUP(E6493,E$1:E6492,1,FALSE()))),"OLD",IF(AND(E6493&lt;&gt;"",E6493&lt;&gt;"!!!"),"NEW","")))</f>
        <v> </v>
      </c>
      <c r="G6493" s="24" t="str">
        <f>IF(OR(E6493="",E6493="!!!"),"",IF(OR(J6493=0,AND(J6493=1,K6493=1),AND(J6493=1,I6493="SBJ"),AND(J6493=1,I6493=0)),"?IN_FOCUS",IF(J6493&lt;=2,"?ACTIVATED",IF(J6493&lt;&gt;"","?FAMILIAR",IF(F6493="NEW",IF(ISNA(VLOOKUP(E6493,#REF!,1,FALSE())),"?TYPE_IDENTIFIABLE","?REFERENTIAL"),"_")))))</f>
        <v> </v>
      </c>
      <c r="H6493" s="25" t="str">
        <f>IF(J6493&lt;&gt;1,"",IF(I6493="SBJ","CB","?"))</f>
        <v> </v>
      </c>
      <c r="I6493" s="26" t="str">
        <f>IF(OR(E6493="",E6493="!!!",F6493="NEW"),"",INDEX(B6492:B$2,-1+SUMPRODUCT(MAX(ROW(E6492:E$2)*(E6493=E6492:E$2)))))</f>
        <v> </v>
      </c>
      <c r="J6493" s="26" t="str">
        <f>IF(OR(E6493="",E6493="!!!",F6493="NEW"),"",COUNTBLANK(OFFSET(A$1,,,SUMPRODUCT(MAX(ROW(E$2:E6493)*(E6493=E$2:E6493)))))-COUNTBLANK(OFFSET(A$1,,,SUMPRODUCT(MAX(ROW(E$1:E6492)*(E2=E$1:E6492))))))</f>
        <v> </v>
      </c>
      <c r="K6493" s="26" t="str">
        <f>IF(OR(E6493="",E6493="!!!",F6493="NEW"),"",INDEX(J$1:J6492,SUMPRODUCT(MAX(ROW(E$1:E6492)*(E6493=E$1:E6492)))))</f>
        <v> </v>
      </c>
      <c r="L6493" s="27"/>
    </row>
    <row r="6494" spans="1:12">
      <c r="A6494" s="20" t="s">
        <v>1010</v>
      </c>
      <c r="B6494" s="21" t="s">
        <v>1066</v>
      </c>
      <c r="C6494" s="21" t="s">
        <v>977</v>
      </c>
      <c r="D6494" s="21" t="s">
        <v>978</v>
      </c>
      <c r="E6494" s="22">
        <f>IF(D6494="?OLD","!!!","")</f>
        <v/>
      </c>
      <c r="F6494" s="23" t="str">
        <f>IF(OR(E6494="",E6494="!!!"),"",IF(NOT(ISNA(VLOOKUP(E6494,E$1:E6493,1,FALSE()))),"OLD",IF(AND(E6494&lt;&gt;"",E6494&lt;&gt;"!!!"),"NEW","")))</f>
        <v> </v>
      </c>
      <c r="G6494" s="24" t="str">
        <f>IF(OR(E6494="",E6494="!!!"),"",IF(OR(J6494=0,AND(J6494=1,K6494=1),AND(J6494=1,I6494="SBJ"),AND(J6494=1,I6494=0)),"?IN_FOCUS",IF(J6494&lt;=2,"?ACTIVATED",IF(J6494&lt;&gt;"","?FAMILIAR",IF(F6494="NEW",IF(ISNA(VLOOKUP(E6494,#REF!,1,FALSE())),"?TYPE_IDENTIFIABLE","?REFERENTIAL"),"_")))))</f>
        <v> </v>
      </c>
      <c r="H6494" s="25" t="str">
        <f>IF(J6494&lt;&gt;1,"",IF(I6494="SBJ","CB","?"))</f>
        <v> </v>
      </c>
      <c r="I6494" s="26" t="str">
        <f>IF(OR(E6494="",E6494="!!!",F6494="NEW"),"",INDEX(B6493:B$2,-1+SUMPRODUCT(MAX(ROW(E6493:E$2)*(E6494=E6493:E$2)))))</f>
        <v> </v>
      </c>
      <c r="J6494" s="26" t="str">
        <f>IF(OR(E6494="",E6494="!!!",F6494="NEW"),"",COUNTBLANK(OFFSET(A$1,,,SUMPRODUCT(MAX(ROW(E$2:E6494)*(E6494=E$2:E6494)))))-COUNTBLANK(OFFSET(A$1,,,SUMPRODUCT(MAX(ROW(E$1:E6493)*(E2=E$1:E6493))))))</f>
        <v> </v>
      </c>
      <c r="K6494" s="26" t="str">
        <f>IF(OR(E6494="",E6494="!!!",F6494="NEW"),"",INDEX(J$1:J6493,SUMPRODUCT(MAX(ROW(E$1:E6493)*(E6494=E$1:E6493)))))</f>
        <v> </v>
      </c>
      <c r="L6494" s="27"/>
    </row>
    <row r="6495" spans="1:12">
      <c r="A6495" s="20" t="s">
        <v>1093</v>
      </c>
      <c r="E6495" s="22">
        <f>IF(D6495="?OLD","!!!","")</f>
        <v/>
      </c>
      <c r="F6495" s="23" t="str">
        <f>IF(OR(E6495="",E6495="!!!"),"",IF(NOT(ISNA(VLOOKUP(E6495,E$1:E6494,1,FALSE()))),"OLD",IF(AND(E6495&lt;&gt;"",E6495&lt;&gt;"!!!"),"NEW","")))</f>
        <v> </v>
      </c>
      <c r="G6495" s="24" t="str">
        <f>IF(OR(E6495="",E6495="!!!"),"",IF(OR(J6495=0,AND(J6495=1,K6495=1),AND(J6495=1,I6495="SBJ"),AND(J6495=1,I6495=0)),"?IN_FOCUS",IF(J6495&lt;=2,"?ACTIVATED",IF(J6495&lt;&gt;"","?FAMILIAR",IF(F6495="NEW",IF(ISNA(VLOOKUP(E6495,#REF!,1,FALSE())),"?TYPE_IDENTIFIABLE","?REFERENTIAL"),"_")))))</f>
        <v> </v>
      </c>
      <c r="H6495" s="25" t="str">
        <f>IF(J6495&lt;&gt;1,"",IF(I6495="SBJ","CB","?"))</f>
        <v> </v>
      </c>
      <c r="I6495" s="26" t="str">
        <f>IF(OR(E6495="",E6495="!!!",F6495="NEW"),"",INDEX(B6494:B$2,-1+SUMPRODUCT(MAX(ROW(E6494:E$2)*(E6495=E6494:E$2)))))</f>
        <v> </v>
      </c>
      <c r="J6495" s="26" t="str">
        <f>IF(OR(E6495="",E6495="!!!",F6495="NEW"),"",COUNTBLANK(OFFSET(A$1,,,SUMPRODUCT(MAX(ROW(E$2:E6495)*(E6495=E$2:E6495)))))-COUNTBLANK(OFFSET(A$1,,,SUMPRODUCT(MAX(ROW(E$1:E6494)*(E2=E$1:E6494))))))</f>
        <v> </v>
      </c>
      <c r="K6495" s="26" t="str">
        <f>IF(OR(E6495="",E6495="!!!",F6495="NEW"),"",INDEX(J$1:J6494,SUMPRODUCT(MAX(ROW(E$1:E6494)*(E6495=E$1:E6494)))))</f>
        <v> </v>
      </c>
      <c r="L6495" s="27"/>
    </row>
    <row r="6496" spans="1:12">
      <c r="A6496" s="20" t="s">
        <v>2575</v>
      </c>
      <c r="E6496" s="22">
        <f>IF(D6496="?OLD","!!!","")</f>
        <v/>
      </c>
      <c r="F6496" s="23" t="str">
        <f>IF(OR(E6496="",E6496="!!!"),"",IF(NOT(ISNA(VLOOKUP(E6496,E$1:E6495,1,FALSE()))),"OLD",IF(AND(E6496&lt;&gt;"",E6496&lt;&gt;"!!!"),"NEW","")))</f>
        <v> </v>
      </c>
      <c r="G6496" s="24" t="str">
        <f>IF(OR(E6496="",E6496="!!!"),"",IF(OR(J6496=0,AND(J6496=1,K6496=1),AND(J6496=1,I6496="SBJ"),AND(J6496=1,I6496=0)),"?IN_FOCUS",IF(J6496&lt;=2,"?ACTIVATED",IF(J6496&lt;&gt;"","?FAMILIAR",IF(F6496="NEW",IF(ISNA(VLOOKUP(E6496,#REF!,1,FALSE())),"?TYPE_IDENTIFIABLE","?REFERENTIAL"),"_")))))</f>
        <v> </v>
      </c>
      <c r="H6496" s="25" t="str">
        <f>IF(J6496&lt;&gt;1,"",IF(I6496="SBJ","CB","?"))</f>
        <v> </v>
      </c>
      <c r="I6496" s="26" t="str">
        <f>IF(OR(E6496="",E6496="!!!",F6496="NEW"),"",INDEX(B6495:B$2,-1+SUMPRODUCT(MAX(ROW(E6495:E$2)*(E6496=E6495:E$2)))))</f>
        <v> </v>
      </c>
      <c r="J6496" s="26" t="str">
        <f>IF(OR(E6496="",E6496="!!!",F6496="NEW"),"",COUNTBLANK(OFFSET(A$1,,,SUMPRODUCT(MAX(ROW(E$2:E6496)*(E6496=E$2:E6496)))))-COUNTBLANK(OFFSET(A$1,,,SUMPRODUCT(MAX(ROW(E$1:E6495)*(E2=E$1:E6495))))))</f>
        <v> </v>
      </c>
      <c r="K6496" s="26" t="str">
        <f>IF(OR(E6496="",E6496="!!!",F6496="NEW"),"",INDEX(J$1:J6495,SUMPRODUCT(MAX(ROW(E$1:E6495)*(E6496=E$1:E6495)))))</f>
        <v> </v>
      </c>
      <c r="L6496" s="27"/>
    </row>
    <row r="6497" spans="1:12">
      <c r="A6497" s="20" t="s">
        <v>996</v>
      </c>
      <c r="E6497" s="22">
        <f>IF(D6497="?OLD","!!!","")</f>
        <v/>
      </c>
      <c r="F6497" s="23" t="str">
        <f>IF(OR(E6497="",E6497="!!!"),"",IF(NOT(ISNA(VLOOKUP(E6497,E$1:E6496,1,FALSE()))),"OLD",IF(AND(E6497&lt;&gt;"",E6497&lt;&gt;"!!!"),"NEW","")))</f>
        <v> </v>
      </c>
      <c r="G6497" s="24" t="str">
        <f>IF(OR(E6497="",E6497="!!!"),"",IF(OR(J6497=0,AND(J6497=1,K6497=1),AND(J6497=1,I6497="SBJ"),AND(J6497=1,I6497=0)),"?IN_FOCUS",IF(J6497&lt;=2,"?ACTIVATED",IF(J6497&lt;&gt;"","?FAMILIAR",IF(F6497="NEW",IF(ISNA(VLOOKUP(E6497,#REF!,1,FALSE())),"?TYPE_IDENTIFIABLE","?REFERENTIAL"),"_")))))</f>
        <v> </v>
      </c>
      <c r="H6497" s="25" t="str">
        <f>IF(J6497&lt;&gt;1,"",IF(I6497="SBJ","CB","?"))</f>
        <v> </v>
      </c>
      <c r="I6497" s="26" t="str">
        <f>IF(OR(E6497="",E6497="!!!",F6497="NEW"),"",INDEX(B6496:B$2,-1+SUMPRODUCT(MAX(ROW(E6496:E$2)*(E6497=E6496:E$2)))))</f>
        <v> </v>
      </c>
      <c r="J6497" s="26" t="str">
        <f>IF(OR(E6497="",E6497="!!!",F6497="NEW"),"",COUNTBLANK(OFFSET(A$1,,,SUMPRODUCT(MAX(ROW(E$2:E6497)*(E6497=E$2:E6497)))))-COUNTBLANK(OFFSET(A$1,,,SUMPRODUCT(MAX(ROW(E$1:E6496)*(E2=E$1:E6496))))))</f>
        <v> </v>
      </c>
      <c r="K6497" s="26" t="str">
        <f>IF(OR(E6497="",E6497="!!!",F6497="NEW"),"",INDEX(J$1:J6496,SUMPRODUCT(MAX(ROW(E$1:E6496)*(E6497=E$1:E6496)))))</f>
        <v> </v>
      </c>
      <c r="L6497" s="27"/>
    </row>
    <row r="6498" spans="1:12">
      <c r="A6498" s="20" t="s">
        <v>2078</v>
      </c>
      <c r="E6498" s="22">
        <f>IF(D6498="?OLD","!!!","")</f>
        <v/>
      </c>
      <c r="F6498" s="23" t="str">
        <f>IF(OR(E6498="",E6498="!!!"),"",IF(NOT(ISNA(VLOOKUP(E6498,E$1:E6497,1,FALSE()))),"OLD",IF(AND(E6498&lt;&gt;"",E6498&lt;&gt;"!!!"),"NEW","")))</f>
        <v> </v>
      </c>
      <c r="G6498" s="24" t="str">
        <f>IF(OR(E6498="",E6498="!!!"),"",IF(OR(J6498=0,AND(J6498=1,K6498=1),AND(J6498=1,I6498="SBJ"),AND(J6498=1,I6498=0)),"?IN_FOCUS",IF(J6498&lt;=2,"?ACTIVATED",IF(J6498&lt;&gt;"","?FAMILIAR",IF(F6498="NEW",IF(ISNA(VLOOKUP(E6498,#REF!,1,FALSE())),"?TYPE_IDENTIFIABLE","?REFERENTIAL"),"_")))))</f>
        <v> </v>
      </c>
      <c r="H6498" s="25" t="str">
        <f>IF(J6498&lt;&gt;1,"",IF(I6498="SBJ","CB","?"))</f>
        <v> </v>
      </c>
      <c r="I6498" s="26" t="str">
        <f>IF(OR(E6498="",E6498="!!!",F6498="NEW"),"",INDEX(B6497:B$2,-1+SUMPRODUCT(MAX(ROW(E6497:E$2)*(E6498=E6497:E$2)))))</f>
        <v> </v>
      </c>
      <c r="J6498" s="26" t="str">
        <f>IF(OR(E6498="",E6498="!!!",F6498="NEW"),"",COUNTBLANK(OFFSET(A$1,,,SUMPRODUCT(MAX(ROW(E$2:E6498)*(E6498=E$2:E6498)))))-COUNTBLANK(OFFSET(A$1,,,SUMPRODUCT(MAX(ROW(E$1:E6497)*(E2=E$1:E6497))))))</f>
        <v> </v>
      </c>
      <c r="K6498" s="26" t="str">
        <f>IF(OR(E6498="",E6498="!!!",F6498="NEW"),"",INDEX(J$1:J6497,SUMPRODUCT(MAX(ROW(E$1:E6497)*(E6498=E$1:E6497)))))</f>
        <v> </v>
      </c>
      <c r="L6498" s="27"/>
    </row>
    <row r="6499" spans="1:12">
      <c r="A6499" s="20" t="s">
        <v>1216</v>
      </c>
      <c r="E6499" s="22">
        <f>IF(D6499="?OLD","!!!","")</f>
        <v/>
      </c>
      <c r="F6499" s="23" t="str">
        <f>IF(OR(E6499="",E6499="!!!"),"",IF(NOT(ISNA(VLOOKUP(E6499,E$1:E6498,1,FALSE()))),"OLD",IF(AND(E6499&lt;&gt;"",E6499&lt;&gt;"!!!"),"NEW","")))</f>
        <v> </v>
      </c>
      <c r="G6499" s="24" t="str">
        <f>IF(OR(E6499="",E6499="!!!"),"",IF(OR(J6499=0,AND(J6499=1,K6499=1),AND(J6499=1,I6499="SBJ"),AND(J6499=1,I6499=0)),"?IN_FOCUS",IF(J6499&lt;=2,"?ACTIVATED",IF(J6499&lt;&gt;"","?FAMILIAR",IF(F6499="NEW",IF(ISNA(VLOOKUP(E6499,#REF!,1,FALSE())),"?TYPE_IDENTIFIABLE","?REFERENTIAL"),"_")))))</f>
        <v> </v>
      </c>
      <c r="H6499" s="25" t="str">
        <f>IF(J6499&lt;&gt;1,"",IF(I6499="SBJ","CB","?"))</f>
        <v> </v>
      </c>
      <c r="I6499" s="26" t="str">
        <f>IF(OR(E6499="",E6499="!!!",F6499="NEW"),"",INDEX(B6498:B$2,-1+SUMPRODUCT(MAX(ROW(E6498:E$2)*(E6499=E6498:E$2)))))</f>
        <v> </v>
      </c>
      <c r="J6499" s="26" t="str">
        <f>IF(OR(E6499="",E6499="!!!",F6499="NEW"),"",COUNTBLANK(OFFSET(A$1,,,SUMPRODUCT(MAX(ROW(E$2:E6499)*(E6499=E$2:E6499)))))-COUNTBLANK(OFFSET(A$1,,,SUMPRODUCT(MAX(ROW(E$1:E6498)*(E2=E$1:E6498))))))</f>
        <v> </v>
      </c>
      <c r="K6499" s="26" t="str">
        <f>IF(OR(E6499="",E6499="!!!",F6499="NEW"),"",INDEX(J$1:J6498,SUMPRODUCT(MAX(ROW(E$1:E6498)*(E6499=E$1:E6498)))))</f>
        <v> </v>
      </c>
      <c r="L6499" s="27"/>
    </row>
    <row r="6500" spans="1:12">
      <c r="A6500" s="20" t="s">
        <v>1217</v>
      </c>
      <c r="E6500" s="22">
        <f>IF(D6500="?OLD","!!!","")</f>
        <v/>
      </c>
      <c r="F6500" s="23" t="str">
        <f>IF(OR(E6500="",E6500="!!!"),"",IF(NOT(ISNA(VLOOKUP(E6500,E$1:E6499,1,FALSE()))),"OLD",IF(AND(E6500&lt;&gt;"",E6500&lt;&gt;"!!!"),"NEW","")))</f>
        <v> </v>
      </c>
      <c r="G6500" s="24" t="str">
        <f>IF(OR(E6500="",E6500="!!!"),"",IF(OR(J6500=0,AND(J6500=1,K6500=1),AND(J6500=1,I6500="SBJ"),AND(J6500=1,I6500=0)),"?IN_FOCUS",IF(J6500&lt;=2,"?ACTIVATED",IF(J6500&lt;&gt;"","?FAMILIAR",IF(F6500="NEW",IF(ISNA(VLOOKUP(E6500,#REF!,1,FALSE())),"?TYPE_IDENTIFIABLE","?REFERENTIAL"),"_")))))</f>
        <v> </v>
      </c>
      <c r="H6500" s="25" t="str">
        <f>IF(J6500&lt;&gt;1,"",IF(I6500="SBJ","CB","?"))</f>
        <v> </v>
      </c>
      <c r="I6500" s="26" t="str">
        <f>IF(OR(E6500="",E6500="!!!",F6500="NEW"),"",INDEX(B6499:B$2,-1+SUMPRODUCT(MAX(ROW(E6499:E$2)*(E6500=E6499:E$2)))))</f>
        <v> </v>
      </c>
      <c r="J6500" s="26" t="str">
        <f>IF(OR(E6500="",E6500="!!!",F6500="NEW"),"",COUNTBLANK(OFFSET(A$1,,,SUMPRODUCT(MAX(ROW(E$2:E6500)*(E6500=E$2:E6500)))))-COUNTBLANK(OFFSET(A$1,,,SUMPRODUCT(MAX(ROW(E$1:E6499)*(E2=E$1:E6499))))))</f>
        <v> </v>
      </c>
      <c r="K6500" s="26" t="str">
        <f>IF(OR(E6500="",E6500="!!!",F6500="NEW"),"",INDEX(J$1:J6499,SUMPRODUCT(MAX(ROW(E$1:E6499)*(E6500=E$1:E6499)))))</f>
        <v> </v>
      </c>
      <c r="L6500" s="27"/>
    </row>
    <row r="6501" spans="1:12">
      <c r="A6501" s="20" t="s">
        <v>1218</v>
      </c>
      <c r="B6501" s="21" t="s">
        <v>1035</v>
      </c>
      <c r="C6501" s="21" t="s">
        <v>1008</v>
      </c>
      <c r="D6501" s="21" t="s">
        <v>978</v>
      </c>
      <c r="E6501" s="22">
        <f>IF(D6501="?OLD","!!!","")</f>
        <v/>
      </c>
      <c r="F6501" s="23" t="str">
        <f>IF(OR(E6501="",E6501="!!!"),"",IF(NOT(ISNA(VLOOKUP(E6501,E$1:E6500,1,FALSE()))),"OLD",IF(AND(E6501&lt;&gt;"",E6501&lt;&gt;"!!!"),"NEW","")))</f>
        <v> </v>
      </c>
      <c r="G6501" s="24" t="str">
        <f>IF(OR(E6501="",E6501="!!!"),"",IF(OR(J6501=0,AND(J6501=1,K6501=1),AND(J6501=1,I6501="SBJ"),AND(J6501=1,I6501=0)),"?IN_FOCUS",IF(J6501&lt;=2,"?ACTIVATED",IF(J6501&lt;&gt;"","?FAMILIAR",IF(F6501="NEW",IF(ISNA(VLOOKUP(E6501,#REF!,1,FALSE())),"?TYPE_IDENTIFIABLE","?REFERENTIAL"),"_")))))</f>
        <v> </v>
      </c>
      <c r="H6501" s="25" t="str">
        <f>IF(J6501&lt;&gt;1,"",IF(I6501="SBJ","CB","?"))</f>
        <v> </v>
      </c>
      <c r="I6501" s="26" t="str">
        <f>IF(OR(E6501="",E6501="!!!",F6501="NEW"),"",INDEX(B6500:B$2,-1+SUMPRODUCT(MAX(ROW(E6500:E$2)*(E6501=E6500:E$2)))))</f>
        <v> </v>
      </c>
      <c r="J6501" s="26" t="str">
        <f>IF(OR(E6501="",E6501="!!!",F6501="NEW"),"",COUNTBLANK(OFFSET(A$1,,,SUMPRODUCT(MAX(ROW(E$2:E6501)*(E6501=E$2:E6501)))))-COUNTBLANK(OFFSET(A$1,,,SUMPRODUCT(MAX(ROW(E$1:E6500)*(E2=E$1:E6500))))))</f>
        <v> </v>
      </c>
      <c r="K6501" s="26" t="str">
        <f>IF(OR(E6501="",E6501="!!!",F6501="NEW"),"",INDEX(J$1:J6500,SUMPRODUCT(MAX(ROW(E$1:E6500)*(E6501=E$1:E6500)))))</f>
        <v> </v>
      </c>
      <c r="L6501" s="27"/>
    </row>
    <row r="6502" spans="1:12">
      <c r="A6502" s="20" t="s">
        <v>1768</v>
      </c>
      <c r="E6502" s="22">
        <f>IF(D6502="?OLD","!!!","")</f>
        <v/>
      </c>
      <c r="F6502" s="23" t="str">
        <f>IF(OR(E6502="",E6502="!!!"),"",IF(NOT(ISNA(VLOOKUP(E6502,E$1:E6501,1,FALSE()))),"OLD",IF(AND(E6502&lt;&gt;"",E6502&lt;&gt;"!!!"),"NEW","")))</f>
        <v> </v>
      </c>
      <c r="G6502" s="24" t="str">
        <f>IF(OR(E6502="",E6502="!!!"),"",IF(OR(J6502=0,AND(J6502=1,K6502=1),AND(J6502=1,I6502="SBJ"),AND(J6502=1,I6502=0)),"?IN_FOCUS",IF(J6502&lt;=2,"?ACTIVATED",IF(J6502&lt;&gt;"","?FAMILIAR",IF(F6502="NEW",IF(ISNA(VLOOKUP(E6502,#REF!,1,FALSE())),"?TYPE_IDENTIFIABLE","?REFERENTIAL"),"_")))))</f>
        <v> </v>
      </c>
      <c r="H6502" s="25" t="str">
        <f>IF(J6502&lt;&gt;1,"",IF(I6502="SBJ","CB","?"))</f>
        <v> </v>
      </c>
      <c r="I6502" s="26" t="str">
        <f>IF(OR(E6502="",E6502="!!!",F6502="NEW"),"",INDEX(B6501:B$2,-1+SUMPRODUCT(MAX(ROW(E6501:E$2)*(E6502=E6501:E$2)))))</f>
        <v> </v>
      </c>
      <c r="J6502" s="26" t="str">
        <f>IF(OR(E6502="",E6502="!!!",F6502="NEW"),"",COUNTBLANK(OFFSET(A$1,,,SUMPRODUCT(MAX(ROW(E$2:E6502)*(E6502=E$2:E6502)))))-COUNTBLANK(OFFSET(A$1,,,SUMPRODUCT(MAX(ROW(E$1:E6501)*(E2=E$1:E6501))))))</f>
        <v> </v>
      </c>
      <c r="K6502" s="26" t="str">
        <f>IF(OR(E6502="",E6502="!!!",F6502="NEW"),"",INDEX(J$1:J6501,SUMPRODUCT(MAX(ROW(E$1:E6501)*(E6502=E$1:E6501)))))</f>
        <v> </v>
      </c>
      <c r="L6502" s="27"/>
    </row>
    <row r="6503" spans="1:12">
      <c r="A6503" s="20" t="s">
        <v>93</v>
      </c>
      <c r="E6503" s="22">
        <f>IF(D6503="?OLD","!!!","")</f>
        <v/>
      </c>
      <c r="F6503" s="23" t="str">
        <f>IF(OR(E6503="",E6503="!!!"),"",IF(NOT(ISNA(VLOOKUP(E6503,E$1:E6502,1,FALSE()))),"OLD",IF(AND(E6503&lt;&gt;"",E6503&lt;&gt;"!!!"),"NEW","")))</f>
        <v> </v>
      </c>
      <c r="G6503" s="24" t="str">
        <f>IF(OR(E6503="",E6503="!!!"),"",IF(OR(J6503=0,AND(J6503=1,K6503=1),AND(J6503=1,I6503="SBJ"),AND(J6503=1,I6503=0)),"?IN_FOCUS",IF(J6503&lt;=2,"?ACTIVATED",IF(J6503&lt;&gt;"","?FAMILIAR",IF(F6503="NEW",IF(ISNA(VLOOKUP(E6503,#REF!,1,FALSE())),"?TYPE_IDENTIFIABLE","?REFERENTIAL"),"_")))))</f>
        <v> </v>
      </c>
      <c r="H6503" s="25" t="str">
        <f>IF(J6503&lt;&gt;1,"",IF(I6503="SBJ","CB","?"))</f>
        <v> </v>
      </c>
      <c r="I6503" s="26" t="str">
        <f>IF(OR(E6503="",E6503="!!!",F6503="NEW"),"",INDEX(B6502:B$2,-1+SUMPRODUCT(MAX(ROW(E6502:E$2)*(E6503=E6502:E$2)))))</f>
        <v> </v>
      </c>
      <c r="J6503" s="26" t="str">
        <f>IF(OR(E6503="",E6503="!!!",F6503="NEW"),"",COUNTBLANK(OFFSET(A$1,,,SUMPRODUCT(MAX(ROW(E$2:E6503)*(E6503=E$2:E6503)))))-COUNTBLANK(OFFSET(A$1,,,SUMPRODUCT(MAX(ROW(E$1:E6502)*(E2=E$1:E6502))))))</f>
        <v> </v>
      </c>
      <c r="K6503" s="26" t="str">
        <f>IF(OR(E6503="",E6503="!!!",F6503="NEW"),"",INDEX(J$1:J6502,SUMPRODUCT(MAX(ROW(E$1:E6502)*(E6503=E$1:E6502)))))</f>
        <v> </v>
      </c>
      <c r="L6503" s="27"/>
    </row>
    <row r="6504" spans="1:12">
      <c r="A6504" s="20" t="s">
        <v>1074</v>
      </c>
      <c r="E6504" s="22">
        <f>IF(D6504="?OLD","!!!","")</f>
        <v/>
      </c>
      <c r="F6504" s="23" t="str">
        <f>IF(OR(E6504="",E6504="!!!"),"",IF(NOT(ISNA(VLOOKUP(E6504,E$1:E6503,1,FALSE()))),"OLD",IF(AND(E6504&lt;&gt;"",E6504&lt;&gt;"!!!"),"NEW","")))</f>
        <v> </v>
      </c>
      <c r="G6504" s="24" t="str">
        <f>IF(OR(E6504="",E6504="!!!"),"",IF(OR(J6504=0,AND(J6504=1,K6504=1),AND(J6504=1,I6504="SBJ"),AND(J6504=1,I6504=0)),"?IN_FOCUS",IF(J6504&lt;=2,"?ACTIVATED",IF(J6504&lt;&gt;"","?FAMILIAR",IF(F6504="NEW",IF(ISNA(VLOOKUP(E6504,#REF!,1,FALSE())),"?TYPE_IDENTIFIABLE","?REFERENTIAL"),"_")))))</f>
        <v> </v>
      </c>
      <c r="H6504" s="25" t="str">
        <f>IF(J6504&lt;&gt;1,"",IF(I6504="SBJ","CB","?"))</f>
        <v> </v>
      </c>
      <c r="I6504" s="26" t="str">
        <f>IF(OR(E6504="",E6504="!!!",F6504="NEW"),"",INDEX(B6503:B$2,-1+SUMPRODUCT(MAX(ROW(E6503:E$2)*(E6504=E6503:E$2)))))</f>
        <v> </v>
      </c>
      <c r="J6504" s="26" t="str">
        <f>IF(OR(E6504="",E6504="!!!",F6504="NEW"),"",COUNTBLANK(OFFSET(A$1,,,SUMPRODUCT(MAX(ROW(E$2:E6504)*(E6504=E$2:E6504)))))-COUNTBLANK(OFFSET(A$1,,,SUMPRODUCT(MAX(ROW(E$1:E6503)*(E2=E$1:E6503))))))</f>
        <v> </v>
      </c>
      <c r="K6504" s="26" t="str">
        <f>IF(OR(E6504="",E6504="!!!",F6504="NEW"),"",INDEX(J$1:J6503,SUMPRODUCT(MAX(ROW(E$1:E6503)*(E6504=E$1:E6503)))))</f>
        <v> </v>
      </c>
      <c r="L6504" s="27"/>
    </row>
    <row r="6505" spans="1:12">
      <c r="A6505" s="20" t="s">
        <v>2576</v>
      </c>
      <c r="B6505" s="21" t="s">
        <v>1007</v>
      </c>
      <c r="C6505" s="21" t="s">
        <v>995</v>
      </c>
      <c r="D6505" s="21" t="s">
        <v>978</v>
      </c>
      <c r="E6505" s="22">
        <f>IF(D6505="?OLD","!!!","")</f>
        <v/>
      </c>
      <c r="F6505" s="23" t="str">
        <f>IF(OR(E6505="",E6505="!!!"),"",IF(NOT(ISNA(VLOOKUP(E6505,E$1:E6504,1,FALSE()))),"OLD",IF(AND(E6505&lt;&gt;"",E6505&lt;&gt;"!!!"),"NEW","")))</f>
        <v> </v>
      </c>
      <c r="G6505" s="24" t="str">
        <f>IF(OR(E6505="",E6505="!!!"),"",IF(OR(J6505=0,AND(J6505=1,K6505=1),AND(J6505=1,I6505="SBJ"),AND(J6505=1,I6505=0)),"?IN_FOCUS",IF(J6505&lt;=2,"?ACTIVATED",IF(J6505&lt;&gt;"","?FAMILIAR",IF(F6505="NEW",IF(ISNA(VLOOKUP(E6505,#REF!,1,FALSE())),"?TYPE_IDENTIFIABLE","?REFERENTIAL"),"_")))))</f>
        <v> </v>
      </c>
      <c r="H6505" s="25" t="str">
        <f>IF(J6505&lt;&gt;1,"",IF(I6505="SBJ","CB","?"))</f>
        <v> </v>
      </c>
      <c r="I6505" s="26" t="str">
        <f>IF(OR(E6505="",E6505="!!!",F6505="NEW"),"",INDEX(B6504:B$2,-1+SUMPRODUCT(MAX(ROW(E6504:E$2)*(E6505=E6504:E$2)))))</f>
        <v> </v>
      </c>
      <c r="J6505" s="26" t="str">
        <f>IF(OR(E6505="",E6505="!!!",F6505="NEW"),"",COUNTBLANK(OFFSET(A$1,,,SUMPRODUCT(MAX(ROW(E$2:E6505)*(E6505=E$2:E6505)))))-COUNTBLANK(OFFSET(A$1,,,SUMPRODUCT(MAX(ROW(E$1:E6504)*(E2=E$1:E6504))))))</f>
        <v> </v>
      </c>
      <c r="K6505" s="26" t="str">
        <f>IF(OR(E6505="",E6505="!!!",F6505="NEW"),"",INDEX(J$1:J6504,SUMPRODUCT(MAX(ROW(E$1:E6504)*(E6505=E$1:E6504)))))</f>
        <v> </v>
      </c>
      <c r="L6505" s="27"/>
    </row>
    <row r="6506" spans="1:12">
      <c r="A6506" s="20" t="s">
        <v>1002</v>
      </c>
      <c r="E6506" s="22">
        <f>IF(D6506="?OLD","!!!","")</f>
        <v/>
      </c>
      <c r="F6506" s="23" t="str">
        <f>IF(OR(E6506="",E6506="!!!"),"",IF(NOT(ISNA(VLOOKUP(E6506,E$1:E6505,1,FALSE()))),"OLD",IF(AND(E6506&lt;&gt;"",E6506&lt;&gt;"!!!"),"NEW","")))</f>
        <v> </v>
      </c>
      <c r="G6506" s="24" t="str">
        <f>IF(OR(E6506="",E6506="!!!"),"",IF(OR(J6506=0,AND(J6506=1,K6506=1),AND(J6506=1,I6506="SBJ"),AND(J6506=1,I6506=0)),"?IN_FOCUS",IF(J6506&lt;=2,"?ACTIVATED",IF(J6506&lt;&gt;"","?FAMILIAR",IF(F6506="NEW",IF(ISNA(VLOOKUP(E6506,#REF!,1,FALSE())),"?TYPE_IDENTIFIABLE","?REFERENTIAL"),"_")))))</f>
        <v> </v>
      </c>
      <c r="H6506" s="25" t="str">
        <f>IF(J6506&lt;&gt;1,"",IF(I6506="SBJ","CB","?"))</f>
        <v> </v>
      </c>
      <c r="I6506" s="26" t="str">
        <f>IF(OR(E6506="",E6506="!!!",F6506="NEW"),"",INDEX(B6505:B$2,-1+SUMPRODUCT(MAX(ROW(E6505:E$2)*(E6506=E6505:E$2)))))</f>
        <v> </v>
      </c>
      <c r="J6506" s="26" t="str">
        <f>IF(OR(E6506="",E6506="!!!",F6506="NEW"),"",COUNTBLANK(OFFSET(A$1,,,SUMPRODUCT(MAX(ROW(E$2:E6506)*(E6506=E$2:E6506)))))-COUNTBLANK(OFFSET(A$1,,,SUMPRODUCT(MAX(ROW(E$1:E6505)*(E2=E$1:E6505))))))</f>
        <v> </v>
      </c>
      <c r="K6506" s="26" t="str">
        <f>IF(OR(E6506="",E6506="!!!",F6506="NEW"),"",INDEX(J$1:J6505,SUMPRODUCT(MAX(ROW(E$1:E6505)*(E6506=E$1:E6505)))))</f>
        <v> </v>
      </c>
      <c r="L6506" s="27"/>
    </row>
    <row r="6507" spans="1:12">
      <c r="A6507" s="20" t="s">
        <v>1194</v>
      </c>
      <c r="E6507" s="22">
        <f>IF(D6507="?OLD","!!!","")</f>
        <v/>
      </c>
      <c r="F6507" s="23" t="str">
        <f>IF(OR(E6507="",E6507="!!!"),"",IF(NOT(ISNA(VLOOKUP(E6507,E$1:E6506,1,FALSE()))),"OLD",IF(AND(E6507&lt;&gt;"",E6507&lt;&gt;"!!!"),"NEW","")))</f>
        <v> </v>
      </c>
      <c r="G6507" s="24" t="str">
        <f>IF(OR(E6507="",E6507="!!!"),"",IF(OR(J6507=0,AND(J6507=1,K6507=1),AND(J6507=1,I6507="SBJ"),AND(J6507=1,I6507=0)),"?IN_FOCUS",IF(J6507&lt;=2,"?ACTIVATED",IF(J6507&lt;&gt;"","?FAMILIAR",IF(F6507="NEW",IF(ISNA(VLOOKUP(E6507,#REF!,1,FALSE())),"?TYPE_IDENTIFIABLE","?REFERENTIAL"),"_")))))</f>
        <v> </v>
      </c>
      <c r="H6507" s="25" t="str">
        <f>IF(J6507&lt;&gt;1,"",IF(I6507="SBJ","CB","?"))</f>
        <v> </v>
      </c>
      <c r="I6507" s="26" t="str">
        <f>IF(OR(E6507="",E6507="!!!",F6507="NEW"),"",INDEX(B6506:B$2,-1+SUMPRODUCT(MAX(ROW(E6506:E$2)*(E6507=E6506:E$2)))))</f>
        <v> </v>
      </c>
      <c r="J6507" s="26" t="str">
        <f>IF(OR(E6507="",E6507="!!!",F6507="NEW"),"",COUNTBLANK(OFFSET(A$1,,,SUMPRODUCT(MAX(ROW(E$2:E6507)*(E6507=E$2:E6507)))))-COUNTBLANK(OFFSET(A$1,,,SUMPRODUCT(MAX(ROW(E$1:E6506)*(E2=E$1:E6506))))))</f>
        <v> </v>
      </c>
      <c r="K6507" s="26" t="str">
        <f>IF(OR(E6507="",E6507="!!!",F6507="NEW"),"",INDEX(J$1:J6506,SUMPRODUCT(MAX(ROW(E$1:E6506)*(E6507=E$1:E6506)))))</f>
        <v> </v>
      </c>
      <c r="L6507" s="27"/>
    </row>
    <row r="6508" spans="1:12">
      <c r="A6508" s="20" t="s">
        <v>1047</v>
      </c>
      <c r="B6508" s="21" t="s">
        <v>1042</v>
      </c>
      <c r="C6508" s="21" t="s">
        <v>977</v>
      </c>
      <c r="D6508" s="21" t="s">
        <v>978</v>
      </c>
      <c r="E6508" s="22">
        <f>IF(D6508="?OLD","!!!","")</f>
        <v/>
      </c>
      <c r="F6508" s="23" t="str">
        <f>IF(OR(E6508="",E6508="!!!"),"",IF(NOT(ISNA(VLOOKUP(E6508,E$1:E6507,1,FALSE()))),"OLD",IF(AND(E6508&lt;&gt;"",E6508&lt;&gt;"!!!"),"NEW","")))</f>
        <v> </v>
      </c>
      <c r="G6508" s="24" t="str">
        <f>IF(OR(E6508="",E6508="!!!"),"",IF(OR(J6508=0,AND(J6508=1,K6508=1),AND(J6508=1,I6508="SBJ"),AND(J6508=1,I6508=0)),"?IN_FOCUS",IF(J6508&lt;=2,"?ACTIVATED",IF(J6508&lt;&gt;"","?FAMILIAR",IF(F6508="NEW",IF(ISNA(VLOOKUP(E6508,#REF!,1,FALSE())),"?TYPE_IDENTIFIABLE","?REFERENTIAL"),"_")))))</f>
        <v> </v>
      </c>
      <c r="H6508" s="25" t="str">
        <f>IF(J6508&lt;&gt;1,"",IF(I6508="SBJ","CB","?"))</f>
        <v> </v>
      </c>
      <c r="I6508" s="26" t="str">
        <f>IF(OR(E6508="",E6508="!!!",F6508="NEW"),"",INDEX(B6507:B$2,-1+SUMPRODUCT(MAX(ROW(E6507:E$2)*(E6508=E6507:E$2)))))</f>
        <v> </v>
      </c>
      <c r="J6508" s="26" t="str">
        <f>IF(OR(E6508="",E6508="!!!",F6508="NEW"),"",COUNTBLANK(OFFSET(A$1,,,SUMPRODUCT(MAX(ROW(E$2:E6508)*(E6508=E$2:E6508)))))-COUNTBLANK(OFFSET(A$1,,,SUMPRODUCT(MAX(ROW(E$1:E6507)*(E2=E$1:E6507))))))</f>
        <v> </v>
      </c>
      <c r="K6508" s="26" t="str">
        <f>IF(OR(E6508="",E6508="!!!",F6508="NEW"),"",INDEX(J$1:J6507,SUMPRODUCT(MAX(ROW(E$1:E6507)*(E6508=E$1:E6507)))))</f>
        <v> </v>
      </c>
      <c r="L6508" s="27"/>
    </row>
    <row r="6509" spans="1:12">
      <c r="A6509" s="20" t="s">
        <v>1414</v>
      </c>
      <c r="E6509" s="22">
        <f>IF(D6509="?OLD","!!!","")</f>
        <v/>
      </c>
      <c r="F6509" s="23" t="str">
        <f>IF(OR(E6509="",E6509="!!!"),"",IF(NOT(ISNA(VLOOKUP(E6509,E$1:E6508,1,FALSE()))),"OLD",IF(AND(E6509&lt;&gt;"",E6509&lt;&gt;"!!!"),"NEW","")))</f>
        <v> </v>
      </c>
      <c r="G6509" s="24" t="str">
        <f>IF(OR(E6509="",E6509="!!!"),"",IF(OR(J6509=0,AND(J6509=1,K6509=1),AND(J6509=1,I6509="SBJ"),AND(J6509=1,I6509=0)),"?IN_FOCUS",IF(J6509&lt;=2,"?ACTIVATED",IF(J6509&lt;&gt;"","?FAMILIAR",IF(F6509="NEW",IF(ISNA(VLOOKUP(E6509,#REF!,1,FALSE())),"?TYPE_IDENTIFIABLE","?REFERENTIAL"),"_")))))</f>
        <v> </v>
      </c>
      <c r="H6509" s="25" t="str">
        <f>IF(J6509&lt;&gt;1,"",IF(I6509="SBJ","CB","?"))</f>
        <v> </v>
      </c>
      <c r="I6509" s="26" t="str">
        <f>IF(OR(E6509="",E6509="!!!",F6509="NEW"),"",INDEX(B6508:B$2,-1+SUMPRODUCT(MAX(ROW(E6508:E$2)*(E6509=E6508:E$2)))))</f>
        <v> </v>
      </c>
      <c r="J6509" s="26" t="str">
        <f>IF(OR(E6509="",E6509="!!!",F6509="NEW"),"",COUNTBLANK(OFFSET(A$1,,,SUMPRODUCT(MAX(ROW(E$2:E6509)*(E6509=E$2:E6509)))))-COUNTBLANK(OFFSET(A$1,,,SUMPRODUCT(MAX(ROW(E$1:E6508)*(E2=E$1:E6508))))))</f>
        <v> </v>
      </c>
      <c r="K6509" s="26" t="str">
        <f>IF(OR(E6509="",E6509="!!!",F6509="NEW"),"",INDEX(J$1:J6508,SUMPRODUCT(MAX(ROW(E$1:E6508)*(E6509=E$1:E6508)))))</f>
        <v> </v>
      </c>
      <c r="L6509" s="27"/>
    </row>
    <row r="6510" spans="1:12">
      <c r="A6510" s="20" t="s">
        <v>1018</v>
      </c>
      <c r="B6510" s="21" t="s">
        <v>1317</v>
      </c>
      <c r="C6510" s="21" t="s">
        <v>1020</v>
      </c>
      <c r="D6510" s="21" t="s">
        <v>978</v>
      </c>
      <c r="E6510" s="22">
        <f>IF(D6510="?OLD","!!!","")</f>
        <v/>
      </c>
      <c r="F6510" s="23" t="str">
        <f>IF(OR(E6510="",E6510="!!!"),"",IF(NOT(ISNA(VLOOKUP(E6510,E$1:E6509,1,FALSE()))),"OLD",IF(AND(E6510&lt;&gt;"",E6510&lt;&gt;"!!!"),"NEW","")))</f>
        <v> </v>
      </c>
      <c r="G6510" s="24" t="str">
        <f>IF(OR(E6510="",E6510="!!!"),"",IF(OR(J6510=0,AND(J6510=1,K6510=1),AND(J6510=1,I6510="SBJ"),AND(J6510=1,I6510=0)),"?IN_FOCUS",IF(J6510&lt;=2,"?ACTIVATED",IF(J6510&lt;&gt;"","?FAMILIAR",IF(F6510="NEW",IF(ISNA(VLOOKUP(E6510,#REF!,1,FALSE())),"?TYPE_IDENTIFIABLE","?REFERENTIAL"),"_")))))</f>
        <v> </v>
      </c>
      <c r="H6510" s="25" t="str">
        <f>IF(J6510&lt;&gt;1,"",IF(I6510="SBJ","CB","?"))</f>
        <v> </v>
      </c>
      <c r="I6510" s="26" t="str">
        <f>IF(OR(E6510="",E6510="!!!",F6510="NEW"),"",INDEX(B6509:B$2,-1+SUMPRODUCT(MAX(ROW(E6509:E$2)*(E6510=E6509:E$2)))))</f>
        <v> </v>
      </c>
      <c r="J6510" s="26" t="str">
        <f>IF(OR(E6510="",E6510="!!!",F6510="NEW"),"",COUNTBLANK(OFFSET(A$1,,,SUMPRODUCT(MAX(ROW(E$2:E6510)*(E6510=E$2:E6510)))))-COUNTBLANK(OFFSET(A$1,,,SUMPRODUCT(MAX(ROW(E$1:E6509)*(E2=E$1:E6509))))))</f>
        <v> </v>
      </c>
      <c r="K6510" s="26" t="str">
        <f>IF(OR(E6510="",E6510="!!!",F6510="NEW"),"",INDEX(J$1:J6509,SUMPRODUCT(MAX(ROW(E$1:E6509)*(E6510=E$1:E6509)))))</f>
        <v> </v>
      </c>
      <c r="L6510" s="27"/>
    </row>
    <row r="6511" spans="1:12">
      <c r="A6511" s="20" t="s">
        <v>1429</v>
      </c>
      <c r="E6511" s="22">
        <f>IF(D6511="?OLD","!!!","")</f>
        <v/>
      </c>
      <c r="F6511" s="23" t="str">
        <f>IF(OR(E6511="",E6511="!!!"),"",IF(NOT(ISNA(VLOOKUP(E6511,E$1:E6510,1,FALSE()))),"OLD",IF(AND(E6511&lt;&gt;"",E6511&lt;&gt;"!!!"),"NEW","")))</f>
        <v> </v>
      </c>
      <c r="G6511" s="24" t="str">
        <f>IF(OR(E6511="",E6511="!!!"),"",IF(OR(J6511=0,AND(J6511=1,K6511=1),AND(J6511=1,I6511="SBJ"),AND(J6511=1,I6511=0)),"?IN_FOCUS",IF(J6511&lt;=2,"?ACTIVATED",IF(J6511&lt;&gt;"","?FAMILIAR",IF(F6511="NEW",IF(ISNA(VLOOKUP(E6511,#REF!,1,FALSE())),"?TYPE_IDENTIFIABLE","?REFERENTIAL"),"_")))))</f>
        <v> </v>
      </c>
      <c r="H6511" s="25" t="str">
        <f>IF(J6511&lt;&gt;1,"",IF(I6511="SBJ","CB","?"))</f>
        <v> </v>
      </c>
      <c r="I6511" s="26" t="str">
        <f>IF(OR(E6511="",E6511="!!!",F6511="NEW"),"",INDEX(B6510:B$2,-1+SUMPRODUCT(MAX(ROW(E6510:E$2)*(E6511=E6510:E$2)))))</f>
        <v> </v>
      </c>
      <c r="J6511" s="26" t="str">
        <f>IF(OR(E6511="",E6511="!!!",F6511="NEW"),"",COUNTBLANK(OFFSET(A$1,,,SUMPRODUCT(MAX(ROW(E$2:E6511)*(E6511=E$2:E6511)))))-COUNTBLANK(OFFSET(A$1,,,SUMPRODUCT(MAX(ROW(E$1:E6510)*(E2=E$1:E6510))))))</f>
        <v> </v>
      </c>
      <c r="K6511" s="26" t="str">
        <f>IF(OR(E6511="",E6511="!!!",F6511="NEW"),"",INDEX(J$1:J6510,SUMPRODUCT(MAX(ROW(E$1:E6510)*(E6511=E$1:E6510)))))</f>
        <v> </v>
      </c>
      <c r="L6511" s="27"/>
    </row>
    <row r="6512" spans="1:12">
      <c r="A6512" s="20" t="s">
        <v>1358</v>
      </c>
      <c r="E6512" s="22">
        <f>IF(D6512="?OLD","!!!","")</f>
        <v/>
      </c>
      <c r="F6512" s="23" t="str">
        <f>IF(OR(E6512="",E6512="!!!"),"",IF(NOT(ISNA(VLOOKUP(E6512,E$1:E6511,1,FALSE()))),"OLD",IF(AND(E6512&lt;&gt;"",E6512&lt;&gt;"!!!"),"NEW","")))</f>
        <v> </v>
      </c>
      <c r="G6512" s="24" t="str">
        <f>IF(OR(E6512="",E6512="!!!"),"",IF(OR(J6512=0,AND(J6512=1,K6512=1),AND(J6512=1,I6512="SBJ"),AND(J6512=1,I6512=0)),"?IN_FOCUS",IF(J6512&lt;=2,"?ACTIVATED",IF(J6512&lt;&gt;"","?FAMILIAR",IF(F6512="NEW",IF(ISNA(VLOOKUP(E6512,#REF!,1,FALSE())),"?TYPE_IDENTIFIABLE","?REFERENTIAL"),"_")))))</f>
        <v> </v>
      </c>
      <c r="H6512" s="25" t="str">
        <f>IF(J6512&lt;&gt;1,"",IF(I6512="SBJ","CB","?"))</f>
        <v> </v>
      </c>
      <c r="I6512" s="26" t="str">
        <f>IF(OR(E6512="",E6512="!!!",F6512="NEW"),"",INDEX(B6511:B$2,-1+SUMPRODUCT(MAX(ROW(E6511:E$2)*(E6512=E6511:E$2)))))</f>
        <v> </v>
      </c>
      <c r="J6512" s="26" t="str">
        <f>IF(OR(E6512="",E6512="!!!",F6512="NEW"),"",COUNTBLANK(OFFSET(A$1,,,SUMPRODUCT(MAX(ROW(E$2:E6512)*(E6512=E$2:E6512)))))-COUNTBLANK(OFFSET(A$1,,,SUMPRODUCT(MAX(ROW(E$1:E6511)*(E2=E$1:E6511))))))</f>
        <v> </v>
      </c>
      <c r="K6512" s="26" t="str">
        <f>IF(OR(E6512="",E6512="!!!",F6512="NEW"),"",INDEX(J$1:J6511,SUMPRODUCT(MAX(ROW(E$1:E6511)*(E6512=E$1:E6511)))))</f>
        <v> </v>
      </c>
      <c r="L6512" s="27"/>
    </row>
    <row r="6513" spans="1:12">
      <c r="A6513" s="20" t="s">
        <v>1239</v>
      </c>
      <c r="B6513" s="21" t="s">
        <v>1229</v>
      </c>
      <c r="C6513" s="21" t="s">
        <v>1104</v>
      </c>
      <c r="E6513" s="22">
        <f>IF(D6513="?OLD","!!!","")</f>
        <v/>
      </c>
      <c r="F6513" s="23" t="str">
        <f>IF(OR(E6513="",E6513="!!!"),"",IF(NOT(ISNA(VLOOKUP(E6513,E$1:E6512,1,FALSE()))),"OLD",IF(AND(E6513&lt;&gt;"",E6513&lt;&gt;"!!!"),"NEW","")))</f>
        <v> </v>
      </c>
      <c r="G6513" s="24" t="str">
        <f>IF(OR(E6513="",E6513="!!!"),"",IF(OR(J6513=0,AND(J6513=1,K6513=1),AND(J6513=1,I6513="SBJ"),AND(J6513=1,I6513=0)),"?IN_FOCUS",IF(J6513&lt;=2,"?ACTIVATED",IF(J6513&lt;&gt;"","?FAMILIAR",IF(F6513="NEW",IF(ISNA(VLOOKUP(E6513,#REF!,1,FALSE())),"?TYPE_IDENTIFIABLE","?REFERENTIAL"),"_")))))</f>
        <v> </v>
      </c>
      <c r="H6513" s="25" t="str">
        <f>IF(J6513&lt;&gt;1,"",IF(I6513="SBJ","CB","?"))</f>
        <v> </v>
      </c>
      <c r="I6513" s="26" t="str">
        <f>IF(OR(E6513="",E6513="!!!",F6513="NEW"),"",INDEX(B6512:B$2,-1+SUMPRODUCT(MAX(ROW(E6512:E$2)*(E6513=E6512:E$2)))))</f>
        <v> </v>
      </c>
      <c r="J6513" s="26" t="str">
        <f>IF(OR(E6513="",E6513="!!!",F6513="NEW"),"",COUNTBLANK(OFFSET(A$1,,,SUMPRODUCT(MAX(ROW(E$2:E6513)*(E6513=E$2:E6513)))))-COUNTBLANK(OFFSET(A$1,,,SUMPRODUCT(MAX(ROW(E$1:E6512)*(E2=E$1:E6512))))))</f>
        <v> </v>
      </c>
      <c r="K6513" s="26" t="str">
        <f>IF(OR(E6513="",E6513="!!!",F6513="NEW"),"",INDEX(J$1:J6512,SUMPRODUCT(MAX(ROW(E$1:E6512)*(E6513=E$1:E6512)))))</f>
        <v> </v>
      </c>
      <c r="L6513" s="27"/>
    </row>
    <row r="6514" spans="1:12">
      <c r="A6514" s="20" t="s">
        <v>1022</v>
      </c>
      <c r="E6514" s="22">
        <f>IF(D6514="?OLD","!!!","")</f>
        <v/>
      </c>
      <c r="F6514" s="23" t="str">
        <f>IF(OR(E6514="",E6514="!!!"),"",IF(NOT(ISNA(VLOOKUP(E6514,E$1:E6513,1,FALSE()))),"OLD",IF(AND(E6514&lt;&gt;"",E6514&lt;&gt;"!!!"),"NEW","")))</f>
        <v> </v>
      </c>
      <c r="G6514" s="24" t="str">
        <f>IF(OR(E6514="",E6514="!!!"),"",IF(OR(J6514=0,AND(J6514=1,K6514=1),AND(J6514=1,I6514="SBJ"),AND(J6514=1,I6514=0)),"?IN_FOCUS",IF(J6514&lt;=2,"?ACTIVATED",IF(J6514&lt;&gt;"","?FAMILIAR",IF(F6514="NEW",IF(ISNA(VLOOKUP(E6514,#REF!,1,FALSE())),"?TYPE_IDENTIFIABLE","?REFERENTIAL"),"_")))))</f>
        <v> </v>
      </c>
      <c r="H6514" s="25" t="str">
        <f>IF(J6514&lt;&gt;1,"",IF(I6514="SBJ","CB","?"))</f>
        <v> </v>
      </c>
      <c r="I6514" s="26" t="str">
        <f>IF(OR(E6514="",E6514="!!!",F6514="NEW"),"",INDEX(B6513:B$2,-1+SUMPRODUCT(MAX(ROW(E6513:E$2)*(E6514=E6513:E$2)))))</f>
        <v> </v>
      </c>
      <c r="J6514" s="26" t="str">
        <f>IF(OR(E6514="",E6514="!!!",F6514="NEW"),"",COUNTBLANK(OFFSET(A$1,,,SUMPRODUCT(MAX(ROW(E$2:E6514)*(E6514=E$2:E6514)))))-COUNTBLANK(OFFSET(A$1,,,SUMPRODUCT(MAX(ROW(E$1:E6513)*(E2=E$1:E6513))))))</f>
        <v> </v>
      </c>
      <c r="K6514" s="26" t="str">
        <f>IF(OR(E6514="",E6514="!!!",F6514="NEW"),"",INDEX(J$1:J6513,SUMPRODUCT(MAX(ROW(E$1:E6513)*(E6514=E$1:E6513)))))</f>
        <v> </v>
      </c>
      <c r="L6514" s="27"/>
    </row>
    <row r="6515" spans="1:12">
      <c r="A6515" s="20"/>
    </row>
    <row r="6516" spans="1:12">
      <c r="A6516" s="20" t="s">
        <v>2577</v>
      </c>
    </row>
    <row r="6517" spans="1:12">
      <c r="A6517" s="20" t="s">
        <v>190</v>
      </c>
      <c r="E6517" s="22">
        <f>IF(D6517="?OLD","!!!","")</f>
        <v/>
      </c>
      <c r="F6517" s="23" t="str">
        <f>IF(OR(E6517="",E6517="!!!"),"",IF(NOT(ISNA(VLOOKUP(E6517,E$1:E6516,1,FALSE()))),"OLD",IF(AND(E6517&lt;&gt;"",E6517&lt;&gt;"!!!"),"NEW","")))</f>
        <v> </v>
      </c>
      <c r="G6517" s="24" t="str">
        <f>IF(OR(E6517="",E6517="!!!"),"",IF(OR(J6517=0,AND(J6517=1,K6517=1),AND(J6517=1,I6517="SBJ"),AND(J6517=1,I6517=0)),"?IN_FOCUS",IF(J6517&lt;=2,"?ACTIVATED",IF(J6517&lt;&gt;"","?FAMILIAR",IF(F6517="NEW",IF(ISNA(VLOOKUP(E6517,#REF!,1,FALSE())),"?TYPE_IDENTIFIABLE","?REFERENTIAL"),"_")))))</f>
        <v> </v>
      </c>
      <c r="H6517" s="25" t="str">
        <f>IF(J6517&lt;&gt;1,"",IF(I6517="SBJ","CB","?"))</f>
        <v> </v>
      </c>
      <c r="I6517" s="26" t="str">
        <f>IF(OR(E6517="",E6517="!!!",F6517="NEW"),"",INDEX(B6516:B$2,-1+SUMPRODUCT(MAX(ROW(E6516:E$2)*(E6517=E6516:E$2)))))</f>
        <v> </v>
      </c>
      <c r="J6517" s="26" t="str">
        <f>IF(OR(E6517="",E6517="!!!",F6517="NEW"),"",COUNTBLANK(OFFSET(A$1,,,SUMPRODUCT(MAX(ROW(E$2:E6517)*(E6517=E$2:E6517)))))-COUNTBLANK(OFFSET(A$1,,,SUMPRODUCT(MAX(ROW(E$1:E6516)*(E2=E$1:E6516))))))</f>
        <v> </v>
      </c>
      <c r="K6517" s="26" t="str">
        <f>IF(OR(E6517="",E6517="!!!",F6517="NEW"),"",INDEX(J$1:J6516,SUMPRODUCT(MAX(ROW(E$1:E6516)*(E6517=E$1:E6516)))))</f>
        <v> </v>
      </c>
      <c r="L6517" s="27"/>
    </row>
    <row r="6518" spans="1:12">
      <c r="A6518" s="20" t="s">
        <v>1915</v>
      </c>
      <c r="E6518" s="22">
        <f>IF(D6518="?OLD","!!!","")</f>
        <v/>
      </c>
      <c r="F6518" s="23" t="str">
        <f>IF(OR(E6518="",E6518="!!!"),"",IF(NOT(ISNA(VLOOKUP(E6518,E$1:E6517,1,FALSE()))),"OLD",IF(AND(E6518&lt;&gt;"",E6518&lt;&gt;"!!!"),"NEW","")))</f>
        <v> </v>
      </c>
      <c r="G6518" s="24" t="str">
        <f>IF(OR(E6518="",E6518="!!!"),"",IF(OR(J6518=0,AND(J6518=1,K6518=1),AND(J6518=1,I6518="SBJ"),AND(J6518=1,I6518=0)),"?IN_FOCUS",IF(J6518&lt;=2,"?ACTIVATED",IF(J6518&lt;&gt;"","?FAMILIAR",IF(F6518="NEW",IF(ISNA(VLOOKUP(E6518,#REF!,1,FALSE())),"?TYPE_IDENTIFIABLE","?REFERENTIAL"),"_")))))</f>
        <v> </v>
      </c>
      <c r="H6518" s="25" t="str">
        <f>IF(J6518&lt;&gt;1,"",IF(I6518="SBJ","CB","?"))</f>
        <v> </v>
      </c>
      <c r="I6518" s="26" t="str">
        <f>IF(OR(E6518="",E6518="!!!",F6518="NEW"),"",INDEX(B6517:B$2,-1+SUMPRODUCT(MAX(ROW(E6517:E$2)*(E6518=E6517:E$2)))))</f>
        <v> </v>
      </c>
      <c r="J6518" s="26" t="str">
        <f>IF(OR(E6518="",E6518="!!!",F6518="NEW"),"",COUNTBLANK(OFFSET(A$1,,,SUMPRODUCT(MAX(ROW(E$2:E6518)*(E6518=E$2:E6518)))))-COUNTBLANK(OFFSET(A$1,,,SUMPRODUCT(MAX(ROW(E$1:E6517)*(E2=E$1:E6517))))))</f>
        <v> </v>
      </c>
      <c r="K6518" s="26" t="str">
        <f>IF(OR(E6518="",E6518="!!!",F6518="NEW"),"",INDEX(J$1:J6517,SUMPRODUCT(MAX(ROW(E$1:E6517)*(E6518=E$1:E6517)))))</f>
        <v> </v>
      </c>
      <c r="L6518" s="27"/>
    </row>
    <row r="6519" spans="1:12">
      <c r="A6519" s="20" t="s">
        <v>997</v>
      </c>
      <c r="E6519" s="22">
        <f>IF(D6519="?OLD","!!!","")</f>
        <v/>
      </c>
      <c r="F6519" s="23" t="str">
        <f>IF(OR(E6519="",E6519="!!!"),"",IF(NOT(ISNA(VLOOKUP(E6519,E$1:E6518,1,FALSE()))),"OLD",IF(AND(E6519&lt;&gt;"",E6519&lt;&gt;"!!!"),"NEW","")))</f>
        <v> </v>
      </c>
      <c r="G6519" s="24" t="str">
        <f>IF(OR(E6519="",E6519="!!!"),"",IF(OR(J6519=0,AND(J6519=1,K6519=1),AND(J6519=1,I6519="SBJ"),AND(J6519=1,I6519=0)),"?IN_FOCUS",IF(J6519&lt;=2,"?ACTIVATED",IF(J6519&lt;&gt;"","?FAMILIAR",IF(F6519="NEW",IF(ISNA(VLOOKUP(E6519,#REF!,1,FALSE())),"?TYPE_IDENTIFIABLE","?REFERENTIAL"),"_")))))</f>
        <v> </v>
      </c>
      <c r="H6519" s="25" t="str">
        <f>IF(J6519&lt;&gt;1,"",IF(I6519="SBJ","CB","?"))</f>
        <v> </v>
      </c>
      <c r="I6519" s="26" t="str">
        <f>IF(OR(E6519="",E6519="!!!",F6519="NEW"),"",INDEX(B6518:B$2,-1+SUMPRODUCT(MAX(ROW(E6518:E$2)*(E6519=E6518:E$2)))))</f>
        <v> </v>
      </c>
      <c r="J6519" s="26" t="str">
        <f>IF(OR(E6519="",E6519="!!!",F6519="NEW"),"",COUNTBLANK(OFFSET(A$1,,,SUMPRODUCT(MAX(ROW(E$2:E6519)*(E6519=E$2:E6519)))))-COUNTBLANK(OFFSET(A$1,,,SUMPRODUCT(MAX(ROW(E$1:E6518)*(E2=E$1:E6518))))))</f>
        <v> </v>
      </c>
      <c r="K6519" s="26" t="str">
        <f>IF(OR(E6519="",E6519="!!!",F6519="NEW"),"",INDEX(J$1:J6518,SUMPRODUCT(MAX(ROW(E$1:E6518)*(E6519=E$1:E6518)))))</f>
        <v> </v>
      </c>
      <c r="L6519" s="27"/>
    </row>
    <row r="6520" spans="1:12">
      <c r="A6520" s="20" t="s">
        <v>2578</v>
      </c>
      <c r="B6520" s="21" t="s">
        <v>989</v>
      </c>
      <c r="C6520" s="21" t="s">
        <v>990</v>
      </c>
      <c r="D6520" s="21" t="s">
        <v>978</v>
      </c>
      <c r="E6520" s="22">
        <f>IF(D6520="?OLD","!!!","")</f>
        <v/>
      </c>
      <c r="F6520" s="23" t="str">
        <f>IF(OR(E6520="",E6520="!!!"),"",IF(NOT(ISNA(VLOOKUP(E6520,E$1:E6519,1,FALSE()))),"OLD",IF(AND(E6520&lt;&gt;"",E6520&lt;&gt;"!!!"),"NEW","")))</f>
        <v> </v>
      </c>
      <c r="G6520" s="24" t="str">
        <f>IF(OR(E6520="",E6520="!!!"),"",IF(OR(J6520=0,AND(J6520=1,K6520=1),AND(J6520=1,I6520="SBJ"),AND(J6520=1,I6520=0)),"?IN_FOCUS",IF(J6520&lt;=2,"?ACTIVATED",IF(J6520&lt;&gt;"","?FAMILIAR",IF(F6520="NEW",IF(ISNA(VLOOKUP(E6520,#REF!,1,FALSE())),"?TYPE_IDENTIFIABLE","?REFERENTIAL"),"_")))))</f>
        <v> </v>
      </c>
      <c r="H6520" s="25" t="str">
        <f>IF(J6520&lt;&gt;1,"",IF(I6520="SBJ","CB","?"))</f>
        <v> </v>
      </c>
      <c r="I6520" s="26" t="str">
        <f>IF(OR(E6520="",E6520="!!!",F6520="NEW"),"",INDEX(B6519:B$2,-1+SUMPRODUCT(MAX(ROW(E6519:E$2)*(E6520=E6519:E$2)))))</f>
        <v> </v>
      </c>
      <c r="J6520" s="26" t="str">
        <f>IF(OR(E6520="",E6520="!!!",F6520="NEW"),"",COUNTBLANK(OFFSET(A$1,,,SUMPRODUCT(MAX(ROW(E$2:E6520)*(E6520=E$2:E6520)))))-COUNTBLANK(OFFSET(A$1,,,SUMPRODUCT(MAX(ROW(E$1:E6519)*(E2=E$1:E6519))))))</f>
        <v> </v>
      </c>
      <c r="K6520" s="26" t="str">
        <f>IF(OR(E6520="",E6520="!!!",F6520="NEW"),"",INDEX(J$1:J6519,SUMPRODUCT(MAX(ROW(E$1:E6519)*(E6520=E$1:E6519)))))</f>
        <v> </v>
      </c>
      <c r="L6520" s="27"/>
    </row>
    <row r="6521" spans="1:12">
      <c r="A6521" s="20" t="s">
        <v>996</v>
      </c>
      <c r="E6521" s="22">
        <f>IF(D6521="?OLD","!!!","")</f>
        <v/>
      </c>
      <c r="F6521" s="23" t="str">
        <f>IF(OR(E6521="",E6521="!!!"),"",IF(NOT(ISNA(VLOOKUP(E6521,E$1:E6520,1,FALSE()))),"OLD",IF(AND(E6521&lt;&gt;"",E6521&lt;&gt;"!!!"),"NEW","")))</f>
        <v> </v>
      </c>
      <c r="G6521" s="24" t="str">
        <f>IF(OR(E6521="",E6521="!!!"),"",IF(OR(J6521=0,AND(J6521=1,K6521=1),AND(J6521=1,I6521="SBJ"),AND(J6521=1,I6521=0)),"?IN_FOCUS",IF(J6521&lt;=2,"?ACTIVATED",IF(J6521&lt;&gt;"","?FAMILIAR",IF(F6521="NEW",IF(ISNA(VLOOKUP(E6521,#REF!,1,FALSE())),"?TYPE_IDENTIFIABLE","?REFERENTIAL"),"_")))))</f>
        <v> </v>
      </c>
      <c r="H6521" s="25" t="str">
        <f>IF(J6521&lt;&gt;1,"",IF(I6521="SBJ","CB","?"))</f>
        <v> </v>
      </c>
      <c r="I6521" s="26" t="str">
        <f>IF(OR(E6521="",E6521="!!!",F6521="NEW"),"",INDEX(B6520:B$2,-1+SUMPRODUCT(MAX(ROW(E6520:E$2)*(E6521=E6520:E$2)))))</f>
        <v> </v>
      </c>
      <c r="J6521" s="26" t="str">
        <f>IF(OR(E6521="",E6521="!!!",F6521="NEW"),"",COUNTBLANK(OFFSET(A$1,,,SUMPRODUCT(MAX(ROW(E$2:E6521)*(E6521=E$2:E6521)))))-COUNTBLANK(OFFSET(A$1,,,SUMPRODUCT(MAX(ROW(E$1:E6520)*(E2=E$1:E6520))))))</f>
        <v> </v>
      </c>
      <c r="K6521" s="26" t="str">
        <f>IF(OR(E6521="",E6521="!!!",F6521="NEW"),"",INDEX(J$1:J6520,SUMPRODUCT(MAX(ROW(E$1:E6520)*(E6521=E$1:E6520)))))</f>
        <v> </v>
      </c>
      <c r="L6521" s="27"/>
    </row>
    <row r="6522" spans="1:12">
      <c r="A6522" s="20" t="s">
        <v>985</v>
      </c>
      <c r="B6522" s="21" t="s">
        <v>1054</v>
      </c>
      <c r="C6522" s="21" t="s">
        <v>987</v>
      </c>
      <c r="D6522" s="21" t="s">
        <v>978</v>
      </c>
      <c r="E6522" s="22">
        <f>IF(D6522="?OLD","!!!","")</f>
        <v/>
      </c>
      <c r="F6522" s="23" t="str">
        <f>IF(OR(E6522="",E6522="!!!"),"",IF(NOT(ISNA(VLOOKUP(E6522,E$1:E6521,1,FALSE()))),"OLD",IF(AND(E6522&lt;&gt;"",E6522&lt;&gt;"!!!"),"NEW","")))</f>
        <v> </v>
      </c>
      <c r="G6522" s="24" t="str">
        <f>IF(OR(E6522="",E6522="!!!"),"",IF(OR(J6522=0,AND(J6522=1,K6522=1),AND(J6522=1,I6522="SBJ"),AND(J6522=1,I6522=0)),"?IN_FOCUS",IF(J6522&lt;=2,"?ACTIVATED",IF(J6522&lt;&gt;"","?FAMILIAR",IF(F6522="NEW",IF(ISNA(VLOOKUP(E6522,#REF!,1,FALSE())),"?TYPE_IDENTIFIABLE","?REFERENTIAL"),"_")))))</f>
        <v> </v>
      </c>
      <c r="H6522" s="25" t="str">
        <f>IF(J6522&lt;&gt;1,"",IF(I6522="SBJ","CB","?"))</f>
        <v> </v>
      </c>
      <c r="I6522" s="26" t="str">
        <f>IF(OR(E6522="",E6522="!!!",F6522="NEW"),"",INDEX(B6521:B$2,-1+SUMPRODUCT(MAX(ROW(E6521:E$2)*(E6522=E6521:E$2)))))</f>
        <v> </v>
      </c>
      <c r="J6522" s="26" t="str">
        <f>IF(OR(E6522="",E6522="!!!",F6522="NEW"),"",COUNTBLANK(OFFSET(A$1,,,SUMPRODUCT(MAX(ROW(E$2:E6522)*(E6522=E$2:E6522)))))-COUNTBLANK(OFFSET(A$1,,,SUMPRODUCT(MAX(ROW(E$1:E6521)*(E2=E$1:E6521))))))</f>
        <v> </v>
      </c>
      <c r="K6522" s="26" t="str">
        <f>IF(OR(E6522="",E6522="!!!",F6522="NEW"),"",INDEX(J$1:J6521,SUMPRODUCT(MAX(ROW(E$1:E6521)*(E6522=E$1:E6521)))))</f>
        <v> </v>
      </c>
      <c r="L6522" s="27"/>
    </row>
    <row r="6523" spans="1:12">
      <c r="A6523" s="20" t="s">
        <v>1778</v>
      </c>
      <c r="E6523" s="22">
        <f>IF(D6523="?OLD","!!!","")</f>
        <v/>
      </c>
      <c r="F6523" s="23" t="str">
        <f>IF(OR(E6523="",E6523="!!!"),"",IF(NOT(ISNA(VLOOKUP(E6523,E$1:E6522,1,FALSE()))),"OLD",IF(AND(E6523&lt;&gt;"",E6523&lt;&gt;"!!!"),"NEW","")))</f>
        <v> </v>
      </c>
      <c r="G6523" s="24" t="str">
        <f>IF(OR(E6523="",E6523="!!!"),"",IF(OR(J6523=0,AND(J6523=1,K6523=1),AND(J6523=1,I6523="SBJ"),AND(J6523=1,I6523=0)),"?IN_FOCUS",IF(J6523&lt;=2,"?ACTIVATED",IF(J6523&lt;&gt;"","?FAMILIAR",IF(F6523="NEW",IF(ISNA(VLOOKUP(E6523,#REF!,1,FALSE())),"?TYPE_IDENTIFIABLE","?REFERENTIAL"),"_")))))</f>
        <v> </v>
      </c>
      <c r="H6523" s="25" t="str">
        <f>IF(J6523&lt;&gt;1,"",IF(I6523="SBJ","CB","?"))</f>
        <v> </v>
      </c>
      <c r="I6523" s="26" t="str">
        <f>IF(OR(E6523="",E6523="!!!",F6523="NEW"),"",INDEX(B6522:B$2,-1+SUMPRODUCT(MAX(ROW(E6522:E$2)*(E6523=E6522:E$2)))))</f>
        <v> </v>
      </c>
      <c r="J6523" s="26" t="str">
        <f>IF(OR(E6523="",E6523="!!!",F6523="NEW"),"",COUNTBLANK(OFFSET(A$1,,,SUMPRODUCT(MAX(ROW(E$2:E6523)*(E6523=E$2:E6523)))))-COUNTBLANK(OFFSET(A$1,,,SUMPRODUCT(MAX(ROW(E$1:E6522)*(E2=E$1:E6522))))))</f>
        <v> </v>
      </c>
      <c r="K6523" s="26" t="str">
        <f>IF(OR(E6523="",E6523="!!!",F6523="NEW"),"",INDEX(J$1:J6522,SUMPRODUCT(MAX(ROW(E$1:E6522)*(E6523=E$1:E6522)))))</f>
        <v> </v>
      </c>
      <c r="L6523" s="27"/>
    </row>
    <row r="6524" spans="1:12">
      <c r="A6524" s="20" t="s">
        <v>1111</v>
      </c>
      <c r="B6524" s="21" t="s">
        <v>986</v>
      </c>
      <c r="C6524" s="21" t="s">
        <v>990</v>
      </c>
      <c r="D6524" s="21" t="s">
        <v>978</v>
      </c>
      <c r="E6524" s="22">
        <f>IF(D6524="?OLD","!!!","")</f>
        <v/>
      </c>
      <c r="F6524" s="23" t="str">
        <f>IF(OR(E6524="",E6524="!!!"),"",IF(NOT(ISNA(VLOOKUP(E6524,E$1:E6523,1,FALSE()))),"OLD",IF(AND(E6524&lt;&gt;"",E6524&lt;&gt;"!!!"),"NEW","")))</f>
        <v> </v>
      </c>
      <c r="G6524" s="24" t="str">
        <f>IF(OR(E6524="",E6524="!!!"),"",IF(OR(J6524=0,AND(J6524=1,K6524=1),AND(J6524=1,I6524="SBJ"),AND(J6524=1,I6524=0)),"?IN_FOCUS",IF(J6524&lt;=2,"?ACTIVATED",IF(J6524&lt;&gt;"","?FAMILIAR",IF(F6524="NEW",IF(ISNA(VLOOKUP(E6524,#REF!,1,FALSE())),"?TYPE_IDENTIFIABLE","?REFERENTIAL"),"_")))))</f>
        <v> </v>
      </c>
      <c r="H6524" s="25" t="str">
        <f>IF(J6524&lt;&gt;1,"",IF(I6524="SBJ","CB","?"))</f>
        <v> </v>
      </c>
      <c r="I6524" s="26" t="str">
        <f>IF(OR(E6524="",E6524="!!!",F6524="NEW"),"",INDEX(B6523:B$2,-1+SUMPRODUCT(MAX(ROW(E6523:E$2)*(E6524=E6523:E$2)))))</f>
        <v> </v>
      </c>
      <c r="J6524" s="26" t="str">
        <f>IF(OR(E6524="",E6524="!!!",F6524="NEW"),"",COUNTBLANK(OFFSET(A$1,,,SUMPRODUCT(MAX(ROW(E$2:E6524)*(E6524=E$2:E6524)))))-COUNTBLANK(OFFSET(A$1,,,SUMPRODUCT(MAX(ROW(E$1:E6523)*(E2=E$1:E6523))))))</f>
        <v> </v>
      </c>
      <c r="K6524" s="26" t="str">
        <f>IF(OR(E6524="",E6524="!!!",F6524="NEW"),"",INDEX(J$1:J6523,SUMPRODUCT(MAX(ROW(E$1:E6523)*(E6524=E$1:E6523)))))</f>
        <v> </v>
      </c>
      <c r="L6524" s="27"/>
    </row>
    <row r="6525" spans="1:12">
      <c r="A6525" s="20" t="s">
        <v>1154</v>
      </c>
      <c r="B6525" s="21" t="s">
        <v>976</v>
      </c>
      <c r="C6525" s="21" t="s">
        <v>977</v>
      </c>
      <c r="D6525" s="21" t="s">
        <v>978</v>
      </c>
      <c r="E6525" s="22">
        <f>IF(D6525="?OLD","!!!","")</f>
        <v/>
      </c>
      <c r="F6525" s="23" t="str">
        <f>IF(OR(E6525="",E6525="!!!"),"",IF(NOT(ISNA(VLOOKUP(E6525,E$1:E6524,1,FALSE()))),"OLD",IF(AND(E6525&lt;&gt;"",E6525&lt;&gt;"!!!"),"NEW","")))</f>
        <v> </v>
      </c>
      <c r="G6525" s="24" t="str">
        <f>IF(OR(E6525="",E6525="!!!"),"",IF(OR(J6525=0,AND(J6525=1,K6525=1),AND(J6525=1,I6525="SBJ"),AND(J6525=1,I6525=0)),"?IN_FOCUS",IF(J6525&lt;=2,"?ACTIVATED",IF(J6525&lt;&gt;"","?FAMILIAR",IF(F6525="NEW",IF(ISNA(VLOOKUP(E6525,#REF!,1,FALSE())),"?TYPE_IDENTIFIABLE","?REFERENTIAL"),"_")))))</f>
        <v> </v>
      </c>
      <c r="H6525" s="25" t="str">
        <f>IF(J6525&lt;&gt;1,"",IF(I6525="SBJ","CB","?"))</f>
        <v> </v>
      </c>
      <c r="I6525" s="26" t="str">
        <f>IF(OR(E6525="",E6525="!!!",F6525="NEW"),"",INDEX(B6524:B$2,-1+SUMPRODUCT(MAX(ROW(E6524:E$2)*(E6525=E6524:E$2)))))</f>
        <v> </v>
      </c>
      <c r="J6525" s="26" t="str">
        <f>IF(OR(E6525="",E6525="!!!",F6525="NEW"),"",COUNTBLANK(OFFSET(A$1,,,SUMPRODUCT(MAX(ROW(E$2:E6525)*(E6525=E$2:E6525)))))-COUNTBLANK(OFFSET(A$1,,,SUMPRODUCT(MAX(ROW(E$1:E6524)*(E2=E$1:E6524))))))</f>
        <v> </v>
      </c>
      <c r="K6525" s="26" t="str">
        <f>IF(OR(E6525="",E6525="!!!",F6525="NEW"),"",INDEX(J$1:J6524,SUMPRODUCT(MAX(ROW(E$1:E6524)*(E6525=E$1:E6524)))))</f>
        <v> </v>
      </c>
      <c r="L6525" s="27"/>
    </row>
    <row r="6526" spans="1:12">
      <c r="A6526" s="20" t="s">
        <v>979</v>
      </c>
      <c r="E6526" s="22">
        <f>IF(D6526="?OLD","!!!","")</f>
        <v/>
      </c>
      <c r="F6526" s="23" t="str">
        <f>IF(OR(E6526="",E6526="!!!"),"",IF(NOT(ISNA(VLOOKUP(E6526,E$1:E6525,1,FALSE()))),"OLD",IF(AND(E6526&lt;&gt;"",E6526&lt;&gt;"!!!"),"NEW","")))</f>
        <v> </v>
      </c>
      <c r="G6526" s="24" t="str">
        <f>IF(OR(E6526="",E6526="!!!"),"",IF(OR(J6526=0,AND(J6526=1,K6526=1),AND(J6526=1,I6526="SBJ"),AND(J6526=1,I6526=0)),"?IN_FOCUS",IF(J6526&lt;=2,"?ACTIVATED",IF(J6526&lt;&gt;"","?FAMILIAR",IF(F6526="NEW",IF(ISNA(VLOOKUP(E6526,#REF!,1,FALSE())),"?TYPE_IDENTIFIABLE","?REFERENTIAL"),"_")))))</f>
        <v> </v>
      </c>
      <c r="H6526" s="25" t="str">
        <f>IF(J6526&lt;&gt;1,"",IF(I6526="SBJ","CB","?"))</f>
        <v> </v>
      </c>
      <c r="I6526" s="26" t="str">
        <f>IF(OR(E6526="",E6526="!!!",F6526="NEW"),"",INDEX(B6525:B$2,-1+SUMPRODUCT(MAX(ROW(E6525:E$2)*(E6526=E6525:E$2)))))</f>
        <v> </v>
      </c>
      <c r="J6526" s="26" t="str">
        <f>IF(OR(E6526="",E6526="!!!",F6526="NEW"),"",COUNTBLANK(OFFSET(A$1,,,SUMPRODUCT(MAX(ROW(E$2:E6526)*(E6526=E$2:E6526)))))-COUNTBLANK(OFFSET(A$1,,,SUMPRODUCT(MAX(ROW(E$1:E6525)*(E2=E$1:E6525))))))</f>
        <v> </v>
      </c>
      <c r="K6526" s="26" t="str">
        <f>IF(OR(E6526="",E6526="!!!",F6526="NEW"),"",INDEX(J$1:J6525,SUMPRODUCT(MAX(ROW(E$1:E6525)*(E6526=E$1:E6525)))))</f>
        <v> </v>
      </c>
      <c r="L6526" s="27"/>
    </row>
    <row r="6527" spans="1:12">
      <c r="A6527" s="20" t="s">
        <v>2539</v>
      </c>
      <c r="E6527" s="22">
        <f>IF(D6527="?OLD","!!!","")</f>
        <v/>
      </c>
      <c r="F6527" s="23" t="str">
        <f>IF(OR(E6527="",E6527="!!!"),"",IF(NOT(ISNA(VLOOKUP(E6527,E$1:E6526,1,FALSE()))),"OLD",IF(AND(E6527&lt;&gt;"",E6527&lt;&gt;"!!!"),"NEW","")))</f>
        <v> </v>
      </c>
      <c r="G6527" s="24" t="str">
        <f>IF(OR(E6527="",E6527="!!!"),"",IF(OR(J6527=0,AND(J6527=1,K6527=1),AND(J6527=1,I6527="SBJ"),AND(J6527=1,I6527=0)),"?IN_FOCUS",IF(J6527&lt;=2,"?ACTIVATED",IF(J6527&lt;&gt;"","?FAMILIAR",IF(F6527="NEW",IF(ISNA(VLOOKUP(E6527,#REF!,1,FALSE())),"?TYPE_IDENTIFIABLE","?REFERENTIAL"),"_")))))</f>
        <v> </v>
      </c>
      <c r="H6527" s="25" t="str">
        <f>IF(J6527&lt;&gt;1,"",IF(I6527="SBJ","CB","?"))</f>
        <v> </v>
      </c>
      <c r="I6527" s="26" t="str">
        <f>IF(OR(E6527="",E6527="!!!",F6527="NEW"),"",INDEX(B6526:B$2,-1+SUMPRODUCT(MAX(ROW(E6526:E$2)*(E6527=E6526:E$2)))))</f>
        <v> </v>
      </c>
      <c r="J6527" s="26" t="str">
        <f>IF(OR(E6527="",E6527="!!!",F6527="NEW"),"",COUNTBLANK(OFFSET(A$1,,,SUMPRODUCT(MAX(ROW(E$2:E6527)*(E6527=E$2:E6527)))))-COUNTBLANK(OFFSET(A$1,,,SUMPRODUCT(MAX(ROW(E$1:E6526)*(E2=E$1:E6526))))))</f>
        <v> </v>
      </c>
      <c r="K6527" s="26" t="str">
        <f>IF(OR(E6527="",E6527="!!!",F6527="NEW"),"",INDEX(J$1:J6526,SUMPRODUCT(MAX(ROW(E$1:E6526)*(E6527=E$1:E6526)))))</f>
        <v> </v>
      </c>
      <c r="L6527" s="27"/>
    </row>
    <row r="6528" spans="1:12">
      <c r="A6528" s="20" t="s">
        <v>1004</v>
      </c>
      <c r="E6528" s="22">
        <f>IF(D6528="?OLD","!!!","")</f>
        <v/>
      </c>
      <c r="F6528" s="23" t="str">
        <f>IF(OR(E6528="",E6528="!!!"),"",IF(NOT(ISNA(VLOOKUP(E6528,E$1:E6527,1,FALSE()))),"OLD",IF(AND(E6528&lt;&gt;"",E6528&lt;&gt;"!!!"),"NEW","")))</f>
        <v> </v>
      </c>
      <c r="G6528" s="24" t="str">
        <f>IF(OR(E6528="",E6528="!!!"),"",IF(OR(J6528=0,AND(J6528=1,K6528=1),AND(J6528=1,I6528="SBJ"),AND(J6528=1,I6528=0)),"?IN_FOCUS",IF(J6528&lt;=2,"?ACTIVATED",IF(J6528&lt;&gt;"","?FAMILIAR",IF(F6528="NEW",IF(ISNA(VLOOKUP(E6528,#REF!,1,FALSE())),"?TYPE_IDENTIFIABLE","?REFERENTIAL"),"_")))))</f>
        <v> </v>
      </c>
      <c r="H6528" s="25" t="str">
        <f>IF(J6528&lt;&gt;1,"",IF(I6528="SBJ","CB","?"))</f>
        <v> </v>
      </c>
      <c r="I6528" s="26" t="str">
        <f>IF(OR(E6528="",E6528="!!!",F6528="NEW"),"",INDEX(B6527:B$2,-1+SUMPRODUCT(MAX(ROW(E6527:E$2)*(E6528=E6527:E$2)))))</f>
        <v> </v>
      </c>
      <c r="J6528" s="26" t="str">
        <f>IF(OR(E6528="",E6528="!!!",F6528="NEW"),"",COUNTBLANK(OFFSET(A$1,,,SUMPRODUCT(MAX(ROW(E$2:E6528)*(E6528=E$2:E6528)))))-COUNTBLANK(OFFSET(A$1,,,SUMPRODUCT(MAX(ROW(E$1:E6527)*(E2=E$1:E6527))))))</f>
        <v> </v>
      </c>
      <c r="K6528" s="26" t="str">
        <f>IF(OR(E6528="",E6528="!!!",F6528="NEW"),"",INDEX(J$1:J6527,SUMPRODUCT(MAX(ROW(E$1:E6527)*(E6528=E$1:E6527)))))</f>
        <v> </v>
      </c>
      <c r="L6528" s="27"/>
    </row>
    <row r="6529" spans="1:12">
      <c r="A6529" s="20" t="s">
        <v>2579</v>
      </c>
      <c r="E6529" s="22">
        <f>IF(D6529="?OLD","!!!","")</f>
        <v/>
      </c>
      <c r="F6529" s="23" t="str">
        <f>IF(OR(E6529="",E6529="!!!"),"",IF(NOT(ISNA(VLOOKUP(E6529,E$1:E6528,1,FALSE()))),"OLD",IF(AND(E6529&lt;&gt;"",E6529&lt;&gt;"!!!"),"NEW","")))</f>
        <v> </v>
      </c>
      <c r="G6529" s="24" t="str">
        <f>IF(OR(E6529="",E6529="!!!"),"",IF(OR(J6529=0,AND(J6529=1,K6529=1),AND(J6529=1,I6529="SBJ"),AND(J6529=1,I6529=0)),"?IN_FOCUS",IF(J6529&lt;=2,"?ACTIVATED",IF(J6529&lt;&gt;"","?FAMILIAR",IF(F6529="NEW",IF(ISNA(VLOOKUP(E6529,#REF!,1,FALSE())),"?TYPE_IDENTIFIABLE","?REFERENTIAL"),"_")))))</f>
        <v> </v>
      </c>
      <c r="H6529" s="25" t="str">
        <f>IF(J6529&lt;&gt;1,"",IF(I6529="SBJ","CB","?"))</f>
        <v> </v>
      </c>
      <c r="I6529" s="26" t="str">
        <f>IF(OR(E6529="",E6529="!!!",F6529="NEW"),"",INDEX(B6528:B$2,-1+SUMPRODUCT(MAX(ROW(E6528:E$2)*(E6529=E6528:E$2)))))</f>
        <v> </v>
      </c>
      <c r="J6529" s="26" t="str">
        <f>IF(OR(E6529="",E6529="!!!",F6529="NEW"),"",COUNTBLANK(OFFSET(A$1,,,SUMPRODUCT(MAX(ROW(E$2:E6529)*(E6529=E$2:E6529)))))-COUNTBLANK(OFFSET(A$1,,,SUMPRODUCT(MAX(ROW(E$1:E6528)*(E2=E$1:E6528))))))</f>
        <v> </v>
      </c>
      <c r="K6529" s="26" t="str">
        <f>IF(OR(E6529="",E6529="!!!",F6529="NEW"),"",INDEX(J$1:J6528,SUMPRODUCT(MAX(ROW(E$1:E6528)*(E6529=E$1:E6528)))))</f>
        <v> </v>
      </c>
      <c r="L6529" s="27"/>
    </row>
    <row r="6530" spans="1:12">
      <c r="A6530" s="20" t="s">
        <v>2470</v>
      </c>
      <c r="B6530" s="21" t="s">
        <v>989</v>
      </c>
      <c r="C6530" s="21" t="s">
        <v>1104</v>
      </c>
      <c r="E6530" s="22">
        <f>IF(D6530="?OLD","!!!","")</f>
        <v/>
      </c>
      <c r="F6530" s="23" t="str">
        <f>IF(OR(E6530="",E6530="!!!"),"",IF(NOT(ISNA(VLOOKUP(E6530,E$1:E6529,1,FALSE()))),"OLD",IF(AND(E6530&lt;&gt;"",E6530&lt;&gt;"!!!"),"NEW","")))</f>
        <v> </v>
      </c>
      <c r="G6530" s="24" t="str">
        <f>IF(OR(E6530="",E6530="!!!"),"",IF(OR(J6530=0,AND(J6530=1,K6530=1),AND(J6530=1,I6530="SBJ"),AND(J6530=1,I6530=0)),"?IN_FOCUS",IF(J6530&lt;=2,"?ACTIVATED",IF(J6530&lt;&gt;"","?FAMILIAR",IF(F6530="NEW",IF(ISNA(VLOOKUP(E6530,#REF!,1,FALSE())),"?TYPE_IDENTIFIABLE","?REFERENTIAL"),"_")))))</f>
        <v> </v>
      </c>
      <c r="H6530" s="25" t="str">
        <f>IF(J6530&lt;&gt;1,"",IF(I6530="SBJ","CB","?"))</f>
        <v> </v>
      </c>
      <c r="I6530" s="26" t="str">
        <f>IF(OR(E6530="",E6530="!!!",F6530="NEW"),"",INDEX(B6529:B$2,-1+SUMPRODUCT(MAX(ROW(E6529:E$2)*(E6530=E6529:E$2)))))</f>
        <v> </v>
      </c>
      <c r="J6530" s="26" t="str">
        <f>IF(OR(E6530="",E6530="!!!",F6530="NEW"),"",COUNTBLANK(OFFSET(A$1,,,SUMPRODUCT(MAX(ROW(E$2:E6530)*(E6530=E$2:E6530)))))-COUNTBLANK(OFFSET(A$1,,,SUMPRODUCT(MAX(ROW(E$1:E6529)*(E2=E$1:E6529))))))</f>
        <v> </v>
      </c>
      <c r="K6530" s="26" t="str">
        <f>IF(OR(E6530="",E6530="!!!",F6530="NEW"),"",INDEX(J$1:J6529,SUMPRODUCT(MAX(ROW(E$1:E6529)*(E6530=E$1:E6529)))))</f>
        <v> </v>
      </c>
      <c r="L6530" s="27"/>
    </row>
    <row r="6531" spans="1:12">
      <c r="A6531" s="20" t="s">
        <v>1050</v>
      </c>
      <c r="E6531" s="22">
        <f>IF(D6531="?OLD","!!!","")</f>
        <v/>
      </c>
      <c r="F6531" s="23" t="str">
        <f>IF(OR(E6531="",E6531="!!!"),"",IF(NOT(ISNA(VLOOKUP(E6531,E$1:E6530,1,FALSE()))),"OLD",IF(AND(E6531&lt;&gt;"",E6531&lt;&gt;"!!!"),"NEW","")))</f>
        <v> </v>
      </c>
      <c r="G6531" s="24" t="str">
        <f>IF(OR(E6531="",E6531="!!!"),"",IF(OR(J6531=0,AND(J6531=1,K6531=1),AND(J6531=1,I6531="SBJ"),AND(J6531=1,I6531=0)),"?IN_FOCUS",IF(J6531&lt;=2,"?ACTIVATED",IF(J6531&lt;&gt;"","?FAMILIAR",IF(F6531="NEW",IF(ISNA(VLOOKUP(E6531,#REF!,1,FALSE())),"?TYPE_IDENTIFIABLE","?REFERENTIAL"),"_")))))</f>
        <v> </v>
      </c>
      <c r="H6531" s="25" t="str">
        <f>IF(J6531&lt;&gt;1,"",IF(I6531="SBJ","CB","?"))</f>
        <v> </v>
      </c>
      <c r="I6531" s="26" t="str">
        <f>IF(OR(E6531="",E6531="!!!",F6531="NEW"),"",INDEX(B6530:B$2,-1+SUMPRODUCT(MAX(ROW(E6530:E$2)*(E6531=E6530:E$2)))))</f>
        <v> </v>
      </c>
      <c r="J6531" s="26" t="str">
        <f>IF(OR(E6531="",E6531="!!!",F6531="NEW"),"",COUNTBLANK(OFFSET(A$1,,,SUMPRODUCT(MAX(ROW(E$2:E6531)*(E6531=E$2:E6531)))))-COUNTBLANK(OFFSET(A$1,,,SUMPRODUCT(MAX(ROW(E$1:E6530)*(E2=E$1:E6530))))))</f>
        <v> </v>
      </c>
      <c r="K6531" s="26" t="str">
        <f>IF(OR(E6531="",E6531="!!!",F6531="NEW"),"",INDEX(J$1:J6530,SUMPRODUCT(MAX(ROW(E$1:E6530)*(E6531=E$1:E6530)))))</f>
        <v> </v>
      </c>
      <c r="L6531" s="27"/>
    </row>
    <row r="6532" spans="1:12">
      <c r="A6532" s="20" t="s">
        <v>2580</v>
      </c>
      <c r="B6532" s="21" t="s">
        <v>1095</v>
      </c>
      <c r="C6532" s="21" t="s">
        <v>983</v>
      </c>
      <c r="E6532" s="22">
        <f>IF(D6532="?OLD","!!!","")</f>
        <v/>
      </c>
      <c r="F6532" s="23" t="str">
        <f>IF(OR(E6532="",E6532="!!!"),"",IF(NOT(ISNA(VLOOKUP(E6532,E$1:E6531,1,FALSE()))),"OLD",IF(AND(E6532&lt;&gt;"",E6532&lt;&gt;"!!!"),"NEW","")))</f>
        <v> </v>
      </c>
      <c r="G6532" s="24" t="str">
        <f>IF(OR(E6532="",E6532="!!!"),"",IF(OR(J6532=0,AND(J6532=1,K6532=1),AND(J6532=1,I6532="SBJ"),AND(J6532=1,I6532=0)),"?IN_FOCUS",IF(J6532&lt;=2,"?ACTIVATED",IF(J6532&lt;&gt;"","?FAMILIAR",IF(F6532="NEW",IF(ISNA(VLOOKUP(E6532,#REF!,1,FALSE())),"?TYPE_IDENTIFIABLE","?REFERENTIAL"),"_")))))</f>
        <v> </v>
      </c>
      <c r="H6532" s="25" t="str">
        <f>IF(J6532&lt;&gt;1,"",IF(I6532="SBJ","CB","?"))</f>
        <v> </v>
      </c>
      <c r="I6532" s="26" t="str">
        <f>IF(OR(E6532="",E6532="!!!",F6532="NEW"),"",INDEX(B6531:B$2,-1+SUMPRODUCT(MAX(ROW(E6531:E$2)*(E6532=E6531:E$2)))))</f>
        <v> </v>
      </c>
      <c r="J6532" s="26" t="str">
        <f>IF(OR(E6532="",E6532="!!!",F6532="NEW"),"",COUNTBLANK(OFFSET(A$1,,,SUMPRODUCT(MAX(ROW(E$2:E6532)*(E6532=E$2:E6532)))))-COUNTBLANK(OFFSET(A$1,,,SUMPRODUCT(MAX(ROW(E$1:E6531)*(E2=E$1:E6531))))))</f>
        <v> </v>
      </c>
      <c r="K6532" s="26" t="str">
        <f>IF(OR(E6532="",E6532="!!!",F6532="NEW"),"",INDEX(J$1:J6531,SUMPRODUCT(MAX(ROW(E$1:E6531)*(E6532=E$1:E6531)))))</f>
        <v> </v>
      </c>
      <c r="L6532" s="27"/>
    </row>
    <row r="6533" spans="1:12">
      <c r="A6533" s="20" t="s">
        <v>1469</v>
      </c>
      <c r="E6533" s="22">
        <f>IF(D6533="?OLD","!!!","")</f>
        <v/>
      </c>
      <c r="F6533" s="23" t="str">
        <f>IF(OR(E6533="",E6533="!!!"),"",IF(NOT(ISNA(VLOOKUP(E6533,E$1:E6532,1,FALSE()))),"OLD",IF(AND(E6533&lt;&gt;"",E6533&lt;&gt;"!!!"),"NEW","")))</f>
        <v> </v>
      </c>
      <c r="G6533" s="24" t="str">
        <f>IF(OR(E6533="",E6533="!!!"),"",IF(OR(J6533=0,AND(J6533=1,K6533=1),AND(J6533=1,I6533="SBJ"),AND(J6533=1,I6533=0)),"?IN_FOCUS",IF(J6533&lt;=2,"?ACTIVATED",IF(J6533&lt;&gt;"","?FAMILIAR",IF(F6533="NEW",IF(ISNA(VLOOKUP(E6533,#REF!,1,FALSE())),"?TYPE_IDENTIFIABLE","?REFERENTIAL"),"_")))))</f>
        <v> </v>
      </c>
      <c r="H6533" s="25" t="str">
        <f>IF(J6533&lt;&gt;1,"",IF(I6533="SBJ","CB","?"))</f>
        <v> </v>
      </c>
      <c r="I6533" s="26" t="str">
        <f>IF(OR(E6533="",E6533="!!!",F6533="NEW"),"",INDEX(B6532:B$2,-1+SUMPRODUCT(MAX(ROW(E6532:E$2)*(E6533=E6532:E$2)))))</f>
        <v> </v>
      </c>
      <c r="J6533" s="26" t="str">
        <f>IF(OR(E6533="",E6533="!!!",F6533="NEW"),"",COUNTBLANK(OFFSET(A$1,,,SUMPRODUCT(MAX(ROW(E$2:E6533)*(E6533=E$2:E6533)))))-COUNTBLANK(OFFSET(A$1,,,SUMPRODUCT(MAX(ROW(E$1:E6532)*(E2=E$1:E6532))))))</f>
        <v> </v>
      </c>
      <c r="K6533" s="26" t="str">
        <f>IF(OR(E6533="",E6533="!!!",F6533="NEW"),"",INDEX(J$1:J6532,SUMPRODUCT(MAX(ROW(E$1:E6532)*(E6533=E$1:E6532)))))</f>
        <v> </v>
      </c>
      <c r="L6533" s="27"/>
    </row>
    <row r="6534" spans="1:12">
      <c r="A6534" s="20" t="s">
        <v>93</v>
      </c>
      <c r="E6534" s="22">
        <f>IF(D6534="?OLD","!!!","")</f>
        <v/>
      </c>
      <c r="F6534" s="23" t="str">
        <f>IF(OR(E6534="",E6534="!!!"),"",IF(NOT(ISNA(VLOOKUP(E6534,E$1:E6533,1,FALSE()))),"OLD",IF(AND(E6534&lt;&gt;"",E6534&lt;&gt;"!!!"),"NEW","")))</f>
        <v> </v>
      </c>
      <c r="G6534" s="24" t="str">
        <f>IF(OR(E6534="",E6534="!!!"),"",IF(OR(J6534=0,AND(J6534=1,K6534=1),AND(J6534=1,I6534="SBJ"),AND(J6534=1,I6534=0)),"?IN_FOCUS",IF(J6534&lt;=2,"?ACTIVATED",IF(J6534&lt;&gt;"","?FAMILIAR",IF(F6534="NEW",IF(ISNA(VLOOKUP(E6534,#REF!,1,FALSE())),"?TYPE_IDENTIFIABLE","?REFERENTIAL"),"_")))))</f>
        <v> </v>
      </c>
      <c r="H6534" s="25" t="str">
        <f>IF(J6534&lt;&gt;1,"",IF(I6534="SBJ","CB","?"))</f>
        <v> </v>
      </c>
      <c r="I6534" s="26" t="str">
        <f>IF(OR(E6534="",E6534="!!!",F6534="NEW"),"",INDEX(B6533:B$2,-1+SUMPRODUCT(MAX(ROW(E6533:E$2)*(E6534=E6533:E$2)))))</f>
        <v> </v>
      </c>
      <c r="J6534" s="26" t="str">
        <f>IF(OR(E6534="",E6534="!!!",F6534="NEW"),"",COUNTBLANK(OFFSET(A$1,,,SUMPRODUCT(MAX(ROW(E$2:E6534)*(E6534=E$2:E6534)))))-COUNTBLANK(OFFSET(A$1,,,SUMPRODUCT(MAX(ROW(E$1:E6533)*(E2=E$1:E6533))))))</f>
        <v> </v>
      </c>
      <c r="K6534" s="26" t="str">
        <f>IF(OR(E6534="",E6534="!!!",F6534="NEW"),"",INDEX(J$1:J6533,SUMPRODUCT(MAX(ROW(E$1:E6533)*(E6534=E$1:E6533)))))</f>
        <v> </v>
      </c>
      <c r="L6534" s="27"/>
    </row>
    <row r="6535" spans="1:12">
      <c r="A6535" s="20" t="s">
        <v>2581</v>
      </c>
      <c r="E6535" s="22">
        <f>IF(D6535="?OLD","!!!","")</f>
        <v/>
      </c>
      <c r="F6535" s="23" t="str">
        <f>IF(OR(E6535="",E6535="!!!"),"",IF(NOT(ISNA(VLOOKUP(E6535,E$1:E6534,1,FALSE()))),"OLD",IF(AND(E6535&lt;&gt;"",E6535&lt;&gt;"!!!"),"NEW","")))</f>
        <v> </v>
      </c>
      <c r="G6535" s="24" t="str">
        <f>IF(OR(E6535="",E6535="!!!"),"",IF(OR(J6535=0,AND(J6535=1,K6535=1),AND(J6535=1,I6535="SBJ"),AND(J6535=1,I6535=0)),"?IN_FOCUS",IF(J6535&lt;=2,"?ACTIVATED",IF(J6535&lt;&gt;"","?FAMILIAR",IF(F6535="NEW",IF(ISNA(VLOOKUP(E6535,#REF!,1,FALSE())),"?TYPE_IDENTIFIABLE","?REFERENTIAL"),"_")))))</f>
        <v> </v>
      </c>
      <c r="H6535" s="25" t="str">
        <f>IF(J6535&lt;&gt;1,"",IF(I6535="SBJ","CB","?"))</f>
        <v> </v>
      </c>
      <c r="I6535" s="26" t="str">
        <f>IF(OR(E6535="",E6535="!!!",F6535="NEW"),"",INDEX(B6534:B$2,-1+SUMPRODUCT(MAX(ROW(E6534:E$2)*(E6535=E6534:E$2)))))</f>
        <v> </v>
      </c>
      <c r="J6535" s="26" t="str">
        <f>IF(OR(E6535="",E6535="!!!",F6535="NEW"),"",COUNTBLANK(OFFSET(A$1,,,SUMPRODUCT(MAX(ROW(E$2:E6535)*(E6535=E$2:E6535)))))-COUNTBLANK(OFFSET(A$1,,,SUMPRODUCT(MAX(ROW(E$1:E6534)*(E2=E$1:E6534))))))</f>
        <v> </v>
      </c>
      <c r="K6535" s="26" t="str">
        <f>IF(OR(E6535="",E6535="!!!",F6535="NEW"),"",INDEX(J$1:J6534,SUMPRODUCT(MAX(ROW(E$1:E6534)*(E6535=E$1:E6534)))))</f>
        <v> </v>
      </c>
      <c r="L6535" s="27"/>
    </row>
    <row r="6536" spans="1:12">
      <c r="A6536" s="20" t="s">
        <v>1002</v>
      </c>
      <c r="E6536" s="22">
        <f>IF(D6536="?OLD","!!!","")</f>
        <v/>
      </c>
      <c r="F6536" s="23" t="str">
        <f>IF(OR(E6536="",E6536="!!!"),"",IF(NOT(ISNA(VLOOKUP(E6536,E$1:E6535,1,FALSE()))),"OLD",IF(AND(E6536&lt;&gt;"",E6536&lt;&gt;"!!!"),"NEW","")))</f>
        <v> </v>
      </c>
      <c r="G6536" s="24" t="str">
        <f>IF(OR(E6536="",E6536="!!!"),"",IF(OR(J6536=0,AND(J6536=1,K6536=1),AND(J6536=1,I6536="SBJ"),AND(J6536=1,I6536=0)),"?IN_FOCUS",IF(J6536&lt;=2,"?ACTIVATED",IF(J6536&lt;&gt;"","?FAMILIAR",IF(F6536="NEW",IF(ISNA(VLOOKUP(E6536,#REF!,1,FALSE())),"?TYPE_IDENTIFIABLE","?REFERENTIAL"),"_")))))</f>
        <v> </v>
      </c>
      <c r="H6536" s="25" t="str">
        <f>IF(J6536&lt;&gt;1,"",IF(I6536="SBJ","CB","?"))</f>
        <v> </v>
      </c>
      <c r="I6536" s="26" t="str">
        <f>IF(OR(E6536="",E6536="!!!",F6536="NEW"),"",INDEX(B6535:B$2,-1+SUMPRODUCT(MAX(ROW(E6535:E$2)*(E6536=E6535:E$2)))))</f>
        <v> </v>
      </c>
      <c r="J6536" s="26" t="str">
        <f>IF(OR(E6536="",E6536="!!!",F6536="NEW"),"",COUNTBLANK(OFFSET(A$1,,,SUMPRODUCT(MAX(ROW(E$2:E6536)*(E6536=E$2:E6536)))))-COUNTBLANK(OFFSET(A$1,,,SUMPRODUCT(MAX(ROW(E$1:E6535)*(E2=E$1:E6535))))))</f>
        <v> </v>
      </c>
      <c r="K6536" s="26" t="str">
        <f>IF(OR(E6536="",E6536="!!!",F6536="NEW"),"",INDEX(J$1:J6535,SUMPRODUCT(MAX(ROW(E$1:E6535)*(E6536=E$1:E6535)))))</f>
        <v> </v>
      </c>
      <c r="L6536" s="27"/>
    </row>
    <row r="6537" spans="1:12">
      <c r="A6537" s="20" t="s">
        <v>1665</v>
      </c>
      <c r="E6537" s="22">
        <f>IF(D6537="?OLD","!!!","")</f>
        <v/>
      </c>
      <c r="F6537" s="23" t="str">
        <f>IF(OR(E6537="",E6537="!!!"),"",IF(NOT(ISNA(VLOOKUP(E6537,E$1:E6536,1,FALSE()))),"OLD",IF(AND(E6537&lt;&gt;"",E6537&lt;&gt;"!!!"),"NEW","")))</f>
        <v> </v>
      </c>
      <c r="G6537" s="24" t="str">
        <f>IF(OR(E6537="",E6537="!!!"),"",IF(OR(J6537=0,AND(J6537=1,K6537=1),AND(J6537=1,I6537="SBJ"),AND(J6537=1,I6537=0)),"?IN_FOCUS",IF(J6537&lt;=2,"?ACTIVATED",IF(J6537&lt;&gt;"","?FAMILIAR",IF(F6537="NEW",IF(ISNA(VLOOKUP(E6537,#REF!,1,FALSE())),"?TYPE_IDENTIFIABLE","?REFERENTIAL"),"_")))))</f>
        <v> </v>
      </c>
      <c r="H6537" s="25" t="str">
        <f>IF(J6537&lt;&gt;1,"",IF(I6537="SBJ","CB","?"))</f>
        <v> </v>
      </c>
      <c r="I6537" s="26" t="str">
        <f>IF(OR(E6537="",E6537="!!!",F6537="NEW"),"",INDEX(B6536:B$2,-1+SUMPRODUCT(MAX(ROW(E6536:E$2)*(E6537=E6536:E$2)))))</f>
        <v> </v>
      </c>
      <c r="J6537" s="26" t="str">
        <f>IF(OR(E6537="",E6537="!!!",F6537="NEW"),"",COUNTBLANK(OFFSET(A$1,,,SUMPRODUCT(MAX(ROW(E$2:E6537)*(E6537=E$2:E6537)))))-COUNTBLANK(OFFSET(A$1,,,SUMPRODUCT(MAX(ROW(E$1:E6536)*(E2=E$1:E6536))))))</f>
        <v> </v>
      </c>
      <c r="K6537" s="26" t="str">
        <f>IF(OR(E6537="",E6537="!!!",F6537="NEW"),"",INDEX(J$1:J6536,SUMPRODUCT(MAX(ROW(E$1:E6536)*(E6537=E$1:E6536)))))</f>
        <v> </v>
      </c>
      <c r="L6537" s="27"/>
    </row>
    <row r="6538" spans="1:12">
      <c r="A6538" s="20" t="s">
        <v>1468</v>
      </c>
      <c r="B6538" s="21" t="s">
        <v>1066</v>
      </c>
      <c r="C6538" s="21" t="s">
        <v>977</v>
      </c>
      <c r="D6538" s="21" t="s">
        <v>978</v>
      </c>
      <c r="E6538" s="22">
        <f>IF(D6538="?OLD","!!!","")</f>
        <v/>
      </c>
      <c r="F6538" s="23" t="str">
        <f>IF(OR(E6538="",E6538="!!!"),"",IF(NOT(ISNA(VLOOKUP(E6538,E$1:E6537,1,FALSE()))),"OLD",IF(AND(E6538&lt;&gt;"",E6538&lt;&gt;"!!!"),"NEW","")))</f>
        <v> </v>
      </c>
      <c r="G6538" s="24" t="str">
        <f>IF(OR(E6538="",E6538="!!!"),"",IF(OR(J6538=0,AND(J6538=1,K6538=1),AND(J6538=1,I6538="SBJ"),AND(J6538=1,I6538=0)),"?IN_FOCUS",IF(J6538&lt;=2,"?ACTIVATED",IF(J6538&lt;&gt;"","?FAMILIAR",IF(F6538="NEW",IF(ISNA(VLOOKUP(E6538,#REF!,1,FALSE())),"?TYPE_IDENTIFIABLE","?REFERENTIAL"),"_")))))</f>
        <v> </v>
      </c>
      <c r="H6538" s="25" t="str">
        <f>IF(J6538&lt;&gt;1,"",IF(I6538="SBJ","CB","?"))</f>
        <v> </v>
      </c>
      <c r="I6538" s="26" t="str">
        <f>IF(OR(E6538="",E6538="!!!",F6538="NEW"),"",INDEX(B6537:B$2,-1+SUMPRODUCT(MAX(ROW(E6537:E$2)*(E6538=E6537:E$2)))))</f>
        <v> </v>
      </c>
      <c r="J6538" s="26" t="str">
        <f>IF(OR(E6538="",E6538="!!!",F6538="NEW"),"",COUNTBLANK(OFFSET(A$1,,,SUMPRODUCT(MAX(ROW(E$2:E6538)*(E6538=E$2:E6538)))))-COUNTBLANK(OFFSET(A$1,,,SUMPRODUCT(MAX(ROW(E$1:E6537)*(E2=E$1:E6537))))))</f>
        <v> </v>
      </c>
      <c r="K6538" s="26" t="str">
        <f>IF(OR(E6538="",E6538="!!!",F6538="NEW"),"",INDEX(J$1:J6537,SUMPRODUCT(MAX(ROW(E$1:E6537)*(E6538=E$1:E6537)))))</f>
        <v> </v>
      </c>
      <c r="L6538" s="27"/>
    </row>
    <row r="6539" spans="1:12">
      <c r="A6539" s="20" t="s">
        <v>1469</v>
      </c>
      <c r="E6539" s="22">
        <f>IF(D6539="?OLD","!!!","")</f>
        <v/>
      </c>
      <c r="F6539" s="23" t="str">
        <f>IF(OR(E6539="",E6539="!!!"),"",IF(NOT(ISNA(VLOOKUP(E6539,E$1:E6538,1,FALSE()))),"OLD",IF(AND(E6539&lt;&gt;"",E6539&lt;&gt;"!!!"),"NEW","")))</f>
        <v> </v>
      </c>
      <c r="G6539" s="24" t="str">
        <f>IF(OR(E6539="",E6539="!!!"),"",IF(OR(J6539=0,AND(J6539=1,K6539=1),AND(J6539=1,I6539="SBJ"),AND(J6539=1,I6539=0)),"?IN_FOCUS",IF(J6539&lt;=2,"?ACTIVATED",IF(J6539&lt;&gt;"","?FAMILIAR",IF(F6539="NEW",IF(ISNA(VLOOKUP(E6539,#REF!,1,FALSE())),"?TYPE_IDENTIFIABLE","?REFERENTIAL"),"_")))))</f>
        <v> </v>
      </c>
      <c r="H6539" s="25" t="str">
        <f>IF(J6539&lt;&gt;1,"",IF(I6539="SBJ","CB","?"))</f>
        <v> </v>
      </c>
      <c r="I6539" s="26" t="str">
        <f>IF(OR(E6539="",E6539="!!!",F6539="NEW"),"",INDEX(B6538:B$2,-1+SUMPRODUCT(MAX(ROW(E6538:E$2)*(E6539=E6538:E$2)))))</f>
        <v> </v>
      </c>
      <c r="J6539" s="26" t="str">
        <f>IF(OR(E6539="",E6539="!!!",F6539="NEW"),"",COUNTBLANK(OFFSET(A$1,,,SUMPRODUCT(MAX(ROW(E$2:E6539)*(E6539=E$2:E6539)))))-COUNTBLANK(OFFSET(A$1,,,SUMPRODUCT(MAX(ROW(E$1:E6538)*(E2=E$1:E6538))))))</f>
        <v> </v>
      </c>
      <c r="K6539" s="26" t="str">
        <f>IF(OR(E6539="",E6539="!!!",F6539="NEW"),"",INDEX(J$1:J6538,SUMPRODUCT(MAX(ROW(E$1:E6538)*(E6539=E$1:E6538)))))</f>
        <v> </v>
      </c>
      <c r="L6539" s="27"/>
    </row>
    <row r="6540" spans="1:12">
      <c r="A6540" s="20" t="s">
        <v>93</v>
      </c>
      <c r="E6540" s="22">
        <f>IF(D6540="?OLD","!!!","")</f>
        <v/>
      </c>
      <c r="F6540" s="23" t="str">
        <f>IF(OR(E6540="",E6540="!!!"),"",IF(NOT(ISNA(VLOOKUP(E6540,E$1:E6539,1,FALSE()))),"OLD",IF(AND(E6540&lt;&gt;"",E6540&lt;&gt;"!!!"),"NEW","")))</f>
        <v> </v>
      </c>
      <c r="G6540" s="24" t="str">
        <f>IF(OR(E6540="",E6540="!!!"),"",IF(OR(J6540=0,AND(J6540=1,K6540=1),AND(J6540=1,I6540="SBJ"),AND(J6540=1,I6540=0)),"?IN_FOCUS",IF(J6540&lt;=2,"?ACTIVATED",IF(J6540&lt;&gt;"","?FAMILIAR",IF(F6540="NEW",IF(ISNA(VLOOKUP(E6540,#REF!,1,FALSE())),"?TYPE_IDENTIFIABLE","?REFERENTIAL"),"_")))))</f>
        <v> </v>
      </c>
      <c r="H6540" s="25" t="str">
        <f>IF(J6540&lt;&gt;1,"",IF(I6540="SBJ","CB","?"))</f>
        <v> </v>
      </c>
      <c r="I6540" s="26" t="str">
        <f>IF(OR(E6540="",E6540="!!!",F6540="NEW"),"",INDEX(B6539:B$2,-1+SUMPRODUCT(MAX(ROW(E6539:E$2)*(E6540=E6539:E$2)))))</f>
        <v> </v>
      </c>
      <c r="J6540" s="26" t="str">
        <f>IF(OR(E6540="",E6540="!!!",F6540="NEW"),"",COUNTBLANK(OFFSET(A$1,,,SUMPRODUCT(MAX(ROW(E$2:E6540)*(E6540=E$2:E6540)))))-COUNTBLANK(OFFSET(A$1,,,SUMPRODUCT(MAX(ROW(E$1:E6539)*(E2=E$1:E6539))))))</f>
        <v> </v>
      </c>
      <c r="K6540" s="26" t="str">
        <f>IF(OR(E6540="",E6540="!!!",F6540="NEW"),"",INDEX(J$1:J6539,SUMPRODUCT(MAX(ROW(E$1:E6539)*(E6540=E$1:E6539)))))</f>
        <v> </v>
      </c>
      <c r="L6540" s="27"/>
    </row>
    <row r="6541" spans="1:12">
      <c r="A6541" s="20" t="s">
        <v>1183</v>
      </c>
      <c r="E6541" s="22">
        <f>IF(D6541="?OLD","!!!","")</f>
        <v/>
      </c>
      <c r="F6541" s="23" t="str">
        <f>IF(OR(E6541="",E6541="!!!"),"",IF(NOT(ISNA(VLOOKUP(E6541,E$1:E6540,1,FALSE()))),"OLD",IF(AND(E6541&lt;&gt;"",E6541&lt;&gt;"!!!"),"NEW","")))</f>
        <v> </v>
      </c>
      <c r="G6541" s="24" t="str">
        <f>IF(OR(E6541="",E6541="!!!"),"",IF(OR(J6541=0,AND(J6541=1,K6541=1),AND(J6541=1,I6541="SBJ"),AND(J6541=1,I6541=0)),"?IN_FOCUS",IF(J6541&lt;=2,"?ACTIVATED",IF(J6541&lt;&gt;"","?FAMILIAR",IF(F6541="NEW",IF(ISNA(VLOOKUP(E6541,#REF!,1,FALSE())),"?TYPE_IDENTIFIABLE","?REFERENTIAL"),"_")))))</f>
        <v> </v>
      </c>
      <c r="H6541" s="25" t="str">
        <f>IF(J6541&lt;&gt;1,"",IF(I6541="SBJ","CB","?"))</f>
        <v> </v>
      </c>
      <c r="I6541" s="26" t="str">
        <f>IF(OR(E6541="",E6541="!!!",F6541="NEW"),"",INDEX(B6540:B$2,-1+SUMPRODUCT(MAX(ROW(E6540:E$2)*(E6541=E6540:E$2)))))</f>
        <v> </v>
      </c>
      <c r="J6541" s="26" t="str">
        <f>IF(OR(E6541="",E6541="!!!",F6541="NEW"),"",COUNTBLANK(OFFSET(A$1,,,SUMPRODUCT(MAX(ROW(E$2:E6541)*(E6541=E$2:E6541)))))-COUNTBLANK(OFFSET(A$1,,,SUMPRODUCT(MAX(ROW(E$1:E6540)*(E2=E$1:E6540))))))</f>
        <v> </v>
      </c>
      <c r="K6541" s="26" t="str">
        <f>IF(OR(E6541="",E6541="!!!",F6541="NEW"),"",INDEX(J$1:J6540,SUMPRODUCT(MAX(ROW(E$1:E6540)*(E6541=E$1:E6540)))))</f>
        <v> </v>
      </c>
      <c r="L6541" s="27"/>
    </row>
    <row r="6542" spans="1:12">
      <c r="A6542" s="20" t="s">
        <v>1771</v>
      </c>
      <c r="E6542" s="22">
        <f>IF(D6542="?OLD","!!!","")</f>
        <v/>
      </c>
      <c r="F6542" s="23" t="str">
        <f>IF(OR(E6542="",E6542="!!!"),"",IF(NOT(ISNA(VLOOKUP(E6542,E$1:E6541,1,FALSE()))),"OLD",IF(AND(E6542&lt;&gt;"",E6542&lt;&gt;"!!!"),"NEW","")))</f>
        <v> </v>
      </c>
      <c r="G6542" s="24" t="str">
        <f>IF(OR(E6542="",E6542="!!!"),"",IF(OR(J6542=0,AND(J6542=1,K6542=1),AND(J6542=1,I6542="SBJ"),AND(J6542=1,I6542=0)),"?IN_FOCUS",IF(J6542&lt;=2,"?ACTIVATED",IF(J6542&lt;&gt;"","?FAMILIAR",IF(F6542="NEW",IF(ISNA(VLOOKUP(E6542,#REF!,1,FALSE())),"?TYPE_IDENTIFIABLE","?REFERENTIAL"),"_")))))</f>
        <v> </v>
      </c>
      <c r="H6542" s="25" t="str">
        <f>IF(J6542&lt;&gt;1,"",IF(I6542="SBJ","CB","?"))</f>
        <v> </v>
      </c>
      <c r="I6542" s="26" t="str">
        <f>IF(OR(E6542="",E6542="!!!",F6542="NEW"),"",INDEX(B6541:B$2,-1+SUMPRODUCT(MAX(ROW(E6541:E$2)*(E6542=E6541:E$2)))))</f>
        <v> </v>
      </c>
      <c r="J6542" s="26" t="str">
        <f>IF(OR(E6542="",E6542="!!!",F6542="NEW"),"",COUNTBLANK(OFFSET(A$1,,,SUMPRODUCT(MAX(ROW(E$2:E6542)*(E6542=E$2:E6542)))))-COUNTBLANK(OFFSET(A$1,,,SUMPRODUCT(MAX(ROW(E$1:E6541)*(E2=E$1:E6541))))))</f>
        <v> </v>
      </c>
      <c r="K6542" s="26" t="str">
        <f>IF(OR(E6542="",E6542="!!!",F6542="NEW"),"",INDEX(J$1:J6541,SUMPRODUCT(MAX(ROW(E$1:E6541)*(E6542=E$1:E6541)))))</f>
        <v> </v>
      </c>
      <c r="L6542" s="27"/>
    </row>
    <row r="6543" spans="1:12">
      <c r="A6543" s="20" t="s">
        <v>1038</v>
      </c>
      <c r="E6543" s="22">
        <f>IF(D6543="?OLD","!!!","")</f>
        <v/>
      </c>
      <c r="F6543" s="23" t="str">
        <f>IF(OR(E6543="",E6543="!!!"),"",IF(NOT(ISNA(VLOOKUP(E6543,E$1:E6542,1,FALSE()))),"OLD",IF(AND(E6543&lt;&gt;"",E6543&lt;&gt;"!!!"),"NEW","")))</f>
        <v> </v>
      </c>
      <c r="G6543" s="24" t="str">
        <f>IF(OR(E6543="",E6543="!!!"),"",IF(OR(J6543=0,AND(J6543=1,K6543=1),AND(J6543=1,I6543="SBJ"),AND(J6543=1,I6543=0)),"?IN_FOCUS",IF(J6543&lt;=2,"?ACTIVATED",IF(J6543&lt;&gt;"","?FAMILIAR",IF(F6543="NEW",IF(ISNA(VLOOKUP(E6543,#REF!,1,FALSE())),"?TYPE_IDENTIFIABLE","?REFERENTIAL"),"_")))))</f>
        <v> </v>
      </c>
      <c r="H6543" s="25" t="str">
        <f>IF(J6543&lt;&gt;1,"",IF(I6543="SBJ","CB","?"))</f>
        <v> </v>
      </c>
      <c r="I6543" s="26" t="str">
        <f>IF(OR(E6543="",E6543="!!!",F6543="NEW"),"",INDEX(B6542:B$2,-1+SUMPRODUCT(MAX(ROW(E6542:E$2)*(E6543=E6542:E$2)))))</f>
        <v> </v>
      </c>
      <c r="J6543" s="26" t="str">
        <f>IF(OR(E6543="",E6543="!!!",F6543="NEW"),"",COUNTBLANK(OFFSET(A$1,,,SUMPRODUCT(MAX(ROW(E$2:E6543)*(E6543=E$2:E6543)))))-COUNTBLANK(OFFSET(A$1,,,SUMPRODUCT(MAX(ROW(E$1:E6542)*(E2=E$1:E6542))))))</f>
        <v> </v>
      </c>
      <c r="K6543" s="26" t="str">
        <f>IF(OR(E6543="",E6543="!!!",F6543="NEW"),"",INDEX(J$1:J6542,SUMPRODUCT(MAX(ROW(E$1:E6542)*(E6543=E$1:E6542)))))</f>
        <v> </v>
      </c>
      <c r="L6543" s="27"/>
    </row>
    <row r="6544" spans="1:12">
      <c r="A6544" s="20" t="s">
        <v>996</v>
      </c>
      <c r="E6544" s="22">
        <f>IF(D6544="?OLD","!!!","")</f>
        <v/>
      </c>
      <c r="F6544" s="23" t="str">
        <f>IF(OR(E6544="",E6544="!!!"),"",IF(NOT(ISNA(VLOOKUP(E6544,E$1:E6543,1,FALSE()))),"OLD",IF(AND(E6544&lt;&gt;"",E6544&lt;&gt;"!!!"),"NEW","")))</f>
        <v> </v>
      </c>
      <c r="G6544" s="24" t="str">
        <f>IF(OR(E6544="",E6544="!!!"),"",IF(OR(J6544=0,AND(J6544=1,K6544=1),AND(J6544=1,I6544="SBJ"),AND(J6544=1,I6544=0)),"?IN_FOCUS",IF(J6544&lt;=2,"?ACTIVATED",IF(J6544&lt;&gt;"","?FAMILIAR",IF(F6544="NEW",IF(ISNA(VLOOKUP(E6544,#REF!,1,FALSE())),"?TYPE_IDENTIFIABLE","?REFERENTIAL"),"_")))))</f>
        <v> </v>
      </c>
      <c r="H6544" s="25" t="str">
        <f>IF(J6544&lt;&gt;1,"",IF(I6544="SBJ","CB","?"))</f>
        <v> </v>
      </c>
      <c r="I6544" s="26" t="str">
        <f>IF(OR(E6544="",E6544="!!!",F6544="NEW"),"",INDEX(B6543:B$2,-1+SUMPRODUCT(MAX(ROW(E6543:E$2)*(E6544=E6543:E$2)))))</f>
        <v> </v>
      </c>
      <c r="J6544" s="26" t="str">
        <f>IF(OR(E6544="",E6544="!!!",F6544="NEW"),"",COUNTBLANK(OFFSET(A$1,,,SUMPRODUCT(MAX(ROW(E$2:E6544)*(E6544=E$2:E6544)))))-COUNTBLANK(OFFSET(A$1,,,SUMPRODUCT(MAX(ROW(E$1:E6543)*(E2=E$1:E6543))))))</f>
        <v> </v>
      </c>
      <c r="K6544" s="26" t="str">
        <f>IF(OR(E6544="",E6544="!!!",F6544="NEW"),"",INDEX(J$1:J6543,SUMPRODUCT(MAX(ROW(E$1:E6543)*(E6544=E$1:E6543)))))</f>
        <v> </v>
      </c>
      <c r="L6544" s="27"/>
    </row>
    <row r="6545" spans="1:12">
      <c r="A6545" s="20" t="s">
        <v>993</v>
      </c>
      <c r="E6545" s="22">
        <f>IF(D6545="?OLD","!!!","")</f>
        <v/>
      </c>
      <c r="F6545" s="23" t="str">
        <f>IF(OR(E6545="",E6545="!!!"),"",IF(NOT(ISNA(VLOOKUP(E6545,E$1:E6544,1,FALSE()))),"OLD",IF(AND(E6545&lt;&gt;"",E6545&lt;&gt;"!!!"),"NEW","")))</f>
        <v> </v>
      </c>
      <c r="G6545" s="24" t="str">
        <f>IF(OR(E6545="",E6545="!!!"),"",IF(OR(J6545=0,AND(J6545=1,K6545=1),AND(J6545=1,I6545="SBJ"),AND(J6545=1,I6545=0)),"?IN_FOCUS",IF(J6545&lt;=2,"?ACTIVATED",IF(J6545&lt;&gt;"","?FAMILIAR",IF(F6545="NEW",IF(ISNA(VLOOKUP(E6545,#REF!,1,FALSE())),"?TYPE_IDENTIFIABLE","?REFERENTIAL"),"_")))))</f>
        <v> </v>
      </c>
      <c r="H6545" s="25" t="str">
        <f>IF(J6545&lt;&gt;1,"",IF(I6545="SBJ","CB","?"))</f>
        <v> </v>
      </c>
      <c r="I6545" s="26" t="str">
        <f>IF(OR(E6545="",E6545="!!!",F6545="NEW"),"",INDEX(B6544:B$2,-1+SUMPRODUCT(MAX(ROW(E6544:E$2)*(E6545=E6544:E$2)))))</f>
        <v> </v>
      </c>
      <c r="J6545" s="26" t="str">
        <f>IF(OR(E6545="",E6545="!!!",F6545="NEW"),"",COUNTBLANK(OFFSET(A$1,,,SUMPRODUCT(MAX(ROW(E$2:E6545)*(E6545=E$2:E6545)))))-COUNTBLANK(OFFSET(A$1,,,SUMPRODUCT(MAX(ROW(E$1:E6544)*(E2=E$1:E6544))))))</f>
        <v> </v>
      </c>
      <c r="K6545" s="26" t="str">
        <f>IF(OR(E6545="",E6545="!!!",F6545="NEW"),"",INDEX(J$1:J6544,SUMPRODUCT(MAX(ROW(E$1:E6544)*(E6545=E$1:E6544)))))</f>
        <v> </v>
      </c>
      <c r="L6545" s="27"/>
    </row>
    <row r="6546" spans="1:12">
      <c r="A6546" s="20" t="s">
        <v>2582</v>
      </c>
      <c r="B6546" s="21" t="s">
        <v>1007</v>
      </c>
      <c r="C6546" s="21" t="s">
        <v>995</v>
      </c>
      <c r="D6546" s="21" t="s">
        <v>978</v>
      </c>
      <c r="E6546" s="22">
        <f>IF(D6546="?OLD","!!!","")</f>
        <v/>
      </c>
      <c r="F6546" s="23" t="str">
        <f>IF(OR(E6546="",E6546="!!!"),"",IF(NOT(ISNA(VLOOKUP(E6546,E$1:E6545,1,FALSE()))),"OLD",IF(AND(E6546&lt;&gt;"",E6546&lt;&gt;"!!!"),"NEW","")))</f>
        <v> </v>
      </c>
      <c r="G6546" s="24" t="str">
        <f>IF(OR(E6546="",E6546="!!!"),"",IF(OR(J6546=0,AND(J6546=1,K6546=1),AND(J6546=1,I6546="SBJ"),AND(J6546=1,I6546=0)),"?IN_FOCUS",IF(J6546&lt;=2,"?ACTIVATED",IF(J6546&lt;&gt;"","?FAMILIAR",IF(F6546="NEW",IF(ISNA(VLOOKUP(E6546,#REF!,1,FALSE())),"?TYPE_IDENTIFIABLE","?REFERENTIAL"),"_")))))</f>
        <v> </v>
      </c>
      <c r="H6546" s="25" t="str">
        <f>IF(J6546&lt;&gt;1,"",IF(I6546="SBJ","CB","?"))</f>
        <v> </v>
      </c>
      <c r="I6546" s="26" t="str">
        <f>IF(OR(E6546="",E6546="!!!",F6546="NEW"),"",INDEX(B6545:B$2,-1+SUMPRODUCT(MAX(ROW(E6545:E$2)*(E6546=E6545:E$2)))))</f>
        <v> </v>
      </c>
      <c r="J6546" s="26" t="str">
        <f>IF(OR(E6546="",E6546="!!!",F6546="NEW"),"",COUNTBLANK(OFFSET(A$1,,,SUMPRODUCT(MAX(ROW(E$2:E6546)*(E6546=E$2:E6546)))))-COUNTBLANK(OFFSET(A$1,,,SUMPRODUCT(MAX(ROW(E$1:E6545)*(E2=E$1:E6545))))))</f>
        <v> </v>
      </c>
      <c r="K6546" s="26" t="str">
        <f>IF(OR(E6546="",E6546="!!!",F6546="NEW"),"",INDEX(J$1:J6545,SUMPRODUCT(MAX(ROW(E$1:E6545)*(E6546=E$1:E6545)))))</f>
        <v> </v>
      </c>
      <c r="L6546" s="27"/>
    </row>
    <row r="6547" spans="1:12">
      <c r="A6547" s="20" t="s">
        <v>1002</v>
      </c>
      <c r="E6547" s="22">
        <f>IF(D6547="?OLD","!!!","")</f>
        <v/>
      </c>
      <c r="F6547" s="23" t="str">
        <f>IF(OR(E6547="",E6547="!!!"),"",IF(NOT(ISNA(VLOOKUP(E6547,E$1:E6546,1,FALSE()))),"OLD",IF(AND(E6547&lt;&gt;"",E6547&lt;&gt;"!!!"),"NEW","")))</f>
        <v> </v>
      </c>
      <c r="G6547" s="24" t="str">
        <f>IF(OR(E6547="",E6547="!!!"),"",IF(OR(J6547=0,AND(J6547=1,K6547=1),AND(J6547=1,I6547="SBJ"),AND(J6547=1,I6547=0)),"?IN_FOCUS",IF(J6547&lt;=2,"?ACTIVATED",IF(J6547&lt;&gt;"","?FAMILIAR",IF(F6547="NEW",IF(ISNA(VLOOKUP(E6547,#REF!,1,FALSE())),"?TYPE_IDENTIFIABLE","?REFERENTIAL"),"_")))))</f>
        <v> </v>
      </c>
      <c r="H6547" s="25" t="str">
        <f>IF(J6547&lt;&gt;1,"",IF(I6547="SBJ","CB","?"))</f>
        <v> </v>
      </c>
      <c r="I6547" s="26" t="str">
        <f>IF(OR(E6547="",E6547="!!!",F6547="NEW"),"",INDEX(B6546:B$2,-1+SUMPRODUCT(MAX(ROW(E6546:E$2)*(E6547=E6546:E$2)))))</f>
        <v> </v>
      </c>
      <c r="J6547" s="26" t="str">
        <f>IF(OR(E6547="",E6547="!!!",F6547="NEW"),"",COUNTBLANK(OFFSET(A$1,,,SUMPRODUCT(MAX(ROW(E$2:E6547)*(E6547=E$2:E6547)))))-COUNTBLANK(OFFSET(A$1,,,SUMPRODUCT(MAX(ROW(E$1:E6546)*(E2=E$1:E6546))))))</f>
        <v> </v>
      </c>
      <c r="K6547" s="26" t="str">
        <f>IF(OR(E6547="",E6547="!!!",F6547="NEW"),"",INDEX(J$1:J6546,SUMPRODUCT(MAX(ROW(E$1:E6546)*(E6547=E$1:E6546)))))</f>
        <v> </v>
      </c>
      <c r="L6547" s="27"/>
    </row>
    <row r="6548" spans="1:12">
      <c r="A6548" s="20" t="s">
        <v>1000</v>
      </c>
      <c r="E6548" s="22">
        <f>IF(D6548="?OLD","!!!","")</f>
        <v/>
      </c>
      <c r="F6548" s="23" t="str">
        <f>IF(OR(E6548="",E6548="!!!"),"",IF(NOT(ISNA(VLOOKUP(E6548,E$1:E6547,1,FALSE()))),"OLD",IF(AND(E6548&lt;&gt;"",E6548&lt;&gt;"!!!"),"NEW","")))</f>
        <v> </v>
      </c>
      <c r="G6548" s="24" t="str">
        <f>IF(OR(E6548="",E6548="!!!"),"",IF(OR(J6548=0,AND(J6548=1,K6548=1),AND(J6548=1,I6548="SBJ"),AND(J6548=1,I6548=0)),"?IN_FOCUS",IF(J6548&lt;=2,"?ACTIVATED",IF(J6548&lt;&gt;"","?FAMILIAR",IF(F6548="NEW",IF(ISNA(VLOOKUP(E6548,#REF!,1,FALSE())),"?TYPE_IDENTIFIABLE","?REFERENTIAL"),"_")))))</f>
        <v> </v>
      </c>
      <c r="H6548" s="25" t="str">
        <f>IF(J6548&lt;&gt;1,"",IF(I6548="SBJ","CB","?"))</f>
        <v> </v>
      </c>
      <c r="I6548" s="26" t="str">
        <f>IF(OR(E6548="",E6548="!!!",F6548="NEW"),"",INDEX(B6547:B$2,-1+SUMPRODUCT(MAX(ROW(E6547:E$2)*(E6548=E6547:E$2)))))</f>
        <v> </v>
      </c>
      <c r="J6548" s="26" t="str">
        <f>IF(OR(E6548="",E6548="!!!",F6548="NEW"),"",COUNTBLANK(OFFSET(A$1,,,SUMPRODUCT(MAX(ROW(E$2:E6548)*(E6548=E$2:E6548)))))-COUNTBLANK(OFFSET(A$1,,,SUMPRODUCT(MAX(ROW(E$1:E6547)*(E2=E$1:E6547))))))</f>
        <v> </v>
      </c>
      <c r="K6548" s="26" t="str">
        <f>IF(OR(E6548="",E6548="!!!",F6548="NEW"),"",INDEX(J$1:J6547,SUMPRODUCT(MAX(ROW(E$1:E6547)*(E6548=E$1:E6547)))))</f>
        <v> </v>
      </c>
      <c r="L6548" s="27"/>
    </row>
    <row r="6549" spans="1:12">
      <c r="A6549" s="20" t="s">
        <v>1154</v>
      </c>
      <c r="B6549" s="21" t="s">
        <v>1066</v>
      </c>
      <c r="C6549" s="21" t="s">
        <v>977</v>
      </c>
      <c r="D6549" s="21" t="s">
        <v>978</v>
      </c>
      <c r="E6549" s="22">
        <f>IF(D6549="?OLD","!!!","")</f>
        <v/>
      </c>
      <c r="F6549" s="23" t="str">
        <f>IF(OR(E6549="",E6549="!!!"),"",IF(NOT(ISNA(VLOOKUP(E6549,E$1:E6548,1,FALSE()))),"OLD",IF(AND(E6549&lt;&gt;"",E6549&lt;&gt;"!!!"),"NEW","")))</f>
        <v> </v>
      </c>
      <c r="G6549" s="24" t="str">
        <f>IF(OR(E6549="",E6549="!!!"),"",IF(OR(J6549=0,AND(J6549=1,K6549=1),AND(J6549=1,I6549="SBJ"),AND(J6549=1,I6549=0)),"?IN_FOCUS",IF(J6549&lt;=2,"?ACTIVATED",IF(J6549&lt;&gt;"","?FAMILIAR",IF(F6549="NEW",IF(ISNA(VLOOKUP(E6549,#REF!,1,FALSE())),"?TYPE_IDENTIFIABLE","?REFERENTIAL"),"_")))))</f>
        <v> </v>
      </c>
      <c r="H6549" s="25" t="str">
        <f>IF(J6549&lt;&gt;1,"",IF(I6549="SBJ","CB","?"))</f>
        <v> </v>
      </c>
      <c r="I6549" s="26" t="str">
        <f>IF(OR(E6549="",E6549="!!!",F6549="NEW"),"",INDEX(B6548:B$2,-1+SUMPRODUCT(MAX(ROW(E6548:E$2)*(E6549=E6548:E$2)))))</f>
        <v> </v>
      </c>
      <c r="J6549" s="26" t="str">
        <f>IF(OR(E6549="",E6549="!!!",F6549="NEW"),"",COUNTBLANK(OFFSET(A$1,,,SUMPRODUCT(MAX(ROW(E$2:E6549)*(E6549=E$2:E6549)))))-COUNTBLANK(OFFSET(A$1,,,SUMPRODUCT(MAX(ROW(E$1:E6548)*(E2=E$1:E6548))))))</f>
        <v> </v>
      </c>
      <c r="K6549" s="26" t="str">
        <f>IF(OR(E6549="",E6549="!!!",F6549="NEW"),"",INDEX(J$1:J6548,SUMPRODUCT(MAX(ROW(E$1:E6548)*(E6549=E$1:E6548)))))</f>
        <v> </v>
      </c>
      <c r="L6549" s="27"/>
    </row>
    <row r="6550" spans="1:12">
      <c r="A6550" s="20" t="s">
        <v>979</v>
      </c>
      <c r="E6550" s="22">
        <f>IF(D6550="?OLD","!!!","")</f>
        <v/>
      </c>
      <c r="F6550" s="23" t="str">
        <f>IF(OR(E6550="",E6550="!!!"),"",IF(NOT(ISNA(VLOOKUP(E6550,E$1:E6549,1,FALSE()))),"OLD",IF(AND(E6550&lt;&gt;"",E6550&lt;&gt;"!!!"),"NEW","")))</f>
        <v> </v>
      </c>
      <c r="G6550" s="24" t="str">
        <f>IF(OR(E6550="",E6550="!!!"),"",IF(OR(J6550=0,AND(J6550=1,K6550=1),AND(J6550=1,I6550="SBJ"),AND(J6550=1,I6550=0)),"?IN_FOCUS",IF(J6550&lt;=2,"?ACTIVATED",IF(J6550&lt;&gt;"","?FAMILIAR",IF(F6550="NEW",IF(ISNA(VLOOKUP(E6550,#REF!,1,FALSE())),"?TYPE_IDENTIFIABLE","?REFERENTIAL"),"_")))))</f>
        <v> </v>
      </c>
      <c r="H6550" s="25" t="str">
        <f>IF(J6550&lt;&gt;1,"",IF(I6550="SBJ","CB","?"))</f>
        <v> </v>
      </c>
      <c r="I6550" s="26" t="str">
        <f>IF(OR(E6550="",E6550="!!!",F6550="NEW"),"",INDEX(B6549:B$2,-1+SUMPRODUCT(MAX(ROW(E6549:E$2)*(E6550=E6549:E$2)))))</f>
        <v> </v>
      </c>
      <c r="J6550" s="26" t="str">
        <f>IF(OR(E6550="",E6550="!!!",F6550="NEW"),"",COUNTBLANK(OFFSET(A$1,,,SUMPRODUCT(MAX(ROW(E$2:E6550)*(E6550=E$2:E6550)))))-COUNTBLANK(OFFSET(A$1,,,SUMPRODUCT(MAX(ROW(E$1:E6549)*(E2=E$1:E6549))))))</f>
        <v> </v>
      </c>
      <c r="K6550" s="26" t="str">
        <f>IF(OR(E6550="",E6550="!!!",F6550="NEW"),"",INDEX(J$1:J6549,SUMPRODUCT(MAX(ROW(E$1:E6549)*(E6550=E$1:E6549)))))</f>
        <v> </v>
      </c>
      <c r="L6550" s="27"/>
    </row>
    <row r="6551" spans="1:12">
      <c r="A6551" s="20" t="s">
        <v>1747</v>
      </c>
      <c r="E6551" s="22">
        <f>IF(D6551="?OLD","!!!","")</f>
        <v/>
      </c>
      <c r="F6551" s="23" t="str">
        <f>IF(OR(E6551="",E6551="!!!"),"",IF(NOT(ISNA(VLOOKUP(E6551,E$1:E6550,1,FALSE()))),"OLD",IF(AND(E6551&lt;&gt;"",E6551&lt;&gt;"!!!"),"NEW","")))</f>
        <v> </v>
      </c>
      <c r="G6551" s="24" t="str">
        <f>IF(OR(E6551="",E6551="!!!"),"",IF(OR(J6551=0,AND(J6551=1,K6551=1),AND(J6551=1,I6551="SBJ"),AND(J6551=1,I6551=0)),"?IN_FOCUS",IF(J6551&lt;=2,"?ACTIVATED",IF(J6551&lt;&gt;"","?FAMILIAR",IF(F6551="NEW",IF(ISNA(VLOOKUP(E6551,#REF!,1,FALSE())),"?TYPE_IDENTIFIABLE","?REFERENTIAL"),"_")))))</f>
        <v> </v>
      </c>
      <c r="H6551" s="25" t="str">
        <f>IF(J6551&lt;&gt;1,"",IF(I6551="SBJ","CB","?"))</f>
        <v> </v>
      </c>
      <c r="I6551" s="26" t="str">
        <f>IF(OR(E6551="",E6551="!!!",F6551="NEW"),"",INDEX(B6550:B$2,-1+SUMPRODUCT(MAX(ROW(E6550:E$2)*(E6551=E6550:E$2)))))</f>
        <v> </v>
      </c>
      <c r="J6551" s="26" t="str">
        <f>IF(OR(E6551="",E6551="!!!",F6551="NEW"),"",COUNTBLANK(OFFSET(A$1,,,SUMPRODUCT(MAX(ROW(E$2:E6551)*(E6551=E$2:E6551)))))-COUNTBLANK(OFFSET(A$1,,,SUMPRODUCT(MAX(ROW(E$1:E6550)*(E2=E$1:E6550))))))</f>
        <v> </v>
      </c>
      <c r="K6551" s="26" t="str">
        <f>IF(OR(E6551="",E6551="!!!",F6551="NEW"),"",INDEX(J$1:J6550,SUMPRODUCT(MAX(ROW(E$1:E6550)*(E6551=E$1:E6550)))))</f>
        <v> </v>
      </c>
      <c r="L6551" s="27"/>
    </row>
    <row r="6552" spans="1:12">
      <c r="A6552" s="20" t="s">
        <v>1038</v>
      </c>
      <c r="E6552" s="22">
        <f>IF(D6552="?OLD","!!!","")</f>
        <v/>
      </c>
      <c r="F6552" s="23" t="str">
        <f>IF(OR(E6552="",E6552="!!!"),"",IF(NOT(ISNA(VLOOKUP(E6552,E$1:E6551,1,FALSE()))),"OLD",IF(AND(E6552&lt;&gt;"",E6552&lt;&gt;"!!!"),"NEW","")))</f>
        <v> </v>
      </c>
      <c r="G6552" s="24" t="str">
        <f>IF(OR(E6552="",E6552="!!!"),"",IF(OR(J6552=0,AND(J6552=1,K6552=1),AND(J6552=1,I6552="SBJ"),AND(J6552=1,I6552=0)),"?IN_FOCUS",IF(J6552&lt;=2,"?ACTIVATED",IF(J6552&lt;&gt;"","?FAMILIAR",IF(F6552="NEW",IF(ISNA(VLOOKUP(E6552,#REF!,1,FALSE())),"?TYPE_IDENTIFIABLE","?REFERENTIAL"),"_")))))</f>
        <v> </v>
      </c>
      <c r="H6552" s="25" t="str">
        <f>IF(J6552&lt;&gt;1,"",IF(I6552="SBJ","CB","?"))</f>
        <v> </v>
      </c>
      <c r="I6552" s="26" t="str">
        <f>IF(OR(E6552="",E6552="!!!",F6552="NEW"),"",INDEX(B6551:B$2,-1+SUMPRODUCT(MAX(ROW(E6551:E$2)*(E6552=E6551:E$2)))))</f>
        <v> </v>
      </c>
      <c r="J6552" s="26" t="str">
        <f>IF(OR(E6552="",E6552="!!!",F6552="NEW"),"",COUNTBLANK(OFFSET(A$1,,,SUMPRODUCT(MAX(ROW(E$2:E6552)*(E6552=E$2:E6552)))))-COUNTBLANK(OFFSET(A$1,,,SUMPRODUCT(MAX(ROW(E$1:E6551)*(E2=E$1:E6551))))))</f>
        <v> </v>
      </c>
      <c r="K6552" s="26" t="str">
        <f>IF(OR(E6552="",E6552="!!!",F6552="NEW"),"",INDEX(J$1:J6551,SUMPRODUCT(MAX(ROW(E$1:E6551)*(E6552=E$1:E6551)))))</f>
        <v> </v>
      </c>
      <c r="L6552" s="27"/>
    </row>
    <row r="6553" spans="1:12">
      <c r="A6553" s="20" t="s">
        <v>1397</v>
      </c>
      <c r="E6553" s="22">
        <f>IF(D6553="?OLD","!!!","")</f>
        <v/>
      </c>
      <c r="F6553" s="23" t="str">
        <f>IF(OR(E6553="",E6553="!!!"),"",IF(NOT(ISNA(VLOOKUP(E6553,E$1:E6552,1,FALSE()))),"OLD",IF(AND(E6553&lt;&gt;"",E6553&lt;&gt;"!!!"),"NEW","")))</f>
        <v> </v>
      </c>
      <c r="G6553" s="24" t="str">
        <f>IF(OR(E6553="",E6553="!!!"),"",IF(OR(J6553=0,AND(J6553=1,K6553=1),AND(J6553=1,I6553="SBJ"),AND(J6553=1,I6553=0)),"?IN_FOCUS",IF(J6553&lt;=2,"?ACTIVATED",IF(J6553&lt;&gt;"","?FAMILIAR",IF(F6553="NEW",IF(ISNA(VLOOKUP(E6553,#REF!,1,FALSE())),"?TYPE_IDENTIFIABLE","?REFERENTIAL"),"_")))))</f>
        <v> </v>
      </c>
      <c r="H6553" s="25" t="str">
        <f>IF(J6553&lt;&gt;1,"",IF(I6553="SBJ","CB","?"))</f>
        <v> </v>
      </c>
      <c r="I6553" s="26" t="str">
        <f>IF(OR(E6553="",E6553="!!!",F6553="NEW"),"",INDEX(B6552:B$2,-1+SUMPRODUCT(MAX(ROW(E6552:E$2)*(E6553=E6552:E$2)))))</f>
        <v> </v>
      </c>
      <c r="J6553" s="26" t="str">
        <f>IF(OR(E6553="",E6553="!!!",F6553="NEW"),"",COUNTBLANK(OFFSET(A$1,,,SUMPRODUCT(MAX(ROW(E$2:E6553)*(E6553=E$2:E6553)))))-COUNTBLANK(OFFSET(A$1,,,SUMPRODUCT(MAX(ROW(E$1:E6552)*(E2=E$1:E6552))))))</f>
        <v> </v>
      </c>
      <c r="K6553" s="26" t="str">
        <f>IF(OR(E6553="",E6553="!!!",F6553="NEW"),"",INDEX(J$1:J6552,SUMPRODUCT(MAX(ROW(E$1:E6552)*(E6553=E$1:E6552)))))</f>
        <v> </v>
      </c>
      <c r="L6553" s="27"/>
    </row>
    <row r="6554" spans="1:12">
      <c r="A6554" s="20" t="s">
        <v>1683</v>
      </c>
      <c r="B6554" s="21" t="s">
        <v>1035</v>
      </c>
      <c r="C6554" s="21" t="s">
        <v>1063</v>
      </c>
      <c r="D6554" s="21" t="s">
        <v>978</v>
      </c>
      <c r="E6554" s="22">
        <f>IF(D6554="?OLD","!!!","")</f>
        <v/>
      </c>
      <c r="F6554" s="23" t="str">
        <f>IF(OR(E6554="",E6554="!!!"),"",IF(NOT(ISNA(VLOOKUP(E6554,E$1:E6553,1,FALSE()))),"OLD",IF(AND(E6554&lt;&gt;"",E6554&lt;&gt;"!!!"),"NEW","")))</f>
        <v> </v>
      </c>
      <c r="G6554" s="24" t="str">
        <f>IF(OR(E6554="",E6554="!!!"),"",IF(OR(J6554=0,AND(J6554=1,K6554=1),AND(J6554=1,I6554="SBJ"),AND(J6554=1,I6554=0)),"?IN_FOCUS",IF(J6554&lt;=2,"?ACTIVATED",IF(J6554&lt;&gt;"","?FAMILIAR",IF(F6554="NEW",IF(ISNA(VLOOKUP(E6554,#REF!,1,FALSE())),"?TYPE_IDENTIFIABLE","?REFERENTIAL"),"_")))))</f>
        <v> </v>
      </c>
      <c r="H6554" s="25" t="str">
        <f>IF(J6554&lt;&gt;1,"",IF(I6554="SBJ","CB","?"))</f>
        <v> </v>
      </c>
      <c r="I6554" s="26" t="str">
        <f>IF(OR(E6554="",E6554="!!!",F6554="NEW"),"",INDEX(B6553:B$2,-1+SUMPRODUCT(MAX(ROW(E6553:E$2)*(E6554=E6553:E$2)))))</f>
        <v> </v>
      </c>
      <c r="J6554" s="26" t="str">
        <f>IF(OR(E6554="",E6554="!!!",F6554="NEW"),"",COUNTBLANK(OFFSET(A$1,,,SUMPRODUCT(MAX(ROW(E$2:E6554)*(E6554=E$2:E6554)))))-COUNTBLANK(OFFSET(A$1,,,SUMPRODUCT(MAX(ROW(E$1:E6553)*(E2=E$1:E6553))))))</f>
        <v> </v>
      </c>
      <c r="K6554" s="26" t="str">
        <f>IF(OR(E6554="",E6554="!!!",F6554="NEW"),"",INDEX(J$1:J6553,SUMPRODUCT(MAX(ROW(E$1:E6553)*(E6554=E$1:E6553)))))</f>
        <v> </v>
      </c>
      <c r="L6554" s="27"/>
    </row>
    <row r="6555" spans="1:12">
      <c r="A6555" s="20" t="s">
        <v>1200</v>
      </c>
      <c r="E6555" s="22">
        <f>IF(D6555="?OLD","!!!","")</f>
        <v/>
      </c>
      <c r="F6555" s="23" t="str">
        <f>IF(OR(E6555="",E6555="!!!"),"",IF(NOT(ISNA(VLOOKUP(E6555,E$1:E6554,1,FALSE()))),"OLD",IF(AND(E6555&lt;&gt;"",E6555&lt;&gt;"!!!"),"NEW","")))</f>
        <v> </v>
      </c>
      <c r="G6555" s="24" t="str">
        <f>IF(OR(E6555="",E6555="!!!"),"",IF(OR(J6555=0,AND(J6555=1,K6555=1),AND(J6555=1,I6555="SBJ"),AND(J6555=1,I6555=0)),"?IN_FOCUS",IF(J6555&lt;=2,"?ACTIVATED",IF(J6555&lt;&gt;"","?FAMILIAR",IF(F6555="NEW",IF(ISNA(VLOOKUP(E6555,#REF!,1,FALSE())),"?TYPE_IDENTIFIABLE","?REFERENTIAL"),"_")))))</f>
        <v> </v>
      </c>
      <c r="H6555" s="25" t="str">
        <f>IF(J6555&lt;&gt;1,"",IF(I6555="SBJ","CB","?"))</f>
        <v> </v>
      </c>
      <c r="I6555" s="26" t="str">
        <f>IF(OR(E6555="",E6555="!!!",F6555="NEW"),"",INDEX(B6554:B$2,-1+SUMPRODUCT(MAX(ROW(E6554:E$2)*(E6555=E6554:E$2)))))</f>
        <v> </v>
      </c>
      <c r="J6555" s="26" t="str">
        <f>IF(OR(E6555="",E6555="!!!",F6555="NEW"),"",COUNTBLANK(OFFSET(A$1,,,SUMPRODUCT(MAX(ROW(E$2:E6555)*(E6555=E$2:E6555)))))-COUNTBLANK(OFFSET(A$1,,,SUMPRODUCT(MAX(ROW(E$1:E6554)*(E2=E$1:E6554))))))</f>
        <v> </v>
      </c>
      <c r="K6555" s="26" t="str">
        <f>IF(OR(E6555="",E6555="!!!",F6555="NEW"),"",INDEX(J$1:J6554,SUMPRODUCT(MAX(ROW(E$1:E6554)*(E6555=E$1:E6554)))))</f>
        <v> </v>
      </c>
      <c r="L6555" s="27"/>
    </row>
    <row r="6556" spans="1:12">
      <c r="A6556" s="20" t="s">
        <v>1135</v>
      </c>
      <c r="B6556" s="21" t="s">
        <v>1036</v>
      </c>
      <c r="C6556" s="21" t="s">
        <v>977</v>
      </c>
      <c r="D6556" s="21" t="s">
        <v>978</v>
      </c>
      <c r="E6556" s="22">
        <f>IF(D6556="?OLD","!!!","")</f>
        <v/>
      </c>
      <c r="F6556" s="23" t="str">
        <f>IF(OR(E6556="",E6556="!!!"),"",IF(NOT(ISNA(VLOOKUP(E6556,E$1:E6555,1,FALSE()))),"OLD",IF(AND(E6556&lt;&gt;"",E6556&lt;&gt;"!!!"),"NEW","")))</f>
        <v> </v>
      </c>
      <c r="G6556" s="24" t="str">
        <f>IF(OR(E6556="",E6556="!!!"),"",IF(OR(J6556=0,AND(J6556=1,K6556=1),AND(J6556=1,I6556="SBJ"),AND(J6556=1,I6556=0)),"?IN_FOCUS",IF(J6556&lt;=2,"?ACTIVATED",IF(J6556&lt;&gt;"","?FAMILIAR",IF(F6556="NEW",IF(ISNA(VLOOKUP(E6556,#REF!,1,FALSE())),"?TYPE_IDENTIFIABLE","?REFERENTIAL"),"_")))))</f>
        <v> </v>
      </c>
      <c r="H6556" s="25" t="str">
        <f>IF(J6556&lt;&gt;1,"",IF(I6556="SBJ","CB","?"))</f>
        <v> </v>
      </c>
      <c r="I6556" s="26" t="str">
        <f>IF(OR(E6556="",E6556="!!!",F6556="NEW"),"",INDEX(B6555:B$2,-1+SUMPRODUCT(MAX(ROW(E6555:E$2)*(E6556=E6555:E$2)))))</f>
        <v> </v>
      </c>
      <c r="J6556" s="26" t="str">
        <f>IF(OR(E6556="",E6556="!!!",F6556="NEW"),"",COUNTBLANK(OFFSET(A$1,,,SUMPRODUCT(MAX(ROW(E$2:E6556)*(E6556=E$2:E6556)))))-COUNTBLANK(OFFSET(A$1,,,SUMPRODUCT(MAX(ROW(E$1:E6555)*(E2=E$1:E6555))))))</f>
        <v> </v>
      </c>
      <c r="K6556" s="26" t="str">
        <f>IF(OR(E6556="",E6556="!!!",F6556="NEW"),"",INDEX(J$1:J6555,SUMPRODUCT(MAX(ROW(E$1:E6555)*(E6556=E$1:E6555)))))</f>
        <v> </v>
      </c>
      <c r="L6556" s="27"/>
    </row>
    <row r="6557" spans="1:12">
      <c r="A6557" s="20" t="s">
        <v>1323</v>
      </c>
      <c r="E6557" s="22">
        <f>IF(D6557="?OLD","!!!","")</f>
        <v/>
      </c>
      <c r="F6557" s="23" t="str">
        <f>IF(OR(E6557="",E6557="!!!"),"",IF(NOT(ISNA(VLOOKUP(E6557,E$1:E6556,1,FALSE()))),"OLD",IF(AND(E6557&lt;&gt;"",E6557&lt;&gt;"!!!"),"NEW","")))</f>
        <v> </v>
      </c>
      <c r="G6557" s="24" t="str">
        <f>IF(OR(E6557="",E6557="!!!"),"",IF(OR(J6557=0,AND(J6557=1,K6557=1),AND(J6557=1,I6557="SBJ"),AND(J6557=1,I6557=0)),"?IN_FOCUS",IF(J6557&lt;=2,"?ACTIVATED",IF(J6557&lt;&gt;"","?FAMILIAR",IF(F6557="NEW",IF(ISNA(VLOOKUP(E6557,#REF!,1,FALSE())),"?TYPE_IDENTIFIABLE","?REFERENTIAL"),"_")))))</f>
        <v> </v>
      </c>
      <c r="H6557" s="25" t="str">
        <f>IF(J6557&lt;&gt;1,"",IF(I6557="SBJ","CB","?"))</f>
        <v> </v>
      </c>
      <c r="I6557" s="26" t="str">
        <f>IF(OR(E6557="",E6557="!!!",F6557="NEW"),"",INDEX(B6556:B$2,-1+SUMPRODUCT(MAX(ROW(E6556:E$2)*(E6557=E6556:E$2)))))</f>
        <v> </v>
      </c>
      <c r="J6557" s="26" t="str">
        <f>IF(OR(E6557="",E6557="!!!",F6557="NEW"),"",COUNTBLANK(OFFSET(A$1,,,SUMPRODUCT(MAX(ROW(E$2:E6557)*(E6557=E$2:E6557)))))-COUNTBLANK(OFFSET(A$1,,,SUMPRODUCT(MAX(ROW(E$1:E6556)*(E2=E$1:E6556))))))</f>
        <v> </v>
      </c>
      <c r="K6557" s="26" t="str">
        <f>IF(OR(E6557="",E6557="!!!",F6557="NEW"),"",INDEX(J$1:J6556,SUMPRODUCT(MAX(ROW(E$1:E6556)*(E6557=E$1:E6556)))))</f>
        <v> </v>
      </c>
      <c r="L6557" s="27"/>
    </row>
    <row r="6558" spans="1:12">
      <c r="A6558" s="20" t="s">
        <v>2583</v>
      </c>
      <c r="E6558" s="22">
        <f>IF(D6558="?OLD","!!!","")</f>
        <v/>
      </c>
      <c r="F6558" s="23" t="str">
        <f>IF(OR(E6558="",E6558="!!!"),"",IF(NOT(ISNA(VLOOKUP(E6558,E$1:E6557,1,FALSE()))),"OLD",IF(AND(E6558&lt;&gt;"",E6558&lt;&gt;"!!!"),"NEW","")))</f>
        <v> </v>
      </c>
      <c r="G6558" s="24" t="str">
        <f>IF(OR(E6558="",E6558="!!!"),"",IF(OR(J6558=0,AND(J6558=1,K6558=1),AND(J6558=1,I6558="SBJ"),AND(J6558=1,I6558=0)),"?IN_FOCUS",IF(J6558&lt;=2,"?ACTIVATED",IF(J6558&lt;&gt;"","?FAMILIAR",IF(F6558="NEW",IF(ISNA(VLOOKUP(E6558,#REF!,1,FALSE())),"?TYPE_IDENTIFIABLE","?REFERENTIAL"),"_")))))</f>
        <v> </v>
      </c>
      <c r="H6558" s="25" t="str">
        <f>IF(J6558&lt;&gt;1,"",IF(I6558="SBJ","CB","?"))</f>
        <v> </v>
      </c>
      <c r="I6558" s="26" t="str">
        <f>IF(OR(E6558="",E6558="!!!",F6558="NEW"),"",INDEX(B6557:B$2,-1+SUMPRODUCT(MAX(ROW(E6557:E$2)*(E6558=E6557:E$2)))))</f>
        <v> </v>
      </c>
      <c r="J6558" s="26" t="str">
        <f>IF(OR(E6558="",E6558="!!!",F6558="NEW"),"",COUNTBLANK(OFFSET(A$1,,,SUMPRODUCT(MAX(ROW(E$2:E6558)*(E6558=E$2:E6558)))))-COUNTBLANK(OFFSET(A$1,,,SUMPRODUCT(MAX(ROW(E$1:E6557)*(E2=E$1:E6557))))))</f>
        <v> </v>
      </c>
      <c r="K6558" s="26" t="str">
        <f>IF(OR(E6558="",E6558="!!!",F6558="NEW"),"",INDEX(J$1:J6557,SUMPRODUCT(MAX(ROW(E$1:E6557)*(E6558=E$1:E6557)))))</f>
        <v> </v>
      </c>
      <c r="L6558" s="27"/>
    </row>
    <row r="6559" spans="1:12">
      <c r="A6559" s="20" t="s">
        <v>1081</v>
      </c>
      <c r="E6559" s="22">
        <f>IF(D6559="?OLD","!!!","")</f>
        <v/>
      </c>
      <c r="F6559" s="23" t="str">
        <f>IF(OR(E6559="",E6559="!!!"),"",IF(NOT(ISNA(VLOOKUP(E6559,E$1:E6558,1,FALSE()))),"OLD",IF(AND(E6559&lt;&gt;"",E6559&lt;&gt;"!!!"),"NEW","")))</f>
        <v> </v>
      </c>
      <c r="G6559" s="24" t="str">
        <f>IF(OR(E6559="",E6559="!!!"),"",IF(OR(J6559=0,AND(J6559=1,K6559=1),AND(J6559=1,I6559="SBJ"),AND(J6559=1,I6559=0)),"?IN_FOCUS",IF(J6559&lt;=2,"?ACTIVATED",IF(J6559&lt;&gt;"","?FAMILIAR",IF(F6559="NEW",IF(ISNA(VLOOKUP(E6559,#REF!,1,FALSE())),"?TYPE_IDENTIFIABLE","?REFERENTIAL"),"_")))))</f>
        <v> </v>
      </c>
      <c r="H6559" s="25" t="str">
        <f>IF(J6559&lt;&gt;1,"",IF(I6559="SBJ","CB","?"))</f>
        <v> </v>
      </c>
      <c r="I6559" s="26" t="str">
        <f>IF(OR(E6559="",E6559="!!!",F6559="NEW"),"",INDEX(B6558:B$2,-1+SUMPRODUCT(MAX(ROW(E6558:E$2)*(E6559=E6558:E$2)))))</f>
        <v> </v>
      </c>
      <c r="J6559" s="26" t="str">
        <f>IF(OR(E6559="",E6559="!!!",F6559="NEW"),"",COUNTBLANK(OFFSET(A$1,,,SUMPRODUCT(MAX(ROW(E$2:E6559)*(E6559=E$2:E6559)))))-COUNTBLANK(OFFSET(A$1,,,SUMPRODUCT(MAX(ROW(E$1:E6558)*(E2=E$1:E6558))))))</f>
        <v> </v>
      </c>
      <c r="K6559" s="26" t="str">
        <f>IF(OR(E6559="",E6559="!!!",F6559="NEW"),"",INDEX(J$1:J6558,SUMPRODUCT(MAX(ROW(E$1:E6558)*(E6559=E$1:E6558)))))</f>
        <v> </v>
      </c>
      <c r="L6559" s="27"/>
    </row>
    <row r="6560" spans="1:12">
      <c r="A6560" s="20" t="s">
        <v>2405</v>
      </c>
      <c r="E6560" s="22">
        <f>IF(D6560="?OLD","!!!","")</f>
        <v/>
      </c>
      <c r="F6560" s="23" t="str">
        <f>IF(OR(E6560="",E6560="!!!"),"",IF(NOT(ISNA(VLOOKUP(E6560,E$1:E6559,1,FALSE()))),"OLD",IF(AND(E6560&lt;&gt;"",E6560&lt;&gt;"!!!"),"NEW","")))</f>
        <v> </v>
      </c>
      <c r="G6560" s="24" t="str">
        <f>IF(OR(E6560="",E6560="!!!"),"",IF(OR(J6560=0,AND(J6560=1,K6560=1),AND(J6560=1,I6560="SBJ"),AND(J6560=1,I6560=0)),"?IN_FOCUS",IF(J6560&lt;=2,"?ACTIVATED",IF(J6560&lt;&gt;"","?FAMILIAR",IF(F6560="NEW",IF(ISNA(VLOOKUP(E6560,#REF!,1,FALSE())),"?TYPE_IDENTIFIABLE","?REFERENTIAL"),"_")))))</f>
        <v> </v>
      </c>
      <c r="H6560" s="25" t="str">
        <f>IF(J6560&lt;&gt;1,"",IF(I6560="SBJ","CB","?"))</f>
        <v> </v>
      </c>
      <c r="I6560" s="26" t="str">
        <f>IF(OR(E6560="",E6560="!!!",F6560="NEW"),"",INDEX(B6559:B$2,-1+SUMPRODUCT(MAX(ROW(E6559:E$2)*(E6560=E6559:E$2)))))</f>
        <v> </v>
      </c>
      <c r="J6560" s="26" t="str">
        <f>IF(OR(E6560="",E6560="!!!",F6560="NEW"),"",COUNTBLANK(OFFSET(A$1,,,SUMPRODUCT(MAX(ROW(E$2:E6560)*(E6560=E$2:E6560)))))-COUNTBLANK(OFFSET(A$1,,,SUMPRODUCT(MAX(ROW(E$1:E6559)*(E2=E$1:E6559))))))</f>
        <v> </v>
      </c>
      <c r="K6560" s="26" t="str">
        <f>IF(OR(E6560="",E6560="!!!",F6560="NEW"),"",INDEX(J$1:J6559,SUMPRODUCT(MAX(ROW(E$1:E6559)*(E6560=E$1:E6559)))))</f>
        <v> </v>
      </c>
      <c r="L6560" s="27"/>
    </row>
    <row r="6561" spans="1:12">
      <c r="A6561" s="20" t="s">
        <v>996</v>
      </c>
      <c r="E6561" s="22">
        <f>IF(D6561="?OLD","!!!","")</f>
        <v/>
      </c>
      <c r="F6561" s="23" t="str">
        <f>IF(OR(E6561="",E6561="!!!"),"",IF(NOT(ISNA(VLOOKUP(E6561,E$1:E6560,1,FALSE()))),"OLD",IF(AND(E6561&lt;&gt;"",E6561&lt;&gt;"!!!"),"NEW","")))</f>
        <v> </v>
      </c>
      <c r="G6561" s="24" t="str">
        <f>IF(OR(E6561="",E6561="!!!"),"",IF(OR(J6561=0,AND(J6561=1,K6561=1),AND(J6561=1,I6561="SBJ"),AND(J6561=1,I6561=0)),"?IN_FOCUS",IF(J6561&lt;=2,"?ACTIVATED",IF(J6561&lt;&gt;"","?FAMILIAR",IF(F6561="NEW",IF(ISNA(VLOOKUP(E6561,#REF!,1,FALSE())),"?TYPE_IDENTIFIABLE","?REFERENTIAL"),"_")))))</f>
        <v> </v>
      </c>
      <c r="H6561" s="25" t="str">
        <f>IF(J6561&lt;&gt;1,"",IF(I6561="SBJ","CB","?"))</f>
        <v> </v>
      </c>
      <c r="I6561" s="26" t="str">
        <f>IF(OR(E6561="",E6561="!!!",F6561="NEW"),"",INDEX(B6560:B$2,-1+SUMPRODUCT(MAX(ROW(E6560:E$2)*(E6561=E6560:E$2)))))</f>
        <v> </v>
      </c>
      <c r="J6561" s="26" t="str">
        <f>IF(OR(E6561="",E6561="!!!",F6561="NEW"),"",COUNTBLANK(OFFSET(A$1,,,SUMPRODUCT(MAX(ROW(E$2:E6561)*(E6561=E$2:E6561)))))-COUNTBLANK(OFFSET(A$1,,,SUMPRODUCT(MAX(ROW(E$1:E6560)*(E2=E$1:E6560))))))</f>
        <v> </v>
      </c>
      <c r="K6561" s="26" t="str">
        <f>IF(OR(E6561="",E6561="!!!",F6561="NEW"),"",INDEX(J$1:J6560,SUMPRODUCT(MAX(ROW(E$1:E6560)*(E6561=E$1:E6560)))))</f>
        <v> </v>
      </c>
      <c r="L6561" s="27"/>
    </row>
    <row r="6562" spans="1:12">
      <c r="A6562" s="20" t="s">
        <v>993</v>
      </c>
      <c r="E6562" s="22">
        <f>IF(D6562="?OLD","!!!","")</f>
        <v/>
      </c>
      <c r="F6562" s="23" t="str">
        <f>IF(OR(E6562="",E6562="!!!"),"",IF(NOT(ISNA(VLOOKUP(E6562,E$1:E6561,1,FALSE()))),"OLD",IF(AND(E6562&lt;&gt;"",E6562&lt;&gt;"!!!"),"NEW","")))</f>
        <v> </v>
      </c>
      <c r="G6562" s="24" t="str">
        <f>IF(OR(E6562="",E6562="!!!"),"",IF(OR(J6562=0,AND(J6562=1,K6562=1),AND(J6562=1,I6562="SBJ"),AND(J6562=1,I6562=0)),"?IN_FOCUS",IF(J6562&lt;=2,"?ACTIVATED",IF(J6562&lt;&gt;"","?FAMILIAR",IF(F6562="NEW",IF(ISNA(VLOOKUP(E6562,#REF!,1,FALSE())),"?TYPE_IDENTIFIABLE","?REFERENTIAL"),"_")))))</f>
        <v> </v>
      </c>
      <c r="H6562" s="25" t="str">
        <f>IF(J6562&lt;&gt;1,"",IF(I6562="SBJ","CB","?"))</f>
        <v> </v>
      </c>
      <c r="I6562" s="26" t="str">
        <f>IF(OR(E6562="",E6562="!!!",F6562="NEW"),"",INDEX(B6561:B$2,-1+SUMPRODUCT(MAX(ROW(E6561:E$2)*(E6562=E6561:E$2)))))</f>
        <v> </v>
      </c>
      <c r="J6562" s="26" t="str">
        <f>IF(OR(E6562="",E6562="!!!",F6562="NEW"),"",COUNTBLANK(OFFSET(A$1,,,SUMPRODUCT(MAX(ROW(E$2:E6562)*(E6562=E$2:E6562)))))-COUNTBLANK(OFFSET(A$1,,,SUMPRODUCT(MAX(ROW(E$1:E6561)*(E2=E$1:E6561))))))</f>
        <v> </v>
      </c>
      <c r="K6562" s="26" t="str">
        <f>IF(OR(E6562="",E6562="!!!",F6562="NEW"),"",INDEX(J$1:J6561,SUMPRODUCT(MAX(ROW(E$1:E6561)*(E6562=E$1:E6561)))))</f>
        <v> </v>
      </c>
      <c r="L6562" s="27"/>
    </row>
    <row r="6563" spans="1:12">
      <c r="A6563" s="20" t="s">
        <v>2584</v>
      </c>
      <c r="B6563" s="21" t="s">
        <v>1084</v>
      </c>
      <c r="C6563" s="21" t="s">
        <v>995</v>
      </c>
      <c r="D6563" s="21" t="s">
        <v>978</v>
      </c>
      <c r="E6563" s="22">
        <f>IF(D6563="?OLD","!!!","")</f>
        <v/>
      </c>
      <c r="F6563" s="23" t="str">
        <f>IF(OR(E6563="",E6563="!!!"),"",IF(NOT(ISNA(VLOOKUP(E6563,E$1:E6562,1,FALSE()))),"OLD",IF(AND(E6563&lt;&gt;"",E6563&lt;&gt;"!!!"),"NEW","")))</f>
        <v> </v>
      </c>
      <c r="G6563" s="24" t="str">
        <f>IF(OR(E6563="",E6563="!!!"),"",IF(OR(J6563=0,AND(J6563=1,K6563=1),AND(J6563=1,I6563="SBJ"),AND(J6563=1,I6563=0)),"?IN_FOCUS",IF(J6563&lt;=2,"?ACTIVATED",IF(J6563&lt;&gt;"","?FAMILIAR",IF(F6563="NEW",IF(ISNA(VLOOKUP(E6563,#REF!,1,FALSE())),"?TYPE_IDENTIFIABLE","?REFERENTIAL"),"_")))))</f>
        <v> </v>
      </c>
      <c r="H6563" s="25" t="str">
        <f>IF(J6563&lt;&gt;1,"",IF(I6563="SBJ","CB","?"))</f>
        <v> </v>
      </c>
      <c r="I6563" s="26" t="str">
        <f>IF(OR(E6563="",E6563="!!!",F6563="NEW"),"",INDEX(B6562:B$2,-1+SUMPRODUCT(MAX(ROW(E6562:E$2)*(E6563=E6562:E$2)))))</f>
        <v> </v>
      </c>
      <c r="J6563" s="26" t="str">
        <f>IF(OR(E6563="",E6563="!!!",F6563="NEW"),"",COUNTBLANK(OFFSET(A$1,,,SUMPRODUCT(MAX(ROW(E$2:E6563)*(E6563=E$2:E6563)))))-COUNTBLANK(OFFSET(A$1,,,SUMPRODUCT(MAX(ROW(E$1:E6562)*(E2=E$1:E6562))))))</f>
        <v> </v>
      </c>
      <c r="K6563" s="26" t="str">
        <f>IF(OR(E6563="",E6563="!!!",F6563="NEW"),"",INDEX(J$1:J6562,SUMPRODUCT(MAX(ROW(E$1:E6562)*(E6563=E$1:E6562)))))</f>
        <v> </v>
      </c>
      <c r="L6563" s="27"/>
    </row>
    <row r="6564" spans="1:12">
      <c r="A6564" s="20" t="s">
        <v>2585</v>
      </c>
      <c r="E6564" s="22">
        <f>IF(D6564="?OLD","!!!","")</f>
        <v/>
      </c>
      <c r="F6564" s="23" t="str">
        <f>IF(OR(E6564="",E6564="!!!"),"",IF(NOT(ISNA(VLOOKUP(E6564,E$1:E6563,1,FALSE()))),"OLD",IF(AND(E6564&lt;&gt;"",E6564&lt;&gt;"!!!"),"NEW","")))</f>
        <v> </v>
      </c>
      <c r="G6564" s="24" t="str">
        <f>IF(OR(E6564="",E6564="!!!"),"",IF(OR(J6564=0,AND(J6564=1,K6564=1),AND(J6564=1,I6564="SBJ"),AND(J6564=1,I6564=0)),"?IN_FOCUS",IF(J6564&lt;=2,"?ACTIVATED",IF(J6564&lt;&gt;"","?FAMILIAR",IF(F6564="NEW",IF(ISNA(VLOOKUP(E6564,#REF!,1,FALSE())),"?TYPE_IDENTIFIABLE","?REFERENTIAL"),"_")))))</f>
        <v> </v>
      </c>
      <c r="H6564" s="25" t="str">
        <f>IF(J6564&lt;&gt;1,"",IF(I6564="SBJ","CB","?"))</f>
        <v> </v>
      </c>
      <c r="I6564" s="26" t="str">
        <f>IF(OR(E6564="",E6564="!!!",F6564="NEW"),"",INDEX(B6563:B$2,-1+SUMPRODUCT(MAX(ROW(E6563:E$2)*(E6564=E6563:E$2)))))</f>
        <v> </v>
      </c>
      <c r="J6564" s="26" t="str">
        <f>IF(OR(E6564="",E6564="!!!",F6564="NEW"),"",COUNTBLANK(OFFSET(A$1,,,SUMPRODUCT(MAX(ROW(E$2:E6564)*(E6564=E$2:E6564)))))-COUNTBLANK(OFFSET(A$1,,,SUMPRODUCT(MAX(ROW(E$1:E6563)*(E2=E$1:E6563))))))</f>
        <v> </v>
      </c>
      <c r="K6564" s="26" t="str">
        <f>IF(OR(E6564="",E6564="!!!",F6564="NEW"),"",INDEX(J$1:J6563,SUMPRODUCT(MAX(ROW(E$1:E6563)*(E6564=E$1:E6563)))))</f>
        <v> </v>
      </c>
      <c r="L6564" s="27"/>
    </row>
    <row r="6565" spans="1:12">
      <c r="A6565" s="20" t="s">
        <v>1081</v>
      </c>
      <c r="E6565" s="22">
        <f>IF(D6565="?OLD","!!!","")</f>
        <v/>
      </c>
      <c r="F6565" s="23" t="str">
        <f>IF(OR(E6565="",E6565="!!!"),"",IF(NOT(ISNA(VLOOKUP(E6565,E$1:E6564,1,FALSE()))),"OLD",IF(AND(E6565&lt;&gt;"",E6565&lt;&gt;"!!!"),"NEW","")))</f>
        <v> </v>
      </c>
      <c r="G6565" s="24" t="str">
        <f>IF(OR(E6565="",E6565="!!!"),"",IF(OR(J6565=0,AND(J6565=1,K6565=1),AND(J6565=1,I6565="SBJ"),AND(J6565=1,I6565=0)),"?IN_FOCUS",IF(J6565&lt;=2,"?ACTIVATED",IF(J6565&lt;&gt;"","?FAMILIAR",IF(F6565="NEW",IF(ISNA(VLOOKUP(E6565,#REF!,1,FALSE())),"?TYPE_IDENTIFIABLE","?REFERENTIAL"),"_")))))</f>
        <v> </v>
      </c>
      <c r="H6565" s="25" t="str">
        <f>IF(J6565&lt;&gt;1,"",IF(I6565="SBJ","CB","?"))</f>
        <v> </v>
      </c>
      <c r="I6565" s="26" t="str">
        <f>IF(OR(E6565="",E6565="!!!",F6565="NEW"),"",INDEX(B6564:B$2,-1+SUMPRODUCT(MAX(ROW(E6564:E$2)*(E6565=E6564:E$2)))))</f>
        <v> </v>
      </c>
      <c r="J6565" s="26" t="str">
        <f>IF(OR(E6565="",E6565="!!!",F6565="NEW"),"",COUNTBLANK(OFFSET(A$1,,,SUMPRODUCT(MAX(ROW(E$2:E6565)*(E6565=E$2:E6565)))))-COUNTBLANK(OFFSET(A$1,,,SUMPRODUCT(MAX(ROW(E$1:E6564)*(E2=E$1:E6564))))))</f>
        <v> </v>
      </c>
      <c r="K6565" s="26" t="str">
        <f>IF(OR(E6565="",E6565="!!!",F6565="NEW"),"",INDEX(J$1:J6564,SUMPRODUCT(MAX(ROW(E$1:E6564)*(E6565=E$1:E6564)))))</f>
        <v> </v>
      </c>
      <c r="L6565" s="27"/>
    </row>
    <row r="6566" spans="1:12">
      <c r="A6566" s="20" t="s">
        <v>1050</v>
      </c>
      <c r="E6566" s="22">
        <f>IF(D6566="?OLD","!!!","")</f>
        <v/>
      </c>
      <c r="F6566" s="23" t="str">
        <f>IF(OR(E6566="",E6566="!!!"),"",IF(NOT(ISNA(VLOOKUP(E6566,E$1:E6565,1,FALSE()))),"OLD",IF(AND(E6566&lt;&gt;"",E6566&lt;&gt;"!!!"),"NEW","")))</f>
        <v> </v>
      </c>
      <c r="G6566" s="24" t="str">
        <f>IF(OR(E6566="",E6566="!!!"),"",IF(OR(J6566=0,AND(J6566=1,K6566=1),AND(J6566=1,I6566="SBJ"),AND(J6566=1,I6566=0)),"?IN_FOCUS",IF(J6566&lt;=2,"?ACTIVATED",IF(J6566&lt;&gt;"","?FAMILIAR",IF(F6566="NEW",IF(ISNA(VLOOKUP(E6566,#REF!,1,FALSE())),"?TYPE_IDENTIFIABLE","?REFERENTIAL"),"_")))))</f>
        <v> </v>
      </c>
      <c r="H6566" s="25" t="str">
        <f>IF(J6566&lt;&gt;1,"",IF(I6566="SBJ","CB","?"))</f>
        <v> </v>
      </c>
      <c r="I6566" s="26" t="str">
        <f>IF(OR(E6566="",E6566="!!!",F6566="NEW"),"",INDEX(B6565:B$2,-1+SUMPRODUCT(MAX(ROW(E6565:E$2)*(E6566=E6565:E$2)))))</f>
        <v> </v>
      </c>
      <c r="J6566" s="26" t="str">
        <f>IF(OR(E6566="",E6566="!!!",F6566="NEW"),"",COUNTBLANK(OFFSET(A$1,,,SUMPRODUCT(MAX(ROW(E$2:E6566)*(E6566=E$2:E6566)))))-COUNTBLANK(OFFSET(A$1,,,SUMPRODUCT(MAX(ROW(E$1:E6565)*(E2=E$1:E6565))))))</f>
        <v> </v>
      </c>
      <c r="K6566" s="26" t="str">
        <f>IF(OR(E6566="",E6566="!!!",F6566="NEW"),"",INDEX(J$1:J6565,SUMPRODUCT(MAX(ROW(E$1:E6565)*(E6566=E$1:E6565)))))</f>
        <v> </v>
      </c>
      <c r="L6566" s="27"/>
    </row>
    <row r="6567" spans="1:12">
      <c r="A6567" s="20" t="s">
        <v>1381</v>
      </c>
      <c r="B6567" s="21" t="s">
        <v>1040</v>
      </c>
      <c r="C6567" s="21" t="s">
        <v>983</v>
      </c>
      <c r="E6567" s="22">
        <f>IF(D6567="?OLD","!!!","")</f>
        <v/>
      </c>
      <c r="F6567" s="23" t="str">
        <f>IF(OR(E6567="",E6567="!!!"),"",IF(NOT(ISNA(VLOOKUP(E6567,E$1:E6566,1,FALSE()))),"OLD",IF(AND(E6567&lt;&gt;"",E6567&lt;&gt;"!!!"),"NEW","")))</f>
        <v> </v>
      </c>
      <c r="G6567" s="24" t="str">
        <f>IF(OR(E6567="",E6567="!!!"),"",IF(OR(J6567=0,AND(J6567=1,K6567=1),AND(J6567=1,I6567="SBJ"),AND(J6567=1,I6567=0)),"?IN_FOCUS",IF(J6567&lt;=2,"?ACTIVATED",IF(J6567&lt;&gt;"","?FAMILIAR",IF(F6567="NEW",IF(ISNA(VLOOKUP(E6567,#REF!,1,FALSE())),"?TYPE_IDENTIFIABLE","?REFERENTIAL"),"_")))))</f>
        <v> </v>
      </c>
      <c r="H6567" s="25" t="str">
        <f>IF(J6567&lt;&gt;1,"",IF(I6567="SBJ","CB","?"))</f>
        <v> </v>
      </c>
      <c r="I6567" s="26" t="str">
        <f>IF(OR(E6567="",E6567="!!!",F6567="NEW"),"",INDEX(B6566:B$2,-1+SUMPRODUCT(MAX(ROW(E6566:E$2)*(E6567=E6566:E$2)))))</f>
        <v> </v>
      </c>
      <c r="J6567" s="26" t="str">
        <f>IF(OR(E6567="",E6567="!!!",F6567="NEW"),"",COUNTBLANK(OFFSET(A$1,,,SUMPRODUCT(MAX(ROW(E$2:E6567)*(E6567=E$2:E6567)))))-COUNTBLANK(OFFSET(A$1,,,SUMPRODUCT(MAX(ROW(E$1:E6566)*(E2=E$1:E6566))))))</f>
        <v> </v>
      </c>
      <c r="K6567" s="26" t="str">
        <f>IF(OR(E6567="",E6567="!!!",F6567="NEW"),"",INDEX(J$1:J6566,SUMPRODUCT(MAX(ROW(E$1:E6566)*(E6567=E$1:E6566)))))</f>
        <v> </v>
      </c>
      <c r="L6567" s="27"/>
    </row>
    <row r="6568" spans="1:12">
      <c r="A6568" s="20" t="s">
        <v>1183</v>
      </c>
      <c r="E6568" s="22">
        <f>IF(D6568="?OLD","!!!","")</f>
        <v/>
      </c>
      <c r="F6568" s="23" t="str">
        <f>IF(OR(E6568="",E6568="!!!"),"",IF(NOT(ISNA(VLOOKUP(E6568,E$1:E6567,1,FALSE()))),"OLD",IF(AND(E6568&lt;&gt;"",E6568&lt;&gt;"!!!"),"NEW","")))</f>
        <v> </v>
      </c>
      <c r="G6568" s="24" t="str">
        <f>IF(OR(E6568="",E6568="!!!"),"",IF(OR(J6568=0,AND(J6568=1,K6568=1),AND(J6568=1,I6568="SBJ"),AND(J6568=1,I6568=0)),"?IN_FOCUS",IF(J6568&lt;=2,"?ACTIVATED",IF(J6568&lt;&gt;"","?FAMILIAR",IF(F6568="NEW",IF(ISNA(VLOOKUP(E6568,#REF!,1,FALSE())),"?TYPE_IDENTIFIABLE","?REFERENTIAL"),"_")))))</f>
        <v> </v>
      </c>
      <c r="H6568" s="25" t="str">
        <f>IF(J6568&lt;&gt;1,"",IF(I6568="SBJ","CB","?"))</f>
        <v> </v>
      </c>
      <c r="I6568" s="26" t="str">
        <f>IF(OR(E6568="",E6568="!!!",F6568="NEW"),"",INDEX(B6567:B$2,-1+SUMPRODUCT(MAX(ROW(E6567:E$2)*(E6568=E6567:E$2)))))</f>
        <v> </v>
      </c>
      <c r="J6568" s="26" t="str">
        <f>IF(OR(E6568="",E6568="!!!",F6568="NEW"),"",COUNTBLANK(OFFSET(A$1,,,SUMPRODUCT(MAX(ROW(E$2:E6568)*(E6568=E$2:E6568)))))-COUNTBLANK(OFFSET(A$1,,,SUMPRODUCT(MAX(ROW(E$1:E6567)*(E2=E$1:E6567))))))</f>
        <v> </v>
      </c>
      <c r="K6568" s="26" t="str">
        <f>IF(OR(E6568="",E6568="!!!",F6568="NEW"),"",INDEX(J$1:J6567,SUMPRODUCT(MAX(ROW(E$1:E6567)*(E6568=E$1:E6567)))))</f>
        <v> </v>
      </c>
      <c r="L6568" s="27"/>
    </row>
    <row r="6569" spans="1:12">
      <c r="A6569" s="20" t="s">
        <v>2581</v>
      </c>
      <c r="E6569" s="22">
        <f>IF(D6569="?OLD","!!!","")</f>
        <v/>
      </c>
      <c r="F6569" s="23" t="str">
        <f>IF(OR(E6569="",E6569="!!!"),"",IF(NOT(ISNA(VLOOKUP(E6569,E$1:E6568,1,FALSE()))),"OLD",IF(AND(E6569&lt;&gt;"",E6569&lt;&gt;"!!!"),"NEW","")))</f>
        <v> </v>
      </c>
      <c r="G6569" s="24" t="str">
        <f>IF(OR(E6569="",E6569="!!!"),"",IF(OR(J6569=0,AND(J6569=1,K6569=1),AND(J6569=1,I6569="SBJ"),AND(J6569=1,I6569=0)),"?IN_FOCUS",IF(J6569&lt;=2,"?ACTIVATED",IF(J6569&lt;&gt;"","?FAMILIAR",IF(F6569="NEW",IF(ISNA(VLOOKUP(E6569,#REF!,1,FALSE())),"?TYPE_IDENTIFIABLE","?REFERENTIAL"),"_")))))</f>
        <v> </v>
      </c>
      <c r="H6569" s="25" t="str">
        <f>IF(J6569&lt;&gt;1,"",IF(I6569="SBJ","CB","?"))</f>
        <v> </v>
      </c>
      <c r="I6569" s="26" t="str">
        <f>IF(OR(E6569="",E6569="!!!",F6569="NEW"),"",INDEX(B6568:B$2,-1+SUMPRODUCT(MAX(ROW(E6568:E$2)*(E6569=E6568:E$2)))))</f>
        <v> </v>
      </c>
      <c r="J6569" s="26" t="str">
        <f>IF(OR(E6569="",E6569="!!!",F6569="NEW"),"",COUNTBLANK(OFFSET(A$1,,,SUMPRODUCT(MAX(ROW(E$2:E6569)*(E6569=E$2:E6569)))))-COUNTBLANK(OFFSET(A$1,,,SUMPRODUCT(MAX(ROW(E$1:E6568)*(E2=E$1:E6568))))))</f>
        <v> </v>
      </c>
      <c r="K6569" s="26" t="str">
        <f>IF(OR(E6569="",E6569="!!!",F6569="NEW"),"",INDEX(J$1:J6568,SUMPRODUCT(MAX(ROW(E$1:E6568)*(E6569=E$1:E6568)))))</f>
        <v> </v>
      </c>
      <c r="L6569" s="27"/>
    </row>
    <row r="6570" spans="1:12">
      <c r="A6570" s="20" t="s">
        <v>1000</v>
      </c>
      <c r="E6570" s="22">
        <f>IF(D6570="?OLD","!!!","")</f>
        <v/>
      </c>
      <c r="F6570" s="23" t="str">
        <f>IF(OR(E6570="",E6570="!!!"),"",IF(NOT(ISNA(VLOOKUP(E6570,E$1:E6569,1,FALSE()))),"OLD",IF(AND(E6570&lt;&gt;"",E6570&lt;&gt;"!!!"),"NEW","")))</f>
        <v> </v>
      </c>
      <c r="G6570" s="24" t="str">
        <f>IF(OR(E6570="",E6570="!!!"),"",IF(OR(J6570=0,AND(J6570=1,K6570=1),AND(J6570=1,I6570="SBJ"),AND(J6570=1,I6570=0)),"?IN_FOCUS",IF(J6570&lt;=2,"?ACTIVATED",IF(J6570&lt;&gt;"","?FAMILIAR",IF(F6570="NEW",IF(ISNA(VLOOKUP(E6570,#REF!,1,FALSE())),"?TYPE_IDENTIFIABLE","?REFERENTIAL"),"_")))))</f>
        <v> </v>
      </c>
      <c r="H6570" s="25" t="str">
        <f>IF(J6570&lt;&gt;1,"",IF(I6570="SBJ","CB","?"))</f>
        <v> </v>
      </c>
      <c r="I6570" s="26" t="str">
        <f>IF(OR(E6570="",E6570="!!!",F6570="NEW"),"",INDEX(B6569:B$2,-1+SUMPRODUCT(MAX(ROW(E6569:E$2)*(E6570=E6569:E$2)))))</f>
        <v> </v>
      </c>
      <c r="J6570" s="26" t="str">
        <f>IF(OR(E6570="",E6570="!!!",F6570="NEW"),"",COUNTBLANK(OFFSET(A$1,,,SUMPRODUCT(MAX(ROW(E$2:E6570)*(E6570=E$2:E6570)))))-COUNTBLANK(OFFSET(A$1,,,SUMPRODUCT(MAX(ROW(E$1:E6569)*(E2=E$1:E6569))))))</f>
        <v> </v>
      </c>
      <c r="K6570" s="26" t="str">
        <f>IF(OR(E6570="",E6570="!!!",F6570="NEW"),"",INDEX(J$1:J6569,SUMPRODUCT(MAX(ROW(E$1:E6569)*(E6570=E$1:E6569)))))</f>
        <v> </v>
      </c>
      <c r="L6570" s="27"/>
    </row>
    <row r="6571" spans="1:12">
      <c r="A6571" s="20" t="s">
        <v>1183</v>
      </c>
      <c r="E6571" s="22">
        <f>IF(D6571="?OLD","!!!","")</f>
        <v/>
      </c>
      <c r="F6571" s="23" t="str">
        <f>IF(OR(E6571="",E6571="!!!"),"",IF(NOT(ISNA(VLOOKUP(E6571,E$1:E6570,1,FALSE()))),"OLD",IF(AND(E6571&lt;&gt;"",E6571&lt;&gt;"!!!"),"NEW","")))</f>
        <v> </v>
      </c>
      <c r="G6571" s="24" t="str">
        <f>IF(OR(E6571="",E6571="!!!"),"",IF(OR(J6571=0,AND(J6571=1,K6571=1),AND(J6571=1,I6571="SBJ"),AND(J6571=1,I6571=0)),"?IN_FOCUS",IF(J6571&lt;=2,"?ACTIVATED",IF(J6571&lt;&gt;"","?FAMILIAR",IF(F6571="NEW",IF(ISNA(VLOOKUP(E6571,#REF!,1,FALSE())),"?TYPE_IDENTIFIABLE","?REFERENTIAL"),"_")))))</f>
        <v> </v>
      </c>
      <c r="H6571" s="25" t="str">
        <f>IF(J6571&lt;&gt;1,"",IF(I6571="SBJ","CB","?"))</f>
        <v> </v>
      </c>
      <c r="I6571" s="26" t="str">
        <f>IF(OR(E6571="",E6571="!!!",F6571="NEW"),"",INDEX(B6570:B$2,-1+SUMPRODUCT(MAX(ROW(E6570:E$2)*(E6571=E6570:E$2)))))</f>
        <v> </v>
      </c>
      <c r="J6571" s="26" t="str">
        <f>IF(OR(E6571="",E6571="!!!",F6571="NEW"),"",COUNTBLANK(OFFSET(A$1,,,SUMPRODUCT(MAX(ROW(E$2:E6571)*(E6571=E$2:E6571)))))-COUNTBLANK(OFFSET(A$1,,,SUMPRODUCT(MAX(ROW(E$1:E6570)*(E2=E$1:E6570))))))</f>
        <v> </v>
      </c>
      <c r="K6571" s="26" t="str">
        <f>IF(OR(E6571="",E6571="!!!",F6571="NEW"),"",INDEX(J$1:J6570,SUMPRODUCT(MAX(ROW(E$1:E6570)*(E6571=E$1:E6570)))))</f>
        <v> </v>
      </c>
      <c r="L6571" s="27"/>
    </row>
    <row r="6572" spans="1:12">
      <c r="A6572" s="20" t="s">
        <v>2586</v>
      </c>
      <c r="E6572" s="22">
        <f>IF(D6572="?OLD","!!!","")</f>
        <v/>
      </c>
      <c r="F6572" s="23" t="str">
        <f>IF(OR(E6572="",E6572="!!!"),"",IF(NOT(ISNA(VLOOKUP(E6572,E$1:E6571,1,FALSE()))),"OLD",IF(AND(E6572&lt;&gt;"",E6572&lt;&gt;"!!!"),"NEW","")))</f>
        <v> </v>
      </c>
      <c r="G6572" s="24" t="str">
        <f>IF(OR(E6572="",E6572="!!!"),"",IF(OR(J6572=0,AND(J6572=1,K6572=1),AND(J6572=1,I6572="SBJ"),AND(J6572=1,I6572=0)),"?IN_FOCUS",IF(J6572&lt;=2,"?ACTIVATED",IF(J6572&lt;&gt;"","?FAMILIAR",IF(F6572="NEW",IF(ISNA(VLOOKUP(E6572,#REF!,1,FALSE())),"?TYPE_IDENTIFIABLE","?REFERENTIAL"),"_")))))</f>
        <v> </v>
      </c>
      <c r="H6572" s="25" t="str">
        <f>IF(J6572&lt;&gt;1,"",IF(I6572="SBJ","CB","?"))</f>
        <v> </v>
      </c>
      <c r="I6572" s="26" t="str">
        <f>IF(OR(E6572="",E6572="!!!",F6572="NEW"),"",INDEX(B6571:B$2,-1+SUMPRODUCT(MAX(ROW(E6571:E$2)*(E6572=E6571:E$2)))))</f>
        <v> </v>
      </c>
      <c r="J6572" s="26" t="str">
        <f>IF(OR(E6572="",E6572="!!!",F6572="NEW"),"",COUNTBLANK(OFFSET(A$1,,,SUMPRODUCT(MAX(ROW(E$2:E6572)*(E6572=E$2:E6572)))))-COUNTBLANK(OFFSET(A$1,,,SUMPRODUCT(MAX(ROW(E$1:E6571)*(E2=E$1:E6571))))))</f>
        <v> </v>
      </c>
      <c r="K6572" s="26" t="str">
        <f>IF(OR(E6572="",E6572="!!!",F6572="NEW"),"",INDEX(J$1:J6571,SUMPRODUCT(MAX(ROW(E$1:E6571)*(E6572=E$1:E6571)))))</f>
        <v> </v>
      </c>
      <c r="L6572" s="27"/>
    </row>
    <row r="6573" spans="1:12">
      <c r="A6573" s="20" t="s">
        <v>1022</v>
      </c>
      <c r="E6573" s="22">
        <f>IF(D6573="?OLD","!!!","")</f>
        <v/>
      </c>
      <c r="F6573" s="23" t="str">
        <f>IF(OR(E6573="",E6573="!!!"),"",IF(NOT(ISNA(VLOOKUP(E6573,E$1:E6572,1,FALSE()))),"OLD",IF(AND(E6573&lt;&gt;"",E6573&lt;&gt;"!!!"),"NEW","")))</f>
        <v> </v>
      </c>
      <c r="G6573" s="24" t="str">
        <f>IF(OR(E6573="",E6573="!!!"),"",IF(OR(J6573=0,AND(J6573=1,K6573=1),AND(J6573=1,I6573="SBJ"),AND(J6573=1,I6573=0)),"?IN_FOCUS",IF(J6573&lt;=2,"?ACTIVATED",IF(J6573&lt;&gt;"","?FAMILIAR",IF(F6573="NEW",IF(ISNA(VLOOKUP(E6573,#REF!,1,FALSE())),"?TYPE_IDENTIFIABLE","?REFERENTIAL"),"_")))))</f>
        <v> </v>
      </c>
      <c r="H6573" s="25" t="str">
        <f>IF(J6573&lt;&gt;1,"",IF(I6573="SBJ","CB","?"))</f>
        <v> </v>
      </c>
      <c r="I6573" s="26" t="str">
        <f>IF(OR(E6573="",E6573="!!!",F6573="NEW"),"",INDEX(B6572:B$2,-1+SUMPRODUCT(MAX(ROW(E6572:E$2)*(E6573=E6572:E$2)))))</f>
        <v> </v>
      </c>
      <c r="J6573" s="26" t="str">
        <f>IF(OR(E6573="",E6573="!!!",F6573="NEW"),"",COUNTBLANK(OFFSET(A$1,,,SUMPRODUCT(MAX(ROW(E$2:E6573)*(E6573=E$2:E6573)))))-COUNTBLANK(OFFSET(A$1,,,SUMPRODUCT(MAX(ROW(E$1:E6572)*(E2=E$1:E6572))))))</f>
        <v> </v>
      </c>
      <c r="K6573" s="26" t="str">
        <f>IF(OR(E6573="",E6573="!!!",F6573="NEW"),"",INDEX(J$1:J6572,SUMPRODUCT(MAX(ROW(E$1:E6572)*(E6573=E$1:E6572)))))</f>
        <v> </v>
      </c>
      <c r="L6573" s="27"/>
    </row>
    <row r="6574" spans="1:12">
      <c r="A6574" s="20"/>
    </row>
    <row r="6575" spans="1:12">
      <c r="A6575" s="20" t="s">
        <v>2587</v>
      </c>
    </row>
    <row r="6576" spans="1:12">
      <c r="A6576" s="20" t="s">
        <v>1915</v>
      </c>
      <c r="E6576" s="22">
        <f>IF(D6576="?OLD","!!!","")</f>
        <v/>
      </c>
      <c r="F6576" s="23" t="str">
        <f>IF(OR(E6576="",E6576="!!!"),"",IF(NOT(ISNA(VLOOKUP(E6576,E$1:E6575,1,FALSE()))),"OLD",IF(AND(E6576&lt;&gt;"",E6576&lt;&gt;"!!!"),"NEW","")))</f>
        <v> </v>
      </c>
      <c r="G6576" s="24" t="str">
        <f>IF(OR(E6576="",E6576="!!!"),"",IF(OR(J6576=0,AND(J6576=1,K6576=1),AND(J6576=1,I6576="SBJ"),AND(J6576=1,I6576=0)),"?IN_FOCUS",IF(J6576&lt;=2,"?ACTIVATED",IF(J6576&lt;&gt;"","?FAMILIAR",IF(F6576="NEW",IF(ISNA(VLOOKUP(E6576,#REF!,1,FALSE())),"?TYPE_IDENTIFIABLE","?REFERENTIAL"),"_")))))</f>
        <v> </v>
      </c>
      <c r="H6576" s="25" t="str">
        <f>IF(J6576&lt;&gt;1,"",IF(I6576="SBJ","CB","?"))</f>
        <v> </v>
      </c>
      <c r="I6576" s="26" t="str">
        <f>IF(OR(E6576="",E6576="!!!",F6576="NEW"),"",INDEX(B6575:B$2,-1+SUMPRODUCT(MAX(ROW(E6575:E$2)*(E6576=E6575:E$2)))))</f>
        <v> </v>
      </c>
      <c r="J6576" s="26" t="str">
        <f>IF(OR(E6576="",E6576="!!!",F6576="NEW"),"",COUNTBLANK(OFFSET(A$1,,,SUMPRODUCT(MAX(ROW(E$2:E6576)*(E6576=E$2:E6576)))))-COUNTBLANK(OFFSET(A$1,,,SUMPRODUCT(MAX(ROW(E$1:E6575)*(E2=E$1:E6575))))))</f>
        <v> </v>
      </c>
      <c r="K6576" s="26" t="str">
        <f>IF(OR(E6576="",E6576="!!!",F6576="NEW"),"",INDEX(J$1:J6575,SUMPRODUCT(MAX(ROW(E$1:E6575)*(E6576=E$1:E6575)))))</f>
        <v> </v>
      </c>
      <c r="L6576" s="27"/>
    </row>
    <row r="6577" spans="1:12">
      <c r="A6577" s="20" t="s">
        <v>1074</v>
      </c>
      <c r="E6577" s="22">
        <f>IF(D6577="?OLD","!!!","")</f>
        <v/>
      </c>
      <c r="F6577" s="23" t="str">
        <f>IF(OR(E6577="",E6577="!!!"),"",IF(NOT(ISNA(VLOOKUP(E6577,E$1:E6576,1,FALSE()))),"OLD",IF(AND(E6577&lt;&gt;"",E6577&lt;&gt;"!!!"),"NEW","")))</f>
        <v> </v>
      </c>
      <c r="G6577" s="24" t="str">
        <f>IF(OR(E6577="",E6577="!!!"),"",IF(OR(J6577=0,AND(J6577=1,K6577=1),AND(J6577=1,I6577="SBJ"),AND(J6577=1,I6577=0)),"?IN_FOCUS",IF(J6577&lt;=2,"?ACTIVATED",IF(J6577&lt;&gt;"","?FAMILIAR",IF(F6577="NEW",IF(ISNA(VLOOKUP(E6577,#REF!,1,FALSE())),"?TYPE_IDENTIFIABLE","?REFERENTIAL"),"_")))))</f>
        <v> </v>
      </c>
      <c r="H6577" s="25" t="str">
        <f>IF(J6577&lt;&gt;1,"",IF(I6577="SBJ","CB","?"))</f>
        <v> </v>
      </c>
      <c r="I6577" s="26" t="str">
        <f>IF(OR(E6577="",E6577="!!!",F6577="NEW"),"",INDEX(B6576:B$2,-1+SUMPRODUCT(MAX(ROW(E6576:E$2)*(E6577=E6576:E$2)))))</f>
        <v> </v>
      </c>
      <c r="J6577" s="26" t="str">
        <f>IF(OR(E6577="",E6577="!!!",F6577="NEW"),"",COUNTBLANK(OFFSET(A$1,,,SUMPRODUCT(MAX(ROW(E$2:E6577)*(E6577=E$2:E6577)))))-COUNTBLANK(OFFSET(A$1,,,SUMPRODUCT(MAX(ROW(E$1:E6576)*(E2=E$1:E6576))))))</f>
        <v> </v>
      </c>
      <c r="K6577" s="26" t="str">
        <f>IF(OR(E6577="",E6577="!!!",F6577="NEW"),"",INDEX(J$1:J6576,SUMPRODUCT(MAX(ROW(E$1:E6576)*(E6577=E$1:E6576)))))</f>
        <v> </v>
      </c>
      <c r="L6577" s="27"/>
    </row>
    <row r="6578" spans="1:12">
      <c r="A6578" s="20" t="s">
        <v>2588</v>
      </c>
      <c r="B6578" s="21" t="s">
        <v>989</v>
      </c>
      <c r="C6578" s="21" t="s">
        <v>995</v>
      </c>
      <c r="D6578" s="21" t="s">
        <v>978</v>
      </c>
      <c r="E6578" s="22">
        <f>IF(D6578="?OLD","!!!","")</f>
        <v/>
      </c>
      <c r="F6578" s="23" t="str">
        <f>IF(OR(E6578="",E6578="!!!"),"",IF(NOT(ISNA(VLOOKUP(E6578,E$1:E6577,1,FALSE()))),"OLD",IF(AND(E6578&lt;&gt;"",E6578&lt;&gt;"!!!"),"NEW","")))</f>
        <v> </v>
      </c>
      <c r="G6578" s="24" t="str">
        <f>IF(OR(E6578="",E6578="!!!"),"",IF(OR(J6578=0,AND(J6578=1,K6578=1),AND(J6578=1,I6578="SBJ"),AND(J6578=1,I6578=0)),"?IN_FOCUS",IF(J6578&lt;=2,"?ACTIVATED",IF(J6578&lt;&gt;"","?FAMILIAR",IF(F6578="NEW",IF(ISNA(VLOOKUP(E6578,#REF!,1,FALSE())),"?TYPE_IDENTIFIABLE","?REFERENTIAL"),"_")))))</f>
        <v> </v>
      </c>
      <c r="H6578" s="25" t="str">
        <f>IF(J6578&lt;&gt;1,"",IF(I6578="SBJ","CB","?"))</f>
        <v> </v>
      </c>
      <c r="I6578" s="26" t="str">
        <f>IF(OR(E6578="",E6578="!!!",F6578="NEW"),"",INDEX(B6577:B$2,-1+SUMPRODUCT(MAX(ROW(E6577:E$2)*(E6578=E6577:E$2)))))</f>
        <v> </v>
      </c>
      <c r="J6578" s="26" t="str">
        <f>IF(OR(E6578="",E6578="!!!",F6578="NEW"),"",COUNTBLANK(OFFSET(A$1,,,SUMPRODUCT(MAX(ROW(E$2:E6578)*(E6578=E$2:E6578)))))-COUNTBLANK(OFFSET(A$1,,,SUMPRODUCT(MAX(ROW(E$1:E6577)*(E2=E$1:E6577))))))</f>
        <v> </v>
      </c>
      <c r="K6578" s="26" t="str">
        <f>IF(OR(E6578="",E6578="!!!",F6578="NEW"),"",INDEX(J$1:J6577,SUMPRODUCT(MAX(ROW(E$1:E6577)*(E6578=E$1:E6577)))))</f>
        <v> </v>
      </c>
      <c r="L6578" s="27"/>
    </row>
    <row r="6579" spans="1:12">
      <c r="A6579" s="20" t="s">
        <v>996</v>
      </c>
      <c r="E6579" s="22">
        <f>IF(D6579="?OLD","!!!","")</f>
        <v/>
      </c>
      <c r="F6579" s="23" t="str">
        <f>IF(OR(E6579="",E6579="!!!"),"",IF(NOT(ISNA(VLOOKUP(E6579,E$1:E6578,1,FALSE()))),"OLD",IF(AND(E6579&lt;&gt;"",E6579&lt;&gt;"!!!"),"NEW","")))</f>
        <v> </v>
      </c>
      <c r="G6579" s="24" t="str">
        <f>IF(OR(E6579="",E6579="!!!"),"",IF(OR(J6579=0,AND(J6579=1,K6579=1),AND(J6579=1,I6579="SBJ"),AND(J6579=1,I6579=0)),"?IN_FOCUS",IF(J6579&lt;=2,"?ACTIVATED",IF(J6579&lt;&gt;"","?FAMILIAR",IF(F6579="NEW",IF(ISNA(VLOOKUP(E6579,#REF!,1,FALSE())),"?TYPE_IDENTIFIABLE","?REFERENTIAL"),"_")))))</f>
        <v> </v>
      </c>
      <c r="H6579" s="25" t="str">
        <f>IF(J6579&lt;&gt;1,"",IF(I6579="SBJ","CB","?"))</f>
        <v> </v>
      </c>
      <c r="I6579" s="26" t="str">
        <f>IF(OR(E6579="",E6579="!!!",F6579="NEW"),"",INDEX(B6578:B$2,-1+SUMPRODUCT(MAX(ROW(E6578:E$2)*(E6579=E6578:E$2)))))</f>
        <v> </v>
      </c>
      <c r="J6579" s="26" t="str">
        <f>IF(OR(E6579="",E6579="!!!",F6579="NEW"),"",COUNTBLANK(OFFSET(A$1,,,SUMPRODUCT(MAX(ROW(E$2:E6579)*(E6579=E$2:E6579)))))-COUNTBLANK(OFFSET(A$1,,,SUMPRODUCT(MAX(ROW(E$1:E6578)*(E2=E$1:E6578))))))</f>
        <v> </v>
      </c>
      <c r="K6579" s="26" t="str">
        <f>IF(OR(E6579="",E6579="!!!",F6579="NEW"),"",INDEX(J$1:J6578,SUMPRODUCT(MAX(ROW(E$1:E6578)*(E6579=E$1:E6578)))))</f>
        <v> </v>
      </c>
      <c r="L6579" s="27"/>
    </row>
    <row r="6580" spans="1:12">
      <c r="A6580" s="20" t="s">
        <v>1092</v>
      </c>
      <c r="E6580" s="22">
        <f>IF(D6580="?OLD","!!!","")</f>
        <v/>
      </c>
      <c r="F6580" s="23" t="str">
        <f>IF(OR(E6580="",E6580="!!!"),"",IF(NOT(ISNA(VLOOKUP(E6580,E$1:E6579,1,FALSE()))),"OLD",IF(AND(E6580&lt;&gt;"",E6580&lt;&gt;"!!!"),"NEW","")))</f>
        <v> </v>
      </c>
      <c r="G6580" s="24" t="str">
        <f>IF(OR(E6580="",E6580="!!!"),"",IF(OR(J6580=0,AND(J6580=1,K6580=1),AND(J6580=1,I6580="SBJ"),AND(J6580=1,I6580=0)),"?IN_FOCUS",IF(J6580&lt;=2,"?ACTIVATED",IF(J6580&lt;&gt;"","?FAMILIAR",IF(F6580="NEW",IF(ISNA(VLOOKUP(E6580,#REF!,1,FALSE())),"?TYPE_IDENTIFIABLE","?REFERENTIAL"),"_")))))</f>
        <v> </v>
      </c>
      <c r="H6580" s="25" t="str">
        <f>IF(J6580&lt;&gt;1,"",IF(I6580="SBJ","CB","?"))</f>
        <v> </v>
      </c>
      <c r="I6580" s="26" t="str">
        <f>IF(OR(E6580="",E6580="!!!",F6580="NEW"),"",INDEX(B6579:B$2,-1+SUMPRODUCT(MAX(ROW(E6579:E$2)*(E6580=E6579:E$2)))))</f>
        <v> </v>
      </c>
      <c r="J6580" s="26" t="str">
        <f>IF(OR(E6580="",E6580="!!!",F6580="NEW"),"",COUNTBLANK(OFFSET(A$1,,,SUMPRODUCT(MAX(ROW(E$2:E6580)*(E6580=E$2:E6580)))))-COUNTBLANK(OFFSET(A$1,,,SUMPRODUCT(MAX(ROW(E$1:E6579)*(E2=E$1:E6579))))))</f>
        <v> </v>
      </c>
      <c r="K6580" s="26" t="str">
        <f>IF(OR(E6580="",E6580="!!!",F6580="NEW"),"",INDEX(J$1:J6579,SUMPRODUCT(MAX(ROW(E$1:E6579)*(E6580=E$1:E6579)))))</f>
        <v> </v>
      </c>
      <c r="L6580" s="27"/>
    </row>
    <row r="6581" spans="1:12">
      <c r="A6581" s="20" t="s">
        <v>1111</v>
      </c>
      <c r="B6581" s="21" t="s">
        <v>986</v>
      </c>
      <c r="C6581" s="21" t="s">
        <v>995</v>
      </c>
      <c r="D6581" s="21" t="s">
        <v>978</v>
      </c>
      <c r="E6581" s="22">
        <f>IF(D6581="?OLD","!!!","")</f>
        <v/>
      </c>
      <c r="F6581" s="23" t="str">
        <f>IF(OR(E6581="",E6581="!!!"),"",IF(NOT(ISNA(VLOOKUP(E6581,E$1:E6580,1,FALSE()))),"OLD",IF(AND(E6581&lt;&gt;"",E6581&lt;&gt;"!!!"),"NEW","")))</f>
        <v> </v>
      </c>
      <c r="G6581" s="24" t="str">
        <f>IF(OR(E6581="",E6581="!!!"),"",IF(OR(J6581=0,AND(J6581=1,K6581=1),AND(J6581=1,I6581="SBJ"),AND(J6581=1,I6581=0)),"?IN_FOCUS",IF(J6581&lt;=2,"?ACTIVATED",IF(J6581&lt;&gt;"","?FAMILIAR",IF(F6581="NEW",IF(ISNA(VLOOKUP(E6581,#REF!,1,FALSE())),"?TYPE_IDENTIFIABLE","?REFERENTIAL"),"_")))))</f>
        <v> </v>
      </c>
      <c r="H6581" s="25" t="str">
        <f>IF(J6581&lt;&gt;1,"",IF(I6581="SBJ","CB","?"))</f>
        <v> </v>
      </c>
      <c r="I6581" s="26" t="str">
        <f>IF(OR(E6581="",E6581="!!!",F6581="NEW"),"",INDEX(B6580:B$2,-1+SUMPRODUCT(MAX(ROW(E6580:E$2)*(E6581=E6580:E$2)))))</f>
        <v> </v>
      </c>
      <c r="J6581" s="26" t="str">
        <f>IF(OR(E6581="",E6581="!!!",F6581="NEW"),"",COUNTBLANK(OFFSET(A$1,,,SUMPRODUCT(MAX(ROW(E$2:E6581)*(E6581=E$2:E6581)))))-COUNTBLANK(OFFSET(A$1,,,SUMPRODUCT(MAX(ROW(E$1:E6580)*(E2=E$1:E6580))))))</f>
        <v> </v>
      </c>
      <c r="K6581" s="26" t="str">
        <f>IF(OR(E6581="",E6581="!!!",F6581="NEW"),"",INDEX(J$1:J6580,SUMPRODUCT(MAX(ROW(E$1:E6580)*(E6581=E$1:E6580)))))</f>
        <v> </v>
      </c>
      <c r="L6581" s="27"/>
    </row>
    <row r="6582" spans="1:12">
      <c r="A6582" s="20" t="s">
        <v>1002</v>
      </c>
      <c r="E6582" s="22">
        <f>IF(D6582="?OLD","!!!","")</f>
        <v/>
      </c>
      <c r="F6582" s="23" t="str">
        <f>IF(OR(E6582="",E6582="!!!"),"",IF(NOT(ISNA(VLOOKUP(E6582,E$1:E6581,1,FALSE()))),"OLD",IF(AND(E6582&lt;&gt;"",E6582&lt;&gt;"!!!"),"NEW","")))</f>
        <v> </v>
      </c>
      <c r="G6582" s="24" t="str">
        <f>IF(OR(E6582="",E6582="!!!"),"",IF(OR(J6582=0,AND(J6582=1,K6582=1),AND(J6582=1,I6582="SBJ"),AND(J6582=1,I6582=0)),"?IN_FOCUS",IF(J6582&lt;=2,"?ACTIVATED",IF(J6582&lt;&gt;"","?FAMILIAR",IF(F6582="NEW",IF(ISNA(VLOOKUP(E6582,#REF!,1,FALSE())),"?TYPE_IDENTIFIABLE","?REFERENTIAL"),"_")))))</f>
        <v> </v>
      </c>
      <c r="H6582" s="25" t="str">
        <f>IF(J6582&lt;&gt;1,"",IF(I6582="SBJ","CB","?"))</f>
        <v> </v>
      </c>
      <c r="I6582" s="26" t="str">
        <f>IF(OR(E6582="",E6582="!!!",F6582="NEW"),"",INDEX(B6581:B$2,-1+SUMPRODUCT(MAX(ROW(E6581:E$2)*(E6582=E6581:E$2)))))</f>
        <v> </v>
      </c>
      <c r="J6582" s="26" t="str">
        <f>IF(OR(E6582="",E6582="!!!",F6582="NEW"),"",COUNTBLANK(OFFSET(A$1,,,SUMPRODUCT(MAX(ROW(E$2:E6582)*(E6582=E$2:E6582)))))-COUNTBLANK(OFFSET(A$1,,,SUMPRODUCT(MAX(ROW(E$1:E6581)*(E2=E$1:E6581))))))</f>
        <v> </v>
      </c>
      <c r="K6582" s="26" t="str">
        <f>IF(OR(E6582="",E6582="!!!",F6582="NEW"),"",INDEX(J$1:J6581,SUMPRODUCT(MAX(ROW(E$1:E6581)*(E6582=E$1:E6581)))))</f>
        <v> </v>
      </c>
      <c r="L6582" s="27"/>
    </row>
    <row r="6583" spans="1:12">
      <c r="A6583" s="20" t="s">
        <v>172</v>
      </c>
      <c r="B6583" s="21" t="s">
        <v>976</v>
      </c>
      <c r="C6583" s="21" t="s">
        <v>1008</v>
      </c>
      <c r="D6583" s="21" t="s">
        <v>978</v>
      </c>
      <c r="E6583" s="22">
        <f>IF(D6583="?OLD","!!!","")</f>
        <v/>
      </c>
      <c r="F6583" s="23" t="str">
        <f>IF(OR(E6583="",E6583="!!!"),"",IF(NOT(ISNA(VLOOKUP(E6583,E$1:E6582,1,FALSE()))),"OLD",IF(AND(E6583&lt;&gt;"",E6583&lt;&gt;"!!!"),"NEW","")))</f>
        <v> </v>
      </c>
      <c r="G6583" s="24" t="str">
        <f>IF(OR(E6583="",E6583="!!!"),"",IF(OR(J6583=0,AND(J6583=1,K6583=1),AND(J6583=1,I6583="SBJ"),AND(J6583=1,I6583=0)),"?IN_FOCUS",IF(J6583&lt;=2,"?ACTIVATED",IF(J6583&lt;&gt;"","?FAMILIAR",IF(F6583="NEW",IF(ISNA(VLOOKUP(E6583,#REF!,1,FALSE())),"?TYPE_IDENTIFIABLE","?REFERENTIAL"),"_")))))</f>
        <v> </v>
      </c>
      <c r="H6583" s="25" t="str">
        <f>IF(J6583&lt;&gt;1,"",IF(I6583="SBJ","CB","?"))</f>
        <v> </v>
      </c>
      <c r="I6583" s="26" t="str">
        <f>IF(OR(E6583="",E6583="!!!",F6583="NEW"),"",INDEX(B6582:B$2,-1+SUMPRODUCT(MAX(ROW(E6582:E$2)*(E6583=E6582:E$2)))))</f>
        <v> </v>
      </c>
      <c r="J6583" s="26" t="str">
        <f>IF(OR(E6583="",E6583="!!!",F6583="NEW"),"",COUNTBLANK(OFFSET(A$1,,,SUMPRODUCT(MAX(ROW(E$2:E6583)*(E6583=E$2:E6583)))))-COUNTBLANK(OFFSET(A$1,,,SUMPRODUCT(MAX(ROW(E$1:E6582)*(E2=E$1:E6582))))))</f>
        <v> </v>
      </c>
      <c r="K6583" s="26" t="str">
        <f>IF(OR(E6583="",E6583="!!!",F6583="NEW"),"",INDEX(J$1:J6582,SUMPRODUCT(MAX(ROW(E$1:E6582)*(E6583=E$1:E6582)))))</f>
        <v> </v>
      </c>
      <c r="L6583" s="27"/>
    </row>
    <row r="6584" spans="1:12">
      <c r="A6584" s="20" t="s">
        <v>1072</v>
      </c>
      <c r="E6584" s="22">
        <f>IF(D6584="?OLD","!!!","")</f>
        <v/>
      </c>
      <c r="F6584" s="23" t="str">
        <f>IF(OR(E6584="",E6584="!!!"),"",IF(NOT(ISNA(VLOOKUP(E6584,E$1:E6583,1,FALSE()))),"OLD",IF(AND(E6584&lt;&gt;"",E6584&lt;&gt;"!!!"),"NEW","")))</f>
        <v> </v>
      </c>
      <c r="G6584" s="24" t="str">
        <f>IF(OR(E6584="",E6584="!!!"),"",IF(OR(J6584=0,AND(J6584=1,K6584=1),AND(J6584=1,I6584="SBJ"),AND(J6584=1,I6584=0)),"?IN_FOCUS",IF(J6584&lt;=2,"?ACTIVATED",IF(J6584&lt;&gt;"","?FAMILIAR",IF(F6584="NEW",IF(ISNA(VLOOKUP(E6584,#REF!,1,FALSE())),"?TYPE_IDENTIFIABLE","?REFERENTIAL"),"_")))))</f>
        <v> </v>
      </c>
      <c r="H6584" s="25" t="str">
        <f>IF(J6584&lt;&gt;1,"",IF(I6584="SBJ","CB","?"))</f>
        <v> </v>
      </c>
      <c r="I6584" s="26" t="str">
        <f>IF(OR(E6584="",E6584="!!!",F6584="NEW"),"",INDEX(B6583:B$2,-1+SUMPRODUCT(MAX(ROW(E6583:E$2)*(E6584=E6583:E$2)))))</f>
        <v> </v>
      </c>
      <c r="J6584" s="26" t="str">
        <f>IF(OR(E6584="",E6584="!!!",F6584="NEW"),"",COUNTBLANK(OFFSET(A$1,,,SUMPRODUCT(MAX(ROW(E$2:E6584)*(E6584=E$2:E6584)))))-COUNTBLANK(OFFSET(A$1,,,SUMPRODUCT(MAX(ROW(E$1:E6583)*(E2=E$1:E6583))))))</f>
        <v> </v>
      </c>
      <c r="K6584" s="26" t="str">
        <f>IF(OR(E6584="",E6584="!!!",F6584="NEW"),"",INDEX(J$1:J6583,SUMPRODUCT(MAX(ROW(E$1:E6583)*(E6584=E$1:E6583)))))</f>
        <v> </v>
      </c>
      <c r="L6584" s="27"/>
    </row>
    <row r="6585" spans="1:12">
      <c r="A6585" s="20" t="s">
        <v>1067</v>
      </c>
      <c r="E6585" s="22">
        <f>IF(D6585="?OLD","!!!","")</f>
        <v/>
      </c>
      <c r="F6585" s="23" t="str">
        <f>IF(OR(E6585="",E6585="!!!"),"",IF(NOT(ISNA(VLOOKUP(E6585,E$1:E6584,1,FALSE()))),"OLD",IF(AND(E6585&lt;&gt;"",E6585&lt;&gt;"!!!"),"NEW","")))</f>
        <v> </v>
      </c>
      <c r="G6585" s="24" t="str">
        <f>IF(OR(E6585="",E6585="!!!"),"",IF(OR(J6585=0,AND(J6585=1,K6585=1),AND(J6585=1,I6585="SBJ"),AND(J6585=1,I6585=0)),"?IN_FOCUS",IF(J6585&lt;=2,"?ACTIVATED",IF(J6585&lt;&gt;"","?FAMILIAR",IF(F6585="NEW",IF(ISNA(VLOOKUP(E6585,#REF!,1,FALSE())),"?TYPE_IDENTIFIABLE","?REFERENTIAL"),"_")))))</f>
        <v> </v>
      </c>
      <c r="H6585" s="25" t="str">
        <f>IF(J6585&lt;&gt;1,"",IF(I6585="SBJ","CB","?"))</f>
        <v> </v>
      </c>
      <c r="I6585" s="26" t="str">
        <f>IF(OR(E6585="",E6585="!!!",F6585="NEW"),"",INDEX(B6584:B$2,-1+SUMPRODUCT(MAX(ROW(E6584:E$2)*(E6585=E6584:E$2)))))</f>
        <v> </v>
      </c>
      <c r="J6585" s="26" t="str">
        <f>IF(OR(E6585="",E6585="!!!",F6585="NEW"),"",COUNTBLANK(OFFSET(A$1,,,SUMPRODUCT(MAX(ROW(E$2:E6585)*(E6585=E$2:E6585)))))-COUNTBLANK(OFFSET(A$1,,,SUMPRODUCT(MAX(ROW(E$1:E6584)*(E2=E$1:E6584))))))</f>
        <v> </v>
      </c>
      <c r="K6585" s="26" t="str">
        <f>IF(OR(E6585="",E6585="!!!",F6585="NEW"),"",INDEX(J$1:J6584,SUMPRODUCT(MAX(ROW(E$1:E6584)*(E6585=E$1:E6584)))))</f>
        <v> </v>
      </c>
      <c r="L6585" s="27"/>
    </row>
    <row r="6586" spans="1:12">
      <c r="A6586" s="20" t="s">
        <v>1189</v>
      </c>
      <c r="E6586" s="22">
        <f>IF(D6586="?OLD","!!!","")</f>
        <v/>
      </c>
      <c r="F6586" s="23" t="str">
        <f>IF(OR(E6586="",E6586="!!!"),"",IF(NOT(ISNA(VLOOKUP(E6586,E$1:E6585,1,FALSE()))),"OLD",IF(AND(E6586&lt;&gt;"",E6586&lt;&gt;"!!!"),"NEW","")))</f>
        <v> </v>
      </c>
      <c r="G6586" s="24" t="str">
        <f>IF(OR(E6586="",E6586="!!!"),"",IF(OR(J6586=0,AND(J6586=1,K6586=1),AND(J6586=1,I6586="SBJ"),AND(J6586=1,I6586=0)),"?IN_FOCUS",IF(J6586&lt;=2,"?ACTIVATED",IF(J6586&lt;&gt;"","?FAMILIAR",IF(F6586="NEW",IF(ISNA(VLOOKUP(E6586,#REF!,1,FALSE())),"?TYPE_IDENTIFIABLE","?REFERENTIAL"),"_")))))</f>
        <v> </v>
      </c>
      <c r="H6586" s="25" t="str">
        <f>IF(J6586&lt;&gt;1,"",IF(I6586="SBJ","CB","?"))</f>
        <v> </v>
      </c>
      <c r="I6586" s="26" t="str">
        <f>IF(OR(E6586="",E6586="!!!",F6586="NEW"),"",INDEX(B6585:B$2,-1+SUMPRODUCT(MAX(ROW(E6585:E$2)*(E6586=E6585:E$2)))))</f>
        <v> </v>
      </c>
      <c r="J6586" s="26" t="str">
        <f>IF(OR(E6586="",E6586="!!!",F6586="NEW"),"",COUNTBLANK(OFFSET(A$1,,,SUMPRODUCT(MAX(ROW(E$2:E6586)*(E6586=E$2:E6586)))))-COUNTBLANK(OFFSET(A$1,,,SUMPRODUCT(MAX(ROW(E$1:E6585)*(E2=E$1:E6585))))))</f>
        <v> </v>
      </c>
      <c r="K6586" s="26" t="str">
        <f>IF(OR(E6586="",E6586="!!!",F6586="NEW"),"",INDEX(J$1:J6585,SUMPRODUCT(MAX(ROW(E$1:E6585)*(E6586=E$1:E6585)))))</f>
        <v> </v>
      </c>
      <c r="L6586" s="27"/>
    </row>
    <row r="6587" spans="1:12">
      <c r="A6587" s="20" t="s">
        <v>997</v>
      </c>
      <c r="E6587" s="22">
        <f>IF(D6587="?OLD","!!!","")</f>
        <v/>
      </c>
      <c r="F6587" s="23" t="str">
        <f>IF(OR(E6587="",E6587="!!!"),"",IF(NOT(ISNA(VLOOKUP(E6587,E$1:E6586,1,FALSE()))),"OLD",IF(AND(E6587&lt;&gt;"",E6587&lt;&gt;"!!!"),"NEW","")))</f>
        <v> </v>
      </c>
      <c r="G6587" s="24" t="str">
        <f>IF(OR(E6587="",E6587="!!!"),"",IF(OR(J6587=0,AND(J6587=1,K6587=1),AND(J6587=1,I6587="SBJ"),AND(J6587=1,I6587=0)),"?IN_FOCUS",IF(J6587&lt;=2,"?ACTIVATED",IF(J6587&lt;&gt;"","?FAMILIAR",IF(F6587="NEW",IF(ISNA(VLOOKUP(E6587,#REF!,1,FALSE())),"?TYPE_IDENTIFIABLE","?REFERENTIAL"),"_")))))</f>
        <v> </v>
      </c>
      <c r="H6587" s="25" t="str">
        <f>IF(J6587&lt;&gt;1,"",IF(I6587="SBJ","CB","?"))</f>
        <v> </v>
      </c>
      <c r="I6587" s="26" t="str">
        <f>IF(OR(E6587="",E6587="!!!",F6587="NEW"),"",INDEX(B6586:B$2,-1+SUMPRODUCT(MAX(ROW(E6586:E$2)*(E6587=E6586:E$2)))))</f>
        <v> </v>
      </c>
      <c r="J6587" s="26" t="str">
        <f>IF(OR(E6587="",E6587="!!!",F6587="NEW"),"",COUNTBLANK(OFFSET(A$1,,,SUMPRODUCT(MAX(ROW(E$2:E6587)*(E6587=E$2:E6587)))))-COUNTBLANK(OFFSET(A$1,,,SUMPRODUCT(MAX(ROW(E$1:E6586)*(E2=E$1:E6586))))))</f>
        <v> </v>
      </c>
      <c r="K6587" s="26" t="str">
        <f>IF(OR(E6587="",E6587="!!!",F6587="NEW"),"",INDEX(J$1:J6586,SUMPRODUCT(MAX(ROW(E$1:E6586)*(E6587=E$1:E6586)))))</f>
        <v> </v>
      </c>
      <c r="L6587" s="27"/>
    </row>
    <row r="6588" spans="1:12">
      <c r="A6588" s="20" t="s">
        <v>1193</v>
      </c>
      <c r="B6588" s="21" t="s">
        <v>989</v>
      </c>
      <c r="C6588" s="21" t="s">
        <v>995</v>
      </c>
      <c r="D6588" s="21" t="s">
        <v>978</v>
      </c>
      <c r="E6588" s="22">
        <f>IF(D6588="?OLD","!!!","")</f>
        <v/>
      </c>
      <c r="F6588" s="23" t="str">
        <f>IF(OR(E6588="",E6588="!!!"),"",IF(NOT(ISNA(VLOOKUP(E6588,E$1:E6587,1,FALSE()))),"OLD",IF(AND(E6588&lt;&gt;"",E6588&lt;&gt;"!!!"),"NEW","")))</f>
        <v> </v>
      </c>
      <c r="G6588" s="24" t="str">
        <f>IF(OR(E6588="",E6588="!!!"),"",IF(OR(J6588=0,AND(J6588=1,K6588=1),AND(J6588=1,I6588="SBJ"),AND(J6588=1,I6588=0)),"?IN_FOCUS",IF(J6588&lt;=2,"?ACTIVATED",IF(J6588&lt;&gt;"","?FAMILIAR",IF(F6588="NEW",IF(ISNA(VLOOKUP(E6588,#REF!,1,FALSE())),"?TYPE_IDENTIFIABLE","?REFERENTIAL"),"_")))))</f>
        <v> </v>
      </c>
      <c r="H6588" s="25" t="str">
        <f>IF(J6588&lt;&gt;1,"",IF(I6588="SBJ","CB","?"))</f>
        <v> </v>
      </c>
      <c r="I6588" s="26" t="str">
        <f>IF(OR(E6588="",E6588="!!!",F6588="NEW"),"",INDEX(B6587:B$2,-1+SUMPRODUCT(MAX(ROW(E6587:E$2)*(E6588=E6587:E$2)))))</f>
        <v> </v>
      </c>
      <c r="J6588" s="26" t="str">
        <f>IF(OR(E6588="",E6588="!!!",F6588="NEW"),"",COUNTBLANK(OFFSET(A$1,,,SUMPRODUCT(MAX(ROW(E$2:E6588)*(E6588=E$2:E6588)))))-COUNTBLANK(OFFSET(A$1,,,SUMPRODUCT(MAX(ROW(E$1:E6587)*(E2=E$1:E6587))))))</f>
        <v> </v>
      </c>
      <c r="K6588" s="26" t="str">
        <f>IF(OR(E6588="",E6588="!!!",F6588="NEW"),"",INDEX(J$1:J6587,SUMPRODUCT(MAX(ROW(E$1:E6587)*(E6588=E$1:E6587)))))</f>
        <v> </v>
      </c>
      <c r="L6588" s="27"/>
    </row>
    <row r="6589" spans="1:12">
      <c r="A6589" s="20" t="s">
        <v>1194</v>
      </c>
      <c r="E6589" s="22">
        <f>IF(D6589="?OLD","!!!","")</f>
        <v/>
      </c>
      <c r="F6589" s="23" t="str">
        <f>IF(OR(E6589="",E6589="!!!"),"",IF(NOT(ISNA(VLOOKUP(E6589,E$1:E6588,1,FALSE()))),"OLD",IF(AND(E6589&lt;&gt;"",E6589&lt;&gt;"!!!"),"NEW","")))</f>
        <v> </v>
      </c>
      <c r="G6589" s="24" t="str">
        <f>IF(OR(E6589="",E6589="!!!"),"",IF(OR(J6589=0,AND(J6589=1,K6589=1),AND(J6589=1,I6589="SBJ"),AND(J6589=1,I6589=0)),"?IN_FOCUS",IF(J6589&lt;=2,"?ACTIVATED",IF(J6589&lt;&gt;"","?FAMILIAR",IF(F6589="NEW",IF(ISNA(VLOOKUP(E6589,#REF!,1,FALSE())),"?TYPE_IDENTIFIABLE","?REFERENTIAL"),"_")))))</f>
        <v> </v>
      </c>
      <c r="H6589" s="25" t="str">
        <f>IF(J6589&lt;&gt;1,"",IF(I6589="SBJ","CB","?"))</f>
        <v> </v>
      </c>
      <c r="I6589" s="26" t="str">
        <f>IF(OR(E6589="",E6589="!!!",F6589="NEW"),"",INDEX(B6588:B$2,-1+SUMPRODUCT(MAX(ROW(E6588:E$2)*(E6589=E6588:E$2)))))</f>
        <v> </v>
      </c>
      <c r="J6589" s="26" t="str">
        <f>IF(OR(E6589="",E6589="!!!",F6589="NEW"),"",COUNTBLANK(OFFSET(A$1,,,SUMPRODUCT(MAX(ROW(E$2:E6589)*(E6589=E$2:E6589)))))-COUNTBLANK(OFFSET(A$1,,,SUMPRODUCT(MAX(ROW(E$1:E6588)*(E2=E$1:E6588))))))</f>
        <v> </v>
      </c>
      <c r="K6589" s="26" t="str">
        <f>IF(OR(E6589="",E6589="!!!",F6589="NEW"),"",INDEX(J$1:J6588,SUMPRODUCT(MAX(ROW(E$1:E6588)*(E6589=E$1:E6588)))))</f>
        <v> </v>
      </c>
      <c r="L6589" s="27"/>
    </row>
    <row r="6590" spans="1:12">
      <c r="A6590" s="20" t="s">
        <v>1092</v>
      </c>
      <c r="E6590" s="22">
        <f>IF(D6590="?OLD","!!!","")</f>
        <v/>
      </c>
      <c r="F6590" s="23" t="str">
        <f>IF(OR(E6590="",E6590="!!!"),"",IF(NOT(ISNA(VLOOKUP(E6590,E$1:E6589,1,FALSE()))),"OLD",IF(AND(E6590&lt;&gt;"",E6590&lt;&gt;"!!!"),"NEW","")))</f>
        <v> </v>
      </c>
      <c r="G6590" s="24" t="str">
        <f>IF(OR(E6590="",E6590="!!!"),"",IF(OR(J6590=0,AND(J6590=1,K6590=1),AND(J6590=1,I6590="SBJ"),AND(J6590=1,I6590=0)),"?IN_FOCUS",IF(J6590&lt;=2,"?ACTIVATED",IF(J6590&lt;&gt;"","?FAMILIAR",IF(F6590="NEW",IF(ISNA(VLOOKUP(E6590,#REF!,1,FALSE())),"?TYPE_IDENTIFIABLE","?REFERENTIAL"),"_")))))</f>
        <v> </v>
      </c>
      <c r="H6590" s="25" t="str">
        <f>IF(J6590&lt;&gt;1,"",IF(I6590="SBJ","CB","?"))</f>
        <v> </v>
      </c>
      <c r="I6590" s="26" t="str">
        <f>IF(OR(E6590="",E6590="!!!",F6590="NEW"),"",INDEX(B6589:B$2,-1+SUMPRODUCT(MAX(ROW(E6589:E$2)*(E6590=E6589:E$2)))))</f>
        <v> </v>
      </c>
      <c r="J6590" s="26" t="str">
        <f>IF(OR(E6590="",E6590="!!!",F6590="NEW"),"",COUNTBLANK(OFFSET(A$1,,,SUMPRODUCT(MAX(ROW(E$2:E6590)*(E6590=E$2:E6590)))))-COUNTBLANK(OFFSET(A$1,,,SUMPRODUCT(MAX(ROW(E$1:E6589)*(E2=E$1:E6589))))))</f>
        <v> </v>
      </c>
      <c r="K6590" s="26" t="str">
        <f>IF(OR(E6590="",E6590="!!!",F6590="NEW"),"",INDEX(J$1:J6589,SUMPRODUCT(MAX(ROW(E$1:E6589)*(E6590=E$1:E6589)))))</f>
        <v> </v>
      </c>
      <c r="L6590" s="27"/>
    </row>
    <row r="6591" spans="1:12">
      <c r="A6591" s="20" t="s">
        <v>1195</v>
      </c>
      <c r="B6591" s="21" t="s">
        <v>989</v>
      </c>
      <c r="C6591" s="21" t="s">
        <v>995</v>
      </c>
      <c r="D6591" s="21" t="s">
        <v>978</v>
      </c>
      <c r="E6591" s="22">
        <f>IF(D6591="?OLD","!!!","")</f>
        <v/>
      </c>
      <c r="F6591" s="23" t="str">
        <f>IF(OR(E6591="",E6591="!!!"),"",IF(NOT(ISNA(VLOOKUP(E6591,E$1:E6590,1,FALSE()))),"OLD",IF(AND(E6591&lt;&gt;"",E6591&lt;&gt;"!!!"),"NEW","")))</f>
        <v> </v>
      </c>
      <c r="G6591" s="24" t="str">
        <f>IF(OR(E6591="",E6591="!!!"),"",IF(OR(J6591=0,AND(J6591=1,K6591=1),AND(J6591=1,I6591="SBJ"),AND(J6591=1,I6591=0)),"?IN_FOCUS",IF(J6591&lt;=2,"?ACTIVATED",IF(J6591&lt;&gt;"","?FAMILIAR",IF(F6591="NEW",IF(ISNA(VLOOKUP(E6591,#REF!,1,FALSE())),"?TYPE_IDENTIFIABLE","?REFERENTIAL"),"_")))))</f>
        <v> </v>
      </c>
      <c r="H6591" s="25" t="str">
        <f>IF(J6591&lt;&gt;1,"",IF(I6591="SBJ","CB","?"))</f>
        <v> </v>
      </c>
      <c r="I6591" s="26" t="str">
        <f>IF(OR(E6591="",E6591="!!!",F6591="NEW"),"",INDEX(B6590:B$2,-1+SUMPRODUCT(MAX(ROW(E6590:E$2)*(E6591=E6590:E$2)))))</f>
        <v> </v>
      </c>
      <c r="J6591" s="26" t="str">
        <f>IF(OR(E6591="",E6591="!!!",F6591="NEW"),"",COUNTBLANK(OFFSET(A$1,,,SUMPRODUCT(MAX(ROW(E$2:E6591)*(E6591=E$2:E6591)))))-COUNTBLANK(OFFSET(A$1,,,SUMPRODUCT(MAX(ROW(E$1:E6590)*(E2=E$1:E6590))))))</f>
        <v> </v>
      </c>
      <c r="K6591" s="26" t="str">
        <f>IF(OR(E6591="",E6591="!!!",F6591="NEW"),"",INDEX(J$1:J6590,SUMPRODUCT(MAX(ROW(E$1:E6590)*(E6591=E$1:E6590)))))</f>
        <v> </v>
      </c>
      <c r="L6591" s="27"/>
    </row>
    <row r="6592" spans="1:12">
      <c r="A6592" s="20" t="s">
        <v>1022</v>
      </c>
      <c r="E6592" s="22">
        <f>IF(D6592="?OLD","!!!","")</f>
        <v/>
      </c>
      <c r="F6592" s="23" t="str">
        <f>IF(OR(E6592="",E6592="!!!"),"",IF(NOT(ISNA(VLOOKUP(E6592,E$1:E6591,1,FALSE()))),"OLD",IF(AND(E6592&lt;&gt;"",E6592&lt;&gt;"!!!"),"NEW","")))</f>
        <v> </v>
      </c>
      <c r="G6592" s="24" t="str">
        <f>IF(OR(E6592="",E6592="!!!"),"",IF(OR(J6592=0,AND(J6592=1,K6592=1),AND(J6592=1,I6592="SBJ"),AND(J6592=1,I6592=0)),"?IN_FOCUS",IF(J6592&lt;=2,"?ACTIVATED",IF(J6592&lt;&gt;"","?FAMILIAR",IF(F6592="NEW",IF(ISNA(VLOOKUP(E6592,#REF!,1,FALSE())),"?TYPE_IDENTIFIABLE","?REFERENTIAL"),"_")))))</f>
        <v> </v>
      </c>
      <c r="H6592" s="25" t="str">
        <f>IF(J6592&lt;&gt;1,"",IF(I6592="SBJ","CB","?"))</f>
        <v> </v>
      </c>
      <c r="I6592" s="26" t="str">
        <f>IF(OR(E6592="",E6592="!!!",F6592="NEW"),"",INDEX(B6591:B$2,-1+SUMPRODUCT(MAX(ROW(E6591:E$2)*(E6592=E6591:E$2)))))</f>
        <v> </v>
      </c>
      <c r="J6592" s="26" t="str">
        <f>IF(OR(E6592="",E6592="!!!",F6592="NEW"),"",COUNTBLANK(OFFSET(A$1,,,SUMPRODUCT(MAX(ROW(E$2:E6592)*(E6592=E$2:E6592)))))-COUNTBLANK(OFFSET(A$1,,,SUMPRODUCT(MAX(ROW(E$1:E6591)*(E2=E$1:E6591))))))</f>
        <v> </v>
      </c>
      <c r="K6592" s="26" t="str">
        <f>IF(OR(E6592="",E6592="!!!",F6592="NEW"),"",INDEX(J$1:J6591,SUMPRODUCT(MAX(ROW(E$1:E6591)*(E6592=E$1:E6591)))))</f>
        <v> </v>
      </c>
      <c r="L6592" s="27"/>
    </row>
    <row r="6593" spans="1:12">
      <c r="A6593" s="20"/>
    </row>
    <row r="6594" spans="1:12">
      <c r="A6594" s="20" t="s">
        <v>2589</v>
      </c>
    </row>
    <row r="6595" spans="1:12">
      <c r="A6595" s="20" t="s">
        <v>1000</v>
      </c>
      <c r="E6595" s="22">
        <f>IF(D6595="?OLD","!!!","")</f>
        <v/>
      </c>
      <c r="F6595" s="23" t="str">
        <f>IF(OR(E6595="",E6595="!!!"),"",IF(NOT(ISNA(VLOOKUP(E6595,E$1:E6594,1,FALSE()))),"OLD",IF(AND(E6595&lt;&gt;"",E6595&lt;&gt;"!!!"),"NEW","")))</f>
        <v> </v>
      </c>
      <c r="G6595" s="24" t="str">
        <f>IF(OR(E6595="",E6595="!!!"),"",IF(OR(J6595=0,AND(J6595=1,K6595=1),AND(J6595=1,I6595="SBJ"),AND(J6595=1,I6595=0)),"?IN_FOCUS",IF(J6595&lt;=2,"?ACTIVATED",IF(J6595&lt;&gt;"","?FAMILIAR",IF(F6595="NEW",IF(ISNA(VLOOKUP(E6595,#REF!,1,FALSE())),"?TYPE_IDENTIFIABLE","?REFERENTIAL"),"_")))))</f>
        <v> </v>
      </c>
      <c r="H6595" s="25" t="str">
        <f>IF(J6595&lt;&gt;1,"",IF(I6595="SBJ","CB","?"))</f>
        <v> </v>
      </c>
      <c r="I6595" s="26" t="str">
        <f>IF(OR(E6595="",E6595="!!!",F6595="NEW"),"",INDEX(B6594:B$2,-1+SUMPRODUCT(MAX(ROW(E6594:E$2)*(E6595=E6594:E$2)))))</f>
        <v> </v>
      </c>
      <c r="J6595" s="26" t="str">
        <f>IF(OR(E6595="",E6595="!!!",F6595="NEW"),"",COUNTBLANK(OFFSET(A$1,,,SUMPRODUCT(MAX(ROW(E$2:E6595)*(E6595=E$2:E6595)))))-COUNTBLANK(OFFSET(A$1,,,SUMPRODUCT(MAX(ROW(E$1:E6594)*(E2=E$1:E6594))))))</f>
        <v> </v>
      </c>
      <c r="K6595" s="26" t="str">
        <f>IF(OR(E6595="",E6595="!!!",F6595="NEW"),"",INDEX(J$1:J6594,SUMPRODUCT(MAX(ROW(E$1:E6594)*(E6595=E$1:E6594)))))</f>
        <v> </v>
      </c>
      <c r="L6595" s="27"/>
    </row>
    <row r="6596" spans="1:12">
      <c r="A6596" s="20" t="s">
        <v>1018</v>
      </c>
      <c r="E6596" s="22">
        <f>IF(D6596="?OLD","!!!","")</f>
        <v/>
      </c>
      <c r="F6596" s="23" t="str">
        <f>IF(OR(E6596="",E6596="!!!"),"",IF(NOT(ISNA(VLOOKUP(E6596,E$1:E6595,1,FALSE()))),"OLD",IF(AND(E6596&lt;&gt;"",E6596&lt;&gt;"!!!"),"NEW","")))</f>
        <v> </v>
      </c>
      <c r="G6596" s="24" t="str">
        <f>IF(OR(E6596="",E6596="!!!"),"",IF(OR(J6596=0,AND(J6596=1,K6596=1),AND(J6596=1,I6596="SBJ"),AND(J6596=1,I6596=0)),"?IN_FOCUS",IF(J6596&lt;=2,"?ACTIVATED",IF(J6596&lt;&gt;"","?FAMILIAR",IF(F6596="NEW",IF(ISNA(VLOOKUP(E6596,#REF!,1,FALSE())),"?TYPE_IDENTIFIABLE","?REFERENTIAL"),"_")))))</f>
        <v> </v>
      </c>
      <c r="H6596" s="25" t="str">
        <f>IF(J6596&lt;&gt;1,"",IF(I6596="SBJ","CB","?"))</f>
        <v> </v>
      </c>
      <c r="I6596" s="26" t="str">
        <f>IF(OR(E6596="",E6596="!!!",F6596="NEW"),"",INDEX(B6595:B$2,-1+SUMPRODUCT(MAX(ROW(E6595:E$2)*(E6596=E6595:E$2)))))</f>
        <v> </v>
      </c>
      <c r="J6596" s="26" t="str">
        <f>IF(OR(E6596="",E6596="!!!",F6596="NEW"),"",COUNTBLANK(OFFSET(A$1,,,SUMPRODUCT(MAX(ROW(E$2:E6596)*(E6596=E$2:E6596)))))-COUNTBLANK(OFFSET(A$1,,,SUMPRODUCT(MAX(ROW(E$1:E6595)*(E2=E$1:E6595))))))</f>
        <v> </v>
      </c>
      <c r="K6596" s="26" t="str">
        <f>IF(OR(E6596="",E6596="!!!",F6596="NEW"),"",INDEX(J$1:J6595,SUMPRODUCT(MAX(ROW(E$1:E6595)*(E6596=E$1:E6595)))))</f>
        <v> </v>
      </c>
      <c r="L6596" s="27"/>
    </row>
    <row r="6597" spans="1:12">
      <c r="A6597" s="20" t="s">
        <v>172</v>
      </c>
      <c r="E6597" s="22">
        <f>IF(D6597="?OLD","!!!","")</f>
        <v/>
      </c>
      <c r="F6597" s="23" t="str">
        <f>IF(OR(E6597="",E6597="!!!"),"",IF(NOT(ISNA(VLOOKUP(E6597,E$1:E6596,1,FALSE()))),"OLD",IF(AND(E6597&lt;&gt;"",E6597&lt;&gt;"!!!"),"NEW","")))</f>
        <v> </v>
      </c>
      <c r="G6597" s="24" t="str">
        <f>IF(OR(E6597="",E6597="!!!"),"",IF(OR(J6597=0,AND(J6597=1,K6597=1),AND(J6597=1,I6597="SBJ"),AND(J6597=1,I6597=0)),"?IN_FOCUS",IF(J6597&lt;=2,"?ACTIVATED",IF(J6597&lt;&gt;"","?FAMILIAR",IF(F6597="NEW",IF(ISNA(VLOOKUP(E6597,#REF!,1,FALSE())),"?TYPE_IDENTIFIABLE","?REFERENTIAL"),"_")))))</f>
        <v> </v>
      </c>
      <c r="H6597" s="25" t="str">
        <f>IF(J6597&lt;&gt;1,"",IF(I6597="SBJ","CB","?"))</f>
        <v> </v>
      </c>
      <c r="I6597" s="26" t="str">
        <f>IF(OR(E6597="",E6597="!!!",F6597="NEW"),"",INDEX(B6596:B$2,-1+SUMPRODUCT(MAX(ROW(E6596:E$2)*(E6597=E6596:E$2)))))</f>
        <v> </v>
      </c>
      <c r="J6597" s="26" t="str">
        <f>IF(OR(E6597="",E6597="!!!",F6597="NEW"),"",COUNTBLANK(OFFSET(A$1,,,SUMPRODUCT(MAX(ROW(E$2:E6597)*(E6597=E$2:E6597)))))-COUNTBLANK(OFFSET(A$1,,,SUMPRODUCT(MAX(ROW(E$1:E6596)*(E2=E$1:E6596))))))</f>
        <v> </v>
      </c>
      <c r="K6597" s="26" t="str">
        <f>IF(OR(E6597="",E6597="!!!",F6597="NEW"),"",INDEX(J$1:J6596,SUMPRODUCT(MAX(ROW(E$1:E6596)*(E6597=E$1:E6596)))))</f>
        <v> </v>
      </c>
      <c r="L6597" s="27"/>
    </row>
    <row r="6598" spans="1:12">
      <c r="A6598" s="20" t="s">
        <v>1199</v>
      </c>
      <c r="B6598" s="21" t="s">
        <v>989</v>
      </c>
      <c r="C6598" s="21" t="s">
        <v>1063</v>
      </c>
      <c r="D6598" s="21" t="s">
        <v>978</v>
      </c>
      <c r="E6598" s="22">
        <f>IF(D6598="?OLD","!!!","")</f>
        <v/>
      </c>
      <c r="F6598" s="23" t="str">
        <f>IF(OR(E6598="",E6598="!!!"),"",IF(NOT(ISNA(VLOOKUP(E6598,E$1:E6597,1,FALSE()))),"OLD",IF(AND(E6598&lt;&gt;"",E6598&lt;&gt;"!!!"),"NEW","")))</f>
        <v> </v>
      </c>
      <c r="G6598" s="24" t="str">
        <f>IF(OR(E6598="",E6598="!!!"),"",IF(OR(J6598=0,AND(J6598=1,K6598=1),AND(J6598=1,I6598="SBJ"),AND(J6598=1,I6598=0)),"?IN_FOCUS",IF(J6598&lt;=2,"?ACTIVATED",IF(J6598&lt;&gt;"","?FAMILIAR",IF(F6598="NEW",IF(ISNA(VLOOKUP(E6598,#REF!,1,FALSE())),"?TYPE_IDENTIFIABLE","?REFERENTIAL"),"_")))))</f>
        <v> </v>
      </c>
      <c r="H6598" s="25" t="str">
        <f>IF(J6598&lt;&gt;1,"",IF(I6598="SBJ","CB","?"))</f>
        <v> </v>
      </c>
      <c r="I6598" s="26" t="str">
        <f>IF(OR(E6598="",E6598="!!!",F6598="NEW"),"",INDEX(B6597:B$2,-1+SUMPRODUCT(MAX(ROW(E6597:E$2)*(E6598=E6597:E$2)))))</f>
        <v> </v>
      </c>
      <c r="J6598" s="26" t="str">
        <f>IF(OR(E6598="",E6598="!!!",F6598="NEW"),"",COUNTBLANK(OFFSET(A$1,,,SUMPRODUCT(MAX(ROW(E$2:E6598)*(E6598=E$2:E6598)))))-COUNTBLANK(OFFSET(A$1,,,SUMPRODUCT(MAX(ROW(E$1:E6597)*(E2=E$1:E6597))))))</f>
        <v> </v>
      </c>
      <c r="K6598" s="26" t="str">
        <f>IF(OR(E6598="",E6598="!!!",F6598="NEW"),"",INDEX(J$1:J6597,SUMPRODUCT(MAX(ROW(E$1:E6597)*(E6598=E$1:E6597)))))</f>
        <v> </v>
      </c>
      <c r="L6598" s="27"/>
    </row>
    <row r="6599" spans="1:12">
      <c r="A6599" s="20" t="s">
        <v>1002</v>
      </c>
      <c r="E6599" s="22">
        <f>IF(D6599="?OLD","!!!","")</f>
        <v/>
      </c>
      <c r="F6599" s="23" t="str">
        <f>IF(OR(E6599="",E6599="!!!"),"",IF(NOT(ISNA(VLOOKUP(E6599,E$1:E6598,1,FALSE()))),"OLD",IF(AND(E6599&lt;&gt;"",E6599&lt;&gt;"!!!"),"NEW","")))</f>
        <v> </v>
      </c>
      <c r="G6599" s="24" t="str">
        <f>IF(OR(E6599="",E6599="!!!"),"",IF(OR(J6599=0,AND(J6599=1,K6599=1),AND(J6599=1,I6599="SBJ"),AND(J6599=1,I6599=0)),"?IN_FOCUS",IF(J6599&lt;=2,"?ACTIVATED",IF(J6599&lt;&gt;"","?FAMILIAR",IF(F6599="NEW",IF(ISNA(VLOOKUP(E6599,#REF!,1,FALSE())),"?TYPE_IDENTIFIABLE","?REFERENTIAL"),"_")))))</f>
        <v> </v>
      </c>
      <c r="H6599" s="25" t="str">
        <f>IF(J6599&lt;&gt;1,"",IF(I6599="SBJ","CB","?"))</f>
        <v> </v>
      </c>
      <c r="I6599" s="26" t="str">
        <f>IF(OR(E6599="",E6599="!!!",F6599="NEW"),"",INDEX(B6598:B$2,-1+SUMPRODUCT(MAX(ROW(E6598:E$2)*(E6599=E6598:E$2)))))</f>
        <v> </v>
      </c>
      <c r="J6599" s="26" t="str">
        <f>IF(OR(E6599="",E6599="!!!",F6599="NEW"),"",COUNTBLANK(OFFSET(A$1,,,SUMPRODUCT(MAX(ROW(E$2:E6599)*(E6599=E$2:E6599)))))-COUNTBLANK(OFFSET(A$1,,,SUMPRODUCT(MAX(ROW(E$1:E6598)*(E2=E$1:E6598))))))</f>
        <v> </v>
      </c>
      <c r="K6599" s="26" t="str">
        <f>IF(OR(E6599="",E6599="!!!",F6599="NEW"),"",INDEX(J$1:J6598,SUMPRODUCT(MAX(ROW(E$1:E6598)*(E6599=E$1:E6598)))))</f>
        <v> </v>
      </c>
      <c r="L6599" s="27"/>
    </row>
    <row r="6600" spans="1:12">
      <c r="A6600" s="20" t="s">
        <v>1154</v>
      </c>
      <c r="B6600" s="21" t="s">
        <v>976</v>
      </c>
      <c r="C6600" s="21" t="s">
        <v>977</v>
      </c>
      <c r="D6600" s="21" t="s">
        <v>978</v>
      </c>
      <c r="E6600" s="22">
        <f>IF(D6600="?OLD","!!!","")</f>
        <v/>
      </c>
      <c r="F6600" s="23" t="str">
        <f>IF(OR(E6600="",E6600="!!!"),"",IF(NOT(ISNA(VLOOKUP(E6600,E$1:E6599,1,FALSE()))),"OLD",IF(AND(E6600&lt;&gt;"",E6600&lt;&gt;"!!!"),"NEW","")))</f>
        <v> </v>
      </c>
      <c r="G6600" s="24" t="str">
        <f>IF(OR(E6600="",E6600="!!!"),"",IF(OR(J6600=0,AND(J6600=1,K6600=1),AND(J6600=1,I6600="SBJ"),AND(J6600=1,I6600=0)),"?IN_FOCUS",IF(J6600&lt;=2,"?ACTIVATED",IF(J6600&lt;&gt;"","?FAMILIAR",IF(F6600="NEW",IF(ISNA(VLOOKUP(E6600,#REF!,1,FALSE())),"?TYPE_IDENTIFIABLE","?REFERENTIAL"),"_")))))</f>
        <v> </v>
      </c>
      <c r="H6600" s="25" t="str">
        <f>IF(J6600&lt;&gt;1,"",IF(I6600="SBJ","CB","?"))</f>
        <v> </v>
      </c>
      <c r="I6600" s="26" t="str">
        <f>IF(OR(E6600="",E6600="!!!",F6600="NEW"),"",INDEX(B6599:B$2,-1+SUMPRODUCT(MAX(ROW(E6599:E$2)*(E6600=E6599:E$2)))))</f>
        <v> </v>
      </c>
      <c r="J6600" s="26" t="str">
        <f>IF(OR(E6600="",E6600="!!!",F6600="NEW"),"",COUNTBLANK(OFFSET(A$1,,,SUMPRODUCT(MAX(ROW(E$2:E6600)*(E6600=E$2:E6600)))))-COUNTBLANK(OFFSET(A$1,,,SUMPRODUCT(MAX(ROW(E$1:E6599)*(E2=E$1:E6599))))))</f>
        <v> </v>
      </c>
      <c r="K6600" s="26" t="str">
        <f>IF(OR(E6600="",E6600="!!!",F6600="NEW"),"",INDEX(J$1:J6599,SUMPRODUCT(MAX(ROW(E$1:E6599)*(E6600=E$1:E6599)))))</f>
        <v> </v>
      </c>
      <c r="L6600" s="27"/>
    </row>
    <row r="6601" spans="1:12">
      <c r="A6601" s="20" t="s">
        <v>979</v>
      </c>
      <c r="E6601" s="22">
        <f>IF(D6601="?OLD","!!!","")</f>
        <v/>
      </c>
      <c r="F6601" s="23" t="str">
        <f>IF(OR(E6601="",E6601="!!!"),"",IF(NOT(ISNA(VLOOKUP(E6601,E$1:E6600,1,FALSE()))),"OLD",IF(AND(E6601&lt;&gt;"",E6601&lt;&gt;"!!!"),"NEW","")))</f>
        <v> </v>
      </c>
      <c r="G6601" s="24" t="str">
        <f>IF(OR(E6601="",E6601="!!!"),"",IF(OR(J6601=0,AND(J6601=1,K6601=1),AND(J6601=1,I6601="SBJ"),AND(J6601=1,I6601=0)),"?IN_FOCUS",IF(J6601&lt;=2,"?ACTIVATED",IF(J6601&lt;&gt;"","?FAMILIAR",IF(F6601="NEW",IF(ISNA(VLOOKUP(E6601,#REF!,1,FALSE())),"?TYPE_IDENTIFIABLE","?REFERENTIAL"),"_")))))</f>
        <v> </v>
      </c>
      <c r="H6601" s="25" t="str">
        <f>IF(J6601&lt;&gt;1,"",IF(I6601="SBJ","CB","?"))</f>
        <v> </v>
      </c>
      <c r="I6601" s="26" t="str">
        <f>IF(OR(E6601="",E6601="!!!",F6601="NEW"),"",INDEX(B6600:B$2,-1+SUMPRODUCT(MAX(ROW(E6600:E$2)*(E6601=E6600:E$2)))))</f>
        <v> </v>
      </c>
      <c r="J6601" s="26" t="str">
        <f>IF(OR(E6601="",E6601="!!!",F6601="NEW"),"",COUNTBLANK(OFFSET(A$1,,,SUMPRODUCT(MAX(ROW(E$2:E6601)*(E6601=E$2:E6601)))))-COUNTBLANK(OFFSET(A$1,,,SUMPRODUCT(MAX(ROW(E$1:E6600)*(E2=E$1:E6600))))))</f>
        <v> </v>
      </c>
      <c r="K6601" s="26" t="str">
        <f>IF(OR(E6601="",E6601="!!!",F6601="NEW"),"",INDEX(J$1:J6600,SUMPRODUCT(MAX(ROW(E$1:E6600)*(E6601=E$1:E6600)))))</f>
        <v> </v>
      </c>
      <c r="L6601" s="27"/>
    </row>
    <row r="6602" spans="1:12">
      <c r="A6602" s="20" t="s">
        <v>1050</v>
      </c>
      <c r="E6602" s="22">
        <f>IF(D6602="?OLD","!!!","")</f>
        <v/>
      </c>
      <c r="F6602" s="23" t="str">
        <f>IF(OR(E6602="",E6602="!!!"),"",IF(NOT(ISNA(VLOOKUP(E6602,E$1:E6601,1,FALSE()))),"OLD",IF(AND(E6602&lt;&gt;"",E6602&lt;&gt;"!!!"),"NEW","")))</f>
        <v> </v>
      </c>
      <c r="G6602" s="24" t="str">
        <f>IF(OR(E6602="",E6602="!!!"),"",IF(OR(J6602=0,AND(J6602=1,K6602=1),AND(J6602=1,I6602="SBJ"),AND(J6602=1,I6602=0)),"?IN_FOCUS",IF(J6602&lt;=2,"?ACTIVATED",IF(J6602&lt;&gt;"","?FAMILIAR",IF(F6602="NEW",IF(ISNA(VLOOKUP(E6602,#REF!,1,FALSE())),"?TYPE_IDENTIFIABLE","?REFERENTIAL"),"_")))))</f>
        <v> </v>
      </c>
      <c r="H6602" s="25" t="str">
        <f>IF(J6602&lt;&gt;1,"",IF(I6602="SBJ","CB","?"))</f>
        <v> </v>
      </c>
      <c r="I6602" s="26" t="str">
        <f>IF(OR(E6602="",E6602="!!!",F6602="NEW"),"",INDEX(B6601:B$2,-1+SUMPRODUCT(MAX(ROW(E6601:E$2)*(E6602=E6601:E$2)))))</f>
        <v> </v>
      </c>
      <c r="J6602" s="26" t="str">
        <f>IF(OR(E6602="",E6602="!!!",F6602="NEW"),"",COUNTBLANK(OFFSET(A$1,,,SUMPRODUCT(MAX(ROW(E$2:E6602)*(E6602=E$2:E6602)))))-COUNTBLANK(OFFSET(A$1,,,SUMPRODUCT(MAX(ROW(E$1:E6601)*(E2=E$1:E6601))))))</f>
        <v> </v>
      </c>
      <c r="K6602" s="26" t="str">
        <f>IF(OR(E6602="",E6602="!!!",F6602="NEW"),"",INDEX(J$1:J6601,SUMPRODUCT(MAX(ROW(E$1:E6601)*(E6602=E$1:E6601)))))</f>
        <v> </v>
      </c>
      <c r="L6602" s="27"/>
    </row>
    <row r="6603" spans="1:12">
      <c r="A6603" s="20" t="s">
        <v>1426</v>
      </c>
      <c r="B6603" s="21" t="s">
        <v>982</v>
      </c>
      <c r="C6603" s="21" t="s">
        <v>983</v>
      </c>
      <c r="E6603" s="22">
        <f>IF(D6603="?OLD","!!!","")</f>
        <v/>
      </c>
      <c r="F6603" s="23" t="str">
        <f>IF(OR(E6603="",E6603="!!!"),"",IF(NOT(ISNA(VLOOKUP(E6603,E$1:E6602,1,FALSE()))),"OLD",IF(AND(E6603&lt;&gt;"",E6603&lt;&gt;"!!!"),"NEW","")))</f>
        <v> </v>
      </c>
      <c r="G6603" s="24" t="str">
        <f>IF(OR(E6603="",E6603="!!!"),"",IF(OR(J6603=0,AND(J6603=1,K6603=1),AND(J6603=1,I6603="SBJ"),AND(J6603=1,I6603=0)),"?IN_FOCUS",IF(J6603&lt;=2,"?ACTIVATED",IF(J6603&lt;&gt;"","?FAMILIAR",IF(F6603="NEW",IF(ISNA(VLOOKUP(E6603,#REF!,1,FALSE())),"?TYPE_IDENTIFIABLE","?REFERENTIAL"),"_")))))</f>
        <v> </v>
      </c>
      <c r="H6603" s="25" t="str">
        <f>IF(J6603&lt;&gt;1,"",IF(I6603="SBJ","CB","?"))</f>
        <v> </v>
      </c>
      <c r="I6603" s="26" t="str">
        <f>IF(OR(E6603="",E6603="!!!",F6603="NEW"),"",INDEX(B6602:B$2,-1+SUMPRODUCT(MAX(ROW(E6602:E$2)*(E6603=E6602:E$2)))))</f>
        <v> </v>
      </c>
      <c r="J6603" s="26" t="str">
        <f>IF(OR(E6603="",E6603="!!!",F6603="NEW"),"",COUNTBLANK(OFFSET(A$1,,,SUMPRODUCT(MAX(ROW(E$2:E6603)*(E6603=E$2:E6603)))))-COUNTBLANK(OFFSET(A$1,,,SUMPRODUCT(MAX(ROW(E$1:E6602)*(E2=E$1:E6602))))))</f>
        <v> </v>
      </c>
      <c r="K6603" s="26" t="str">
        <f>IF(OR(E6603="",E6603="!!!",F6603="NEW"),"",INDEX(J$1:J6602,SUMPRODUCT(MAX(ROW(E$1:E6602)*(E6603=E$1:E6602)))))</f>
        <v> </v>
      </c>
      <c r="L6603" s="27"/>
    </row>
    <row r="6604" spans="1:12">
      <c r="A6604" s="20" t="s">
        <v>2590</v>
      </c>
      <c r="E6604" s="22">
        <f>IF(D6604="?OLD","!!!","")</f>
        <v/>
      </c>
      <c r="F6604" s="23" t="str">
        <f>IF(OR(E6604="",E6604="!!!"),"",IF(NOT(ISNA(VLOOKUP(E6604,E$1:E6603,1,FALSE()))),"OLD",IF(AND(E6604&lt;&gt;"",E6604&lt;&gt;"!!!"),"NEW","")))</f>
        <v> </v>
      </c>
      <c r="G6604" s="24" t="str">
        <f>IF(OR(E6604="",E6604="!!!"),"",IF(OR(J6604=0,AND(J6604=1,K6604=1),AND(J6604=1,I6604="SBJ"),AND(J6604=1,I6604=0)),"?IN_FOCUS",IF(J6604&lt;=2,"?ACTIVATED",IF(J6604&lt;&gt;"","?FAMILIAR",IF(F6604="NEW",IF(ISNA(VLOOKUP(E6604,#REF!,1,FALSE())),"?TYPE_IDENTIFIABLE","?REFERENTIAL"),"_")))))</f>
        <v> </v>
      </c>
      <c r="H6604" s="25" t="str">
        <f>IF(J6604&lt;&gt;1,"",IF(I6604="SBJ","CB","?"))</f>
        <v> </v>
      </c>
      <c r="I6604" s="26" t="str">
        <f>IF(OR(E6604="",E6604="!!!",F6604="NEW"),"",INDEX(B6603:B$2,-1+SUMPRODUCT(MAX(ROW(E6603:E$2)*(E6604=E6603:E$2)))))</f>
        <v> </v>
      </c>
      <c r="J6604" s="26" t="str">
        <f>IF(OR(E6604="",E6604="!!!",F6604="NEW"),"",COUNTBLANK(OFFSET(A$1,,,SUMPRODUCT(MAX(ROW(E$2:E6604)*(E6604=E$2:E6604)))))-COUNTBLANK(OFFSET(A$1,,,SUMPRODUCT(MAX(ROW(E$1:E6603)*(E2=E$1:E6603))))))</f>
        <v> </v>
      </c>
      <c r="K6604" s="26" t="str">
        <f>IF(OR(E6604="",E6604="!!!",F6604="NEW"),"",INDEX(J$1:J6603,SUMPRODUCT(MAX(ROW(E$1:E6603)*(E6604=E$1:E6603)))))</f>
        <v> </v>
      </c>
      <c r="L6604" s="27"/>
    </row>
    <row r="6605" spans="1:12">
      <c r="A6605" s="20" t="s">
        <v>1002</v>
      </c>
      <c r="E6605" s="22">
        <f>IF(D6605="?OLD","!!!","")</f>
        <v/>
      </c>
      <c r="F6605" s="23" t="str">
        <f>IF(OR(E6605="",E6605="!!!"),"",IF(NOT(ISNA(VLOOKUP(E6605,E$1:E6604,1,FALSE()))),"OLD",IF(AND(E6605&lt;&gt;"",E6605&lt;&gt;"!!!"),"NEW","")))</f>
        <v> </v>
      </c>
      <c r="G6605" s="24" t="str">
        <f>IF(OR(E6605="",E6605="!!!"),"",IF(OR(J6605=0,AND(J6605=1,K6605=1),AND(J6605=1,I6605="SBJ"),AND(J6605=1,I6605=0)),"?IN_FOCUS",IF(J6605&lt;=2,"?ACTIVATED",IF(J6605&lt;&gt;"","?FAMILIAR",IF(F6605="NEW",IF(ISNA(VLOOKUP(E6605,#REF!,1,FALSE())),"?TYPE_IDENTIFIABLE","?REFERENTIAL"),"_")))))</f>
        <v> </v>
      </c>
      <c r="H6605" s="25" t="str">
        <f>IF(J6605&lt;&gt;1,"",IF(I6605="SBJ","CB","?"))</f>
        <v> </v>
      </c>
      <c r="I6605" s="26" t="str">
        <f>IF(OR(E6605="",E6605="!!!",F6605="NEW"),"",INDEX(B6604:B$2,-1+SUMPRODUCT(MAX(ROW(E6604:E$2)*(E6605=E6604:E$2)))))</f>
        <v> </v>
      </c>
      <c r="J6605" s="26" t="str">
        <f>IF(OR(E6605="",E6605="!!!",F6605="NEW"),"",COUNTBLANK(OFFSET(A$1,,,SUMPRODUCT(MAX(ROW(E$2:E6605)*(E6605=E$2:E6605)))))-COUNTBLANK(OFFSET(A$1,,,SUMPRODUCT(MAX(ROW(E$1:E6604)*(E2=E$1:E6604))))))</f>
        <v> </v>
      </c>
      <c r="K6605" s="26" t="str">
        <f>IF(OR(E6605="",E6605="!!!",F6605="NEW"),"",INDEX(J$1:J6604,SUMPRODUCT(MAX(ROW(E$1:E6604)*(E6605=E$1:E6604)))))</f>
        <v> </v>
      </c>
      <c r="L6605" s="27"/>
    </row>
    <row r="6606" spans="1:12">
      <c r="A6606" s="20" t="s">
        <v>1305</v>
      </c>
      <c r="E6606" s="22">
        <f>IF(D6606="?OLD","!!!","")</f>
        <v/>
      </c>
      <c r="F6606" s="23" t="str">
        <f>IF(OR(E6606="",E6606="!!!"),"",IF(NOT(ISNA(VLOOKUP(E6606,E$1:E6605,1,FALSE()))),"OLD",IF(AND(E6606&lt;&gt;"",E6606&lt;&gt;"!!!"),"NEW","")))</f>
        <v> </v>
      </c>
      <c r="G6606" s="24" t="str">
        <f>IF(OR(E6606="",E6606="!!!"),"",IF(OR(J6606=0,AND(J6606=1,K6606=1),AND(J6606=1,I6606="SBJ"),AND(J6606=1,I6606=0)),"?IN_FOCUS",IF(J6606&lt;=2,"?ACTIVATED",IF(J6606&lt;&gt;"","?FAMILIAR",IF(F6606="NEW",IF(ISNA(VLOOKUP(E6606,#REF!,1,FALSE())),"?TYPE_IDENTIFIABLE","?REFERENTIAL"),"_")))))</f>
        <v> </v>
      </c>
      <c r="H6606" s="25" t="str">
        <f>IF(J6606&lt;&gt;1,"",IF(I6606="SBJ","CB","?"))</f>
        <v> </v>
      </c>
      <c r="I6606" s="26" t="str">
        <f>IF(OR(E6606="",E6606="!!!",F6606="NEW"),"",INDEX(B6605:B$2,-1+SUMPRODUCT(MAX(ROW(E6605:E$2)*(E6606=E6605:E$2)))))</f>
        <v> </v>
      </c>
      <c r="J6606" s="26" t="str">
        <f>IF(OR(E6606="",E6606="!!!",F6606="NEW"),"",COUNTBLANK(OFFSET(A$1,,,SUMPRODUCT(MAX(ROW(E$2:E6606)*(E6606=E$2:E6606)))))-COUNTBLANK(OFFSET(A$1,,,SUMPRODUCT(MAX(ROW(E$1:E6605)*(E2=E$1:E6605))))))</f>
        <v> </v>
      </c>
      <c r="K6606" s="26" t="str">
        <f>IF(OR(E6606="",E6606="!!!",F6606="NEW"),"",INDEX(J$1:J6605,SUMPRODUCT(MAX(ROW(E$1:E6605)*(E6606=E$1:E6605)))))</f>
        <v> </v>
      </c>
      <c r="L6606" s="27"/>
    </row>
    <row r="6607" spans="1:12">
      <c r="A6607" s="20" t="s">
        <v>993</v>
      </c>
      <c r="E6607" s="22">
        <f>IF(D6607="?OLD","!!!","")</f>
        <v/>
      </c>
      <c r="F6607" s="23" t="str">
        <f>IF(OR(E6607="",E6607="!!!"),"",IF(NOT(ISNA(VLOOKUP(E6607,E$1:E6606,1,FALSE()))),"OLD",IF(AND(E6607&lt;&gt;"",E6607&lt;&gt;"!!!"),"NEW","")))</f>
        <v> </v>
      </c>
      <c r="G6607" s="24" t="str">
        <f>IF(OR(E6607="",E6607="!!!"),"",IF(OR(J6607=0,AND(J6607=1,K6607=1),AND(J6607=1,I6607="SBJ"),AND(J6607=1,I6607=0)),"?IN_FOCUS",IF(J6607&lt;=2,"?ACTIVATED",IF(J6607&lt;&gt;"","?FAMILIAR",IF(F6607="NEW",IF(ISNA(VLOOKUP(E6607,#REF!,1,FALSE())),"?TYPE_IDENTIFIABLE","?REFERENTIAL"),"_")))))</f>
        <v> </v>
      </c>
      <c r="H6607" s="25" t="str">
        <f>IF(J6607&lt;&gt;1,"",IF(I6607="SBJ","CB","?"))</f>
        <v> </v>
      </c>
      <c r="I6607" s="26" t="str">
        <f>IF(OR(E6607="",E6607="!!!",F6607="NEW"),"",INDEX(B6606:B$2,-1+SUMPRODUCT(MAX(ROW(E6606:E$2)*(E6607=E6606:E$2)))))</f>
        <v> </v>
      </c>
      <c r="J6607" s="26" t="str">
        <f>IF(OR(E6607="",E6607="!!!",F6607="NEW"),"",COUNTBLANK(OFFSET(A$1,,,SUMPRODUCT(MAX(ROW(E$2:E6607)*(E6607=E$2:E6607)))))-COUNTBLANK(OFFSET(A$1,,,SUMPRODUCT(MAX(ROW(E$1:E6606)*(E2=E$1:E6606))))))</f>
        <v> </v>
      </c>
      <c r="K6607" s="26" t="str">
        <f>IF(OR(E6607="",E6607="!!!",F6607="NEW"),"",INDEX(J$1:J6606,SUMPRODUCT(MAX(ROW(E$1:E6606)*(E6607=E$1:E6606)))))</f>
        <v> </v>
      </c>
      <c r="L6607" s="27"/>
    </row>
    <row r="6608" spans="1:12">
      <c r="A6608" s="20" t="s">
        <v>1498</v>
      </c>
      <c r="B6608" s="21" t="s">
        <v>989</v>
      </c>
      <c r="C6608" s="21" t="s">
        <v>995</v>
      </c>
      <c r="D6608" s="21" t="s">
        <v>978</v>
      </c>
      <c r="E6608" s="22">
        <f>IF(D6608="?OLD","!!!","")</f>
        <v/>
      </c>
      <c r="F6608" s="23" t="str">
        <f>IF(OR(E6608="",E6608="!!!"),"",IF(NOT(ISNA(VLOOKUP(E6608,E$1:E6607,1,FALSE()))),"OLD",IF(AND(E6608&lt;&gt;"",E6608&lt;&gt;"!!!"),"NEW","")))</f>
        <v> </v>
      </c>
      <c r="G6608" s="24" t="str">
        <f>IF(OR(E6608="",E6608="!!!"),"",IF(OR(J6608=0,AND(J6608=1,K6608=1),AND(J6608=1,I6608="SBJ"),AND(J6608=1,I6608=0)),"?IN_FOCUS",IF(J6608&lt;=2,"?ACTIVATED",IF(J6608&lt;&gt;"","?FAMILIAR",IF(F6608="NEW",IF(ISNA(VLOOKUP(E6608,#REF!,1,FALSE())),"?TYPE_IDENTIFIABLE","?REFERENTIAL"),"_")))))</f>
        <v> </v>
      </c>
      <c r="H6608" s="25" t="str">
        <f>IF(J6608&lt;&gt;1,"",IF(I6608="SBJ","CB","?"))</f>
        <v> </v>
      </c>
      <c r="I6608" s="26" t="str">
        <f>IF(OR(E6608="",E6608="!!!",F6608="NEW"),"",INDEX(B6607:B$2,-1+SUMPRODUCT(MAX(ROW(E6607:E$2)*(E6608=E6607:E$2)))))</f>
        <v> </v>
      </c>
      <c r="J6608" s="26" t="str">
        <f>IF(OR(E6608="",E6608="!!!",F6608="NEW"),"",COUNTBLANK(OFFSET(A$1,,,SUMPRODUCT(MAX(ROW(E$2:E6608)*(E6608=E$2:E6608)))))-COUNTBLANK(OFFSET(A$1,,,SUMPRODUCT(MAX(ROW(E$1:E6607)*(E2=E$1:E6607))))))</f>
        <v> </v>
      </c>
      <c r="K6608" s="26" t="str">
        <f>IF(OR(E6608="",E6608="!!!",F6608="NEW"),"",INDEX(J$1:J6607,SUMPRODUCT(MAX(ROW(E$1:E6607)*(E6608=E$1:E6607)))))</f>
        <v> </v>
      </c>
      <c r="L6608" s="27"/>
    </row>
    <row r="6609" spans="1:12">
      <c r="A6609" s="20" t="s">
        <v>2031</v>
      </c>
      <c r="E6609" s="22">
        <f>IF(D6609="?OLD","!!!","")</f>
        <v/>
      </c>
      <c r="F6609" s="23" t="str">
        <f>IF(OR(E6609="",E6609="!!!"),"",IF(NOT(ISNA(VLOOKUP(E6609,E$1:E6608,1,FALSE()))),"OLD",IF(AND(E6609&lt;&gt;"",E6609&lt;&gt;"!!!"),"NEW","")))</f>
        <v> </v>
      </c>
      <c r="G6609" s="24" t="str">
        <f>IF(OR(E6609="",E6609="!!!"),"",IF(OR(J6609=0,AND(J6609=1,K6609=1),AND(J6609=1,I6609="SBJ"),AND(J6609=1,I6609=0)),"?IN_FOCUS",IF(J6609&lt;=2,"?ACTIVATED",IF(J6609&lt;&gt;"","?FAMILIAR",IF(F6609="NEW",IF(ISNA(VLOOKUP(E6609,#REF!,1,FALSE())),"?TYPE_IDENTIFIABLE","?REFERENTIAL"),"_")))))</f>
        <v> </v>
      </c>
      <c r="H6609" s="25" t="str">
        <f>IF(J6609&lt;&gt;1,"",IF(I6609="SBJ","CB","?"))</f>
        <v> </v>
      </c>
      <c r="I6609" s="26" t="str">
        <f>IF(OR(E6609="",E6609="!!!",F6609="NEW"),"",INDEX(B6608:B$2,-1+SUMPRODUCT(MAX(ROW(E6608:E$2)*(E6609=E6608:E$2)))))</f>
        <v> </v>
      </c>
      <c r="J6609" s="26" t="str">
        <f>IF(OR(E6609="",E6609="!!!",F6609="NEW"),"",COUNTBLANK(OFFSET(A$1,,,SUMPRODUCT(MAX(ROW(E$2:E6609)*(E6609=E$2:E6609)))))-COUNTBLANK(OFFSET(A$1,,,SUMPRODUCT(MAX(ROW(E$1:E6608)*(E2=E$1:E6608))))))</f>
        <v> </v>
      </c>
      <c r="K6609" s="26" t="str">
        <f>IF(OR(E6609="",E6609="!!!",F6609="NEW"),"",INDEX(J$1:J6608,SUMPRODUCT(MAX(ROW(E$1:E6608)*(E6609=E$1:E6608)))))</f>
        <v> </v>
      </c>
      <c r="L6609" s="27"/>
    </row>
    <row r="6610" spans="1:12">
      <c r="A6610" s="20" t="s">
        <v>1047</v>
      </c>
      <c r="B6610" s="21" t="s">
        <v>1066</v>
      </c>
      <c r="C6610" s="21" t="s">
        <v>977</v>
      </c>
      <c r="D6610" s="21" t="s">
        <v>978</v>
      </c>
      <c r="E6610" s="22">
        <f>IF(D6610="?OLD","!!!","")</f>
        <v/>
      </c>
      <c r="F6610" s="23" t="str">
        <f>IF(OR(E6610="",E6610="!!!"),"",IF(NOT(ISNA(VLOOKUP(E6610,E$1:E6609,1,FALSE()))),"OLD",IF(AND(E6610&lt;&gt;"",E6610&lt;&gt;"!!!"),"NEW","")))</f>
        <v> </v>
      </c>
      <c r="G6610" s="24" t="str">
        <f>IF(OR(E6610="",E6610="!!!"),"",IF(OR(J6610=0,AND(J6610=1,K6610=1),AND(J6610=1,I6610="SBJ"),AND(J6610=1,I6610=0)),"?IN_FOCUS",IF(J6610&lt;=2,"?ACTIVATED",IF(J6610&lt;&gt;"","?FAMILIAR",IF(F6610="NEW",IF(ISNA(VLOOKUP(E6610,#REF!,1,FALSE())),"?TYPE_IDENTIFIABLE","?REFERENTIAL"),"_")))))</f>
        <v> </v>
      </c>
      <c r="H6610" s="25" t="str">
        <f>IF(J6610&lt;&gt;1,"",IF(I6610="SBJ","CB","?"))</f>
        <v> </v>
      </c>
      <c r="I6610" s="26" t="str">
        <f>IF(OR(E6610="",E6610="!!!",F6610="NEW"),"",INDEX(B6609:B$2,-1+SUMPRODUCT(MAX(ROW(E6609:E$2)*(E6610=E6609:E$2)))))</f>
        <v> </v>
      </c>
      <c r="J6610" s="26" t="str">
        <f>IF(OR(E6610="",E6610="!!!",F6610="NEW"),"",COUNTBLANK(OFFSET(A$1,,,SUMPRODUCT(MAX(ROW(E$2:E6610)*(E6610=E$2:E6610)))))-COUNTBLANK(OFFSET(A$1,,,SUMPRODUCT(MAX(ROW(E$1:E6609)*(E2=E$1:E6609))))))</f>
        <v> </v>
      </c>
      <c r="K6610" s="26" t="str">
        <f>IF(OR(E6610="",E6610="!!!",F6610="NEW"),"",INDEX(J$1:J6609,SUMPRODUCT(MAX(ROW(E$1:E6609)*(E6610=E$1:E6609)))))</f>
        <v> </v>
      </c>
      <c r="L6610" s="27"/>
    </row>
    <row r="6611" spans="1:12">
      <c r="A6611" s="20" t="s">
        <v>1164</v>
      </c>
      <c r="E6611" s="22">
        <f>IF(D6611="?OLD","!!!","")</f>
        <v/>
      </c>
      <c r="F6611" s="23" t="str">
        <f>IF(OR(E6611="",E6611="!!!"),"",IF(NOT(ISNA(VLOOKUP(E6611,E$1:E6610,1,FALSE()))),"OLD",IF(AND(E6611&lt;&gt;"",E6611&lt;&gt;"!!!"),"NEW","")))</f>
        <v> </v>
      </c>
      <c r="G6611" s="24" t="str">
        <f>IF(OR(E6611="",E6611="!!!"),"",IF(OR(J6611=0,AND(J6611=1,K6611=1),AND(J6611=1,I6611="SBJ"),AND(J6611=1,I6611=0)),"?IN_FOCUS",IF(J6611&lt;=2,"?ACTIVATED",IF(J6611&lt;&gt;"","?FAMILIAR",IF(F6611="NEW",IF(ISNA(VLOOKUP(E6611,#REF!,1,FALSE())),"?TYPE_IDENTIFIABLE","?REFERENTIAL"),"_")))))</f>
        <v> </v>
      </c>
      <c r="H6611" s="25" t="str">
        <f>IF(J6611&lt;&gt;1,"",IF(I6611="SBJ","CB","?"))</f>
        <v> </v>
      </c>
      <c r="I6611" s="26" t="str">
        <f>IF(OR(E6611="",E6611="!!!",F6611="NEW"),"",INDEX(B6610:B$2,-1+SUMPRODUCT(MAX(ROW(E6610:E$2)*(E6611=E6610:E$2)))))</f>
        <v> </v>
      </c>
      <c r="J6611" s="26" t="str">
        <f>IF(OR(E6611="",E6611="!!!",F6611="NEW"),"",COUNTBLANK(OFFSET(A$1,,,SUMPRODUCT(MAX(ROW(E$2:E6611)*(E6611=E$2:E6611)))))-COUNTBLANK(OFFSET(A$1,,,SUMPRODUCT(MAX(ROW(E$1:E6610)*(E2=E$1:E6610))))))</f>
        <v> </v>
      </c>
      <c r="K6611" s="26" t="str">
        <f>IF(OR(E6611="",E6611="!!!",F6611="NEW"),"",INDEX(J$1:J6610,SUMPRODUCT(MAX(ROW(E$1:E6610)*(E6611=E$1:E6610)))))</f>
        <v> </v>
      </c>
      <c r="L6611" s="27"/>
    </row>
    <row r="6612" spans="1:12">
      <c r="A6612" s="20" t="s">
        <v>1546</v>
      </c>
      <c r="E6612" s="22">
        <f>IF(D6612="?OLD","!!!","")</f>
        <v/>
      </c>
      <c r="F6612" s="23" t="str">
        <f>IF(OR(E6612="",E6612="!!!"),"",IF(NOT(ISNA(VLOOKUP(E6612,E$1:E6611,1,FALSE()))),"OLD",IF(AND(E6612&lt;&gt;"",E6612&lt;&gt;"!!!"),"NEW","")))</f>
        <v> </v>
      </c>
      <c r="G6612" s="24" t="str">
        <f>IF(OR(E6612="",E6612="!!!"),"",IF(OR(J6612=0,AND(J6612=1,K6612=1),AND(J6612=1,I6612="SBJ"),AND(J6612=1,I6612=0)),"?IN_FOCUS",IF(J6612&lt;=2,"?ACTIVATED",IF(J6612&lt;&gt;"","?FAMILIAR",IF(F6612="NEW",IF(ISNA(VLOOKUP(E6612,#REF!,1,FALSE())),"?TYPE_IDENTIFIABLE","?REFERENTIAL"),"_")))))</f>
        <v> </v>
      </c>
      <c r="H6612" s="25" t="str">
        <f>IF(J6612&lt;&gt;1,"",IF(I6612="SBJ","CB","?"))</f>
        <v> </v>
      </c>
      <c r="I6612" s="26" t="str">
        <f>IF(OR(E6612="",E6612="!!!",F6612="NEW"),"",INDEX(B6611:B$2,-1+SUMPRODUCT(MAX(ROW(E6611:E$2)*(E6612=E6611:E$2)))))</f>
        <v> </v>
      </c>
      <c r="J6612" s="26" t="str">
        <f>IF(OR(E6612="",E6612="!!!",F6612="NEW"),"",COUNTBLANK(OFFSET(A$1,,,SUMPRODUCT(MAX(ROW(E$2:E6612)*(E6612=E$2:E6612)))))-COUNTBLANK(OFFSET(A$1,,,SUMPRODUCT(MAX(ROW(E$1:E6611)*(E2=E$1:E6611))))))</f>
        <v> </v>
      </c>
      <c r="K6612" s="26" t="str">
        <f>IF(OR(E6612="",E6612="!!!",F6612="NEW"),"",INDEX(J$1:J6611,SUMPRODUCT(MAX(ROW(E$1:E6611)*(E6612=E$1:E6611)))))</f>
        <v> </v>
      </c>
      <c r="L6612" s="27"/>
    </row>
    <row r="6613" spans="1:12">
      <c r="A6613" s="20" t="s">
        <v>1022</v>
      </c>
      <c r="E6613" s="22">
        <f>IF(D6613="?OLD","!!!","")</f>
        <v/>
      </c>
      <c r="F6613" s="23" t="str">
        <f>IF(OR(E6613="",E6613="!!!"),"",IF(NOT(ISNA(VLOOKUP(E6613,E$1:E6612,1,FALSE()))),"OLD",IF(AND(E6613&lt;&gt;"",E6613&lt;&gt;"!!!"),"NEW","")))</f>
        <v> </v>
      </c>
      <c r="G6613" s="24" t="str">
        <f>IF(OR(E6613="",E6613="!!!"),"",IF(OR(J6613=0,AND(J6613=1,K6613=1),AND(J6613=1,I6613="SBJ"),AND(J6613=1,I6613=0)),"?IN_FOCUS",IF(J6613&lt;=2,"?ACTIVATED",IF(J6613&lt;&gt;"","?FAMILIAR",IF(F6613="NEW",IF(ISNA(VLOOKUP(E6613,#REF!,1,FALSE())),"?TYPE_IDENTIFIABLE","?REFERENTIAL"),"_")))))</f>
        <v> </v>
      </c>
      <c r="H6613" s="25" t="str">
        <f>IF(J6613&lt;&gt;1,"",IF(I6613="SBJ","CB","?"))</f>
        <v> </v>
      </c>
      <c r="I6613" s="26" t="str">
        <f>IF(OR(E6613="",E6613="!!!",F6613="NEW"),"",INDEX(B6612:B$2,-1+SUMPRODUCT(MAX(ROW(E6612:E$2)*(E6613=E6612:E$2)))))</f>
        <v> </v>
      </c>
      <c r="J6613" s="26" t="str">
        <f>IF(OR(E6613="",E6613="!!!",F6613="NEW"),"",COUNTBLANK(OFFSET(A$1,,,SUMPRODUCT(MAX(ROW(E$2:E6613)*(E6613=E$2:E6613)))))-COUNTBLANK(OFFSET(A$1,,,SUMPRODUCT(MAX(ROW(E$1:E6612)*(E2=E$1:E6612))))))</f>
        <v> </v>
      </c>
      <c r="K6613" s="26" t="str">
        <f>IF(OR(E6613="",E6613="!!!",F6613="NEW"),"",INDEX(J$1:J6612,SUMPRODUCT(MAX(ROW(E$1:E6612)*(E6613=E$1:E6612)))))</f>
        <v> </v>
      </c>
      <c r="L6613" s="27"/>
    </row>
    <row r="6614" spans="1:12">
      <c r="A6614" s="20"/>
    </row>
    <row r="6615" spans="1:12">
      <c r="A6615" s="20" t="s">
        <v>2591</v>
      </c>
    </row>
    <row r="6616" spans="1:12">
      <c r="A6616" s="20" t="s">
        <v>975</v>
      </c>
      <c r="B6616" s="21" t="s">
        <v>976</v>
      </c>
      <c r="C6616" s="21" t="s">
        <v>977</v>
      </c>
      <c r="D6616" s="21" t="s">
        <v>978</v>
      </c>
      <c r="E6616" s="22">
        <f>IF(D6616="?OLD","!!!","")</f>
        <v/>
      </c>
      <c r="F6616" s="23" t="str">
        <f>IF(OR(E6616="",E6616="!!!"),"",IF(NOT(ISNA(VLOOKUP(E6616,E$1:E6615,1,FALSE()))),"OLD",IF(AND(E6616&lt;&gt;"",E6616&lt;&gt;"!!!"),"NEW","")))</f>
        <v> </v>
      </c>
      <c r="G6616" s="24" t="str">
        <f>IF(OR(E6616="",E6616="!!!"),"",IF(OR(J6616=0,AND(J6616=1,K6616=1),AND(J6616=1,I6616="SBJ"),AND(J6616=1,I6616=0)),"?IN_FOCUS",IF(J6616&lt;=2,"?ACTIVATED",IF(J6616&lt;&gt;"","?FAMILIAR",IF(F6616="NEW",IF(ISNA(VLOOKUP(E6616,#REF!,1,FALSE())),"?TYPE_IDENTIFIABLE","?REFERENTIAL"),"_")))))</f>
        <v> </v>
      </c>
      <c r="H6616" s="25" t="str">
        <f>IF(J6616&lt;&gt;1,"",IF(I6616="SBJ","CB","?"))</f>
        <v> </v>
      </c>
      <c r="I6616" s="26" t="str">
        <f>IF(OR(E6616="",E6616="!!!",F6616="NEW"),"",INDEX(B6615:B$2,-1+SUMPRODUCT(MAX(ROW(E6615:E$2)*(E6616=E6615:E$2)))))</f>
        <v> </v>
      </c>
      <c r="J6616" s="26" t="str">
        <f>IF(OR(E6616="",E6616="!!!",F6616="NEW"),"",COUNTBLANK(OFFSET(A$1,,,SUMPRODUCT(MAX(ROW(E$2:E6616)*(E6616=E$2:E6616)))))-COUNTBLANK(OFFSET(A$1,,,SUMPRODUCT(MAX(ROW(E$1:E6615)*(E2=E$1:E6615))))))</f>
        <v> </v>
      </c>
      <c r="K6616" s="26" t="str">
        <f>IF(OR(E6616="",E6616="!!!",F6616="NEW"),"",INDEX(J$1:J6615,SUMPRODUCT(MAX(ROW(E$1:E6615)*(E6616=E$1:E6615)))))</f>
        <v> </v>
      </c>
      <c r="L6616" s="27"/>
    </row>
    <row r="6617" spans="1:12">
      <c r="A6617" s="20" t="s">
        <v>979</v>
      </c>
      <c r="E6617" s="22">
        <f>IF(D6617="?OLD","!!!","")</f>
        <v/>
      </c>
      <c r="F6617" s="23" t="str">
        <f>IF(OR(E6617="",E6617="!!!"),"",IF(NOT(ISNA(VLOOKUP(E6617,E$1:E6616,1,FALSE()))),"OLD",IF(AND(E6617&lt;&gt;"",E6617&lt;&gt;"!!!"),"NEW","")))</f>
        <v> </v>
      </c>
      <c r="G6617" s="24" t="str">
        <f>IF(OR(E6617="",E6617="!!!"),"",IF(OR(J6617=0,AND(J6617=1,K6617=1),AND(J6617=1,I6617="SBJ"),AND(J6617=1,I6617=0)),"?IN_FOCUS",IF(J6617&lt;=2,"?ACTIVATED",IF(J6617&lt;&gt;"","?FAMILIAR",IF(F6617="NEW",IF(ISNA(VLOOKUP(E6617,#REF!,1,FALSE())),"?TYPE_IDENTIFIABLE","?REFERENTIAL"),"_")))))</f>
        <v> </v>
      </c>
      <c r="H6617" s="25" t="str">
        <f>IF(J6617&lt;&gt;1,"",IF(I6617="SBJ","CB","?"))</f>
        <v> </v>
      </c>
      <c r="I6617" s="26" t="str">
        <f>IF(OR(E6617="",E6617="!!!",F6617="NEW"),"",INDEX(B6616:B$2,-1+SUMPRODUCT(MAX(ROW(E6616:E$2)*(E6617=E6616:E$2)))))</f>
        <v> </v>
      </c>
      <c r="J6617" s="26" t="str">
        <f>IF(OR(E6617="",E6617="!!!",F6617="NEW"),"",COUNTBLANK(OFFSET(A$1,,,SUMPRODUCT(MAX(ROW(E$2:E6617)*(E6617=E$2:E6617)))))-COUNTBLANK(OFFSET(A$1,,,SUMPRODUCT(MAX(ROW(E$1:E6616)*(E2=E$1:E6616))))))</f>
        <v> </v>
      </c>
      <c r="K6617" s="26" t="str">
        <f>IF(OR(E6617="",E6617="!!!",F6617="NEW"),"",INDEX(J$1:J6616,SUMPRODUCT(MAX(ROW(E$1:E6616)*(E6617=E$1:E6616)))))</f>
        <v> </v>
      </c>
      <c r="L6617" s="27"/>
    </row>
    <row r="6618" spans="1:12">
      <c r="A6618" s="20" t="s">
        <v>980</v>
      </c>
      <c r="E6618" s="22">
        <f>IF(D6618="?OLD","!!!","")</f>
        <v/>
      </c>
      <c r="F6618" s="23" t="str">
        <f>IF(OR(E6618="",E6618="!!!"),"",IF(NOT(ISNA(VLOOKUP(E6618,E$1:E6617,1,FALSE()))),"OLD",IF(AND(E6618&lt;&gt;"",E6618&lt;&gt;"!!!"),"NEW","")))</f>
        <v> </v>
      </c>
      <c r="G6618" s="24" t="str">
        <f>IF(OR(E6618="",E6618="!!!"),"",IF(OR(J6618=0,AND(J6618=1,K6618=1),AND(J6618=1,I6618="SBJ"),AND(J6618=1,I6618=0)),"?IN_FOCUS",IF(J6618&lt;=2,"?ACTIVATED",IF(J6618&lt;&gt;"","?FAMILIAR",IF(F6618="NEW",IF(ISNA(VLOOKUP(E6618,#REF!,1,FALSE())),"?TYPE_IDENTIFIABLE","?REFERENTIAL"),"_")))))</f>
        <v> </v>
      </c>
      <c r="H6618" s="25" t="str">
        <f>IF(J6618&lt;&gt;1,"",IF(I6618="SBJ","CB","?"))</f>
        <v> </v>
      </c>
      <c r="I6618" s="26" t="str">
        <f>IF(OR(E6618="",E6618="!!!",F6618="NEW"),"",INDEX(B6617:B$2,-1+SUMPRODUCT(MAX(ROW(E6617:E$2)*(E6618=E6617:E$2)))))</f>
        <v> </v>
      </c>
      <c r="J6618" s="26" t="str">
        <f>IF(OR(E6618="",E6618="!!!",F6618="NEW"),"",COUNTBLANK(OFFSET(A$1,,,SUMPRODUCT(MAX(ROW(E$2:E6618)*(E6618=E$2:E6618)))))-COUNTBLANK(OFFSET(A$1,,,SUMPRODUCT(MAX(ROW(E$1:E6617)*(E2=E$1:E6617))))))</f>
        <v> </v>
      </c>
      <c r="K6618" s="26" t="str">
        <f>IF(OR(E6618="",E6618="!!!",F6618="NEW"),"",INDEX(J$1:J6617,SUMPRODUCT(MAX(ROW(E$1:E6617)*(E6618=E$1:E6617)))))</f>
        <v> </v>
      </c>
      <c r="L6618" s="27"/>
    </row>
    <row r="6619" spans="1:12">
      <c r="A6619" s="20" t="s">
        <v>1689</v>
      </c>
      <c r="E6619" s="22">
        <f>IF(D6619="?OLD","!!!","")</f>
        <v/>
      </c>
      <c r="F6619" s="23" t="str">
        <f>IF(OR(E6619="",E6619="!!!"),"",IF(NOT(ISNA(VLOOKUP(E6619,E$1:E6618,1,FALSE()))),"OLD",IF(AND(E6619&lt;&gt;"",E6619&lt;&gt;"!!!"),"NEW","")))</f>
        <v> </v>
      </c>
      <c r="G6619" s="24" t="str">
        <f>IF(OR(E6619="",E6619="!!!"),"",IF(OR(J6619=0,AND(J6619=1,K6619=1),AND(J6619=1,I6619="SBJ"),AND(J6619=1,I6619=0)),"?IN_FOCUS",IF(J6619&lt;=2,"?ACTIVATED",IF(J6619&lt;&gt;"","?FAMILIAR",IF(F6619="NEW",IF(ISNA(VLOOKUP(E6619,#REF!,1,FALSE())),"?TYPE_IDENTIFIABLE","?REFERENTIAL"),"_")))))</f>
        <v> </v>
      </c>
      <c r="H6619" s="25" t="str">
        <f>IF(J6619&lt;&gt;1,"",IF(I6619="SBJ","CB","?"))</f>
        <v> </v>
      </c>
      <c r="I6619" s="26" t="str">
        <f>IF(OR(E6619="",E6619="!!!",F6619="NEW"),"",INDEX(B6618:B$2,-1+SUMPRODUCT(MAX(ROW(E6618:E$2)*(E6619=E6618:E$2)))))</f>
        <v> </v>
      </c>
      <c r="J6619" s="26" t="str">
        <f>IF(OR(E6619="",E6619="!!!",F6619="NEW"),"",COUNTBLANK(OFFSET(A$1,,,SUMPRODUCT(MAX(ROW(E$2:E6619)*(E6619=E$2:E6619)))))-COUNTBLANK(OFFSET(A$1,,,SUMPRODUCT(MAX(ROW(E$1:E6618)*(E2=E$1:E6618))))))</f>
        <v> </v>
      </c>
      <c r="K6619" s="26" t="str">
        <f>IF(OR(E6619="",E6619="!!!",F6619="NEW"),"",INDEX(J$1:J6618,SUMPRODUCT(MAX(ROW(E$1:E6618)*(E6619=E$1:E6618)))))</f>
        <v> </v>
      </c>
      <c r="L6619" s="27"/>
    </row>
    <row r="6620" spans="1:12">
      <c r="A6620" s="20" t="s">
        <v>981</v>
      </c>
      <c r="B6620" s="21" t="s">
        <v>982</v>
      </c>
      <c r="C6620" s="21" t="s">
        <v>1063</v>
      </c>
      <c r="D6620" s="21" t="s">
        <v>978</v>
      </c>
      <c r="E6620" s="22">
        <f>IF(D6620="?OLD","!!!","")</f>
        <v/>
      </c>
      <c r="F6620" s="23" t="str">
        <f>IF(OR(E6620="",E6620="!!!"),"",IF(NOT(ISNA(VLOOKUP(E6620,E$1:E6619,1,FALSE()))),"OLD",IF(AND(E6620&lt;&gt;"",E6620&lt;&gt;"!!!"),"NEW","")))</f>
        <v> </v>
      </c>
      <c r="G6620" s="24" t="str">
        <f>IF(OR(E6620="",E6620="!!!"),"",IF(OR(J6620=0,AND(J6620=1,K6620=1),AND(J6620=1,I6620="SBJ"),AND(J6620=1,I6620=0)),"?IN_FOCUS",IF(J6620&lt;=2,"?ACTIVATED",IF(J6620&lt;&gt;"","?FAMILIAR",IF(F6620="NEW",IF(ISNA(VLOOKUP(E6620,#REF!,1,FALSE())),"?TYPE_IDENTIFIABLE","?REFERENTIAL"),"_")))))</f>
        <v> </v>
      </c>
      <c r="H6620" s="25" t="str">
        <f>IF(J6620&lt;&gt;1,"",IF(I6620="SBJ","CB","?"))</f>
        <v> </v>
      </c>
      <c r="I6620" s="26" t="str">
        <f>IF(OR(E6620="",E6620="!!!",F6620="NEW"),"",INDEX(B6619:B$2,-1+SUMPRODUCT(MAX(ROW(E6619:E$2)*(E6620=E6619:E$2)))))</f>
        <v> </v>
      </c>
      <c r="J6620" s="26" t="str">
        <f>IF(OR(E6620="",E6620="!!!",F6620="NEW"),"",COUNTBLANK(OFFSET(A$1,,,SUMPRODUCT(MAX(ROW(E$2:E6620)*(E6620=E$2:E6620)))))-COUNTBLANK(OFFSET(A$1,,,SUMPRODUCT(MAX(ROW(E$1:E6619)*(E2=E$1:E6619))))))</f>
        <v> </v>
      </c>
      <c r="K6620" s="26" t="str">
        <f>IF(OR(E6620="",E6620="!!!",F6620="NEW"),"",INDEX(J$1:J6619,SUMPRODUCT(MAX(ROW(E$1:E6619)*(E6620=E$1:E6619)))))</f>
        <v> </v>
      </c>
      <c r="L6620" s="27"/>
    </row>
    <row r="6621" spans="1:12">
      <c r="A6621" s="20" t="s">
        <v>984</v>
      </c>
      <c r="E6621" s="22">
        <f>IF(D6621="?OLD","!!!","")</f>
        <v/>
      </c>
      <c r="F6621" s="23" t="str">
        <f>IF(OR(E6621="",E6621="!!!"),"",IF(NOT(ISNA(VLOOKUP(E6621,E$1:E6620,1,FALSE()))),"OLD",IF(AND(E6621&lt;&gt;"",E6621&lt;&gt;"!!!"),"NEW","")))</f>
        <v> </v>
      </c>
      <c r="G6621" s="24" t="str">
        <f>IF(OR(E6621="",E6621="!!!"),"",IF(OR(J6621=0,AND(J6621=1,K6621=1),AND(J6621=1,I6621="SBJ"),AND(J6621=1,I6621=0)),"?IN_FOCUS",IF(J6621&lt;=2,"?ACTIVATED",IF(J6621&lt;&gt;"","?FAMILIAR",IF(F6621="NEW",IF(ISNA(VLOOKUP(E6621,#REF!,1,FALSE())),"?TYPE_IDENTIFIABLE","?REFERENTIAL"),"_")))))</f>
        <v> </v>
      </c>
      <c r="H6621" s="25" t="str">
        <f>IF(J6621&lt;&gt;1,"",IF(I6621="SBJ","CB","?"))</f>
        <v> </v>
      </c>
      <c r="I6621" s="26" t="str">
        <f>IF(OR(E6621="",E6621="!!!",F6621="NEW"),"",INDEX(B6620:B$2,-1+SUMPRODUCT(MAX(ROW(E6620:E$2)*(E6621=E6620:E$2)))))</f>
        <v> </v>
      </c>
      <c r="J6621" s="26" t="str">
        <f>IF(OR(E6621="",E6621="!!!",F6621="NEW"),"",COUNTBLANK(OFFSET(A$1,,,SUMPRODUCT(MAX(ROW(E$2:E6621)*(E6621=E$2:E6621)))))-COUNTBLANK(OFFSET(A$1,,,SUMPRODUCT(MAX(ROW(E$1:E6620)*(E2=E$1:E6620))))))</f>
        <v> </v>
      </c>
      <c r="K6621" s="26" t="str">
        <f>IF(OR(E6621="",E6621="!!!",F6621="NEW"),"",INDEX(J$1:J6620,SUMPRODUCT(MAX(ROW(E$1:E6620)*(E6621=E$1:E6620)))))</f>
        <v> </v>
      </c>
      <c r="L6621" s="27"/>
    </row>
    <row r="6622" spans="1:12">
      <c r="A6622" s="20" t="s">
        <v>985</v>
      </c>
      <c r="B6622" s="21" t="s">
        <v>986</v>
      </c>
      <c r="C6622" s="21" t="s">
        <v>987</v>
      </c>
      <c r="D6622" s="21" t="s">
        <v>978</v>
      </c>
      <c r="E6622" s="22">
        <f>IF(D6622="?OLD","!!!","")</f>
        <v/>
      </c>
      <c r="F6622" s="23" t="str">
        <f>IF(OR(E6622="",E6622="!!!"),"",IF(NOT(ISNA(VLOOKUP(E6622,E$1:E6621,1,FALSE()))),"OLD",IF(AND(E6622&lt;&gt;"",E6622&lt;&gt;"!!!"),"NEW","")))</f>
        <v> </v>
      </c>
      <c r="G6622" s="24" t="str">
        <f>IF(OR(E6622="",E6622="!!!"),"",IF(OR(J6622=0,AND(J6622=1,K6622=1),AND(J6622=1,I6622="SBJ"),AND(J6622=1,I6622=0)),"?IN_FOCUS",IF(J6622&lt;=2,"?ACTIVATED",IF(J6622&lt;&gt;"","?FAMILIAR",IF(F6622="NEW",IF(ISNA(VLOOKUP(E6622,#REF!,1,FALSE())),"?TYPE_IDENTIFIABLE","?REFERENTIAL"),"_")))))</f>
        <v> </v>
      </c>
      <c r="H6622" s="25" t="str">
        <f>IF(J6622&lt;&gt;1,"",IF(I6622="SBJ","CB","?"))</f>
        <v> </v>
      </c>
      <c r="I6622" s="26" t="str">
        <f>IF(OR(E6622="",E6622="!!!",F6622="NEW"),"",INDEX(B6621:B$2,-1+SUMPRODUCT(MAX(ROW(E6621:E$2)*(E6622=E6621:E$2)))))</f>
        <v> </v>
      </c>
      <c r="J6622" s="26" t="str">
        <f>IF(OR(E6622="",E6622="!!!",F6622="NEW"),"",COUNTBLANK(OFFSET(A$1,,,SUMPRODUCT(MAX(ROW(E$2:E6622)*(E6622=E$2:E6622)))))-COUNTBLANK(OFFSET(A$1,,,SUMPRODUCT(MAX(ROW(E$1:E6621)*(E2=E$1:E6621))))))</f>
        <v> </v>
      </c>
      <c r="K6622" s="26" t="str">
        <f>IF(OR(E6622="",E6622="!!!",F6622="NEW"),"",INDEX(J$1:J6621,SUMPRODUCT(MAX(ROW(E$1:E6621)*(E6622=E$1:E6621)))))</f>
        <v> </v>
      </c>
      <c r="L6622" s="27"/>
    </row>
    <row r="6623" spans="1:12">
      <c r="A6623" s="20" t="s">
        <v>988</v>
      </c>
      <c r="B6623" s="21" t="s">
        <v>989</v>
      </c>
      <c r="C6623" s="21" t="s">
        <v>990</v>
      </c>
      <c r="D6623" s="21" t="s">
        <v>978</v>
      </c>
      <c r="E6623" s="22">
        <f>IF(D6623="?OLD","!!!","")</f>
        <v/>
      </c>
      <c r="F6623" s="23" t="str">
        <f>IF(OR(E6623="",E6623="!!!"),"",IF(NOT(ISNA(VLOOKUP(E6623,E$1:E6622,1,FALSE()))),"OLD",IF(AND(E6623&lt;&gt;"",E6623&lt;&gt;"!!!"),"NEW","")))</f>
        <v> </v>
      </c>
      <c r="G6623" s="24" t="str">
        <f>IF(OR(E6623="",E6623="!!!"),"",IF(OR(J6623=0,AND(J6623=1,K6623=1),AND(J6623=1,I6623="SBJ"),AND(J6623=1,I6623=0)),"?IN_FOCUS",IF(J6623&lt;=2,"?ACTIVATED",IF(J6623&lt;&gt;"","?FAMILIAR",IF(F6623="NEW",IF(ISNA(VLOOKUP(E6623,#REF!,1,FALSE())),"?TYPE_IDENTIFIABLE","?REFERENTIAL"),"_")))))</f>
        <v> </v>
      </c>
      <c r="H6623" s="25" t="str">
        <f>IF(J6623&lt;&gt;1,"",IF(I6623="SBJ","CB","?"))</f>
        <v> </v>
      </c>
      <c r="I6623" s="26" t="str">
        <f>IF(OR(E6623="",E6623="!!!",F6623="NEW"),"",INDEX(B6622:B$2,-1+SUMPRODUCT(MAX(ROW(E6622:E$2)*(E6623=E6622:E$2)))))</f>
        <v> </v>
      </c>
      <c r="J6623" s="26" t="str">
        <f>IF(OR(E6623="",E6623="!!!",F6623="NEW"),"",COUNTBLANK(OFFSET(A$1,,,SUMPRODUCT(MAX(ROW(E$2:E6623)*(E6623=E$2:E6623)))))-COUNTBLANK(OFFSET(A$1,,,SUMPRODUCT(MAX(ROW(E$1:E6622)*(E2=E$1:E6622))))))</f>
        <v> </v>
      </c>
      <c r="K6623" s="26" t="str">
        <f>IF(OR(E6623="",E6623="!!!",F6623="NEW"),"",INDEX(J$1:J6622,SUMPRODUCT(MAX(ROW(E$1:E6622)*(E6623=E$1:E6622)))))</f>
        <v> </v>
      </c>
      <c r="L6623" s="27"/>
    </row>
    <row r="6624" spans="1:12">
      <c r="A6624" s="20" t="s">
        <v>1002</v>
      </c>
      <c r="E6624" s="22">
        <f>IF(D6624="?OLD","!!!","")</f>
        <v/>
      </c>
      <c r="F6624" s="23" t="str">
        <f>IF(OR(E6624="",E6624="!!!"),"",IF(NOT(ISNA(VLOOKUP(E6624,E$1:E6623,1,FALSE()))),"OLD",IF(AND(E6624&lt;&gt;"",E6624&lt;&gt;"!!!"),"NEW","")))</f>
        <v> </v>
      </c>
      <c r="G6624" s="24" t="str">
        <f>IF(OR(E6624="",E6624="!!!"),"",IF(OR(J6624=0,AND(J6624=1,K6624=1),AND(J6624=1,I6624="SBJ"),AND(J6624=1,I6624=0)),"?IN_FOCUS",IF(J6624&lt;=2,"?ACTIVATED",IF(J6624&lt;&gt;"","?FAMILIAR",IF(F6624="NEW",IF(ISNA(VLOOKUP(E6624,#REF!,1,FALSE())),"?TYPE_IDENTIFIABLE","?REFERENTIAL"),"_")))))</f>
        <v> </v>
      </c>
      <c r="H6624" s="25" t="str">
        <f>IF(J6624&lt;&gt;1,"",IF(I6624="SBJ","CB","?"))</f>
        <v> </v>
      </c>
      <c r="I6624" s="26" t="str">
        <f>IF(OR(E6624="",E6624="!!!",F6624="NEW"),"",INDEX(B6623:B$2,-1+SUMPRODUCT(MAX(ROW(E6623:E$2)*(E6624=E6623:E$2)))))</f>
        <v> </v>
      </c>
      <c r="J6624" s="26" t="str">
        <f>IF(OR(E6624="",E6624="!!!",F6624="NEW"),"",COUNTBLANK(OFFSET(A$1,,,SUMPRODUCT(MAX(ROW(E$2:E6624)*(E6624=E$2:E6624)))))-COUNTBLANK(OFFSET(A$1,,,SUMPRODUCT(MAX(ROW(E$1:E6623)*(E2=E$1:E6623))))))</f>
        <v> </v>
      </c>
      <c r="K6624" s="26" t="str">
        <f>IF(OR(E6624="",E6624="!!!",F6624="NEW"),"",INDEX(J$1:J6623,SUMPRODUCT(MAX(ROW(E$1:E6623)*(E6624=E$1:E6623)))))</f>
        <v> </v>
      </c>
      <c r="L6624" s="27"/>
    </row>
    <row r="6625" spans="1:12">
      <c r="A6625" s="20" t="s">
        <v>1000</v>
      </c>
      <c r="E6625" s="22">
        <f>IF(D6625="?OLD","!!!","")</f>
        <v/>
      </c>
      <c r="F6625" s="23" t="str">
        <f>IF(OR(E6625="",E6625="!!!"),"",IF(NOT(ISNA(VLOOKUP(E6625,E$1:E6624,1,FALSE()))),"OLD",IF(AND(E6625&lt;&gt;"",E6625&lt;&gt;"!!!"),"NEW","")))</f>
        <v> </v>
      </c>
      <c r="G6625" s="24" t="str">
        <f>IF(OR(E6625="",E6625="!!!"),"",IF(OR(J6625=0,AND(J6625=1,K6625=1),AND(J6625=1,I6625="SBJ"),AND(J6625=1,I6625=0)),"?IN_FOCUS",IF(J6625&lt;=2,"?ACTIVATED",IF(J6625&lt;&gt;"","?FAMILIAR",IF(F6625="NEW",IF(ISNA(VLOOKUP(E6625,#REF!,1,FALSE())),"?TYPE_IDENTIFIABLE","?REFERENTIAL"),"_")))))</f>
        <v> </v>
      </c>
      <c r="H6625" s="25" t="str">
        <f>IF(J6625&lt;&gt;1,"",IF(I6625="SBJ","CB","?"))</f>
        <v> </v>
      </c>
      <c r="I6625" s="26" t="str">
        <f>IF(OR(E6625="",E6625="!!!",F6625="NEW"),"",INDEX(B6624:B$2,-1+SUMPRODUCT(MAX(ROW(E6624:E$2)*(E6625=E6624:E$2)))))</f>
        <v> </v>
      </c>
      <c r="J6625" s="26" t="str">
        <f>IF(OR(E6625="",E6625="!!!",F6625="NEW"),"",COUNTBLANK(OFFSET(A$1,,,SUMPRODUCT(MAX(ROW(E$2:E6625)*(E6625=E$2:E6625)))))-COUNTBLANK(OFFSET(A$1,,,SUMPRODUCT(MAX(ROW(E$1:E6624)*(E2=E$1:E6624))))))</f>
        <v> </v>
      </c>
      <c r="K6625" s="26" t="str">
        <f>IF(OR(E6625="",E6625="!!!",F6625="NEW"),"",INDEX(J$1:J6624,SUMPRODUCT(MAX(ROW(E$1:E6624)*(E6625=E$1:E6624)))))</f>
        <v> </v>
      </c>
      <c r="L6625" s="27"/>
    </row>
    <row r="6626" spans="1:12">
      <c r="A6626" s="20" t="s">
        <v>1047</v>
      </c>
      <c r="B6626" s="21" t="s">
        <v>1095</v>
      </c>
      <c r="C6626" s="21" t="s">
        <v>977</v>
      </c>
      <c r="D6626" s="21" t="s">
        <v>978</v>
      </c>
      <c r="E6626" s="22">
        <f>IF(D6626="?OLD","!!!","")</f>
        <v/>
      </c>
      <c r="F6626" s="23" t="str">
        <f>IF(OR(E6626="",E6626="!!!"),"",IF(NOT(ISNA(VLOOKUP(E6626,E$1:E6625,1,FALSE()))),"OLD",IF(AND(E6626&lt;&gt;"",E6626&lt;&gt;"!!!"),"NEW","")))</f>
        <v> </v>
      </c>
      <c r="G6626" s="24" t="str">
        <f>IF(OR(E6626="",E6626="!!!"),"",IF(OR(J6626=0,AND(J6626=1,K6626=1),AND(J6626=1,I6626="SBJ"),AND(J6626=1,I6626=0)),"?IN_FOCUS",IF(J6626&lt;=2,"?ACTIVATED",IF(J6626&lt;&gt;"","?FAMILIAR",IF(F6626="NEW",IF(ISNA(VLOOKUP(E6626,#REF!,1,FALSE())),"?TYPE_IDENTIFIABLE","?REFERENTIAL"),"_")))))</f>
        <v> </v>
      </c>
      <c r="H6626" s="25" t="str">
        <f>IF(J6626&lt;&gt;1,"",IF(I6626="SBJ","CB","?"))</f>
        <v> </v>
      </c>
      <c r="I6626" s="26" t="str">
        <f>IF(OR(E6626="",E6626="!!!",F6626="NEW"),"",INDEX(B6625:B$2,-1+SUMPRODUCT(MAX(ROW(E6625:E$2)*(E6626=E6625:E$2)))))</f>
        <v> </v>
      </c>
      <c r="J6626" s="26" t="str">
        <f>IF(OR(E6626="",E6626="!!!",F6626="NEW"),"",COUNTBLANK(OFFSET(A$1,,,SUMPRODUCT(MAX(ROW(E$2:E6626)*(E6626=E$2:E6626)))))-COUNTBLANK(OFFSET(A$1,,,SUMPRODUCT(MAX(ROW(E$1:E6625)*(E2=E$1:E6625))))))</f>
        <v> </v>
      </c>
      <c r="K6626" s="26" t="str">
        <f>IF(OR(E6626="",E6626="!!!",F6626="NEW"),"",INDEX(J$1:J6625,SUMPRODUCT(MAX(ROW(E$1:E6625)*(E6626=E$1:E6625)))))</f>
        <v> </v>
      </c>
      <c r="L6626" s="27"/>
    </row>
    <row r="6627" spans="1:12">
      <c r="A6627" s="20" t="s">
        <v>1011</v>
      </c>
      <c r="B6627" s="21" t="s">
        <v>1052</v>
      </c>
      <c r="C6627" s="21" t="s">
        <v>977</v>
      </c>
      <c r="D6627" s="21" t="s">
        <v>978</v>
      </c>
      <c r="E6627" s="22">
        <f>IF(D6627="?OLD","!!!","")</f>
        <v/>
      </c>
      <c r="F6627" s="23" t="str">
        <f>IF(OR(E6627="",E6627="!!!"),"",IF(NOT(ISNA(VLOOKUP(E6627,E$1:E6626,1,FALSE()))),"OLD",IF(AND(E6627&lt;&gt;"",E6627&lt;&gt;"!!!"),"NEW","")))</f>
        <v> </v>
      </c>
      <c r="G6627" s="24" t="str">
        <f>IF(OR(E6627="",E6627="!!!"),"",IF(OR(J6627=0,AND(J6627=1,K6627=1),AND(J6627=1,I6627="SBJ"),AND(J6627=1,I6627=0)),"?IN_FOCUS",IF(J6627&lt;=2,"?ACTIVATED",IF(J6627&lt;&gt;"","?FAMILIAR",IF(F6627="NEW",IF(ISNA(VLOOKUP(E6627,#REF!,1,FALSE())),"?TYPE_IDENTIFIABLE","?REFERENTIAL"),"_")))))</f>
        <v> </v>
      </c>
      <c r="H6627" s="25" t="str">
        <f>IF(J6627&lt;&gt;1,"",IF(I6627="SBJ","CB","?"))</f>
        <v> </v>
      </c>
      <c r="I6627" s="26" t="str">
        <f>IF(OR(E6627="",E6627="!!!",F6627="NEW"),"",INDEX(B6626:B$2,-1+SUMPRODUCT(MAX(ROW(E6626:E$2)*(E6627=E6626:E$2)))))</f>
        <v> </v>
      </c>
      <c r="J6627" s="26" t="str">
        <f>IF(OR(E6627="",E6627="!!!",F6627="NEW"),"",COUNTBLANK(OFFSET(A$1,,,SUMPRODUCT(MAX(ROW(E$2:E6627)*(E6627=E$2:E6627)))))-COUNTBLANK(OFFSET(A$1,,,SUMPRODUCT(MAX(ROW(E$1:E6626)*(E2=E$1:E6626))))))</f>
        <v> </v>
      </c>
      <c r="K6627" s="26" t="str">
        <f>IF(OR(E6627="",E6627="!!!",F6627="NEW"),"",INDEX(J$1:J6626,SUMPRODUCT(MAX(ROW(E$1:E6626)*(E6627=E$1:E6626)))))</f>
        <v> </v>
      </c>
      <c r="L6627" s="27"/>
    </row>
    <row r="6628" spans="1:12">
      <c r="A6628" s="20" t="s">
        <v>1164</v>
      </c>
      <c r="E6628" s="22">
        <f>IF(D6628="?OLD","!!!","")</f>
        <v/>
      </c>
      <c r="F6628" s="23" t="str">
        <f>IF(OR(E6628="",E6628="!!!"),"",IF(NOT(ISNA(VLOOKUP(E6628,E$1:E6627,1,FALSE()))),"OLD",IF(AND(E6628&lt;&gt;"",E6628&lt;&gt;"!!!"),"NEW","")))</f>
        <v> </v>
      </c>
      <c r="G6628" s="24" t="str">
        <f>IF(OR(E6628="",E6628="!!!"),"",IF(OR(J6628=0,AND(J6628=1,K6628=1),AND(J6628=1,I6628="SBJ"),AND(J6628=1,I6628=0)),"?IN_FOCUS",IF(J6628&lt;=2,"?ACTIVATED",IF(J6628&lt;&gt;"","?FAMILIAR",IF(F6628="NEW",IF(ISNA(VLOOKUP(E6628,#REF!,1,FALSE())),"?TYPE_IDENTIFIABLE","?REFERENTIAL"),"_")))))</f>
        <v> </v>
      </c>
      <c r="H6628" s="25" t="str">
        <f>IF(J6628&lt;&gt;1,"",IF(I6628="SBJ","CB","?"))</f>
        <v> </v>
      </c>
      <c r="I6628" s="26" t="str">
        <f>IF(OR(E6628="",E6628="!!!",F6628="NEW"),"",INDEX(B6627:B$2,-1+SUMPRODUCT(MAX(ROW(E6627:E$2)*(E6628=E6627:E$2)))))</f>
        <v> </v>
      </c>
      <c r="J6628" s="26" t="str">
        <f>IF(OR(E6628="",E6628="!!!",F6628="NEW"),"",COUNTBLANK(OFFSET(A$1,,,SUMPRODUCT(MAX(ROW(E$2:E6628)*(E6628=E$2:E6628)))))-COUNTBLANK(OFFSET(A$1,,,SUMPRODUCT(MAX(ROW(E$1:E6627)*(E2=E$1:E6627))))))</f>
        <v> </v>
      </c>
      <c r="K6628" s="26" t="str">
        <f>IF(OR(E6628="",E6628="!!!",F6628="NEW"),"",INDEX(J$1:J6627,SUMPRODUCT(MAX(ROW(E$1:E6627)*(E6628=E$1:E6627)))))</f>
        <v> </v>
      </c>
      <c r="L6628" s="27"/>
    </row>
    <row r="6629" spans="1:12">
      <c r="A6629" s="20" t="s">
        <v>1028</v>
      </c>
      <c r="E6629" s="22">
        <f>IF(D6629="?OLD","!!!","")</f>
        <v/>
      </c>
      <c r="F6629" s="23" t="str">
        <f>IF(OR(E6629="",E6629="!!!"),"",IF(NOT(ISNA(VLOOKUP(E6629,E$1:E6628,1,FALSE()))),"OLD",IF(AND(E6629&lt;&gt;"",E6629&lt;&gt;"!!!"),"NEW","")))</f>
        <v> </v>
      </c>
      <c r="G6629" s="24" t="str">
        <f>IF(OR(E6629="",E6629="!!!"),"",IF(OR(J6629=0,AND(J6629=1,K6629=1),AND(J6629=1,I6629="SBJ"),AND(J6629=1,I6629=0)),"?IN_FOCUS",IF(J6629&lt;=2,"?ACTIVATED",IF(J6629&lt;&gt;"","?FAMILIAR",IF(F6629="NEW",IF(ISNA(VLOOKUP(E6629,#REF!,1,FALSE())),"?TYPE_IDENTIFIABLE","?REFERENTIAL"),"_")))))</f>
        <v> </v>
      </c>
      <c r="H6629" s="25" t="str">
        <f>IF(J6629&lt;&gt;1,"",IF(I6629="SBJ","CB","?"))</f>
        <v> </v>
      </c>
      <c r="I6629" s="26" t="str">
        <f>IF(OR(E6629="",E6629="!!!",F6629="NEW"),"",INDEX(B6628:B$2,-1+SUMPRODUCT(MAX(ROW(E6628:E$2)*(E6629=E6628:E$2)))))</f>
        <v> </v>
      </c>
      <c r="J6629" s="26" t="str">
        <f>IF(OR(E6629="",E6629="!!!",F6629="NEW"),"",COUNTBLANK(OFFSET(A$1,,,SUMPRODUCT(MAX(ROW(E$2:E6629)*(E6629=E$2:E6629)))))-COUNTBLANK(OFFSET(A$1,,,SUMPRODUCT(MAX(ROW(E$1:E6628)*(E2=E$1:E6628))))))</f>
        <v> </v>
      </c>
      <c r="K6629" s="26" t="str">
        <f>IF(OR(E6629="",E6629="!!!",F6629="NEW"),"",INDEX(J$1:J6628,SUMPRODUCT(MAX(ROW(E$1:E6628)*(E6629=E$1:E6628)))))</f>
        <v> </v>
      </c>
      <c r="L6629" s="27"/>
    </row>
    <row r="6630" spans="1:12">
      <c r="A6630" s="20" t="s">
        <v>1004</v>
      </c>
      <c r="E6630" s="22">
        <f>IF(D6630="?OLD","!!!","")</f>
        <v/>
      </c>
      <c r="F6630" s="23" t="str">
        <f>IF(OR(E6630="",E6630="!!!"),"",IF(NOT(ISNA(VLOOKUP(E6630,E$1:E6629,1,FALSE()))),"OLD",IF(AND(E6630&lt;&gt;"",E6630&lt;&gt;"!!!"),"NEW","")))</f>
        <v> </v>
      </c>
      <c r="G6630" s="24" t="str">
        <f>IF(OR(E6630="",E6630="!!!"),"",IF(OR(J6630=0,AND(J6630=1,K6630=1),AND(J6630=1,I6630="SBJ"),AND(J6630=1,I6630=0)),"?IN_FOCUS",IF(J6630&lt;=2,"?ACTIVATED",IF(J6630&lt;&gt;"","?FAMILIAR",IF(F6630="NEW",IF(ISNA(VLOOKUP(E6630,#REF!,1,FALSE())),"?TYPE_IDENTIFIABLE","?REFERENTIAL"),"_")))))</f>
        <v> </v>
      </c>
      <c r="H6630" s="25" t="str">
        <f>IF(J6630&lt;&gt;1,"",IF(I6630="SBJ","CB","?"))</f>
        <v> </v>
      </c>
      <c r="I6630" s="26" t="str">
        <f>IF(OR(E6630="",E6630="!!!",F6630="NEW"),"",INDEX(B6629:B$2,-1+SUMPRODUCT(MAX(ROW(E6629:E$2)*(E6630=E6629:E$2)))))</f>
        <v> </v>
      </c>
      <c r="J6630" s="26" t="str">
        <f>IF(OR(E6630="",E6630="!!!",F6630="NEW"),"",COUNTBLANK(OFFSET(A$1,,,SUMPRODUCT(MAX(ROW(E$2:E6630)*(E6630=E$2:E6630)))))-COUNTBLANK(OFFSET(A$1,,,SUMPRODUCT(MAX(ROW(E$1:E6629)*(E2=E$1:E6629))))))</f>
        <v> </v>
      </c>
      <c r="K6630" s="26" t="str">
        <f>IF(OR(E6630="",E6630="!!!",F6630="NEW"),"",INDEX(J$1:J6629,SUMPRODUCT(MAX(ROW(E$1:E6629)*(E6630=E$1:E6629)))))</f>
        <v> </v>
      </c>
      <c r="L6630" s="27"/>
    </row>
    <row r="6631" spans="1:12">
      <c r="A6631" s="20" t="s">
        <v>2592</v>
      </c>
      <c r="B6631" s="21" t="s">
        <v>1054</v>
      </c>
      <c r="C6631" s="21" t="s">
        <v>1057</v>
      </c>
      <c r="E6631" s="22">
        <f>IF(D6631="?OLD","!!!","")</f>
        <v/>
      </c>
      <c r="F6631" s="23" t="str">
        <f>IF(OR(E6631="",E6631="!!!"),"",IF(NOT(ISNA(VLOOKUP(E6631,E$1:E6630,1,FALSE()))),"OLD",IF(AND(E6631&lt;&gt;"",E6631&lt;&gt;"!!!"),"NEW","")))</f>
        <v> </v>
      </c>
      <c r="G6631" s="24" t="str">
        <f>IF(OR(E6631="",E6631="!!!"),"",IF(OR(J6631=0,AND(J6631=1,K6631=1),AND(J6631=1,I6631="SBJ"),AND(J6631=1,I6631=0)),"?IN_FOCUS",IF(J6631&lt;=2,"?ACTIVATED",IF(J6631&lt;&gt;"","?FAMILIAR",IF(F6631="NEW",IF(ISNA(VLOOKUP(E6631,#REF!,1,FALSE())),"?TYPE_IDENTIFIABLE","?REFERENTIAL"),"_")))))</f>
        <v> </v>
      </c>
      <c r="H6631" s="25" t="str">
        <f>IF(J6631&lt;&gt;1,"",IF(I6631="SBJ","CB","?"))</f>
        <v> </v>
      </c>
      <c r="I6631" s="26" t="str">
        <f>IF(OR(E6631="",E6631="!!!",F6631="NEW"),"",INDEX(B6630:B$2,-1+SUMPRODUCT(MAX(ROW(E6630:E$2)*(E6631=E6630:E$2)))))</f>
        <v> </v>
      </c>
      <c r="J6631" s="26" t="str">
        <f>IF(OR(E6631="",E6631="!!!",F6631="NEW"),"",COUNTBLANK(OFFSET(A$1,,,SUMPRODUCT(MAX(ROW(E$2:E6631)*(E6631=E$2:E6631)))))-COUNTBLANK(OFFSET(A$1,,,SUMPRODUCT(MAX(ROW(E$1:E6630)*(E2=E$1:E6630))))))</f>
        <v> </v>
      </c>
      <c r="K6631" s="26" t="str">
        <f>IF(OR(E6631="",E6631="!!!",F6631="NEW"),"",INDEX(J$1:J6630,SUMPRODUCT(MAX(ROW(E$1:E6630)*(E6631=E$1:E6630)))))</f>
        <v> </v>
      </c>
      <c r="L6631" s="27"/>
    </row>
    <row r="6632" spans="1:12">
      <c r="A6632" s="20" t="s">
        <v>996</v>
      </c>
      <c r="E6632" s="22">
        <f>IF(D6632="?OLD","!!!","")</f>
        <v/>
      </c>
      <c r="F6632" s="23" t="str">
        <f>IF(OR(E6632="",E6632="!!!"),"",IF(NOT(ISNA(VLOOKUP(E6632,E$1:E6631,1,FALSE()))),"OLD",IF(AND(E6632&lt;&gt;"",E6632&lt;&gt;"!!!"),"NEW","")))</f>
        <v> </v>
      </c>
      <c r="G6632" s="24" t="str">
        <f>IF(OR(E6632="",E6632="!!!"),"",IF(OR(J6632=0,AND(J6632=1,K6632=1),AND(J6632=1,I6632="SBJ"),AND(J6632=1,I6632=0)),"?IN_FOCUS",IF(J6632&lt;=2,"?ACTIVATED",IF(J6632&lt;&gt;"","?FAMILIAR",IF(F6632="NEW",IF(ISNA(VLOOKUP(E6632,#REF!,1,FALSE())),"?TYPE_IDENTIFIABLE","?REFERENTIAL"),"_")))))</f>
        <v> </v>
      </c>
      <c r="H6632" s="25" t="str">
        <f>IF(J6632&lt;&gt;1,"",IF(I6632="SBJ","CB","?"))</f>
        <v> </v>
      </c>
      <c r="I6632" s="26" t="str">
        <f>IF(OR(E6632="",E6632="!!!",F6632="NEW"),"",INDEX(B6631:B$2,-1+SUMPRODUCT(MAX(ROW(E6631:E$2)*(E6632=E6631:E$2)))))</f>
        <v> </v>
      </c>
      <c r="J6632" s="26" t="str">
        <f>IF(OR(E6632="",E6632="!!!",F6632="NEW"),"",COUNTBLANK(OFFSET(A$1,,,SUMPRODUCT(MAX(ROW(E$2:E6632)*(E6632=E$2:E6632)))))-COUNTBLANK(OFFSET(A$1,,,SUMPRODUCT(MAX(ROW(E$1:E6631)*(E2=E$1:E6631))))))</f>
        <v> </v>
      </c>
      <c r="K6632" s="26" t="str">
        <f>IF(OR(E6632="",E6632="!!!",F6632="NEW"),"",INDEX(J$1:J6631,SUMPRODUCT(MAX(ROW(E$1:E6631)*(E6632=E$1:E6631)))))</f>
        <v> </v>
      </c>
      <c r="L6632" s="27"/>
    </row>
    <row r="6633" spans="1:12">
      <c r="A6633" s="20" t="s">
        <v>997</v>
      </c>
      <c r="E6633" s="22">
        <f>IF(D6633="?OLD","!!!","")</f>
        <v/>
      </c>
      <c r="F6633" s="23" t="str">
        <f>IF(OR(E6633="",E6633="!!!"),"",IF(NOT(ISNA(VLOOKUP(E6633,E$1:E6632,1,FALSE()))),"OLD",IF(AND(E6633&lt;&gt;"",E6633&lt;&gt;"!!!"),"NEW","")))</f>
        <v> </v>
      </c>
      <c r="G6633" s="24" t="str">
        <f>IF(OR(E6633="",E6633="!!!"),"",IF(OR(J6633=0,AND(J6633=1,K6633=1),AND(J6633=1,I6633="SBJ"),AND(J6633=1,I6633=0)),"?IN_FOCUS",IF(J6633&lt;=2,"?ACTIVATED",IF(J6633&lt;&gt;"","?FAMILIAR",IF(F6633="NEW",IF(ISNA(VLOOKUP(E6633,#REF!,1,FALSE())),"?TYPE_IDENTIFIABLE","?REFERENTIAL"),"_")))))</f>
        <v> </v>
      </c>
      <c r="H6633" s="25" t="str">
        <f>IF(J6633&lt;&gt;1,"",IF(I6633="SBJ","CB","?"))</f>
        <v> </v>
      </c>
      <c r="I6633" s="26" t="str">
        <f>IF(OR(E6633="",E6633="!!!",F6633="NEW"),"",INDEX(B6632:B$2,-1+SUMPRODUCT(MAX(ROW(E6632:E$2)*(E6633=E6632:E$2)))))</f>
        <v> </v>
      </c>
      <c r="J6633" s="26" t="str">
        <f>IF(OR(E6633="",E6633="!!!",F6633="NEW"),"",COUNTBLANK(OFFSET(A$1,,,SUMPRODUCT(MAX(ROW(E$2:E6633)*(E6633=E$2:E6633)))))-COUNTBLANK(OFFSET(A$1,,,SUMPRODUCT(MAX(ROW(E$1:E6632)*(E2=E$1:E6632))))))</f>
        <v> </v>
      </c>
      <c r="K6633" s="26" t="str">
        <f>IF(OR(E6633="",E6633="!!!",F6633="NEW"),"",INDEX(J$1:J6632,SUMPRODUCT(MAX(ROW(E$1:E6632)*(E6633=E$1:E6632)))))</f>
        <v> </v>
      </c>
      <c r="L6633" s="27"/>
    </row>
    <row r="6634" spans="1:12">
      <c r="A6634" s="20" t="s">
        <v>2593</v>
      </c>
      <c r="B6634" s="21" t="s">
        <v>1054</v>
      </c>
      <c r="C6634" s="21" t="s">
        <v>995</v>
      </c>
      <c r="D6634" s="21" t="s">
        <v>978</v>
      </c>
      <c r="E6634" s="22">
        <f>IF(D6634="?OLD","!!!","")</f>
        <v/>
      </c>
      <c r="F6634" s="23" t="str">
        <f>IF(OR(E6634="",E6634="!!!"),"",IF(NOT(ISNA(VLOOKUP(E6634,E$1:E6633,1,FALSE()))),"OLD",IF(AND(E6634&lt;&gt;"",E6634&lt;&gt;"!!!"),"NEW","")))</f>
        <v> </v>
      </c>
      <c r="G6634" s="24" t="str">
        <f>IF(OR(E6634="",E6634="!!!"),"",IF(OR(J6634=0,AND(J6634=1,K6634=1),AND(J6634=1,I6634="SBJ"),AND(J6634=1,I6634=0)),"?IN_FOCUS",IF(J6634&lt;=2,"?ACTIVATED",IF(J6634&lt;&gt;"","?FAMILIAR",IF(F6634="NEW",IF(ISNA(VLOOKUP(E6634,#REF!,1,FALSE())),"?TYPE_IDENTIFIABLE","?REFERENTIAL"),"_")))))</f>
        <v> </v>
      </c>
      <c r="H6634" s="25" t="str">
        <f>IF(J6634&lt;&gt;1,"",IF(I6634="SBJ","CB","?"))</f>
        <v> </v>
      </c>
      <c r="I6634" s="26" t="str">
        <f>IF(OR(E6634="",E6634="!!!",F6634="NEW"),"",INDEX(B6633:B$2,-1+SUMPRODUCT(MAX(ROW(E6633:E$2)*(E6634=E6633:E$2)))))</f>
        <v> </v>
      </c>
      <c r="J6634" s="26" t="str">
        <f>IF(OR(E6634="",E6634="!!!",F6634="NEW"),"",COUNTBLANK(OFFSET(A$1,,,SUMPRODUCT(MAX(ROW(E$2:E6634)*(E6634=E$2:E6634)))))-COUNTBLANK(OFFSET(A$1,,,SUMPRODUCT(MAX(ROW(E$1:E6633)*(E2=E$1:E6633))))))</f>
        <v> </v>
      </c>
      <c r="K6634" s="26" t="str">
        <f>IF(OR(E6634="",E6634="!!!",F6634="NEW"),"",INDEX(J$1:J6633,SUMPRODUCT(MAX(ROW(E$1:E6633)*(E6634=E$1:E6633)))))</f>
        <v> </v>
      </c>
      <c r="L6634" s="27"/>
    </row>
    <row r="6635" spans="1:12">
      <c r="A6635" s="20" t="s">
        <v>1004</v>
      </c>
      <c r="E6635" s="22">
        <f>IF(D6635="?OLD","!!!","")</f>
        <v/>
      </c>
      <c r="F6635" s="23" t="str">
        <f>IF(OR(E6635="",E6635="!!!"),"",IF(NOT(ISNA(VLOOKUP(E6635,E$1:E6634,1,FALSE()))),"OLD",IF(AND(E6635&lt;&gt;"",E6635&lt;&gt;"!!!"),"NEW","")))</f>
        <v> </v>
      </c>
      <c r="G6635" s="24" t="str">
        <f>IF(OR(E6635="",E6635="!!!"),"",IF(OR(J6635=0,AND(J6635=1,K6635=1),AND(J6635=1,I6635="SBJ"),AND(J6635=1,I6635=0)),"?IN_FOCUS",IF(J6635&lt;=2,"?ACTIVATED",IF(J6635&lt;&gt;"","?FAMILIAR",IF(F6635="NEW",IF(ISNA(VLOOKUP(E6635,#REF!,1,FALSE())),"?TYPE_IDENTIFIABLE","?REFERENTIAL"),"_")))))</f>
        <v> </v>
      </c>
      <c r="H6635" s="25" t="str">
        <f>IF(J6635&lt;&gt;1,"",IF(I6635="SBJ","CB","?"))</f>
        <v> </v>
      </c>
      <c r="I6635" s="26" t="str">
        <f>IF(OR(E6635="",E6635="!!!",F6635="NEW"),"",INDEX(B6634:B$2,-1+SUMPRODUCT(MAX(ROW(E6634:E$2)*(E6635=E6634:E$2)))))</f>
        <v> </v>
      </c>
      <c r="J6635" s="26" t="str">
        <f>IF(OR(E6635="",E6635="!!!",F6635="NEW"),"",COUNTBLANK(OFFSET(A$1,,,SUMPRODUCT(MAX(ROW(E$2:E6635)*(E6635=E$2:E6635)))))-COUNTBLANK(OFFSET(A$1,,,SUMPRODUCT(MAX(ROW(E$1:E6634)*(E2=E$1:E6634))))))</f>
        <v> </v>
      </c>
      <c r="K6635" s="26" t="str">
        <f>IF(OR(E6635="",E6635="!!!",F6635="NEW"),"",INDEX(J$1:J6634,SUMPRODUCT(MAX(ROW(E$1:E6634)*(E6635=E$1:E6634)))))</f>
        <v> </v>
      </c>
      <c r="L6635" s="27"/>
    </row>
    <row r="6636" spans="1:12">
      <c r="A6636" s="20" t="s">
        <v>997</v>
      </c>
      <c r="E6636" s="22">
        <f>IF(D6636="?OLD","!!!","")</f>
        <v/>
      </c>
      <c r="F6636" s="23" t="str">
        <f>IF(OR(E6636="",E6636="!!!"),"",IF(NOT(ISNA(VLOOKUP(E6636,E$1:E6635,1,FALSE()))),"OLD",IF(AND(E6636&lt;&gt;"",E6636&lt;&gt;"!!!"),"NEW","")))</f>
        <v> </v>
      </c>
      <c r="G6636" s="24" t="str">
        <f>IF(OR(E6636="",E6636="!!!"),"",IF(OR(J6636=0,AND(J6636=1,K6636=1),AND(J6636=1,I6636="SBJ"),AND(J6636=1,I6636=0)),"?IN_FOCUS",IF(J6636&lt;=2,"?ACTIVATED",IF(J6636&lt;&gt;"","?FAMILIAR",IF(F6636="NEW",IF(ISNA(VLOOKUP(E6636,#REF!,1,FALSE())),"?TYPE_IDENTIFIABLE","?REFERENTIAL"),"_")))))</f>
        <v> </v>
      </c>
      <c r="H6636" s="25" t="str">
        <f>IF(J6636&lt;&gt;1,"",IF(I6636="SBJ","CB","?"))</f>
        <v> </v>
      </c>
      <c r="I6636" s="26" t="str">
        <f>IF(OR(E6636="",E6636="!!!",F6636="NEW"),"",INDEX(B6635:B$2,-1+SUMPRODUCT(MAX(ROW(E6635:E$2)*(E6636=E6635:E$2)))))</f>
        <v> </v>
      </c>
      <c r="J6636" s="26" t="str">
        <f>IF(OR(E6636="",E6636="!!!",F6636="NEW"),"",COUNTBLANK(OFFSET(A$1,,,SUMPRODUCT(MAX(ROW(E$2:E6636)*(E6636=E$2:E6636)))))-COUNTBLANK(OFFSET(A$1,,,SUMPRODUCT(MAX(ROW(E$1:E6635)*(E2=E$1:E6635))))))</f>
        <v> </v>
      </c>
      <c r="K6636" s="26" t="str">
        <f>IF(OR(E6636="",E6636="!!!",F6636="NEW"),"",INDEX(J$1:J6635,SUMPRODUCT(MAX(ROW(E$1:E6635)*(E6636=E$1:E6635)))))</f>
        <v> </v>
      </c>
      <c r="L6636" s="27"/>
    </row>
    <row r="6637" spans="1:12">
      <c r="A6637" s="20" t="s">
        <v>1372</v>
      </c>
      <c r="B6637" s="21" t="s">
        <v>1007</v>
      </c>
      <c r="C6637" s="21" t="s">
        <v>995</v>
      </c>
      <c r="D6637" s="21" t="s">
        <v>978</v>
      </c>
      <c r="E6637" s="22">
        <f>IF(D6637="?OLD","!!!","")</f>
        <v/>
      </c>
      <c r="F6637" s="23" t="str">
        <f>IF(OR(E6637="",E6637="!!!"),"",IF(NOT(ISNA(VLOOKUP(E6637,E$1:E6636,1,FALSE()))),"OLD",IF(AND(E6637&lt;&gt;"",E6637&lt;&gt;"!!!"),"NEW","")))</f>
        <v> </v>
      </c>
      <c r="G6637" s="24" t="str">
        <f>IF(OR(E6637="",E6637="!!!"),"",IF(OR(J6637=0,AND(J6637=1,K6637=1),AND(J6637=1,I6637="SBJ"),AND(J6637=1,I6637=0)),"?IN_FOCUS",IF(J6637&lt;=2,"?ACTIVATED",IF(J6637&lt;&gt;"","?FAMILIAR",IF(F6637="NEW",IF(ISNA(VLOOKUP(E6637,#REF!,1,FALSE())),"?TYPE_IDENTIFIABLE","?REFERENTIAL"),"_")))))</f>
        <v> </v>
      </c>
      <c r="H6637" s="25" t="str">
        <f>IF(J6637&lt;&gt;1,"",IF(I6637="SBJ","CB","?"))</f>
        <v> </v>
      </c>
      <c r="I6637" s="26" t="str">
        <f>IF(OR(E6637="",E6637="!!!",F6637="NEW"),"",INDEX(B6636:B$2,-1+SUMPRODUCT(MAX(ROW(E6636:E$2)*(E6637=E6636:E$2)))))</f>
        <v> </v>
      </c>
      <c r="J6637" s="26" t="str">
        <f>IF(OR(E6637="",E6637="!!!",F6637="NEW"),"",COUNTBLANK(OFFSET(A$1,,,SUMPRODUCT(MAX(ROW(E$2:E6637)*(E6637=E$2:E6637)))))-COUNTBLANK(OFFSET(A$1,,,SUMPRODUCT(MAX(ROW(E$1:E6636)*(E2=E$1:E6636))))))</f>
        <v> </v>
      </c>
      <c r="K6637" s="26" t="str">
        <f>IF(OR(E6637="",E6637="!!!",F6637="NEW"),"",INDEX(J$1:J6636,SUMPRODUCT(MAX(ROW(E$1:E6636)*(E6637=E$1:E6636)))))</f>
        <v> </v>
      </c>
      <c r="L6637" s="27"/>
    </row>
    <row r="6638" spans="1:12">
      <c r="A6638" s="20" t="s">
        <v>996</v>
      </c>
      <c r="E6638" s="22">
        <f>IF(D6638="?OLD","!!!","")</f>
        <v/>
      </c>
      <c r="F6638" s="23" t="str">
        <f>IF(OR(E6638="",E6638="!!!"),"",IF(NOT(ISNA(VLOOKUP(E6638,E$1:E6637,1,FALSE()))),"OLD",IF(AND(E6638&lt;&gt;"",E6638&lt;&gt;"!!!"),"NEW","")))</f>
        <v> </v>
      </c>
      <c r="G6638" s="24" t="str">
        <f>IF(OR(E6638="",E6638="!!!"),"",IF(OR(J6638=0,AND(J6638=1,K6638=1),AND(J6638=1,I6638="SBJ"),AND(J6638=1,I6638=0)),"?IN_FOCUS",IF(J6638&lt;=2,"?ACTIVATED",IF(J6638&lt;&gt;"","?FAMILIAR",IF(F6638="NEW",IF(ISNA(VLOOKUP(E6638,#REF!,1,FALSE())),"?TYPE_IDENTIFIABLE","?REFERENTIAL"),"_")))))</f>
        <v> </v>
      </c>
      <c r="H6638" s="25" t="str">
        <f>IF(J6638&lt;&gt;1,"",IF(I6638="SBJ","CB","?"))</f>
        <v> </v>
      </c>
      <c r="I6638" s="26" t="str">
        <f>IF(OR(E6638="",E6638="!!!",F6638="NEW"),"",INDEX(B6637:B$2,-1+SUMPRODUCT(MAX(ROW(E6637:E$2)*(E6638=E6637:E$2)))))</f>
        <v> </v>
      </c>
      <c r="J6638" s="26" t="str">
        <f>IF(OR(E6638="",E6638="!!!",F6638="NEW"),"",COUNTBLANK(OFFSET(A$1,,,SUMPRODUCT(MAX(ROW(E$2:E6638)*(E6638=E$2:E6638)))))-COUNTBLANK(OFFSET(A$1,,,SUMPRODUCT(MAX(ROW(E$1:E6637)*(E2=E$1:E6637))))))</f>
        <v> </v>
      </c>
      <c r="K6638" s="26" t="str">
        <f>IF(OR(E6638="",E6638="!!!",F6638="NEW"),"",INDEX(J$1:J6637,SUMPRODUCT(MAX(ROW(E$1:E6637)*(E6638=E$1:E6637)))))</f>
        <v> </v>
      </c>
      <c r="L6638" s="27"/>
    </row>
    <row r="6639" spans="1:12">
      <c r="A6639" s="20" t="s">
        <v>997</v>
      </c>
      <c r="E6639" s="22">
        <f>IF(D6639="?OLD","!!!","")</f>
        <v/>
      </c>
      <c r="F6639" s="23" t="str">
        <f>IF(OR(E6639="",E6639="!!!"),"",IF(NOT(ISNA(VLOOKUP(E6639,E$1:E6638,1,FALSE()))),"OLD",IF(AND(E6639&lt;&gt;"",E6639&lt;&gt;"!!!"),"NEW","")))</f>
        <v> </v>
      </c>
      <c r="G6639" s="24" t="str">
        <f>IF(OR(E6639="",E6639="!!!"),"",IF(OR(J6639=0,AND(J6639=1,K6639=1),AND(J6639=1,I6639="SBJ"),AND(J6639=1,I6639=0)),"?IN_FOCUS",IF(J6639&lt;=2,"?ACTIVATED",IF(J6639&lt;&gt;"","?FAMILIAR",IF(F6639="NEW",IF(ISNA(VLOOKUP(E6639,#REF!,1,FALSE())),"?TYPE_IDENTIFIABLE","?REFERENTIAL"),"_")))))</f>
        <v> </v>
      </c>
      <c r="H6639" s="25" t="str">
        <f>IF(J6639&lt;&gt;1,"",IF(I6639="SBJ","CB","?"))</f>
        <v> </v>
      </c>
      <c r="I6639" s="26" t="str">
        <f>IF(OR(E6639="",E6639="!!!",F6639="NEW"),"",INDEX(B6638:B$2,-1+SUMPRODUCT(MAX(ROW(E6638:E$2)*(E6639=E6638:E$2)))))</f>
        <v> </v>
      </c>
      <c r="J6639" s="26" t="str">
        <f>IF(OR(E6639="",E6639="!!!",F6639="NEW"),"",COUNTBLANK(OFFSET(A$1,,,SUMPRODUCT(MAX(ROW(E$2:E6639)*(E6639=E$2:E6639)))))-COUNTBLANK(OFFSET(A$1,,,SUMPRODUCT(MAX(ROW(E$1:E6638)*(E2=E$1:E6638))))))</f>
        <v> </v>
      </c>
      <c r="K6639" s="26" t="str">
        <f>IF(OR(E6639="",E6639="!!!",F6639="NEW"),"",INDEX(J$1:J6638,SUMPRODUCT(MAX(ROW(E$1:E6638)*(E6639=E$1:E6638)))))</f>
        <v> </v>
      </c>
      <c r="L6639" s="27"/>
    </row>
    <row r="6640" spans="1:12">
      <c r="A6640" s="20" t="s">
        <v>1100</v>
      </c>
      <c r="B6640" s="21" t="s">
        <v>1084</v>
      </c>
      <c r="C6640" s="21" t="s">
        <v>995</v>
      </c>
      <c r="D6640" s="21" t="s">
        <v>978</v>
      </c>
      <c r="E6640" s="22">
        <f>IF(D6640="?OLD","!!!","")</f>
        <v/>
      </c>
      <c r="F6640" s="23" t="str">
        <f>IF(OR(E6640="",E6640="!!!"),"",IF(NOT(ISNA(VLOOKUP(E6640,E$1:E6639,1,FALSE()))),"OLD",IF(AND(E6640&lt;&gt;"",E6640&lt;&gt;"!!!"),"NEW","")))</f>
        <v> </v>
      </c>
      <c r="G6640" s="24" t="str">
        <f>IF(OR(E6640="",E6640="!!!"),"",IF(OR(J6640=0,AND(J6640=1,K6640=1),AND(J6640=1,I6640="SBJ"),AND(J6640=1,I6640=0)),"?IN_FOCUS",IF(J6640&lt;=2,"?ACTIVATED",IF(J6640&lt;&gt;"","?FAMILIAR",IF(F6640="NEW",IF(ISNA(VLOOKUP(E6640,#REF!,1,FALSE())),"?TYPE_IDENTIFIABLE","?REFERENTIAL"),"_")))))</f>
        <v> </v>
      </c>
      <c r="H6640" s="25" t="str">
        <f>IF(J6640&lt;&gt;1,"",IF(I6640="SBJ","CB","?"))</f>
        <v> </v>
      </c>
      <c r="I6640" s="26" t="str">
        <f>IF(OR(E6640="",E6640="!!!",F6640="NEW"),"",INDEX(B6639:B$2,-1+SUMPRODUCT(MAX(ROW(E6639:E$2)*(E6640=E6639:E$2)))))</f>
        <v> </v>
      </c>
      <c r="J6640" s="26" t="str">
        <f>IF(OR(E6640="",E6640="!!!",F6640="NEW"),"",COUNTBLANK(OFFSET(A$1,,,SUMPRODUCT(MAX(ROW(E$2:E6640)*(E6640=E$2:E6640)))))-COUNTBLANK(OFFSET(A$1,,,SUMPRODUCT(MAX(ROW(E$1:E6639)*(E2=E$1:E6639))))))</f>
        <v> </v>
      </c>
      <c r="K6640" s="26" t="str">
        <f>IF(OR(E6640="",E6640="!!!",F6640="NEW"),"",INDEX(J$1:J6639,SUMPRODUCT(MAX(ROW(E$1:E6639)*(E6640=E$1:E6639)))))</f>
        <v> </v>
      </c>
      <c r="L6640" s="27"/>
    </row>
    <row r="6641" spans="1:12">
      <c r="A6641" s="20" t="s">
        <v>1002</v>
      </c>
      <c r="E6641" s="22">
        <f>IF(D6641="?OLD","!!!","")</f>
        <v/>
      </c>
      <c r="F6641" s="23" t="str">
        <f>IF(OR(E6641="",E6641="!!!"),"",IF(NOT(ISNA(VLOOKUP(E6641,E$1:E6640,1,FALSE()))),"OLD",IF(AND(E6641&lt;&gt;"",E6641&lt;&gt;"!!!"),"NEW","")))</f>
        <v> </v>
      </c>
      <c r="G6641" s="24" t="str">
        <f>IF(OR(E6641="",E6641="!!!"),"",IF(OR(J6641=0,AND(J6641=1,K6641=1),AND(J6641=1,I6641="SBJ"),AND(J6641=1,I6641=0)),"?IN_FOCUS",IF(J6641&lt;=2,"?ACTIVATED",IF(J6641&lt;&gt;"","?FAMILIAR",IF(F6641="NEW",IF(ISNA(VLOOKUP(E6641,#REF!,1,FALSE())),"?TYPE_IDENTIFIABLE","?REFERENTIAL"),"_")))))</f>
        <v> </v>
      </c>
      <c r="H6641" s="25" t="str">
        <f>IF(J6641&lt;&gt;1,"",IF(I6641="SBJ","CB","?"))</f>
        <v> </v>
      </c>
      <c r="I6641" s="26" t="str">
        <f>IF(OR(E6641="",E6641="!!!",F6641="NEW"),"",INDEX(B6640:B$2,-1+SUMPRODUCT(MAX(ROW(E6640:E$2)*(E6641=E6640:E$2)))))</f>
        <v> </v>
      </c>
      <c r="J6641" s="26" t="str">
        <f>IF(OR(E6641="",E6641="!!!",F6641="NEW"),"",COUNTBLANK(OFFSET(A$1,,,SUMPRODUCT(MAX(ROW(E$2:E6641)*(E6641=E$2:E6641)))))-COUNTBLANK(OFFSET(A$1,,,SUMPRODUCT(MAX(ROW(E$1:E6640)*(E2=E$1:E6640))))))</f>
        <v> </v>
      </c>
      <c r="K6641" s="26" t="str">
        <f>IF(OR(E6641="",E6641="!!!",F6641="NEW"),"",INDEX(J$1:J6640,SUMPRODUCT(MAX(ROW(E$1:E6640)*(E6641=E$1:E6640)))))</f>
        <v> </v>
      </c>
      <c r="L6641" s="27"/>
    </row>
    <row r="6642" spans="1:12">
      <c r="A6642" s="20" t="s">
        <v>1000</v>
      </c>
      <c r="E6642" s="22">
        <f>IF(D6642="?OLD","!!!","")</f>
        <v/>
      </c>
      <c r="F6642" s="23" t="str">
        <f>IF(OR(E6642="",E6642="!!!"),"",IF(NOT(ISNA(VLOOKUP(E6642,E$1:E6641,1,FALSE()))),"OLD",IF(AND(E6642&lt;&gt;"",E6642&lt;&gt;"!!!"),"NEW","")))</f>
        <v> </v>
      </c>
      <c r="G6642" s="24" t="str">
        <f>IF(OR(E6642="",E6642="!!!"),"",IF(OR(J6642=0,AND(J6642=1,K6642=1),AND(J6642=1,I6642="SBJ"),AND(J6642=1,I6642=0)),"?IN_FOCUS",IF(J6642&lt;=2,"?ACTIVATED",IF(J6642&lt;&gt;"","?FAMILIAR",IF(F6642="NEW",IF(ISNA(VLOOKUP(E6642,#REF!,1,FALSE())),"?TYPE_IDENTIFIABLE","?REFERENTIAL"),"_")))))</f>
        <v> </v>
      </c>
      <c r="H6642" s="25" t="str">
        <f>IF(J6642&lt;&gt;1,"",IF(I6642="SBJ","CB","?"))</f>
        <v> </v>
      </c>
      <c r="I6642" s="26" t="str">
        <f>IF(OR(E6642="",E6642="!!!",F6642="NEW"),"",INDEX(B6641:B$2,-1+SUMPRODUCT(MAX(ROW(E6641:E$2)*(E6642=E6641:E$2)))))</f>
        <v> </v>
      </c>
      <c r="J6642" s="26" t="str">
        <f>IF(OR(E6642="",E6642="!!!",F6642="NEW"),"",COUNTBLANK(OFFSET(A$1,,,SUMPRODUCT(MAX(ROW(E$2:E6642)*(E6642=E$2:E6642)))))-COUNTBLANK(OFFSET(A$1,,,SUMPRODUCT(MAX(ROW(E$1:E6641)*(E2=E$1:E6641))))))</f>
        <v> </v>
      </c>
      <c r="K6642" s="26" t="str">
        <f>IF(OR(E6642="",E6642="!!!",F6642="NEW"),"",INDEX(J$1:J6641,SUMPRODUCT(MAX(ROW(E$1:E6641)*(E6642=E$1:E6641)))))</f>
        <v> </v>
      </c>
      <c r="L6642" s="27"/>
    </row>
    <row r="6643" spans="1:12">
      <c r="A6643" s="20" t="s">
        <v>1154</v>
      </c>
      <c r="B6643" s="21" t="s">
        <v>1066</v>
      </c>
      <c r="C6643" s="21" t="s">
        <v>977</v>
      </c>
      <c r="D6643" s="21" t="s">
        <v>978</v>
      </c>
      <c r="E6643" s="22">
        <f>IF(D6643="?OLD","!!!","")</f>
        <v/>
      </c>
      <c r="F6643" s="23" t="str">
        <f>IF(OR(E6643="",E6643="!!!"),"",IF(NOT(ISNA(VLOOKUP(E6643,E$1:E6642,1,FALSE()))),"OLD",IF(AND(E6643&lt;&gt;"",E6643&lt;&gt;"!!!"),"NEW","")))</f>
        <v> </v>
      </c>
      <c r="G6643" s="24" t="str">
        <f>IF(OR(E6643="",E6643="!!!"),"",IF(OR(J6643=0,AND(J6643=1,K6643=1),AND(J6643=1,I6643="SBJ"),AND(J6643=1,I6643=0)),"?IN_FOCUS",IF(J6643&lt;=2,"?ACTIVATED",IF(J6643&lt;&gt;"","?FAMILIAR",IF(F6643="NEW",IF(ISNA(VLOOKUP(E6643,#REF!,1,FALSE())),"?TYPE_IDENTIFIABLE","?REFERENTIAL"),"_")))))</f>
        <v> </v>
      </c>
      <c r="H6643" s="25" t="str">
        <f>IF(J6643&lt;&gt;1,"",IF(I6643="SBJ","CB","?"))</f>
        <v> </v>
      </c>
      <c r="I6643" s="26" t="str">
        <f>IF(OR(E6643="",E6643="!!!",F6643="NEW"),"",INDEX(B6642:B$2,-1+SUMPRODUCT(MAX(ROW(E6642:E$2)*(E6643=E6642:E$2)))))</f>
        <v> </v>
      </c>
      <c r="J6643" s="26" t="str">
        <f>IF(OR(E6643="",E6643="!!!",F6643="NEW"),"",COUNTBLANK(OFFSET(A$1,,,SUMPRODUCT(MAX(ROW(E$2:E6643)*(E6643=E$2:E6643)))))-COUNTBLANK(OFFSET(A$1,,,SUMPRODUCT(MAX(ROW(E$1:E6642)*(E2=E$1:E6642))))))</f>
        <v> </v>
      </c>
      <c r="K6643" s="26" t="str">
        <f>IF(OR(E6643="",E6643="!!!",F6643="NEW"),"",INDEX(J$1:J6642,SUMPRODUCT(MAX(ROW(E$1:E6642)*(E6643=E$1:E6642)))))</f>
        <v> </v>
      </c>
      <c r="L6643" s="27"/>
    </row>
    <row r="6644" spans="1:12">
      <c r="A6644" s="20" t="s">
        <v>979</v>
      </c>
      <c r="E6644" s="22">
        <f>IF(D6644="?OLD","!!!","")</f>
        <v/>
      </c>
      <c r="F6644" s="23" t="str">
        <f>IF(OR(E6644="",E6644="!!!"),"",IF(NOT(ISNA(VLOOKUP(E6644,E$1:E6643,1,FALSE()))),"OLD",IF(AND(E6644&lt;&gt;"",E6644&lt;&gt;"!!!"),"NEW","")))</f>
        <v> </v>
      </c>
      <c r="G6644" s="24" t="str">
        <f>IF(OR(E6644="",E6644="!!!"),"",IF(OR(J6644=0,AND(J6644=1,K6644=1),AND(J6644=1,I6644="SBJ"),AND(J6644=1,I6644=0)),"?IN_FOCUS",IF(J6644&lt;=2,"?ACTIVATED",IF(J6644&lt;&gt;"","?FAMILIAR",IF(F6644="NEW",IF(ISNA(VLOOKUP(E6644,#REF!,1,FALSE())),"?TYPE_IDENTIFIABLE","?REFERENTIAL"),"_")))))</f>
        <v> </v>
      </c>
      <c r="H6644" s="25" t="str">
        <f>IF(J6644&lt;&gt;1,"",IF(I6644="SBJ","CB","?"))</f>
        <v> </v>
      </c>
      <c r="I6644" s="26" t="str">
        <f>IF(OR(E6644="",E6644="!!!",F6644="NEW"),"",INDEX(B6643:B$2,-1+SUMPRODUCT(MAX(ROW(E6643:E$2)*(E6644=E6643:E$2)))))</f>
        <v> </v>
      </c>
      <c r="J6644" s="26" t="str">
        <f>IF(OR(E6644="",E6644="!!!",F6644="NEW"),"",COUNTBLANK(OFFSET(A$1,,,SUMPRODUCT(MAX(ROW(E$2:E6644)*(E6644=E$2:E6644)))))-COUNTBLANK(OFFSET(A$1,,,SUMPRODUCT(MAX(ROW(E$1:E6643)*(E2=E$1:E6643))))))</f>
        <v> </v>
      </c>
      <c r="K6644" s="26" t="str">
        <f>IF(OR(E6644="",E6644="!!!",F6644="NEW"),"",INDEX(J$1:J6643,SUMPRODUCT(MAX(ROW(E$1:E6643)*(E6644=E$1:E6643)))))</f>
        <v> </v>
      </c>
      <c r="L6644" s="27"/>
    </row>
    <row r="6645" spans="1:12">
      <c r="A6645" s="20" t="s">
        <v>1747</v>
      </c>
      <c r="E6645" s="22">
        <f>IF(D6645="?OLD","!!!","")</f>
        <v/>
      </c>
      <c r="F6645" s="23" t="str">
        <f>IF(OR(E6645="",E6645="!!!"),"",IF(NOT(ISNA(VLOOKUP(E6645,E$1:E6644,1,FALSE()))),"OLD",IF(AND(E6645&lt;&gt;"",E6645&lt;&gt;"!!!"),"NEW","")))</f>
        <v> </v>
      </c>
      <c r="G6645" s="24" t="str">
        <f>IF(OR(E6645="",E6645="!!!"),"",IF(OR(J6645=0,AND(J6645=1,K6645=1),AND(J6645=1,I6645="SBJ"),AND(J6645=1,I6645=0)),"?IN_FOCUS",IF(J6645&lt;=2,"?ACTIVATED",IF(J6645&lt;&gt;"","?FAMILIAR",IF(F6645="NEW",IF(ISNA(VLOOKUP(E6645,#REF!,1,FALSE())),"?TYPE_IDENTIFIABLE","?REFERENTIAL"),"_")))))</f>
        <v> </v>
      </c>
      <c r="H6645" s="25" t="str">
        <f>IF(J6645&lt;&gt;1,"",IF(I6645="SBJ","CB","?"))</f>
        <v> </v>
      </c>
      <c r="I6645" s="26" t="str">
        <f>IF(OR(E6645="",E6645="!!!",F6645="NEW"),"",INDEX(B6644:B$2,-1+SUMPRODUCT(MAX(ROW(E6644:E$2)*(E6645=E6644:E$2)))))</f>
        <v> </v>
      </c>
      <c r="J6645" s="26" t="str">
        <f>IF(OR(E6645="",E6645="!!!",F6645="NEW"),"",COUNTBLANK(OFFSET(A$1,,,SUMPRODUCT(MAX(ROW(E$2:E6645)*(E6645=E$2:E6645)))))-COUNTBLANK(OFFSET(A$1,,,SUMPRODUCT(MAX(ROW(E$1:E6644)*(E2=E$1:E6644))))))</f>
        <v> </v>
      </c>
      <c r="K6645" s="26" t="str">
        <f>IF(OR(E6645="",E6645="!!!",F6645="NEW"),"",INDEX(J$1:J6644,SUMPRODUCT(MAX(ROW(E$1:E6644)*(E6645=E$1:E6644)))))</f>
        <v> </v>
      </c>
      <c r="L6645" s="27"/>
    </row>
    <row r="6646" spans="1:12">
      <c r="A6646" s="20" t="s">
        <v>1358</v>
      </c>
      <c r="E6646" s="22">
        <f>IF(D6646="?OLD","!!!","")</f>
        <v/>
      </c>
      <c r="F6646" s="23" t="str">
        <f>IF(OR(E6646="",E6646="!!!"),"",IF(NOT(ISNA(VLOOKUP(E6646,E$1:E6645,1,FALSE()))),"OLD",IF(AND(E6646&lt;&gt;"",E6646&lt;&gt;"!!!"),"NEW","")))</f>
        <v> </v>
      </c>
      <c r="G6646" s="24" t="str">
        <f>IF(OR(E6646="",E6646="!!!"),"",IF(OR(J6646=0,AND(J6646=1,K6646=1),AND(J6646=1,I6646="SBJ"),AND(J6646=1,I6646=0)),"?IN_FOCUS",IF(J6646&lt;=2,"?ACTIVATED",IF(J6646&lt;&gt;"","?FAMILIAR",IF(F6646="NEW",IF(ISNA(VLOOKUP(E6646,#REF!,1,FALSE())),"?TYPE_IDENTIFIABLE","?REFERENTIAL"),"_")))))</f>
        <v> </v>
      </c>
      <c r="H6646" s="25" t="str">
        <f>IF(J6646&lt;&gt;1,"",IF(I6646="SBJ","CB","?"))</f>
        <v> </v>
      </c>
      <c r="I6646" s="26" t="str">
        <f>IF(OR(E6646="",E6646="!!!",F6646="NEW"),"",INDEX(B6645:B$2,-1+SUMPRODUCT(MAX(ROW(E6645:E$2)*(E6646=E6645:E$2)))))</f>
        <v> </v>
      </c>
      <c r="J6646" s="26" t="str">
        <f>IF(OR(E6646="",E6646="!!!",F6646="NEW"),"",COUNTBLANK(OFFSET(A$1,,,SUMPRODUCT(MAX(ROW(E$2:E6646)*(E6646=E$2:E6646)))))-COUNTBLANK(OFFSET(A$1,,,SUMPRODUCT(MAX(ROW(E$1:E6645)*(E2=E$1:E6645))))))</f>
        <v> </v>
      </c>
      <c r="K6646" s="26" t="str">
        <f>IF(OR(E6646="",E6646="!!!",F6646="NEW"),"",INDEX(J$1:J6645,SUMPRODUCT(MAX(ROW(E$1:E6645)*(E6646=E$1:E6645)))))</f>
        <v> </v>
      </c>
      <c r="L6646" s="27"/>
    </row>
    <row r="6647" spans="1:12">
      <c r="A6647" s="20" t="s">
        <v>1239</v>
      </c>
      <c r="B6647" s="21" t="s">
        <v>1101</v>
      </c>
      <c r="C6647" s="21" t="s">
        <v>1104</v>
      </c>
      <c r="E6647" s="22">
        <f>IF(D6647="?OLD","!!!","")</f>
        <v/>
      </c>
      <c r="F6647" s="23" t="str">
        <f>IF(OR(E6647="",E6647="!!!"),"",IF(NOT(ISNA(VLOOKUP(E6647,E$1:E6646,1,FALSE()))),"OLD",IF(AND(E6647&lt;&gt;"",E6647&lt;&gt;"!!!"),"NEW","")))</f>
        <v> </v>
      </c>
      <c r="G6647" s="24" t="str">
        <f>IF(OR(E6647="",E6647="!!!"),"",IF(OR(J6647=0,AND(J6647=1,K6647=1),AND(J6647=1,I6647="SBJ"),AND(J6647=1,I6647=0)),"?IN_FOCUS",IF(J6647&lt;=2,"?ACTIVATED",IF(J6647&lt;&gt;"","?FAMILIAR",IF(F6647="NEW",IF(ISNA(VLOOKUP(E6647,#REF!,1,FALSE())),"?TYPE_IDENTIFIABLE","?REFERENTIAL"),"_")))))</f>
        <v> </v>
      </c>
      <c r="H6647" s="25" t="str">
        <f>IF(J6647&lt;&gt;1,"",IF(I6647="SBJ","CB","?"))</f>
        <v> </v>
      </c>
      <c r="I6647" s="26" t="str">
        <f>IF(OR(E6647="",E6647="!!!",F6647="NEW"),"",INDEX(B6646:B$2,-1+SUMPRODUCT(MAX(ROW(E6646:E$2)*(E6647=E6646:E$2)))))</f>
        <v> </v>
      </c>
      <c r="J6647" s="26" t="str">
        <f>IF(OR(E6647="",E6647="!!!",F6647="NEW"),"",COUNTBLANK(OFFSET(A$1,,,SUMPRODUCT(MAX(ROW(E$2:E6647)*(E6647=E$2:E6647)))))-COUNTBLANK(OFFSET(A$1,,,SUMPRODUCT(MAX(ROW(E$1:E6646)*(E2=E$1:E6646))))))</f>
        <v> </v>
      </c>
      <c r="K6647" s="26" t="str">
        <f>IF(OR(E6647="",E6647="!!!",F6647="NEW"),"",INDEX(J$1:J6646,SUMPRODUCT(MAX(ROW(E$1:E6646)*(E6647=E$1:E6646)))))</f>
        <v> </v>
      </c>
      <c r="L6647" s="27"/>
    </row>
    <row r="6648" spans="1:12">
      <c r="A6648" s="20" t="s">
        <v>1004</v>
      </c>
      <c r="E6648" s="22">
        <f>IF(D6648="?OLD","!!!","")</f>
        <v/>
      </c>
      <c r="F6648" s="23" t="str">
        <f>IF(OR(E6648="",E6648="!!!"),"",IF(NOT(ISNA(VLOOKUP(E6648,E$1:E6647,1,FALSE()))),"OLD",IF(AND(E6648&lt;&gt;"",E6648&lt;&gt;"!!!"),"NEW","")))</f>
        <v> </v>
      </c>
      <c r="G6648" s="24" t="str">
        <f>IF(OR(E6648="",E6648="!!!"),"",IF(OR(J6648=0,AND(J6648=1,K6648=1),AND(J6648=1,I6648="SBJ"),AND(J6648=1,I6648=0)),"?IN_FOCUS",IF(J6648&lt;=2,"?ACTIVATED",IF(J6648&lt;&gt;"","?FAMILIAR",IF(F6648="NEW",IF(ISNA(VLOOKUP(E6648,#REF!,1,FALSE())),"?TYPE_IDENTIFIABLE","?REFERENTIAL"),"_")))))</f>
        <v> </v>
      </c>
      <c r="H6648" s="25" t="str">
        <f>IF(J6648&lt;&gt;1,"",IF(I6648="SBJ","CB","?"))</f>
        <v> </v>
      </c>
      <c r="I6648" s="26" t="str">
        <f>IF(OR(E6648="",E6648="!!!",F6648="NEW"),"",INDEX(B6647:B$2,-1+SUMPRODUCT(MAX(ROW(E6647:E$2)*(E6648=E6647:E$2)))))</f>
        <v> </v>
      </c>
      <c r="J6648" s="26" t="str">
        <f>IF(OR(E6648="",E6648="!!!",F6648="NEW"),"",COUNTBLANK(OFFSET(A$1,,,SUMPRODUCT(MAX(ROW(E$2:E6648)*(E6648=E$2:E6648)))))-COUNTBLANK(OFFSET(A$1,,,SUMPRODUCT(MAX(ROW(E$1:E6647)*(E2=E$1:E6647))))))</f>
        <v> </v>
      </c>
      <c r="K6648" s="26" t="str">
        <f>IF(OR(E6648="",E6648="!!!",F6648="NEW"),"",INDEX(J$1:J6647,SUMPRODUCT(MAX(ROW(E$1:E6647)*(E6648=E$1:E6647)))))</f>
        <v> </v>
      </c>
      <c r="L6648" s="27"/>
    </row>
    <row r="6649" spans="1:12">
      <c r="A6649" s="20" t="s">
        <v>997</v>
      </c>
      <c r="E6649" s="22">
        <f>IF(D6649="?OLD","!!!","")</f>
        <v/>
      </c>
      <c r="F6649" s="23" t="str">
        <f>IF(OR(E6649="",E6649="!!!"),"",IF(NOT(ISNA(VLOOKUP(E6649,E$1:E6648,1,FALSE()))),"OLD",IF(AND(E6649&lt;&gt;"",E6649&lt;&gt;"!!!"),"NEW","")))</f>
        <v> </v>
      </c>
      <c r="G6649" s="24" t="str">
        <f>IF(OR(E6649="",E6649="!!!"),"",IF(OR(J6649=0,AND(J6649=1,K6649=1),AND(J6649=1,I6649="SBJ"),AND(J6649=1,I6649=0)),"?IN_FOCUS",IF(J6649&lt;=2,"?ACTIVATED",IF(J6649&lt;&gt;"","?FAMILIAR",IF(F6649="NEW",IF(ISNA(VLOOKUP(E6649,#REF!,1,FALSE())),"?TYPE_IDENTIFIABLE","?REFERENTIAL"),"_")))))</f>
        <v> </v>
      </c>
      <c r="H6649" s="25" t="str">
        <f>IF(J6649&lt;&gt;1,"",IF(I6649="SBJ","CB","?"))</f>
        <v> </v>
      </c>
      <c r="I6649" s="26" t="str">
        <f>IF(OR(E6649="",E6649="!!!",F6649="NEW"),"",INDEX(B6648:B$2,-1+SUMPRODUCT(MAX(ROW(E6648:E$2)*(E6649=E6648:E$2)))))</f>
        <v> </v>
      </c>
      <c r="J6649" s="26" t="str">
        <f>IF(OR(E6649="",E6649="!!!",F6649="NEW"),"",COUNTBLANK(OFFSET(A$1,,,SUMPRODUCT(MAX(ROW(E$2:E6649)*(E6649=E$2:E6649)))))-COUNTBLANK(OFFSET(A$1,,,SUMPRODUCT(MAX(ROW(E$1:E6648)*(E2=E$1:E6648))))))</f>
        <v> </v>
      </c>
      <c r="K6649" s="26" t="str">
        <f>IF(OR(E6649="",E6649="!!!",F6649="NEW"),"",INDEX(J$1:J6648,SUMPRODUCT(MAX(ROW(E$1:E6648)*(E6649=E$1:E6648)))))</f>
        <v> </v>
      </c>
      <c r="L6649" s="27"/>
    </row>
    <row r="6650" spans="1:12">
      <c r="A6650" s="20" t="s">
        <v>1467</v>
      </c>
      <c r="B6650" s="21" t="s">
        <v>1054</v>
      </c>
      <c r="C6650" s="21" t="s">
        <v>990</v>
      </c>
      <c r="D6650" s="21" t="s">
        <v>978</v>
      </c>
      <c r="E6650" s="22">
        <f>IF(D6650="?OLD","!!!","")</f>
        <v/>
      </c>
      <c r="F6650" s="23" t="str">
        <f>IF(OR(E6650="",E6650="!!!"),"",IF(NOT(ISNA(VLOOKUP(E6650,E$1:E6649,1,FALSE()))),"OLD",IF(AND(E6650&lt;&gt;"",E6650&lt;&gt;"!!!"),"NEW","")))</f>
        <v> </v>
      </c>
      <c r="G6650" s="24" t="str">
        <f>IF(OR(E6650="",E6650="!!!"),"",IF(OR(J6650=0,AND(J6650=1,K6650=1),AND(J6650=1,I6650="SBJ"),AND(J6650=1,I6650=0)),"?IN_FOCUS",IF(J6650&lt;=2,"?ACTIVATED",IF(J6650&lt;&gt;"","?FAMILIAR",IF(F6650="NEW",IF(ISNA(VLOOKUP(E6650,#REF!,1,FALSE())),"?TYPE_IDENTIFIABLE","?REFERENTIAL"),"_")))))</f>
        <v> </v>
      </c>
      <c r="H6650" s="25" t="str">
        <f>IF(J6650&lt;&gt;1,"",IF(I6650="SBJ","CB","?"))</f>
        <v> </v>
      </c>
      <c r="I6650" s="26" t="str">
        <f>IF(OR(E6650="",E6650="!!!",F6650="NEW"),"",INDEX(B6649:B$2,-1+SUMPRODUCT(MAX(ROW(E6649:E$2)*(E6650=E6649:E$2)))))</f>
        <v> </v>
      </c>
      <c r="J6650" s="26" t="str">
        <f>IF(OR(E6650="",E6650="!!!",F6650="NEW"),"",COUNTBLANK(OFFSET(A$1,,,SUMPRODUCT(MAX(ROW(E$2:E6650)*(E6650=E$2:E6650)))))-COUNTBLANK(OFFSET(A$1,,,SUMPRODUCT(MAX(ROW(E$1:E6649)*(E2=E$1:E6649))))))</f>
        <v> </v>
      </c>
      <c r="K6650" s="26" t="str">
        <f>IF(OR(E6650="",E6650="!!!",F6650="NEW"),"",INDEX(J$1:J6649,SUMPRODUCT(MAX(ROW(E$1:E6649)*(E6650=E$1:E6649)))))</f>
        <v> </v>
      </c>
      <c r="L6650" s="27"/>
    </row>
    <row r="6651" spans="1:12">
      <c r="A6651" s="20" t="s">
        <v>996</v>
      </c>
      <c r="E6651" s="22">
        <f>IF(D6651="?OLD","!!!","")</f>
        <v/>
      </c>
      <c r="F6651" s="23" t="str">
        <f>IF(OR(E6651="",E6651="!!!"),"",IF(NOT(ISNA(VLOOKUP(E6651,E$1:E6650,1,FALSE()))),"OLD",IF(AND(E6651&lt;&gt;"",E6651&lt;&gt;"!!!"),"NEW","")))</f>
        <v> </v>
      </c>
      <c r="G6651" s="24" t="str">
        <f>IF(OR(E6651="",E6651="!!!"),"",IF(OR(J6651=0,AND(J6651=1,K6651=1),AND(J6651=1,I6651="SBJ"),AND(J6651=1,I6651=0)),"?IN_FOCUS",IF(J6651&lt;=2,"?ACTIVATED",IF(J6651&lt;&gt;"","?FAMILIAR",IF(F6651="NEW",IF(ISNA(VLOOKUP(E6651,#REF!,1,FALSE())),"?TYPE_IDENTIFIABLE","?REFERENTIAL"),"_")))))</f>
        <v> </v>
      </c>
      <c r="H6651" s="25" t="str">
        <f>IF(J6651&lt;&gt;1,"",IF(I6651="SBJ","CB","?"))</f>
        <v> </v>
      </c>
      <c r="I6651" s="26" t="str">
        <f>IF(OR(E6651="",E6651="!!!",F6651="NEW"),"",INDEX(B6650:B$2,-1+SUMPRODUCT(MAX(ROW(E6650:E$2)*(E6651=E6650:E$2)))))</f>
        <v> </v>
      </c>
      <c r="J6651" s="26" t="str">
        <f>IF(OR(E6651="",E6651="!!!",F6651="NEW"),"",COUNTBLANK(OFFSET(A$1,,,SUMPRODUCT(MAX(ROW(E$2:E6651)*(E6651=E$2:E6651)))))-COUNTBLANK(OFFSET(A$1,,,SUMPRODUCT(MAX(ROW(E$1:E6650)*(E2=E$1:E6650))))))</f>
        <v> </v>
      </c>
      <c r="K6651" s="26" t="str">
        <f>IF(OR(E6651="",E6651="!!!",F6651="NEW"),"",INDEX(J$1:J6650,SUMPRODUCT(MAX(ROW(E$1:E6650)*(E6651=E$1:E6650)))))</f>
        <v> </v>
      </c>
      <c r="L6651" s="27"/>
    </row>
    <row r="6652" spans="1:12">
      <c r="A6652" s="20" t="s">
        <v>1078</v>
      </c>
      <c r="B6652" s="21" t="s">
        <v>1007</v>
      </c>
      <c r="C6652" s="21" t="s">
        <v>1020</v>
      </c>
      <c r="D6652" s="21" t="s">
        <v>978</v>
      </c>
      <c r="E6652" s="22">
        <f>IF(D6652="?OLD","!!!","")</f>
        <v/>
      </c>
      <c r="F6652" s="23" t="str">
        <f>IF(OR(E6652="",E6652="!!!"),"",IF(NOT(ISNA(VLOOKUP(E6652,E$1:E6651,1,FALSE()))),"OLD",IF(AND(E6652&lt;&gt;"",E6652&lt;&gt;"!!!"),"NEW","")))</f>
        <v> </v>
      </c>
      <c r="G6652" s="24" t="str">
        <f>IF(OR(E6652="",E6652="!!!"),"",IF(OR(J6652=0,AND(J6652=1,K6652=1),AND(J6652=1,I6652="SBJ"),AND(J6652=1,I6652=0)),"?IN_FOCUS",IF(J6652&lt;=2,"?ACTIVATED",IF(J6652&lt;&gt;"","?FAMILIAR",IF(F6652="NEW",IF(ISNA(VLOOKUP(E6652,#REF!,1,FALSE())),"?TYPE_IDENTIFIABLE","?REFERENTIAL"),"_")))))</f>
        <v> </v>
      </c>
      <c r="H6652" s="25" t="str">
        <f>IF(J6652&lt;&gt;1,"",IF(I6652="SBJ","CB","?"))</f>
        <v> </v>
      </c>
      <c r="I6652" s="26" t="str">
        <f>IF(OR(E6652="",E6652="!!!",F6652="NEW"),"",INDEX(B6651:B$2,-1+SUMPRODUCT(MAX(ROW(E6651:E$2)*(E6652=E6651:E$2)))))</f>
        <v> </v>
      </c>
      <c r="J6652" s="26" t="str">
        <f>IF(OR(E6652="",E6652="!!!",F6652="NEW"),"",COUNTBLANK(OFFSET(A$1,,,SUMPRODUCT(MAX(ROW(E$2:E6652)*(E6652=E$2:E6652)))))-COUNTBLANK(OFFSET(A$1,,,SUMPRODUCT(MAX(ROW(E$1:E6651)*(E2=E$1:E6651))))))</f>
        <v> </v>
      </c>
      <c r="K6652" s="26" t="str">
        <f>IF(OR(E6652="",E6652="!!!",F6652="NEW"),"",INDEX(J$1:J6651,SUMPRODUCT(MAX(ROW(E$1:E6651)*(E6652=E$1:E6651)))))</f>
        <v> </v>
      </c>
      <c r="L6652" s="27"/>
    </row>
    <row r="6653" spans="1:12">
      <c r="A6653" s="20" t="s">
        <v>1038</v>
      </c>
      <c r="B6653" s="21" t="s">
        <v>1146</v>
      </c>
      <c r="E6653" s="22">
        <f>IF(D6653="?OLD","!!!","")</f>
        <v/>
      </c>
      <c r="F6653" s="23" t="str">
        <f>IF(OR(E6653="",E6653="!!!"),"",IF(NOT(ISNA(VLOOKUP(E6653,E$1:E6652,1,FALSE()))),"OLD",IF(AND(E6653&lt;&gt;"",E6653&lt;&gt;"!!!"),"NEW","")))</f>
        <v> </v>
      </c>
      <c r="G6653" s="24" t="str">
        <f>IF(OR(E6653="",E6653="!!!"),"",IF(OR(J6653=0,AND(J6653=1,K6653=1),AND(J6653=1,I6653="SBJ"),AND(J6653=1,I6653=0)),"?IN_FOCUS",IF(J6653&lt;=2,"?ACTIVATED",IF(J6653&lt;&gt;"","?FAMILIAR",IF(F6653="NEW",IF(ISNA(VLOOKUP(E6653,#REF!,1,FALSE())),"?TYPE_IDENTIFIABLE","?REFERENTIAL"),"_")))))</f>
        <v> </v>
      </c>
      <c r="H6653" s="25" t="str">
        <f>IF(J6653&lt;&gt;1,"",IF(I6653="SBJ","CB","?"))</f>
        <v> </v>
      </c>
      <c r="I6653" s="26" t="str">
        <f>IF(OR(E6653="",E6653="!!!",F6653="NEW"),"",INDEX(B6652:B$2,-1+SUMPRODUCT(MAX(ROW(E6652:E$2)*(E6653=E6652:E$2)))))</f>
        <v> </v>
      </c>
      <c r="J6653" s="26" t="str">
        <f>IF(OR(E6653="",E6653="!!!",F6653="NEW"),"",COUNTBLANK(OFFSET(A$1,,,SUMPRODUCT(MAX(ROW(E$2:E6653)*(E6653=E$2:E6653)))))-COUNTBLANK(OFFSET(A$1,,,SUMPRODUCT(MAX(ROW(E$1:E6652)*(E2=E$1:E6652))))))</f>
        <v> </v>
      </c>
      <c r="K6653" s="26" t="str">
        <f>IF(OR(E6653="",E6653="!!!",F6653="NEW"),"",INDEX(J$1:J6652,SUMPRODUCT(MAX(ROW(E$1:E6652)*(E6653=E$1:E6652)))))</f>
        <v> </v>
      </c>
      <c r="L6653" s="27"/>
    </row>
    <row r="6654" spans="1:12">
      <c r="A6654" s="20" t="s">
        <v>1047</v>
      </c>
      <c r="B6654" s="21" t="s">
        <v>1042</v>
      </c>
      <c r="C6654" s="21" t="s">
        <v>977</v>
      </c>
      <c r="D6654" s="21" t="s">
        <v>978</v>
      </c>
      <c r="E6654" s="22">
        <f>IF(D6654="?OLD","!!!","")</f>
        <v/>
      </c>
      <c r="F6654" s="23" t="str">
        <f>IF(OR(E6654="",E6654="!!!"),"",IF(NOT(ISNA(VLOOKUP(E6654,E$1:E6653,1,FALSE()))),"OLD",IF(AND(E6654&lt;&gt;"",E6654&lt;&gt;"!!!"),"NEW","")))</f>
        <v> </v>
      </c>
      <c r="G6654" s="24" t="str">
        <f>IF(OR(E6654="",E6654="!!!"),"",IF(OR(J6654=0,AND(J6654=1,K6654=1),AND(J6654=1,I6654="SBJ"),AND(J6654=1,I6654=0)),"?IN_FOCUS",IF(J6654&lt;=2,"?ACTIVATED",IF(J6654&lt;&gt;"","?FAMILIAR",IF(F6654="NEW",IF(ISNA(VLOOKUP(E6654,#REF!,1,FALSE())),"?TYPE_IDENTIFIABLE","?REFERENTIAL"),"_")))))</f>
        <v> </v>
      </c>
      <c r="H6654" s="25" t="str">
        <f>IF(J6654&lt;&gt;1,"",IF(I6654="SBJ","CB","?"))</f>
        <v> </v>
      </c>
      <c r="I6654" s="26" t="str">
        <f>IF(OR(E6654="",E6654="!!!",F6654="NEW"),"",INDEX(B6653:B$2,-1+SUMPRODUCT(MAX(ROW(E6653:E$2)*(E6654=E6653:E$2)))))</f>
        <v> </v>
      </c>
      <c r="J6654" s="26" t="str">
        <f>IF(OR(E6654="",E6654="!!!",F6654="NEW"),"",COUNTBLANK(OFFSET(A$1,,,SUMPRODUCT(MAX(ROW(E$2:E6654)*(E6654=E$2:E6654)))))-COUNTBLANK(OFFSET(A$1,,,SUMPRODUCT(MAX(ROW(E$1:E6653)*(E2=E$1:E6653))))))</f>
        <v> </v>
      </c>
      <c r="K6654" s="26" t="str">
        <f>IF(OR(E6654="",E6654="!!!",F6654="NEW"),"",INDEX(J$1:J6653,SUMPRODUCT(MAX(ROW(E$1:E6653)*(E6654=E$1:E6653)))))</f>
        <v> </v>
      </c>
      <c r="L6654" s="27"/>
    </row>
    <row r="6655" spans="1:12">
      <c r="A6655" s="20" t="s">
        <v>1116</v>
      </c>
      <c r="E6655" s="22">
        <f>IF(D6655="?OLD","!!!","")</f>
        <v/>
      </c>
      <c r="F6655" s="23" t="str">
        <f>IF(OR(E6655="",E6655="!!!"),"",IF(NOT(ISNA(VLOOKUP(E6655,E$1:E6654,1,FALSE()))),"OLD",IF(AND(E6655&lt;&gt;"",E6655&lt;&gt;"!!!"),"NEW","")))</f>
        <v> </v>
      </c>
      <c r="G6655" s="24" t="str">
        <f>IF(OR(E6655="",E6655="!!!"),"",IF(OR(J6655=0,AND(J6655=1,K6655=1),AND(J6655=1,I6655="SBJ"),AND(J6655=1,I6655=0)),"?IN_FOCUS",IF(J6655&lt;=2,"?ACTIVATED",IF(J6655&lt;&gt;"","?FAMILIAR",IF(F6655="NEW",IF(ISNA(VLOOKUP(E6655,#REF!,1,FALSE())),"?TYPE_IDENTIFIABLE","?REFERENTIAL"),"_")))))</f>
        <v> </v>
      </c>
      <c r="H6655" s="25" t="str">
        <f>IF(J6655&lt;&gt;1,"",IF(I6655="SBJ","CB","?"))</f>
        <v> </v>
      </c>
      <c r="I6655" s="26" t="str">
        <f>IF(OR(E6655="",E6655="!!!",F6655="NEW"),"",INDEX(B6654:B$2,-1+SUMPRODUCT(MAX(ROW(E6654:E$2)*(E6655=E6654:E$2)))))</f>
        <v> </v>
      </c>
      <c r="J6655" s="26" t="str">
        <f>IF(OR(E6655="",E6655="!!!",F6655="NEW"),"",COUNTBLANK(OFFSET(A$1,,,SUMPRODUCT(MAX(ROW(E$2:E6655)*(E6655=E$2:E6655)))))-COUNTBLANK(OFFSET(A$1,,,SUMPRODUCT(MAX(ROW(E$1:E6654)*(E2=E$1:E6654))))))</f>
        <v> </v>
      </c>
      <c r="K6655" s="26" t="str">
        <f>IF(OR(E6655="",E6655="!!!",F6655="NEW"),"",INDEX(J$1:J6654,SUMPRODUCT(MAX(ROW(E$1:E6654)*(E6655=E$1:E6654)))))</f>
        <v> </v>
      </c>
      <c r="L6655" s="27"/>
    </row>
    <row r="6656" spans="1:12">
      <c r="A6656" s="20" t="s">
        <v>1293</v>
      </c>
      <c r="E6656" s="22">
        <f>IF(D6656="?OLD","!!!","")</f>
        <v/>
      </c>
      <c r="F6656" s="23" t="str">
        <f>IF(OR(E6656="",E6656="!!!"),"",IF(NOT(ISNA(VLOOKUP(E6656,E$1:E6655,1,FALSE()))),"OLD",IF(AND(E6656&lt;&gt;"",E6656&lt;&gt;"!!!"),"NEW","")))</f>
        <v> </v>
      </c>
      <c r="G6656" s="24" t="str">
        <f>IF(OR(E6656="",E6656="!!!"),"",IF(OR(J6656=0,AND(J6656=1,K6656=1),AND(J6656=1,I6656="SBJ"),AND(J6656=1,I6656=0)),"?IN_FOCUS",IF(J6656&lt;=2,"?ACTIVATED",IF(J6656&lt;&gt;"","?FAMILIAR",IF(F6656="NEW",IF(ISNA(VLOOKUP(E6656,#REF!,1,FALSE())),"?TYPE_IDENTIFIABLE","?REFERENTIAL"),"_")))))</f>
        <v> </v>
      </c>
      <c r="H6656" s="25" t="str">
        <f>IF(J6656&lt;&gt;1,"",IF(I6656="SBJ","CB","?"))</f>
        <v> </v>
      </c>
      <c r="I6656" s="26" t="str">
        <f>IF(OR(E6656="",E6656="!!!",F6656="NEW"),"",INDEX(B6655:B$2,-1+SUMPRODUCT(MAX(ROW(E6655:E$2)*(E6656=E6655:E$2)))))</f>
        <v> </v>
      </c>
      <c r="J6656" s="26" t="str">
        <f>IF(OR(E6656="",E6656="!!!",F6656="NEW"),"",COUNTBLANK(OFFSET(A$1,,,SUMPRODUCT(MAX(ROW(E$2:E6656)*(E6656=E$2:E6656)))))-COUNTBLANK(OFFSET(A$1,,,SUMPRODUCT(MAX(ROW(E$1:E6655)*(E2=E$1:E6655))))))</f>
        <v> </v>
      </c>
      <c r="K6656" s="26" t="str">
        <f>IF(OR(E6656="",E6656="!!!",F6656="NEW"),"",INDEX(J$1:J6655,SUMPRODUCT(MAX(ROW(E$1:E6655)*(E6656=E$1:E6655)))))</f>
        <v> </v>
      </c>
      <c r="L6656" s="27"/>
    </row>
    <row r="6657" spans="1:12">
      <c r="A6657" s="20" t="s">
        <v>1009</v>
      </c>
      <c r="E6657" s="22">
        <f>IF(D6657="?OLD","!!!","")</f>
        <v/>
      </c>
      <c r="F6657" s="23" t="str">
        <f>IF(OR(E6657="",E6657="!!!"),"",IF(NOT(ISNA(VLOOKUP(E6657,E$1:E6656,1,FALSE()))),"OLD",IF(AND(E6657&lt;&gt;"",E6657&lt;&gt;"!!!"),"NEW","")))</f>
        <v> </v>
      </c>
      <c r="G6657" s="24" t="str">
        <f>IF(OR(E6657="",E6657="!!!"),"",IF(OR(J6657=0,AND(J6657=1,K6657=1),AND(J6657=1,I6657="SBJ"),AND(J6657=1,I6657=0)),"?IN_FOCUS",IF(J6657&lt;=2,"?ACTIVATED",IF(J6657&lt;&gt;"","?FAMILIAR",IF(F6657="NEW",IF(ISNA(VLOOKUP(E6657,#REF!,1,FALSE())),"?TYPE_IDENTIFIABLE","?REFERENTIAL"),"_")))))</f>
        <v> </v>
      </c>
      <c r="H6657" s="25" t="str">
        <f>IF(J6657&lt;&gt;1,"",IF(I6657="SBJ","CB","?"))</f>
        <v> </v>
      </c>
      <c r="I6657" s="26" t="str">
        <f>IF(OR(E6657="",E6657="!!!",F6657="NEW"),"",INDEX(B6656:B$2,-1+SUMPRODUCT(MAX(ROW(E6656:E$2)*(E6657=E6656:E$2)))))</f>
        <v> </v>
      </c>
      <c r="J6657" s="26" t="str">
        <f>IF(OR(E6657="",E6657="!!!",F6657="NEW"),"",COUNTBLANK(OFFSET(A$1,,,SUMPRODUCT(MAX(ROW(E$2:E6657)*(E6657=E$2:E6657)))))-COUNTBLANK(OFFSET(A$1,,,SUMPRODUCT(MAX(ROW(E$1:E6656)*(E2=E$1:E6656))))))</f>
        <v> </v>
      </c>
      <c r="K6657" s="26" t="str">
        <f>IF(OR(E6657="",E6657="!!!",F6657="NEW"),"",INDEX(J$1:J6656,SUMPRODUCT(MAX(ROW(E$1:E6656)*(E6657=E$1:E6656)))))</f>
        <v> </v>
      </c>
      <c r="L6657" s="27"/>
    </row>
    <row r="6658" spans="1:12">
      <c r="A6658" s="20" t="s">
        <v>1360</v>
      </c>
      <c r="E6658" s="22">
        <f>IF(D6658="?OLD","!!!","")</f>
        <v/>
      </c>
      <c r="F6658" s="23" t="str">
        <f>IF(OR(E6658="",E6658="!!!"),"",IF(NOT(ISNA(VLOOKUP(E6658,E$1:E6657,1,FALSE()))),"OLD",IF(AND(E6658&lt;&gt;"",E6658&lt;&gt;"!!!"),"NEW","")))</f>
        <v> </v>
      </c>
      <c r="G6658" s="24" t="str">
        <f>IF(OR(E6658="",E6658="!!!"),"",IF(OR(J6658=0,AND(J6658=1,K6658=1),AND(J6658=1,I6658="SBJ"),AND(J6658=1,I6658=0)),"?IN_FOCUS",IF(J6658&lt;=2,"?ACTIVATED",IF(J6658&lt;&gt;"","?FAMILIAR",IF(F6658="NEW",IF(ISNA(VLOOKUP(E6658,#REF!,1,FALSE())),"?TYPE_IDENTIFIABLE","?REFERENTIAL"),"_")))))</f>
        <v> </v>
      </c>
      <c r="H6658" s="25" t="str">
        <f>IF(J6658&lt;&gt;1,"",IF(I6658="SBJ","CB","?"))</f>
        <v> </v>
      </c>
      <c r="I6658" s="26" t="str">
        <f>IF(OR(E6658="",E6658="!!!",F6658="NEW"),"",INDEX(B6657:B$2,-1+SUMPRODUCT(MAX(ROW(E6657:E$2)*(E6658=E6657:E$2)))))</f>
        <v> </v>
      </c>
      <c r="J6658" s="26" t="str">
        <f>IF(OR(E6658="",E6658="!!!",F6658="NEW"),"",COUNTBLANK(OFFSET(A$1,,,SUMPRODUCT(MAX(ROW(E$2:E6658)*(E6658=E$2:E6658)))))-COUNTBLANK(OFFSET(A$1,,,SUMPRODUCT(MAX(ROW(E$1:E6657)*(E2=E$1:E6657))))))</f>
        <v> </v>
      </c>
      <c r="K6658" s="26" t="str">
        <f>IF(OR(E6658="",E6658="!!!",F6658="NEW"),"",INDEX(J$1:J6657,SUMPRODUCT(MAX(ROW(E$1:E6657)*(E6658=E$1:E6657)))))</f>
        <v> </v>
      </c>
      <c r="L6658" s="27"/>
    </row>
    <row r="6659" spans="1:12">
      <c r="A6659" s="20" t="s">
        <v>1050</v>
      </c>
      <c r="E6659" s="22">
        <f>IF(D6659="?OLD","!!!","")</f>
        <v/>
      </c>
      <c r="F6659" s="23" t="str">
        <f>IF(OR(E6659="",E6659="!!!"),"",IF(NOT(ISNA(VLOOKUP(E6659,E$1:E6658,1,FALSE()))),"OLD",IF(AND(E6659&lt;&gt;"",E6659&lt;&gt;"!!!"),"NEW","")))</f>
        <v> </v>
      </c>
      <c r="G6659" s="24" t="str">
        <f>IF(OR(E6659="",E6659="!!!"),"",IF(OR(J6659=0,AND(J6659=1,K6659=1),AND(J6659=1,I6659="SBJ"),AND(J6659=1,I6659=0)),"?IN_FOCUS",IF(J6659&lt;=2,"?ACTIVATED",IF(J6659&lt;&gt;"","?FAMILIAR",IF(F6659="NEW",IF(ISNA(VLOOKUP(E6659,#REF!,1,FALSE())),"?TYPE_IDENTIFIABLE","?REFERENTIAL"),"_")))))</f>
        <v> </v>
      </c>
      <c r="H6659" s="25" t="str">
        <f>IF(J6659&lt;&gt;1,"",IF(I6659="SBJ","CB","?"))</f>
        <v> </v>
      </c>
      <c r="I6659" s="26" t="str">
        <f>IF(OR(E6659="",E6659="!!!",F6659="NEW"),"",INDEX(B6658:B$2,-1+SUMPRODUCT(MAX(ROW(E6658:E$2)*(E6659=E6658:E$2)))))</f>
        <v> </v>
      </c>
      <c r="J6659" s="26" t="str">
        <f>IF(OR(E6659="",E6659="!!!",F6659="NEW"),"",COUNTBLANK(OFFSET(A$1,,,SUMPRODUCT(MAX(ROW(E$2:E6659)*(E6659=E$2:E6659)))))-COUNTBLANK(OFFSET(A$1,,,SUMPRODUCT(MAX(ROW(E$1:E6658)*(E2=E$1:E6658))))))</f>
        <v> </v>
      </c>
      <c r="K6659" s="26" t="str">
        <f>IF(OR(E6659="",E6659="!!!",F6659="NEW"),"",INDEX(J$1:J6658,SUMPRODUCT(MAX(ROW(E$1:E6658)*(E6659=E$1:E6658)))))</f>
        <v> </v>
      </c>
      <c r="L6659" s="27"/>
    </row>
    <row r="6660" spans="1:12">
      <c r="A6660" s="20" t="s">
        <v>1055</v>
      </c>
      <c r="B6660" s="21" t="s">
        <v>1229</v>
      </c>
      <c r="C6660" s="21" t="s">
        <v>983</v>
      </c>
      <c r="E6660" s="22">
        <f>IF(D6660="?OLD","!!!","")</f>
        <v/>
      </c>
      <c r="F6660" s="23" t="str">
        <f>IF(OR(E6660="",E6660="!!!"),"",IF(NOT(ISNA(VLOOKUP(E6660,E$1:E6659,1,FALSE()))),"OLD",IF(AND(E6660&lt;&gt;"",E6660&lt;&gt;"!!!"),"NEW","")))</f>
        <v> </v>
      </c>
      <c r="G6660" s="24" t="str">
        <f>IF(OR(E6660="",E6660="!!!"),"",IF(OR(J6660=0,AND(J6660=1,K6660=1),AND(J6660=1,I6660="SBJ"),AND(J6660=1,I6660=0)),"?IN_FOCUS",IF(J6660&lt;=2,"?ACTIVATED",IF(J6660&lt;&gt;"","?FAMILIAR",IF(F6660="NEW",IF(ISNA(VLOOKUP(E6660,#REF!,1,FALSE())),"?TYPE_IDENTIFIABLE","?REFERENTIAL"),"_")))))</f>
        <v> </v>
      </c>
      <c r="H6660" s="25" t="str">
        <f>IF(J6660&lt;&gt;1,"",IF(I6660="SBJ","CB","?"))</f>
        <v> </v>
      </c>
      <c r="I6660" s="26" t="str">
        <f>IF(OR(E6660="",E6660="!!!",F6660="NEW"),"",INDEX(B6659:B$2,-1+SUMPRODUCT(MAX(ROW(E6659:E$2)*(E6660=E6659:E$2)))))</f>
        <v> </v>
      </c>
      <c r="J6660" s="26" t="str">
        <f>IF(OR(E6660="",E6660="!!!",F6660="NEW"),"",COUNTBLANK(OFFSET(A$1,,,SUMPRODUCT(MAX(ROW(E$2:E6660)*(E6660=E$2:E6660)))))-COUNTBLANK(OFFSET(A$1,,,SUMPRODUCT(MAX(ROW(E$1:E6659)*(E2=E$1:E6659))))))</f>
        <v> </v>
      </c>
      <c r="K6660" s="26" t="str">
        <f>IF(OR(E6660="",E6660="!!!",F6660="NEW"),"",INDEX(J$1:J6659,SUMPRODUCT(MAX(ROW(E$1:E6659)*(E6660=E$1:E6659)))))</f>
        <v> </v>
      </c>
      <c r="L6660" s="27"/>
    </row>
    <row r="6661" spans="1:12">
      <c r="A6661" s="20" t="s">
        <v>1038</v>
      </c>
      <c r="B6661" s="21" t="s">
        <v>1810</v>
      </c>
      <c r="E6661" s="22">
        <f>IF(D6661="?OLD","!!!","")</f>
        <v/>
      </c>
      <c r="F6661" s="23" t="str">
        <f>IF(OR(E6661="",E6661="!!!"),"",IF(NOT(ISNA(VLOOKUP(E6661,E$1:E6660,1,FALSE()))),"OLD",IF(AND(E6661&lt;&gt;"",E6661&lt;&gt;"!!!"),"NEW","")))</f>
        <v> </v>
      </c>
      <c r="G6661" s="24" t="str">
        <f>IF(OR(E6661="",E6661="!!!"),"",IF(OR(J6661=0,AND(J6661=1,K6661=1),AND(J6661=1,I6661="SBJ"),AND(J6661=1,I6661=0)),"?IN_FOCUS",IF(J6661&lt;=2,"?ACTIVATED",IF(J6661&lt;&gt;"","?FAMILIAR",IF(F6661="NEW",IF(ISNA(VLOOKUP(E6661,#REF!,1,FALSE())),"?TYPE_IDENTIFIABLE","?REFERENTIAL"),"_")))))</f>
        <v> </v>
      </c>
      <c r="H6661" s="25" t="str">
        <f>IF(J6661&lt;&gt;1,"",IF(I6661="SBJ","CB","?"))</f>
        <v> </v>
      </c>
      <c r="I6661" s="26" t="str">
        <f>IF(OR(E6661="",E6661="!!!",F6661="NEW"),"",INDEX(B6660:B$2,-1+SUMPRODUCT(MAX(ROW(E6660:E$2)*(E6661=E6660:E$2)))))</f>
        <v> </v>
      </c>
      <c r="J6661" s="26" t="str">
        <f>IF(OR(E6661="",E6661="!!!",F6661="NEW"),"",COUNTBLANK(OFFSET(A$1,,,SUMPRODUCT(MAX(ROW(E$2:E6661)*(E6661=E$2:E6661)))))-COUNTBLANK(OFFSET(A$1,,,SUMPRODUCT(MAX(ROW(E$1:E6660)*(E2=E$1:E6660))))))</f>
        <v> </v>
      </c>
      <c r="K6661" s="26" t="str">
        <f>IF(OR(E6661="",E6661="!!!",F6661="NEW"),"",INDEX(J$1:J6660,SUMPRODUCT(MAX(ROW(E$1:E6660)*(E6661=E$1:E6660)))))</f>
        <v> </v>
      </c>
      <c r="L6661" s="27"/>
    </row>
    <row r="6662" spans="1:12">
      <c r="A6662" s="20" t="s">
        <v>1047</v>
      </c>
      <c r="B6662" s="21" t="s">
        <v>1833</v>
      </c>
      <c r="C6662" s="21" t="s">
        <v>977</v>
      </c>
      <c r="D6662" s="21" t="s">
        <v>978</v>
      </c>
      <c r="E6662" s="22">
        <f>IF(D6662="?OLD","!!!","")</f>
        <v/>
      </c>
      <c r="F6662" s="23" t="str">
        <f>IF(OR(E6662="",E6662="!!!"),"",IF(NOT(ISNA(VLOOKUP(E6662,E$1:E6661,1,FALSE()))),"OLD",IF(AND(E6662&lt;&gt;"",E6662&lt;&gt;"!!!"),"NEW","")))</f>
        <v> </v>
      </c>
      <c r="G6662" s="24" t="str">
        <f>IF(OR(E6662="",E6662="!!!"),"",IF(OR(J6662=0,AND(J6662=1,K6662=1),AND(J6662=1,I6662="SBJ"),AND(J6662=1,I6662=0)),"?IN_FOCUS",IF(J6662&lt;=2,"?ACTIVATED",IF(J6662&lt;&gt;"","?FAMILIAR",IF(F6662="NEW",IF(ISNA(VLOOKUP(E6662,#REF!,1,FALSE())),"?TYPE_IDENTIFIABLE","?REFERENTIAL"),"_")))))</f>
        <v> </v>
      </c>
      <c r="H6662" s="25" t="str">
        <f>IF(J6662&lt;&gt;1,"",IF(I6662="SBJ","CB","?"))</f>
        <v> </v>
      </c>
      <c r="I6662" s="26" t="str">
        <f>IF(OR(E6662="",E6662="!!!",F6662="NEW"),"",INDEX(B6661:B$2,-1+SUMPRODUCT(MAX(ROW(E6661:E$2)*(E6662=E6661:E$2)))))</f>
        <v> </v>
      </c>
      <c r="J6662" s="26" t="str">
        <f>IF(OR(E6662="",E6662="!!!",F6662="NEW"),"",COUNTBLANK(OFFSET(A$1,,,SUMPRODUCT(MAX(ROW(E$2:E6662)*(E6662=E$2:E6662)))))-COUNTBLANK(OFFSET(A$1,,,SUMPRODUCT(MAX(ROW(E$1:E6661)*(E2=E$1:E6661))))))</f>
        <v> </v>
      </c>
      <c r="K6662" s="26" t="str">
        <f>IF(OR(E6662="",E6662="!!!",F6662="NEW"),"",INDEX(J$1:J6661,SUMPRODUCT(MAX(ROW(E$1:E6661)*(E6662=E$1:E6661)))))</f>
        <v> </v>
      </c>
      <c r="L6662" s="27"/>
    </row>
    <row r="6663" spans="1:12">
      <c r="A6663" s="20" t="s">
        <v>1072</v>
      </c>
      <c r="E6663" s="22">
        <f>IF(D6663="?OLD","!!!","")</f>
        <v/>
      </c>
      <c r="F6663" s="23" t="str">
        <f>IF(OR(E6663="",E6663="!!!"),"",IF(NOT(ISNA(VLOOKUP(E6663,E$1:E6662,1,FALSE()))),"OLD",IF(AND(E6663&lt;&gt;"",E6663&lt;&gt;"!!!"),"NEW","")))</f>
        <v> </v>
      </c>
      <c r="G6663" s="24" t="str">
        <f>IF(OR(E6663="",E6663="!!!"),"",IF(OR(J6663=0,AND(J6663=1,K6663=1),AND(J6663=1,I6663="SBJ"),AND(J6663=1,I6663=0)),"?IN_FOCUS",IF(J6663&lt;=2,"?ACTIVATED",IF(J6663&lt;&gt;"","?FAMILIAR",IF(F6663="NEW",IF(ISNA(VLOOKUP(E6663,#REF!,1,FALSE())),"?TYPE_IDENTIFIABLE","?REFERENTIAL"),"_")))))</f>
        <v> </v>
      </c>
      <c r="H6663" s="25" t="str">
        <f>IF(J6663&lt;&gt;1,"",IF(I6663="SBJ","CB","?"))</f>
        <v> </v>
      </c>
      <c r="I6663" s="26" t="str">
        <f>IF(OR(E6663="",E6663="!!!",F6663="NEW"),"",INDEX(B6662:B$2,-1+SUMPRODUCT(MAX(ROW(E6662:E$2)*(E6663=E6662:E$2)))))</f>
        <v> </v>
      </c>
      <c r="J6663" s="26" t="str">
        <f>IF(OR(E6663="",E6663="!!!",F6663="NEW"),"",COUNTBLANK(OFFSET(A$1,,,SUMPRODUCT(MAX(ROW(E$2:E6663)*(E6663=E$2:E6663)))))-COUNTBLANK(OFFSET(A$1,,,SUMPRODUCT(MAX(ROW(E$1:E6662)*(E2=E$1:E6662))))))</f>
        <v> </v>
      </c>
      <c r="K6663" s="26" t="str">
        <f>IF(OR(E6663="",E6663="!!!",F6663="NEW"),"",INDEX(J$1:J6662,SUMPRODUCT(MAX(ROW(E$1:E6662)*(E6663=E$1:E6662)))))</f>
        <v> </v>
      </c>
      <c r="L6663" s="27"/>
    </row>
    <row r="6664" spans="1:12">
      <c r="A6664" s="20" t="s">
        <v>1185</v>
      </c>
      <c r="E6664" s="22">
        <f>IF(D6664="?OLD","!!!","")</f>
        <v/>
      </c>
      <c r="F6664" s="23" t="str">
        <f>IF(OR(E6664="",E6664="!!!"),"",IF(NOT(ISNA(VLOOKUP(E6664,E$1:E6663,1,FALSE()))),"OLD",IF(AND(E6664&lt;&gt;"",E6664&lt;&gt;"!!!"),"NEW","")))</f>
        <v> </v>
      </c>
      <c r="G6664" s="24" t="str">
        <f>IF(OR(E6664="",E6664="!!!"),"",IF(OR(J6664=0,AND(J6664=1,K6664=1),AND(J6664=1,I6664="SBJ"),AND(J6664=1,I6664=0)),"?IN_FOCUS",IF(J6664&lt;=2,"?ACTIVATED",IF(J6664&lt;&gt;"","?FAMILIAR",IF(F6664="NEW",IF(ISNA(VLOOKUP(E6664,#REF!,1,FALSE())),"?TYPE_IDENTIFIABLE","?REFERENTIAL"),"_")))))</f>
        <v> </v>
      </c>
      <c r="H6664" s="25" t="str">
        <f>IF(J6664&lt;&gt;1,"",IF(I6664="SBJ","CB","?"))</f>
        <v> </v>
      </c>
      <c r="I6664" s="26" t="str">
        <f>IF(OR(E6664="",E6664="!!!",F6664="NEW"),"",INDEX(B6663:B$2,-1+SUMPRODUCT(MAX(ROW(E6663:E$2)*(E6664=E6663:E$2)))))</f>
        <v> </v>
      </c>
      <c r="J6664" s="26" t="str">
        <f>IF(OR(E6664="",E6664="!!!",F6664="NEW"),"",COUNTBLANK(OFFSET(A$1,,,SUMPRODUCT(MAX(ROW(E$2:E6664)*(E6664=E$2:E6664)))))-COUNTBLANK(OFFSET(A$1,,,SUMPRODUCT(MAX(ROW(E$1:E6663)*(E2=E$1:E6663))))))</f>
        <v> </v>
      </c>
      <c r="K6664" s="26" t="str">
        <f>IF(OR(E6664="",E6664="!!!",F6664="NEW"),"",INDEX(J$1:J6663,SUMPRODUCT(MAX(ROW(E$1:E6663)*(E6664=E$1:E6663)))))</f>
        <v> </v>
      </c>
      <c r="L6664" s="27"/>
    </row>
    <row r="6665" spans="1:12">
      <c r="A6665" s="20" t="s">
        <v>1670</v>
      </c>
      <c r="E6665" s="22">
        <f>IF(D6665="?OLD","!!!","")</f>
        <v/>
      </c>
      <c r="F6665" s="23" t="str">
        <f>IF(OR(E6665="",E6665="!!!"),"",IF(NOT(ISNA(VLOOKUP(E6665,E$1:E6664,1,FALSE()))),"OLD",IF(AND(E6665&lt;&gt;"",E6665&lt;&gt;"!!!"),"NEW","")))</f>
        <v> </v>
      </c>
      <c r="G6665" s="24" t="str">
        <f>IF(OR(E6665="",E6665="!!!"),"",IF(OR(J6665=0,AND(J6665=1,K6665=1),AND(J6665=1,I6665="SBJ"),AND(J6665=1,I6665=0)),"?IN_FOCUS",IF(J6665&lt;=2,"?ACTIVATED",IF(J6665&lt;&gt;"","?FAMILIAR",IF(F6665="NEW",IF(ISNA(VLOOKUP(E6665,#REF!,1,FALSE())),"?TYPE_IDENTIFIABLE","?REFERENTIAL"),"_")))))</f>
        <v> </v>
      </c>
      <c r="H6665" s="25" t="str">
        <f>IF(J6665&lt;&gt;1,"",IF(I6665="SBJ","CB","?"))</f>
        <v> </v>
      </c>
      <c r="I6665" s="26" t="str">
        <f>IF(OR(E6665="",E6665="!!!",F6665="NEW"),"",INDEX(B6664:B$2,-1+SUMPRODUCT(MAX(ROW(E6664:E$2)*(E6665=E6664:E$2)))))</f>
        <v> </v>
      </c>
      <c r="J6665" s="26" t="str">
        <f>IF(OR(E6665="",E6665="!!!",F6665="NEW"),"",COUNTBLANK(OFFSET(A$1,,,SUMPRODUCT(MAX(ROW(E$2:E6665)*(E6665=E$2:E6665)))))-COUNTBLANK(OFFSET(A$1,,,SUMPRODUCT(MAX(ROW(E$1:E6664)*(E2=E$1:E6664))))))</f>
        <v> </v>
      </c>
      <c r="K6665" s="26" t="str">
        <f>IF(OR(E6665="",E6665="!!!",F6665="NEW"),"",INDEX(J$1:J6664,SUMPRODUCT(MAX(ROW(E$1:E6664)*(E6665=E$1:E6664)))))</f>
        <v> </v>
      </c>
      <c r="L6665" s="27"/>
    </row>
    <row r="6666" spans="1:12">
      <c r="A6666" s="20" t="s">
        <v>2594</v>
      </c>
      <c r="E6666" s="22">
        <f>IF(D6666="?OLD","!!!","")</f>
        <v/>
      </c>
      <c r="F6666" s="23" t="str">
        <f>IF(OR(E6666="",E6666="!!!"),"",IF(NOT(ISNA(VLOOKUP(E6666,E$1:E6665,1,FALSE()))),"OLD",IF(AND(E6666&lt;&gt;"",E6666&lt;&gt;"!!!"),"NEW","")))</f>
        <v> </v>
      </c>
      <c r="G6666" s="24" t="str">
        <f>IF(OR(E6666="",E6666="!!!"),"",IF(OR(J6666=0,AND(J6666=1,K6666=1),AND(J6666=1,I6666="SBJ"),AND(J6666=1,I6666=0)),"?IN_FOCUS",IF(J6666&lt;=2,"?ACTIVATED",IF(J6666&lt;&gt;"","?FAMILIAR",IF(F6666="NEW",IF(ISNA(VLOOKUP(E6666,#REF!,1,FALSE())),"?TYPE_IDENTIFIABLE","?REFERENTIAL"),"_")))))</f>
        <v> </v>
      </c>
      <c r="H6666" s="25" t="str">
        <f>IF(J6666&lt;&gt;1,"",IF(I6666="SBJ","CB","?"))</f>
        <v> </v>
      </c>
      <c r="I6666" s="26" t="str">
        <f>IF(OR(E6666="",E6666="!!!",F6666="NEW"),"",INDEX(B6665:B$2,-1+SUMPRODUCT(MAX(ROW(E6665:E$2)*(E6666=E6665:E$2)))))</f>
        <v> </v>
      </c>
      <c r="J6666" s="26" t="str">
        <f>IF(OR(E6666="",E6666="!!!",F6666="NEW"),"",COUNTBLANK(OFFSET(A$1,,,SUMPRODUCT(MAX(ROW(E$2:E6666)*(E6666=E$2:E6666)))))-COUNTBLANK(OFFSET(A$1,,,SUMPRODUCT(MAX(ROW(E$1:E6665)*(E2=E$1:E6665))))))</f>
        <v> </v>
      </c>
      <c r="K6666" s="26" t="str">
        <f>IF(OR(E6666="",E6666="!!!",F6666="NEW"),"",INDEX(J$1:J6665,SUMPRODUCT(MAX(ROW(E$1:E6665)*(E6666=E$1:E6665)))))</f>
        <v> </v>
      </c>
      <c r="L6666" s="27"/>
    </row>
    <row r="6667" spans="1:12">
      <c r="A6667" s="20" t="s">
        <v>1645</v>
      </c>
      <c r="E6667" s="22">
        <f>IF(D6667="?OLD","!!!","")</f>
        <v/>
      </c>
      <c r="F6667" s="23" t="str">
        <f>IF(OR(E6667="",E6667="!!!"),"",IF(NOT(ISNA(VLOOKUP(E6667,E$1:E6666,1,FALSE()))),"OLD",IF(AND(E6667&lt;&gt;"",E6667&lt;&gt;"!!!"),"NEW","")))</f>
        <v> </v>
      </c>
      <c r="G6667" s="24" t="str">
        <f>IF(OR(E6667="",E6667="!!!"),"",IF(OR(J6667=0,AND(J6667=1,K6667=1),AND(J6667=1,I6667="SBJ"),AND(J6667=1,I6667=0)),"?IN_FOCUS",IF(J6667&lt;=2,"?ACTIVATED",IF(J6667&lt;&gt;"","?FAMILIAR",IF(F6667="NEW",IF(ISNA(VLOOKUP(E6667,#REF!,1,FALSE())),"?TYPE_IDENTIFIABLE","?REFERENTIAL"),"_")))))</f>
        <v> </v>
      </c>
      <c r="H6667" s="25" t="str">
        <f>IF(J6667&lt;&gt;1,"",IF(I6667="SBJ","CB","?"))</f>
        <v> </v>
      </c>
      <c r="I6667" s="26" t="str">
        <f>IF(OR(E6667="",E6667="!!!",F6667="NEW"),"",INDEX(B6666:B$2,-1+SUMPRODUCT(MAX(ROW(E6666:E$2)*(E6667=E6666:E$2)))))</f>
        <v> </v>
      </c>
      <c r="J6667" s="26" t="str">
        <f>IF(OR(E6667="",E6667="!!!",F6667="NEW"),"",COUNTBLANK(OFFSET(A$1,,,SUMPRODUCT(MAX(ROW(E$2:E6667)*(E6667=E$2:E6667)))))-COUNTBLANK(OFFSET(A$1,,,SUMPRODUCT(MAX(ROW(E$1:E6666)*(E2=E$1:E6666))))))</f>
        <v> </v>
      </c>
      <c r="K6667" s="26" t="str">
        <f>IF(OR(E6667="",E6667="!!!",F6667="NEW"),"",INDEX(J$1:J6666,SUMPRODUCT(MAX(ROW(E$1:E6666)*(E6667=E$1:E6666)))))</f>
        <v> </v>
      </c>
      <c r="L6667" s="27"/>
    </row>
    <row r="6668" spans="1:12">
      <c r="A6668" s="20" t="s">
        <v>172</v>
      </c>
      <c r="E6668" s="22">
        <f>IF(D6668="?OLD","!!!","")</f>
        <v/>
      </c>
      <c r="F6668" s="23" t="str">
        <f>IF(OR(E6668="",E6668="!!!"),"",IF(NOT(ISNA(VLOOKUP(E6668,E$1:E6667,1,FALSE()))),"OLD",IF(AND(E6668&lt;&gt;"",E6668&lt;&gt;"!!!"),"NEW","")))</f>
        <v> </v>
      </c>
      <c r="G6668" s="24" t="str">
        <f>IF(OR(E6668="",E6668="!!!"),"",IF(OR(J6668=0,AND(J6668=1,K6668=1),AND(J6668=1,I6668="SBJ"),AND(J6668=1,I6668=0)),"?IN_FOCUS",IF(J6668&lt;=2,"?ACTIVATED",IF(J6668&lt;&gt;"","?FAMILIAR",IF(F6668="NEW",IF(ISNA(VLOOKUP(E6668,#REF!,1,FALSE())),"?TYPE_IDENTIFIABLE","?REFERENTIAL"),"_")))))</f>
        <v> </v>
      </c>
      <c r="H6668" s="25" t="str">
        <f>IF(J6668&lt;&gt;1,"",IF(I6668="SBJ","CB","?"))</f>
        <v> </v>
      </c>
      <c r="I6668" s="26" t="str">
        <f>IF(OR(E6668="",E6668="!!!",F6668="NEW"),"",INDEX(B6667:B$2,-1+SUMPRODUCT(MAX(ROW(E6667:E$2)*(E6668=E6667:E$2)))))</f>
        <v> </v>
      </c>
      <c r="J6668" s="26" t="str">
        <f>IF(OR(E6668="",E6668="!!!",F6668="NEW"),"",COUNTBLANK(OFFSET(A$1,,,SUMPRODUCT(MAX(ROW(E$2:E6668)*(E6668=E$2:E6668)))))-COUNTBLANK(OFFSET(A$1,,,SUMPRODUCT(MAX(ROW(E$1:E6667)*(E2=E$1:E6667))))))</f>
        <v> </v>
      </c>
      <c r="K6668" s="26" t="str">
        <f>IF(OR(E6668="",E6668="!!!",F6668="NEW"),"",INDEX(J$1:J6667,SUMPRODUCT(MAX(ROW(E$1:E6667)*(E6668=E$1:E6667)))))</f>
        <v> </v>
      </c>
      <c r="L6668" s="27"/>
    </row>
    <row r="6669" spans="1:12">
      <c r="A6669" s="20" t="s">
        <v>1344</v>
      </c>
      <c r="B6669" s="21" t="s">
        <v>1014</v>
      </c>
      <c r="C6669" s="21" t="s">
        <v>1063</v>
      </c>
      <c r="D6669" s="21" t="s">
        <v>978</v>
      </c>
      <c r="E6669" s="22">
        <f>IF(D6669="?OLD","!!!","")</f>
        <v/>
      </c>
      <c r="F6669" s="23" t="str">
        <f>IF(OR(E6669="",E6669="!!!"),"",IF(NOT(ISNA(VLOOKUP(E6669,E$1:E6668,1,FALSE()))),"OLD",IF(AND(E6669&lt;&gt;"",E6669&lt;&gt;"!!!"),"NEW","")))</f>
        <v> </v>
      </c>
      <c r="G6669" s="24" t="str">
        <f>IF(OR(E6669="",E6669="!!!"),"",IF(OR(J6669=0,AND(J6669=1,K6669=1),AND(J6669=1,I6669="SBJ"),AND(J6669=1,I6669=0)),"?IN_FOCUS",IF(J6669&lt;=2,"?ACTIVATED",IF(J6669&lt;&gt;"","?FAMILIAR",IF(F6669="NEW",IF(ISNA(VLOOKUP(E6669,#REF!,1,FALSE())),"?TYPE_IDENTIFIABLE","?REFERENTIAL"),"_")))))</f>
        <v> </v>
      </c>
      <c r="H6669" s="25" t="str">
        <f>IF(J6669&lt;&gt;1,"",IF(I6669="SBJ","CB","?"))</f>
        <v> </v>
      </c>
      <c r="I6669" s="26" t="str">
        <f>IF(OR(E6669="",E6669="!!!",F6669="NEW"),"",INDEX(B6668:B$2,-1+SUMPRODUCT(MAX(ROW(E6668:E$2)*(E6669=E6668:E$2)))))</f>
        <v> </v>
      </c>
      <c r="J6669" s="26" t="str">
        <f>IF(OR(E6669="",E6669="!!!",F6669="NEW"),"",COUNTBLANK(OFFSET(A$1,,,SUMPRODUCT(MAX(ROW(E$2:E6669)*(E6669=E$2:E6669)))))-COUNTBLANK(OFFSET(A$1,,,SUMPRODUCT(MAX(ROW(E$1:E6668)*(E2=E$1:E6668))))))</f>
        <v> </v>
      </c>
      <c r="K6669" s="26" t="str">
        <f>IF(OR(E6669="",E6669="!!!",F6669="NEW"),"",INDEX(J$1:J6668,SUMPRODUCT(MAX(ROW(E$1:E6668)*(E6669=E$1:E6668)))))</f>
        <v> </v>
      </c>
      <c r="L6669" s="27"/>
    </row>
    <row r="6670" spans="1:12">
      <c r="A6670" s="20" t="s">
        <v>1010</v>
      </c>
      <c r="B6670" s="21" t="s">
        <v>1054</v>
      </c>
      <c r="C6670" s="21" t="s">
        <v>977</v>
      </c>
      <c r="D6670" s="21" t="s">
        <v>978</v>
      </c>
      <c r="E6670" s="22">
        <f>IF(D6670="?OLD","!!!","")</f>
        <v/>
      </c>
      <c r="F6670" s="23" t="str">
        <f>IF(OR(E6670="",E6670="!!!"),"",IF(NOT(ISNA(VLOOKUP(E6670,E$1:E6669,1,FALSE()))),"OLD",IF(AND(E6670&lt;&gt;"",E6670&lt;&gt;"!!!"),"NEW","")))</f>
        <v> </v>
      </c>
      <c r="G6670" s="24" t="str">
        <f>IF(OR(E6670="",E6670="!!!"),"",IF(OR(J6670=0,AND(J6670=1,K6670=1),AND(J6670=1,I6670="SBJ"),AND(J6670=1,I6670=0)),"?IN_FOCUS",IF(J6670&lt;=2,"?ACTIVATED",IF(J6670&lt;&gt;"","?FAMILIAR",IF(F6670="NEW",IF(ISNA(VLOOKUP(E6670,#REF!,1,FALSE())),"?TYPE_IDENTIFIABLE","?REFERENTIAL"),"_")))))</f>
        <v> </v>
      </c>
      <c r="H6670" s="25" t="str">
        <f>IF(J6670&lt;&gt;1,"",IF(I6670="SBJ","CB","?"))</f>
        <v> </v>
      </c>
      <c r="I6670" s="26" t="str">
        <f>IF(OR(E6670="",E6670="!!!",F6670="NEW"),"",INDEX(B6669:B$2,-1+SUMPRODUCT(MAX(ROW(E6669:E$2)*(E6670=E6669:E$2)))))</f>
        <v> </v>
      </c>
      <c r="J6670" s="26" t="str">
        <f>IF(OR(E6670="",E6670="!!!",F6670="NEW"),"",COUNTBLANK(OFFSET(A$1,,,SUMPRODUCT(MAX(ROW(E$2:E6670)*(E6670=E$2:E6670)))))-COUNTBLANK(OFFSET(A$1,,,SUMPRODUCT(MAX(ROW(E$1:E6669)*(E2=E$1:E6669))))))</f>
        <v> </v>
      </c>
      <c r="K6670" s="26" t="str">
        <f>IF(OR(E6670="",E6670="!!!",F6670="NEW"),"",INDEX(J$1:J6669,SUMPRODUCT(MAX(ROW(E$1:E6669)*(E6670=E$1:E6669)))))</f>
        <v> </v>
      </c>
      <c r="L6670" s="27"/>
    </row>
    <row r="6671" spans="1:12">
      <c r="A6671" s="20" t="s">
        <v>1294</v>
      </c>
      <c r="B6671" s="21" t="s">
        <v>1007</v>
      </c>
      <c r="C6671" s="21" t="s">
        <v>1020</v>
      </c>
      <c r="D6671" s="21" t="s">
        <v>978</v>
      </c>
      <c r="E6671" s="22">
        <f>IF(D6671="?OLD","!!!","")</f>
        <v/>
      </c>
      <c r="F6671" s="23" t="str">
        <f>IF(OR(E6671="",E6671="!!!"),"",IF(NOT(ISNA(VLOOKUP(E6671,E$1:E6670,1,FALSE()))),"OLD",IF(AND(E6671&lt;&gt;"",E6671&lt;&gt;"!!!"),"NEW","")))</f>
        <v> </v>
      </c>
      <c r="G6671" s="24" t="str">
        <f>IF(OR(E6671="",E6671="!!!"),"",IF(OR(J6671=0,AND(J6671=1,K6671=1),AND(J6671=1,I6671="SBJ"),AND(J6671=1,I6671=0)),"?IN_FOCUS",IF(J6671&lt;=2,"?ACTIVATED",IF(J6671&lt;&gt;"","?FAMILIAR",IF(F6671="NEW",IF(ISNA(VLOOKUP(E6671,#REF!,1,FALSE())),"?TYPE_IDENTIFIABLE","?REFERENTIAL"),"_")))))</f>
        <v> </v>
      </c>
      <c r="H6671" s="25" t="str">
        <f>IF(J6671&lt;&gt;1,"",IF(I6671="SBJ","CB","?"))</f>
        <v> </v>
      </c>
      <c r="I6671" s="26" t="str">
        <f>IF(OR(E6671="",E6671="!!!",F6671="NEW"),"",INDEX(B6670:B$2,-1+SUMPRODUCT(MAX(ROW(E6670:E$2)*(E6671=E6670:E$2)))))</f>
        <v> </v>
      </c>
      <c r="J6671" s="26" t="str">
        <f>IF(OR(E6671="",E6671="!!!",F6671="NEW"),"",COUNTBLANK(OFFSET(A$1,,,SUMPRODUCT(MAX(ROW(E$2:E6671)*(E6671=E$2:E6671)))))-COUNTBLANK(OFFSET(A$1,,,SUMPRODUCT(MAX(ROW(E$1:E6670)*(E2=E$1:E6670))))))</f>
        <v> </v>
      </c>
      <c r="K6671" s="26" t="str">
        <f>IF(OR(E6671="",E6671="!!!",F6671="NEW"),"",INDEX(J$1:J6670,SUMPRODUCT(MAX(ROW(E$1:E6670)*(E6671=E$1:E6670)))))</f>
        <v> </v>
      </c>
      <c r="L6671" s="27"/>
    </row>
    <row r="6672" spans="1:12">
      <c r="A6672" s="20" t="s">
        <v>1323</v>
      </c>
      <c r="E6672" s="22">
        <f>IF(D6672="?OLD","!!!","")</f>
        <v/>
      </c>
      <c r="F6672" s="23" t="str">
        <f>IF(OR(E6672="",E6672="!!!"),"",IF(NOT(ISNA(VLOOKUP(E6672,E$1:E6671,1,FALSE()))),"OLD",IF(AND(E6672&lt;&gt;"",E6672&lt;&gt;"!!!"),"NEW","")))</f>
        <v> </v>
      </c>
      <c r="G6672" s="24" t="str">
        <f>IF(OR(E6672="",E6672="!!!"),"",IF(OR(J6672=0,AND(J6672=1,K6672=1),AND(J6672=1,I6672="SBJ"),AND(J6672=1,I6672=0)),"?IN_FOCUS",IF(J6672&lt;=2,"?ACTIVATED",IF(J6672&lt;&gt;"","?FAMILIAR",IF(F6672="NEW",IF(ISNA(VLOOKUP(E6672,#REF!,1,FALSE())),"?TYPE_IDENTIFIABLE","?REFERENTIAL"),"_")))))</f>
        <v> </v>
      </c>
      <c r="H6672" s="25" t="str">
        <f>IF(J6672&lt;&gt;1,"",IF(I6672="SBJ","CB","?"))</f>
        <v> </v>
      </c>
      <c r="I6672" s="26" t="str">
        <f>IF(OR(E6672="",E6672="!!!",F6672="NEW"),"",INDEX(B6671:B$2,-1+SUMPRODUCT(MAX(ROW(E6671:E$2)*(E6672=E6671:E$2)))))</f>
        <v> </v>
      </c>
      <c r="J6672" s="26" t="str">
        <f>IF(OR(E6672="",E6672="!!!",F6672="NEW"),"",COUNTBLANK(OFFSET(A$1,,,SUMPRODUCT(MAX(ROW(E$2:E6672)*(E6672=E$2:E6672)))))-COUNTBLANK(OFFSET(A$1,,,SUMPRODUCT(MAX(ROW(E$1:E6671)*(E2=E$1:E6671))))))</f>
        <v> </v>
      </c>
      <c r="K6672" s="26" t="str">
        <f>IF(OR(E6672="",E6672="!!!",F6672="NEW"),"",INDEX(J$1:J6671,SUMPRODUCT(MAX(ROW(E$1:E6671)*(E6672=E$1:E6671)))))</f>
        <v> </v>
      </c>
      <c r="L6672" s="27"/>
    </row>
    <row r="6673" spans="1:12">
      <c r="A6673" s="20" t="s">
        <v>96</v>
      </c>
      <c r="E6673" s="22">
        <f>IF(D6673="?OLD","!!!","")</f>
        <v/>
      </c>
      <c r="F6673" s="23" t="str">
        <f>IF(OR(E6673="",E6673="!!!"),"",IF(NOT(ISNA(VLOOKUP(E6673,E$1:E6672,1,FALSE()))),"OLD",IF(AND(E6673&lt;&gt;"",E6673&lt;&gt;"!!!"),"NEW","")))</f>
        <v> </v>
      </c>
      <c r="G6673" s="24" t="str">
        <f>IF(OR(E6673="",E6673="!!!"),"",IF(OR(J6673=0,AND(J6673=1,K6673=1),AND(J6673=1,I6673="SBJ"),AND(J6673=1,I6673=0)),"?IN_FOCUS",IF(J6673&lt;=2,"?ACTIVATED",IF(J6673&lt;&gt;"","?FAMILIAR",IF(F6673="NEW",IF(ISNA(VLOOKUP(E6673,#REF!,1,FALSE())),"?TYPE_IDENTIFIABLE","?REFERENTIAL"),"_")))))</f>
        <v> </v>
      </c>
      <c r="H6673" s="25" t="str">
        <f>IF(J6673&lt;&gt;1,"",IF(I6673="SBJ","CB","?"))</f>
        <v> </v>
      </c>
      <c r="I6673" s="26" t="str">
        <f>IF(OR(E6673="",E6673="!!!",F6673="NEW"),"",INDEX(B6672:B$2,-1+SUMPRODUCT(MAX(ROW(E6672:E$2)*(E6673=E6672:E$2)))))</f>
        <v> </v>
      </c>
      <c r="J6673" s="26" t="str">
        <f>IF(OR(E6673="",E6673="!!!",F6673="NEW"),"",COUNTBLANK(OFFSET(A$1,,,SUMPRODUCT(MAX(ROW(E$2:E6673)*(E6673=E$2:E6673)))))-COUNTBLANK(OFFSET(A$1,,,SUMPRODUCT(MAX(ROW(E$1:E6672)*(E2=E$1:E6672))))))</f>
        <v> </v>
      </c>
      <c r="K6673" s="26" t="str">
        <f>IF(OR(E6673="",E6673="!!!",F6673="NEW"),"",INDEX(J$1:J6672,SUMPRODUCT(MAX(ROW(E$1:E6672)*(E6673=E$1:E6672)))))</f>
        <v> </v>
      </c>
      <c r="L6673" s="27"/>
    </row>
    <row r="6674" spans="1:12">
      <c r="A6674" s="20" t="s">
        <v>1177</v>
      </c>
      <c r="B6674" s="21" t="s">
        <v>986</v>
      </c>
      <c r="C6674" s="21" t="s">
        <v>1178</v>
      </c>
      <c r="E6674" s="22">
        <f>IF(D6674="?OLD","!!!","")</f>
        <v/>
      </c>
      <c r="F6674" s="23" t="str">
        <f>IF(OR(E6674="",E6674="!!!"),"",IF(NOT(ISNA(VLOOKUP(E6674,E$1:E6673,1,FALSE()))),"OLD",IF(AND(E6674&lt;&gt;"",E6674&lt;&gt;"!!!"),"NEW","")))</f>
        <v> </v>
      </c>
      <c r="G6674" s="24" t="str">
        <f>IF(OR(E6674="",E6674="!!!"),"",IF(OR(J6674=0,AND(J6674=1,K6674=1),AND(J6674=1,I6674="SBJ"),AND(J6674=1,I6674=0)),"?IN_FOCUS",IF(J6674&lt;=2,"?ACTIVATED",IF(J6674&lt;&gt;"","?FAMILIAR",IF(F6674="NEW",IF(ISNA(VLOOKUP(E6674,#REF!,1,FALSE())),"?TYPE_IDENTIFIABLE","?REFERENTIAL"),"_")))))</f>
        <v> </v>
      </c>
      <c r="H6674" s="25" t="str">
        <f>IF(J6674&lt;&gt;1,"",IF(I6674="SBJ","CB","?"))</f>
        <v> </v>
      </c>
      <c r="I6674" s="26" t="str">
        <f>IF(OR(E6674="",E6674="!!!",F6674="NEW"),"",INDEX(B6673:B$2,-1+SUMPRODUCT(MAX(ROW(E6673:E$2)*(E6674=E6673:E$2)))))</f>
        <v> </v>
      </c>
      <c r="J6674" s="26" t="str">
        <f>IF(OR(E6674="",E6674="!!!",F6674="NEW"),"",COUNTBLANK(OFFSET(A$1,,,SUMPRODUCT(MAX(ROW(E$2:E6674)*(E6674=E$2:E6674)))))-COUNTBLANK(OFFSET(A$1,,,SUMPRODUCT(MAX(ROW(E$1:E6673)*(E2=E$1:E6673))))))</f>
        <v> </v>
      </c>
      <c r="K6674" s="26" t="str">
        <f>IF(OR(E6674="",E6674="!!!",F6674="NEW"),"",INDEX(J$1:J6673,SUMPRODUCT(MAX(ROW(E$1:E6673)*(E6674=E$1:E6673)))))</f>
        <v> </v>
      </c>
      <c r="L6674" s="27"/>
    </row>
    <row r="6675" spans="1:12">
      <c r="A6675" s="20" t="s">
        <v>1024</v>
      </c>
      <c r="E6675" s="22">
        <f>IF(D6675="?OLD","!!!","")</f>
        <v/>
      </c>
      <c r="F6675" s="23" t="str">
        <f>IF(OR(E6675="",E6675="!!!"),"",IF(NOT(ISNA(VLOOKUP(E6675,E$1:E6674,1,FALSE()))),"OLD",IF(AND(E6675&lt;&gt;"",E6675&lt;&gt;"!!!"),"NEW","")))</f>
        <v> </v>
      </c>
      <c r="G6675" s="24" t="str">
        <f>IF(OR(E6675="",E6675="!!!"),"",IF(OR(J6675=0,AND(J6675=1,K6675=1),AND(J6675=1,I6675="SBJ"),AND(J6675=1,I6675=0)),"?IN_FOCUS",IF(J6675&lt;=2,"?ACTIVATED",IF(J6675&lt;&gt;"","?FAMILIAR",IF(F6675="NEW",IF(ISNA(VLOOKUP(E6675,#REF!,1,FALSE())),"?TYPE_IDENTIFIABLE","?REFERENTIAL"),"_")))))</f>
        <v> </v>
      </c>
      <c r="H6675" s="25" t="str">
        <f>IF(J6675&lt;&gt;1,"",IF(I6675="SBJ","CB","?"))</f>
        <v> </v>
      </c>
      <c r="I6675" s="26" t="str">
        <f>IF(OR(E6675="",E6675="!!!",F6675="NEW"),"",INDEX(B6674:B$2,-1+SUMPRODUCT(MAX(ROW(E6674:E$2)*(E6675=E6674:E$2)))))</f>
        <v> </v>
      </c>
      <c r="J6675" s="26" t="str">
        <f>IF(OR(E6675="",E6675="!!!",F6675="NEW"),"",COUNTBLANK(OFFSET(A$1,,,SUMPRODUCT(MAX(ROW(E$2:E6675)*(E6675=E$2:E6675)))))-COUNTBLANK(OFFSET(A$1,,,SUMPRODUCT(MAX(ROW(E$1:E6674)*(E2=E$1:E6674))))))</f>
        <v> </v>
      </c>
      <c r="K6675" s="26" t="str">
        <f>IF(OR(E6675="",E6675="!!!",F6675="NEW"),"",INDEX(J$1:J6674,SUMPRODUCT(MAX(ROW(E$1:E6674)*(E6675=E$1:E6674)))))</f>
        <v> </v>
      </c>
      <c r="L6675" s="27"/>
    </row>
    <row r="6676" spans="1:12">
      <c r="A6676" s="20" t="s">
        <v>1074</v>
      </c>
      <c r="E6676" s="22">
        <f>IF(D6676="?OLD","!!!","")</f>
        <v/>
      </c>
      <c r="F6676" s="23" t="str">
        <f>IF(OR(E6676="",E6676="!!!"),"",IF(NOT(ISNA(VLOOKUP(E6676,E$1:E6675,1,FALSE()))),"OLD",IF(AND(E6676&lt;&gt;"",E6676&lt;&gt;"!!!"),"NEW","")))</f>
        <v> </v>
      </c>
      <c r="G6676" s="24" t="str">
        <f>IF(OR(E6676="",E6676="!!!"),"",IF(OR(J6676=0,AND(J6676=1,K6676=1),AND(J6676=1,I6676="SBJ"),AND(J6676=1,I6676=0)),"?IN_FOCUS",IF(J6676&lt;=2,"?ACTIVATED",IF(J6676&lt;&gt;"","?FAMILIAR",IF(F6676="NEW",IF(ISNA(VLOOKUP(E6676,#REF!,1,FALSE())),"?TYPE_IDENTIFIABLE","?REFERENTIAL"),"_")))))</f>
        <v> </v>
      </c>
      <c r="H6676" s="25" t="str">
        <f>IF(J6676&lt;&gt;1,"",IF(I6676="SBJ","CB","?"))</f>
        <v> </v>
      </c>
      <c r="I6676" s="26" t="str">
        <f>IF(OR(E6676="",E6676="!!!",F6676="NEW"),"",INDEX(B6675:B$2,-1+SUMPRODUCT(MAX(ROW(E6675:E$2)*(E6676=E6675:E$2)))))</f>
        <v> </v>
      </c>
      <c r="J6676" s="26" t="str">
        <f>IF(OR(E6676="",E6676="!!!",F6676="NEW"),"",COUNTBLANK(OFFSET(A$1,,,SUMPRODUCT(MAX(ROW(E$2:E6676)*(E6676=E$2:E6676)))))-COUNTBLANK(OFFSET(A$1,,,SUMPRODUCT(MAX(ROW(E$1:E6675)*(E2=E$1:E6675))))))</f>
        <v> </v>
      </c>
      <c r="K6676" s="26" t="str">
        <f>IF(OR(E6676="",E6676="!!!",F6676="NEW"),"",INDEX(J$1:J6675,SUMPRODUCT(MAX(ROW(E$1:E6675)*(E6676=E$1:E6675)))))</f>
        <v> </v>
      </c>
      <c r="L6676" s="27"/>
    </row>
    <row r="6677" spans="1:12">
      <c r="A6677" s="20" t="s">
        <v>2576</v>
      </c>
      <c r="B6677" s="21" t="s">
        <v>1066</v>
      </c>
      <c r="C6677" s="21" t="s">
        <v>995</v>
      </c>
      <c r="D6677" s="21" t="s">
        <v>978</v>
      </c>
      <c r="E6677" s="22">
        <f>IF(D6677="?OLD","!!!","")</f>
        <v/>
      </c>
      <c r="F6677" s="23" t="str">
        <f>IF(OR(E6677="",E6677="!!!"),"",IF(NOT(ISNA(VLOOKUP(E6677,E$1:E6676,1,FALSE()))),"OLD",IF(AND(E6677&lt;&gt;"",E6677&lt;&gt;"!!!"),"NEW","")))</f>
        <v> </v>
      </c>
      <c r="G6677" s="24" t="str">
        <f>IF(OR(E6677="",E6677="!!!"),"",IF(OR(J6677=0,AND(J6677=1,K6677=1),AND(J6677=1,I6677="SBJ"),AND(J6677=1,I6677=0)),"?IN_FOCUS",IF(J6677&lt;=2,"?ACTIVATED",IF(J6677&lt;&gt;"","?FAMILIAR",IF(F6677="NEW",IF(ISNA(VLOOKUP(E6677,#REF!,1,FALSE())),"?TYPE_IDENTIFIABLE","?REFERENTIAL"),"_")))))</f>
        <v> </v>
      </c>
      <c r="H6677" s="25" t="str">
        <f>IF(J6677&lt;&gt;1,"",IF(I6677="SBJ","CB","?"))</f>
        <v> </v>
      </c>
      <c r="I6677" s="26" t="str">
        <f>IF(OR(E6677="",E6677="!!!",F6677="NEW"),"",INDEX(B6676:B$2,-1+SUMPRODUCT(MAX(ROW(E6676:E$2)*(E6677=E6676:E$2)))))</f>
        <v> </v>
      </c>
      <c r="J6677" s="26" t="str">
        <f>IF(OR(E6677="",E6677="!!!",F6677="NEW"),"",COUNTBLANK(OFFSET(A$1,,,SUMPRODUCT(MAX(ROW(E$2:E6677)*(E6677=E$2:E6677)))))-COUNTBLANK(OFFSET(A$1,,,SUMPRODUCT(MAX(ROW(E$1:E6676)*(E2=E$1:E6676))))))</f>
        <v> </v>
      </c>
      <c r="K6677" s="26" t="str">
        <f>IF(OR(E6677="",E6677="!!!",F6677="NEW"),"",INDEX(J$1:J6676,SUMPRODUCT(MAX(ROW(E$1:E6676)*(E6677=E$1:E6676)))))</f>
        <v> </v>
      </c>
      <c r="L6677" s="27"/>
    </row>
    <row r="6678" spans="1:12">
      <c r="A6678" s="20" t="s">
        <v>1067</v>
      </c>
      <c r="E6678" s="22">
        <f>IF(D6678="?OLD","!!!","")</f>
        <v/>
      </c>
      <c r="F6678" s="23" t="str">
        <f>IF(OR(E6678="",E6678="!!!"),"",IF(NOT(ISNA(VLOOKUP(E6678,E$1:E6677,1,FALSE()))),"OLD",IF(AND(E6678&lt;&gt;"",E6678&lt;&gt;"!!!"),"NEW","")))</f>
        <v> </v>
      </c>
      <c r="G6678" s="24" t="str">
        <f>IF(OR(E6678="",E6678="!!!"),"",IF(OR(J6678=0,AND(J6678=1,K6678=1),AND(J6678=1,I6678="SBJ"),AND(J6678=1,I6678=0)),"?IN_FOCUS",IF(J6678&lt;=2,"?ACTIVATED",IF(J6678&lt;&gt;"","?FAMILIAR",IF(F6678="NEW",IF(ISNA(VLOOKUP(E6678,#REF!,1,FALSE())),"?TYPE_IDENTIFIABLE","?REFERENTIAL"),"_")))))</f>
        <v> </v>
      </c>
      <c r="H6678" s="25" t="str">
        <f>IF(J6678&lt;&gt;1,"",IF(I6678="SBJ","CB","?"))</f>
        <v> </v>
      </c>
      <c r="I6678" s="26" t="str">
        <f>IF(OR(E6678="",E6678="!!!",F6678="NEW"),"",INDEX(B6677:B$2,-1+SUMPRODUCT(MAX(ROW(E6677:E$2)*(E6678=E6677:E$2)))))</f>
        <v> </v>
      </c>
      <c r="J6678" s="26" t="str">
        <f>IF(OR(E6678="",E6678="!!!",F6678="NEW"),"",COUNTBLANK(OFFSET(A$1,,,SUMPRODUCT(MAX(ROW(E$2:E6678)*(E6678=E$2:E6678)))))-COUNTBLANK(OFFSET(A$1,,,SUMPRODUCT(MAX(ROW(E$1:E6677)*(E2=E$1:E6677))))))</f>
        <v> </v>
      </c>
      <c r="K6678" s="26" t="str">
        <f>IF(OR(E6678="",E6678="!!!",F6678="NEW"),"",INDEX(J$1:J6677,SUMPRODUCT(MAX(ROW(E$1:E6677)*(E6678=E$1:E6677)))))</f>
        <v> </v>
      </c>
      <c r="L6678" s="27"/>
    </row>
    <row r="6679" spans="1:12">
      <c r="A6679" s="20" t="s">
        <v>2595</v>
      </c>
      <c r="E6679" s="22">
        <f>IF(D6679="?OLD","!!!","")</f>
        <v/>
      </c>
      <c r="F6679" s="23" t="str">
        <f>IF(OR(E6679="",E6679="!!!"),"",IF(NOT(ISNA(VLOOKUP(E6679,E$1:E6678,1,FALSE()))),"OLD",IF(AND(E6679&lt;&gt;"",E6679&lt;&gt;"!!!"),"NEW","")))</f>
        <v> </v>
      </c>
      <c r="G6679" s="24" t="str">
        <f>IF(OR(E6679="",E6679="!!!"),"",IF(OR(J6679=0,AND(J6679=1,K6679=1),AND(J6679=1,I6679="SBJ"),AND(J6679=1,I6679=0)),"?IN_FOCUS",IF(J6679&lt;=2,"?ACTIVATED",IF(J6679&lt;&gt;"","?FAMILIAR",IF(F6679="NEW",IF(ISNA(VLOOKUP(E6679,#REF!,1,FALSE())),"?TYPE_IDENTIFIABLE","?REFERENTIAL"),"_")))))</f>
        <v> </v>
      </c>
      <c r="H6679" s="25" t="str">
        <f>IF(J6679&lt;&gt;1,"",IF(I6679="SBJ","CB","?"))</f>
        <v> </v>
      </c>
      <c r="I6679" s="26" t="str">
        <f>IF(OR(E6679="",E6679="!!!",F6679="NEW"),"",INDEX(B6678:B$2,-1+SUMPRODUCT(MAX(ROW(E6678:E$2)*(E6679=E6678:E$2)))))</f>
        <v> </v>
      </c>
      <c r="J6679" s="26" t="str">
        <f>IF(OR(E6679="",E6679="!!!",F6679="NEW"),"",COUNTBLANK(OFFSET(A$1,,,SUMPRODUCT(MAX(ROW(E$2:E6679)*(E6679=E$2:E6679)))))-COUNTBLANK(OFFSET(A$1,,,SUMPRODUCT(MAX(ROW(E$1:E6678)*(E2=E$1:E6678))))))</f>
        <v> </v>
      </c>
      <c r="K6679" s="26" t="str">
        <f>IF(OR(E6679="",E6679="!!!",F6679="NEW"),"",INDEX(J$1:J6678,SUMPRODUCT(MAX(ROW(E$1:E6678)*(E6679=E$1:E6678)))))</f>
        <v> </v>
      </c>
      <c r="L6679" s="27"/>
    </row>
    <row r="6680" spans="1:12">
      <c r="A6680" s="20" t="s">
        <v>1011</v>
      </c>
      <c r="B6680" s="21" t="s">
        <v>1036</v>
      </c>
      <c r="C6680" s="21" t="s">
        <v>977</v>
      </c>
      <c r="D6680" s="21" t="s">
        <v>978</v>
      </c>
      <c r="E6680" s="22">
        <f>IF(D6680="?OLD","!!!","")</f>
        <v/>
      </c>
      <c r="F6680" s="23" t="str">
        <f>IF(OR(E6680="",E6680="!!!"),"",IF(NOT(ISNA(VLOOKUP(E6680,E$1:E6679,1,FALSE()))),"OLD",IF(AND(E6680&lt;&gt;"",E6680&lt;&gt;"!!!"),"NEW","")))</f>
        <v> </v>
      </c>
      <c r="G6680" s="24" t="str">
        <f>IF(OR(E6680="",E6680="!!!"),"",IF(OR(J6680=0,AND(J6680=1,K6680=1),AND(J6680=1,I6680="SBJ"),AND(J6680=1,I6680=0)),"?IN_FOCUS",IF(J6680&lt;=2,"?ACTIVATED",IF(J6680&lt;&gt;"","?FAMILIAR",IF(F6680="NEW",IF(ISNA(VLOOKUP(E6680,#REF!,1,FALSE())),"?TYPE_IDENTIFIABLE","?REFERENTIAL"),"_")))))</f>
        <v> </v>
      </c>
      <c r="H6680" s="25" t="str">
        <f>IF(J6680&lt;&gt;1,"",IF(I6680="SBJ","CB","?"))</f>
        <v> </v>
      </c>
      <c r="I6680" s="26" t="str">
        <f>IF(OR(E6680="",E6680="!!!",F6680="NEW"),"",INDEX(B6679:B$2,-1+SUMPRODUCT(MAX(ROW(E6679:E$2)*(E6680=E6679:E$2)))))</f>
        <v> </v>
      </c>
      <c r="J6680" s="26" t="str">
        <f>IF(OR(E6680="",E6680="!!!",F6680="NEW"),"",COUNTBLANK(OFFSET(A$1,,,SUMPRODUCT(MAX(ROW(E$2:E6680)*(E6680=E$2:E6680)))))-COUNTBLANK(OFFSET(A$1,,,SUMPRODUCT(MAX(ROW(E$1:E6679)*(E2=E$1:E6679))))))</f>
        <v> </v>
      </c>
      <c r="K6680" s="26" t="str">
        <f>IF(OR(E6680="",E6680="!!!",F6680="NEW"),"",INDEX(J$1:J6679,SUMPRODUCT(MAX(ROW(E$1:E6679)*(E6680=E$1:E6679)))))</f>
        <v> </v>
      </c>
      <c r="L6680" s="27"/>
    </row>
    <row r="6681" spans="1:12">
      <c r="A6681" s="20" t="s">
        <v>105</v>
      </c>
      <c r="E6681" s="22">
        <f>IF(D6681="?OLD","!!!","")</f>
        <v/>
      </c>
      <c r="F6681" s="23" t="str">
        <f>IF(OR(E6681="",E6681="!!!"),"",IF(NOT(ISNA(VLOOKUP(E6681,E$1:E6680,1,FALSE()))),"OLD",IF(AND(E6681&lt;&gt;"",E6681&lt;&gt;"!!!"),"NEW","")))</f>
        <v> </v>
      </c>
      <c r="G6681" s="24" t="str">
        <f>IF(OR(E6681="",E6681="!!!"),"",IF(OR(J6681=0,AND(J6681=1,K6681=1),AND(J6681=1,I6681="SBJ"),AND(J6681=1,I6681=0)),"?IN_FOCUS",IF(J6681&lt;=2,"?ACTIVATED",IF(J6681&lt;&gt;"","?FAMILIAR",IF(F6681="NEW",IF(ISNA(VLOOKUP(E6681,#REF!,1,FALSE())),"?TYPE_IDENTIFIABLE","?REFERENTIAL"),"_")))))</f>
        <v> </v>
      </c>
      <c r="H6681" s="25" t="str">
        <f>IF(J6681&lt;&gt;1,"",IF(I6681="SBJ","CB","?"))</f>
        <v> </v>
      </c>
      <c r="I6681" s="26" t="str">
        <f>IF(OR(E6681="",E6681="!!!",F6681="NEW"),"",INDEX(B6680:B$2,-1+SUMPRODUCT(MAX(ROW(E6680:E$2)*(E6681=E6680:E$2)))))</f>
        <v> </v>
      </c>
      <c r="J6681" s="26" t="str">
        <f>IF(OR(E6681="",E6681="!!!",F6681="NEW"),"",COUNTBLANK(OFFSET(A$1,,,SUMPRODUCT(MAX(ROW(E$2:E6681)*(E6681=E$2:E6681)))))-COUNTBLANK(OFFSET(A$1,,,SUMPRODUCT(MAX(ROW(E$1:E6680)*(E2=E$1:E6680))))))</f>
        <v> </v>
      </c>
      <c r="K6681" s="26" t="str">
        <f>IF(OR(E6681="",E6681="!!!",F6681="NEW"),"",INDEX(J$1:J6680,SUMPRODUCT(MAX(ROW(E$1:E6680)*(E6681=E$1:E6680)))))</f>
        <v> </v>
      </c>
      <c r="L6681" s="27"/>
    </row>
    <row r="6682" spans="1:12">
      <c r="A6682" s="20" t="s">
        <v>2596</v>
      </c>
      <c r="B6682" s="21" t="s">
        <v>1036</v>
      </c>
      <c r="C6682" s="21" t="s">
        <v>1057</v>
      </c>
      <c r="E6682" s="22">
        <f>IF(D6682="?OLD","!!!","")</f>
        <v/>
      </c>
      <c r="F6682" s="23" t="str">
        <f>IF(OR(E6682="",E6682="!!!"),"",IF(NOT(ISNA(VLOOKUP(E6682,E$1:E6681,1,FALSE()))),"OLD",IF(AND(E6682&lt;&gt;"",E6682&lt;&gt;"!!!"),"NEW","")))</f>
        <v> </v>
      </c>
      <c r="G6682" s="24" t="str">
        <f>IF(OR(E6682="",E6682="!!!"),"",IF(OR(J6682=0,AND(J6682=1,K6682=1),AND(J6682=1,I6682="SBJ"),AND(J6682=1,I6682=0)),"?IN_FOCUS",IF(J6682&lt;=2,"?ACTIVATED",IF(J6682&lt;&gt;"","?FAMILIAR",IF(F6682="NEW",IF(ISNA(VLOOKUP(E6682,#REF!,1,FALSE())),"?TYPE_IDENTIFIABLE","?REFERENTIAL"),"_")))))</f>
        <v> </v>
      </c>
      <c r="H6682" s="25" t="str">
        <f>IF(J6682&lt;&gt;1,"",IF(I6682="SBJ","CB","?"))</f>
        <v> </v>
      </c>
      <c r="I6682" s="26" t="str">
        <f>IF(OR(E6682="",E6682="!!!",F6682="NEW"),"",INDEX(B6681:B$2,-1+SUMPRODUCT(MAX(ROW(E6681:E$2)*(E6682=E6681:E$2)))))</f>
        <v> </v>
      </c>
      <c r="J6682" s="26" t="str">
        <f>IF(OR(E6682="",E6682="!!!",F6682="NEW"),"",COUNTBLANK(OFFSET(A$1,,,SUMPRODUCT(MAX(ROW(E$2:E6682)*(E6682=E$2:E6682)))))-COUNTBLANK(OFFSET(A$1,,,SUMPRODUCT(MAX(ROW(E$1:E6681)*(E2=E$1:E6681))))))</f>
        <v> </v>
      </c>
      <c r="K6682" s="26" t="str">
        <f>IF(OR(E6682="",E6682="!!!",F6682="NEW"),"",INDEX(J$1:J6681,SUMPRODUCT(MAX(ROW(E$1:E6681)*(E6682=E$1:E6681)))))</f>
        <v> </v>
      </c>
      <c r="L6682" s="27"/>
    </row>
    <row r="6683" spans="1:12">
      <c r="A6683" s="20" t="s">
        <v>2597</v>
      </c>
      <c r="E6683" s="22">
        <f>IF(D6683="?OLD","!!!","")</f>
        <v/>
      </c>
      <c r="F6683" s="23" t="str">
        <f>IF(OR(E6683="",E6683="!!!"),"",IF(NOT(ISNA(VLOOKUP(E6683,E$1:E6682,1,FALSE()))),"OLD",IF(AND(E6683&lt;&gt;"",E6683&lt;&gt;"!!!"),"NEW","")))</f>
        <v> </v>
      </c>
      <c r="G6683" s="24" t="str">
        <f>IF(OR(E6683="",E6683="!!!"),"",IF(OR(J6683=0,AND(J6683=1,K6683=1),AND(J6683=1,I6683="SBJ"),AND(J6683=1,I6683=0)),"?IN_FOCUS",IF(J6683&lt;=2,"?ACTIVATED",IF(J6683&lt;&gt;"","?FAMILIAR",IF(F6683="NEW",IF(ISNA(VLOOKUP(E6683,#REF!,1,FALSE())),"?TYPE_IDENTIFIABLE","?REFERENTIAL"),"_")))))</f>
        <v> </v>
      </c>
      <c r="H6683" s="25" t="str">
        <f>IF(J6683&lt;&gt;1,"",IF(I6683="SBJ","CB","?"))</f>
        <v> </v>
      </c>
      <c r="I6683" s="26" t="str">
        <f>IF(OR(E6683="",E6683="!!!",F6683="NEW"),"",INDEX(B6682:B$2,-1+SUMPRODUCT(MAX(ROW(E6682:E$2)*(E6683=E6682:E$2)))))</f>
        <v> </v>
      </c>
      <c r="J6683" s="26" t="str">
        <f>IF(OR(E6683="",E6683="!!!",F6683="NEW"),"",COUNTBLANK(OFFSET(A$1,,,SUMPRODUCT(MAX(ROW(E$2:E6683)*(E6683=E$2:E6683)))))-COUNTBLANK(OFFSET(A$1,,,SUMPRODUCT(MAX(ROW(E$1:E6682)*(E2=E$1:E6682))))))</f>
        <v> </v>
      </c>
      <c r="K6683" s="26" t="str">
        <f>IF(OR(E6683="",E6683="!!!",F6683="NEW"),"",INDEX(J$1:J6682,SUMPRODUCT(MAX(ROW(E$1:E6682)*(E6683=E$1:E6682)))))</f>
        <v> </v>
      </c>
      <c r="L6683" s="27"/>
    </row>
    <row r="6684" spans="1:12">
      <c r="A6684" s="20" t="s">
        <v>1022</v>
      </c>
      <c r="E6684" s="22">
        <f>IF(D6684="?OLD","!!!","")</f>
        <v/>
      </c>
      <c r="F6684" s="23" t="str">
        <f>IF(OR(E6684="",E6684="!!!"),"",IF(NOT(ISNA(VLOOKUP(E6684,E$1:E6683,1,FALSE()))),"OLD",IF(AND(E6684&lt;&gt;"",E6684&lt;&gt;"!!!"),"NEW","")))</f>
        <v> </v>
      </c>
      <c r="G6684" s="24" t="str">
        <f>IF(OR(E6684="",E6684="!!!"),"",IF(OR(J6684=0,AND(J6684=1,K6684=1),AND(J6684=1,I6684="SBJ"),AND(J6684=1,I6684=0)),"?IN_FOCUS",IF(J6684&lt;=2,"?ACTIVATED",IF(J6684&lt;&gt;"","?FAMILIAR",IF(F6684="NEW",IF(ISNA(VLOOKUP(E6684,#REF!,1,FALSE())),"?TYPE_IDENTIFIABLE","?REFERENTIAL"),"_")))))</f>
        <v> </v>
      </c>
      <c r="H6684" s="25" t="str">
        <f>IF(J6684&lt;&gt;1,"",IF(I6684="SBJ","CB","?"))</f>
        <v> </v>
      </c>
      <c r="I6684" s="26" t="str">
        <f>IF(OR(E6684="",E6684="!!!",F6684="NEW"),"",INDEX(B6683:B$2,-1+SUMPRODUCT(MAX(ROW(E6683:E$2)*(E6684=E6683:E$2)))))</f>
        <v> </v>
      </c>
      <c r="J6684" s="26" t="str">
        <f>IF(OR(E6684="",E6684="!!!",F6684="NEW"),"",COUNTBLANK(OFFSET(A$1,,,SUMPRODUCT(MAX(ROW(E$2:E6684)*(E6684=E$2:E6684)))))-COUNTBLANK(OFFSET(A$1,,,SUMPRODUCT(MAX(ROW(E$1:E6683)*(E2=E$1:E6683))))))</f>
        <v> </v>
      </c>
      <c r="K6684" s="26" t="str">
        <f>IF(OR(E6684="",E6684="!!!",F6684="NEW"),"",INDEX(J$1:J6683,SUMPRODUCT(MAX(ROW(E$1:E6683)*(E6684=E$1:E6683)))))</f>
        <v> </v>
      </c>
      <c r="L6684" s="27"/>
    </row>
    <row r="6685" spans="1:12">
      <c r="A6685" s="20"/>
    </row>
    <row r="6686" spans="1:12">
      <c r="A6686" s="20" t="s">
        <v>2598</v>
      </c>
    </row>
    <row r="6687" spans="1:12">
      <c r="A6687" s="20" t="s">
        <v>992</v>
      </c>
      <c r="E6687" s="22">
        <f>IF(D6687="?OLD","!!!","")</f>
        <v/>
      </c>
      <c r="F6687" s="23" t="str">
        <f>IF(OR(E6687="",E6687="!!!"),"",IF(NOT(ISNA(VLOOKUP(E6687,E$1:E6686,1,FALSE()))),"OLD",IF(AND(E6687&lt;&gt;"",E6687&lt;&gt;"!!!"),"NEW","")))</f>
        <v> </v>
      </c>
      <c r="G6687" s="24" t="str">
        <f>IF(OR(E6687="",E6687="!!!"),"",IF(OR(J6687=0,AND(J6687=1,K6687=1),AND(J6687=1,I6687="SBJ"),AND(J6687=1,I6687=0)),"?IN_FOCUS",IF(J6687&lt;=2,"?ACTIVATED",IF(J6687&lt;&gt;"","?FAMILIAR",IF(F6687="NEW",IF(ISNA(VLOOKUP(E6687,#REF!,1,FALSE())),"?TYPE_IDENTIFIABLE","?REFERENTIAL"),"_")))))</f>
        <v> </v>
      </c>
      <c r="H6687" s="25" t="str">
        <f>IF(J6687&lt;&gt;1,"",IF(I6687="SBJ","CB","?"))</f>
        <v> </v>
      </c>
      <c r="I6687" s="26" t="str">
        <f>IF(OR(E6687="",E6687="!!!",F6687="NEW"),"",INDEX(B6686:B$2,-1+SUMPRODUCT(MAX(ROW(E6686:E$2)*(E6687=E6686:E$2)))))</f>
        <v> </v>
      </c>
      <c r="J6687" s="26" t="str">
        <f>IF(OR(E6687="",E6687="!!!",F6687="NEW"),"",COUNTBLANK(OFFSET(A$1,,,SUMPRODUCT(MAX(ROW(E$2:E6687)*(E6687=E$2:E6687)))))-COUNTBLANK(OFFSET(A$1,,,SUMPRODUCT(MAX(ROW(E$1:E6686)*(E2=E$1:E6686))))))</f>
        <v> </v>
      </c>
      <c r="K6687" s="26" t="str">
        <f>IF(OR(E6687="",E6687="!!!",F6687="NEW"),"",INDEX(J$1:J6686,SUMPRODUCT(MAX(ROW(E$1:E6686)*(E6687=E$1:E6686)))))</f>
        <v> </v>
      </c>
      <c r="L6687" s="27"/>
    </row>
    <row r="6688" spans="1:12">
      <c r="A6688" s="20" t="s">
        <v>1047</v>
      </c>
      <c r="B6688" s="21" t="s">
        <v>976</v>
      </c>
      <c r="C6688" s="21" t="s">
        <v>977</v>
      </c>
      <c r="D6688" s="21" t="s">
        <v>978</v>
      </c>
      <c r="E6688" s="22">
        <f>IF(D6688="?OLD","!!!","")</f>
        <v/>
      </c>
      <c r="F6688" s="23" t="str">
        <f>IF(OR(E6688="",E6688="!!!"),"",IF(NOT(ISNA(VLOOKUP(E6688,E$1:E6687,1,FALSE()))),"OLD",IF(AND(E6688&lt;&gt;"",E6688&lt;&gt;"!!!"),"NEW","")))</f>
        <v> </v>
      </c>
      <c r="G6688" s="24" t="str">
        <f>IF(OR(E6688="",E6688="!!!"),"",IF(OR(J6688=0,AND(J6688=1,K6688=1),AND(J6688=1,I6688="SBJ"),AND(J6688=1,I6688=0)),"?IN_FOCUS",IF(J6688&lt;=2,"?ACTIVATED",IF(J6688&lt;&gt;"","?FAMILIAR",IF(F6688="NEW",IF(ISNA(VLOOKUP(E6688,#REF!,1,FALSE())),"?TYPE_IDENTIFIABLE","?REFERENTIAL"),"_")))))</f>
        <v> </v>
      </c>
      <c r="H6688" s="25" t="str">
        <f>IF(J6688&lt;&gt;1,"",IF(I6688="SBJ","CB","?"))</f>
        <v> </v>
      </c>
      <c r="I6688" s="26" t="str">
        <f>IF(OR(E6688="",E6688="!!!",F6688="NEW"),"",INDEX(B6687:B$2,-1+SUMPRODUCT(MAX(ROW(E6687:E$2)*(E6688=E6687:E$2)))))</f>
        <v> </v>
      </c>
      <c r="J6688" s="26" t="str">
        <f>IF(OR(E6688="",E6688="!!!",F6688="NEW"),"",COUNTBLANK(OFFSET(A$1,,,SUMPRODUCT(MAX(ROW(E$2:E6688)*(E6688=E$2:E6688)))))-COUNTBLANK(OFFSET(A$1,,,SUMPRODUCT(MAX(ROW(E$1:E6687)*(E2=E$1:E6687))))))</f>
        <v> </v>
      </c>
      <c r="K6688" s="26" t="str">
        <f>IF(OR(E6688="",E6688="!!!",F6688="NEW"),"",INDEX(J$1:J6687,SUMPRODUCT(MAX(ROW(E$1:E6687)*(E6688=E$1:E6687)))))</f>
        <v> </v>
      </c>
      <c r="L6688" s="27"/>
    </row>
    <row r="6689" spans="1:12">
      <c r="A6689" s="20" t="s">
        <v>2313</v>
      </c>
      <c r="E6689" s="22">
        <f>IF(D6689="?OLD","!!!","")</f>
        <v/>
      </c>
      <c r="F6689" s="23" t="str">
        <f>IF(OR(E6689="",E6689="!!!"),"",IF(NOT(ISNA(VLOOKUP(E6689,E$1:E6688,1,FALSE()))),"OLD",IF(AND(E6689&lt;&gt;"",E6689&lt;&gt;"!!!"),"NEW","")))</f>
        <v> </v>
      </c>
      <c r="G6689" s="24" t="str">
        <f>IF(OR(E6689="",E6689="!!!"),"",IF(OR(J6689=0,AND(J6689=1,K6689=1),AND(J6689=1,I6689="SBJ"),AND(J6689=1,I6689=0)),"?IN_FOCUS",IF(J6689&lt;=2,"?ACTIVATED",IF(J6689&lt;&gt;"","?FAMILIAR",IF(F6689="NEW",IF(ISNA(VLOOKUP(E6689,#REF!,1,FALSE())),"?TYPE_IDENTIFIABLE","?REFERENTIAL"),"_")))))</f>
        <v> </v>
      </c>
      <c r="H6689" s="25" t="str">
        <f>IF(J6689&lt;&gt;1,"",IF(I6689="SBJ","CB","?"))</f>
        <v> </v>
      </c>
      <c r="I6689" s="26" t="str">
        <f>IF(OR(E6689="",E6689="!!!",F6689="NEW"),"",INDEX(B6688:B$2,-1+SUMPRODUCT(MAX(ROW(E6688:E$2)*(E6689=E6688:E$2)))))</f>
        <v> </v>
      </c>
      <c r="J6689" s="26" t="str">
        <f>IF(OR(E6689="",E6689="!!!",F6689="NEW"),"",COUNTBLANK(OFFSET(A$1,,,SUMPRODUCT(MAX(ROW(E$2:E6689)*(E6689=E$2:E6689)))))-COUNTBLANK(OFFSET(A$1,,,SUMPRODUCT(MAX(ROW(E$1:E6688)*(E2=E$1:E6688))))))</f>
        <v> </v>
      </c>
      <c r="K6689" s="26" t="str">
        <f>IF(OR(E6689="",E6689="!!!",F6689="NEW"),"",INDEX(J$1:J6688,SUMPRODUCT(MAX(ROW(E$1:E6688)*(E6689=E$1:E6688)))))</f>
        <v> </v>
      </c>
      <c r="L6689" s="27"/>
    </row>
    <row r="6690" spans="1:12">
      <c r="A6690" s="20" t="s">
        <v>1038</v>
      </c>
      <c r="E6690" s="22">
        <f>IF(D6690="?OLD","!!!","")</f>
        <v/>
      </c>
      <c r="F6690" s="23" t="str">
        <f>IF(OR(E6690="",E6690="!!!"),"",IF(NOT(ISNA(VLOOKUP(E6690,E$1:E6689,1,FALSE()))),"OLD",IF(AND(E6690&lt;&gt;"",E6690&lt;&gt;"!!!"),"NEW","")))</f>
        <v> </v>
      </c>
      <c r="G6690" s="24" t="str">
        <f>IF(OR(E6690="",E6690="!!!"),"",IF(OR(J6690=0,AND(J6690=1,K6690=1),AND(J6690=1,I6690="SBJ"),AND(J6690=1,I6690=0)),"?IN_FOCUS",IF(J6690&lt;=2,"?ACTIVATED",IF(J6690&lt;&gt;"","?FAMILIAR",IF(F6690="NEW",IF(ISNA(VLOOKUP(E6690,#REF!,1,FALSE())),"?TYPE_IDENTIFIABLE","?REFERENTIAL"),"_")))))</f>
        <v> </v>
      </c>
      <c r="H6690" s="25" t="str">
        <f>IF(J6690&lt;&gt;1,"",IF(I6690="SBJ","CB","?"))</f>
        <v> </v>
      </c>
      <c r="I6690" s="26" t="str">
        <f>IF(OR(E6690="",E6690="!!!",F6690="NEW"),"",INDEX(B6689:B$2,-1+SUMPRODUCT(MAX(ROW(E6689:E$2)*(E6690=E6689:E$2)))))</f>
        <v> </v>
      </c>
      <c r="J6690" s="26" t="str">
        <f>IF(OR(E6690="",E6690="!!!",F6690="NEW"),"",COUNTBLANK(OFFSET(A$1,,,SUMPRODUCT(MAX(ROW(E$2:E6690)*(E6690=E$2:E6690)))))-COUNTBLANK(OFFSET(A$1,,,SUMPRODUCT(MAX(ROW(E$1:E6689)*(E2=E$1:E6689))))))</f>
        <v> </v>
      </c>
      <c r="K6690" s="26" t="str">
        <f>IF(OR(E6690="",E6690="!!!",F6690="NEW"),"",INDEX(J$1:J6689,SUMPRODUCT(MAX(ROW(E$1:E6689)*(E6690=E$1:E6689)))))</f>
        <v> </v>
      </c>
      <c r="L6690" s="27"/>
    </row>
    <row r="6691" spans="1:12">
      <c r="A6691" s="20" t="s">
        <v>1002</v>
      </c>
      <c r="E6691" s="22">
        <f>IF(D6691="?OLD","!!!","")</f>
        <v/>
      </c>
      <c r="F6691" s="23" t="str">
        <f>IF(OR(E6691="",E6691="!!!"),"",IF(NOT(ISNA(VLOOKUP(E6691,E$1:E6690,1,FALSE()))),"OLD",IF(AND(E6691&lt;&gt;"",E6691&lt;&gt;"!!!"),"NEW","")))</f>
        <v> </v>
      </c>
      <c r="G6691" s="24" t="str">
        <f>IF(OR(E6691="",E6691="!!!"),"",IF(OR(J6691=0,AND(J6691=1,K6691=1),AND(J6691=1,I6691="SBJ"),AND(J6691=1,I6691=0)),"?IN_FOCUS",IF(J6691&lt;=2,"?ACTIVATED",IF(J6691&lt;&gt;"","?FAMILIAR",IF(F6691="NEW",IF(ISNA(VLOOKUP(E6691,#REF!,1,FALSE())),"?TYPE_IDENTIFIABLE","?REFERENTIAL"),"_")))))</f>
        <v> </v>
      </c>
      <c r="H6691" s="25" t="str">
        <f>IF(J6691&lt;&gt;1,"",IF(I6691="SBJ","CB","?"))</f>
        <v> </v>
      </c>
      <c r="I6691" s="26" t="str">
        <f>IF(OR(E6691="",E6691="!!!",F6691="NEW"),"",INDEX(B6690:B$2,-1+SUMPRODUCT(MAX(ROW(E6690:E$2)*(E6691=E6690:E$2)))))</f>
        <v> </v>
      </c>
      <c r="J6691" s="26" t="str">
        <f>IF(OR(E6691="",E6691="!!!",F6691="NEW"),"",COUNTBLANK(OFFSET(A$1,,,SUMPRODUCT(MAX(ROW(E$2:E6691)*(E6691=E$2:E6691)))))-COUNTBLANK(OFFSET(A$1,,,SUMPRODUCT(MAX(ROW(E$1:E6690)*(E2=E$1:E6690))))))</f>
        <v> </v>
      </c>
      <c r="K6691" s="26" t="str">
        <f>IF(OR(E6691="",E6691="!!!",F6691="NEW"),"",INDEX(J$1:J6690,SUMPRODUCT(MAX(ROW(E$1:E6690)*(E6691=E$1:E6690)))))</f>
        <v> </v>
      </c>
      <c r="L6691" s="27"/>
    </row>
    <row r="6692" spans="1:12">
      <c r="A6692" s="20" t="s">
        <v>1519</v>
      </c>
      <c r="E6692" s="22">
        <f>IF(D6692="?OLD","!!!","")</f>
        <v/>
      </c>
      <c r="F6692" s="23" t="str">
        <f>IF(OR(E6692="",E6692="!!!"),"",IF(NOT(ISNA(VLOOKUP(E6692,E$1:E6691,1,FALSE()))),"OLD",IF(AND(E6692&lt;&gt;"",E6692&lt;&gt;"!!!"),"NEW","")))</f>
        <v> </v>
      </c>
      <c r="G6692" s="24" t="str">
        <f>IF(OR(E6692="",E6692="!!!"),"",IF(OR(J6692=0,AND(J6692=1,K6692=1),AND(J6692=1,I6692="SBJ"),AND(J6692=1,I6692=0)),"?IN_FOCUS",IF(J6692&lt;=2,"?ACTIVATED",IF(J6692&lt;&gt;"","?FAMILIAR",IF(F6692="NEW",IF(ISNA(VLOOKUP(E6692,#REF!,1,FALSE())),"?TYPE_IDENTIFIABLE","?REFERENTIAL"),"_")))))</f>
        <v> </v>
      </c>
      <c r="H6692" s="25" t="str">
        <f>IF(J6692&lt;&gt;1,"",IF(I6692="SBJ","CB","?"))</f>
        <v> </v>
      </c>
      <c r="I6692" s="26" t="str">
        <f>IF(OR(E6692="",E6692="!!!",F6692="NEW"),"",INDEX(B6691:B$2,-1+SUMPRODUCT(MAX(ROW(E6691:E$2)*(E6692=E6691:E$2)))))</f>
        <v> </v>
      </c>
      <c r="J6692" s="26" t="str">
        <f>IF(OR(E6692="",E6692="!!!",F6692="NEW"),"",COUNTBLANK(OFFSET(A$1,,,SUMPRODUCT(MAX(ROW(E$2:E6692)*(E6692=E$2:E6692)))))-COUNTBLANK(OFFSET(A$1,,,SUMPRODUCT(MAX(ROW(E$1:E6691)*(E2=E$1:E6691))))))</f>
        <v> </v>
      </c>
      <c r="K6692" s="26" t="str">
        <f>IF(OR(E6692="",E6692="!!!",F6692="NEW"),"",INDEX(J$1:J6691,SUMPRODUCT(MAX(ROW(E$1:E6691)*(E6692=E$1:E6691)))))</f>
        <v> </v>
      </c>
      <c r="L6692" s="27"/>
    </row>
    <row r="6693" spans="1:12">
      <c r="A6693" s="20" t="s">
        <v>1038</v>
      </c>
      <c r="E6693" s="22">
        <f>IF(D6693="?OLD","!!!","")</f>
        <v/>
      </c>
      <c r="F6693" s="23" t="str">
        <f>IF(OR(E6693="",E6693="!!!"),"",IF(NOT(ISNA(VLOOKUP(E6693,E$1:E6692,1,FALSE()))),"OLD",IF(AND(E6693&lt;&gt;"",E6693&lt;&gt;"!!!"),"NEW","")))</f>
        <v> </v>
      </c>
      <c r="G6693" s="24" t="str">
        <f>IF(OR(E6693="",E6693="!!!"),"",IF(OR(J6693=0,AND(J6693=1,K6693=1),AND(J6693=1,I6693="SBJ"),AND(J6693=1,I6693=0)),"?IN_FOCUS",IF(J6693&lt;=2,"?ACTIVATED",IF(J6693&lt;&gt;"","?FAMILIAR",IF(F6693="NEW",IF(ISNA(VLOOKUP(E6693,#REF!,1,FALSE())),"?TYPE_IDENTIFIABLE","?REFERENTIAL"),"_")))))</f>
        <v> </v>
      </c>
      <c r="H6693" s="25" t="str">
        <f>IF(J6693&lt;&gt;1,"",IF(I6693="SBJ","CB","?"))</f>
        <v> </v>
      </c>
      <c r="I6693" s="26" t="str">
        <f>IF(OR(E6693="",E6693="!!!",F6693="NEW"),"",INDEX(B6692:B$2,-1+SUMPRODUCT(MAX(ROW(E6692:E$2)*(E6693=E6692:E$2)))))</f>
        <v> </v>
      </c>
      <c r="J6693" s="26" t="str">
        <f>IF(OR(E6693="",E6693="!!!",F6693="NEW"),"",COUNTBLANK(OFFSET(A$1,,,SUMPRODUCT(MAX(ROW(E$2:E6693)*(E6693=E$2:E6693)))))-COUNTBLANK(OFFSET(A$1,,,SUMPRODUCT(MAX(ROW(E$1:E6692)*(E2=E$1:E6692))))))</f>
        <v> </v>
      </c>
      <c r="K6693" s="26" t="str">
        <f>IF(OR(E6693="",E6693="!!!",F6693="NEW"),"",INDEX(J$1:J6692,SUMPRODUCT(MAX(ROW(E$1:E6692)*(E6693=E$1:E6692)))))</f>
        <v> </v>
      </c>
      <c r="L6693" s="27"/>
    </row>
    <row r="6694" spans="1:12">
      <c r="A6694" s="20" t="s">
        <v>1047</v>
      </c>
      <c r="B6694" s="21" t="s">
        <v>1066</v>
      </c>
      <c r="C6694" s="21" t="s">
        <v>977</v>
      </c>
      <c r="D6694" s="21" t="s">
        <v>978</v>
      </c>
      <c r="E6694" s="22">
        <f>IF(D6694="?OLD","!!!","")</f>
        <v/>
      </c>
      <c r="F6694" s="23" t="str">
        <f>IF(OR(E6694="",E6694="!!!"),"",IF(NOT(ISNA(VLOOKUP(E6694,E$1:E6693,1,FALSE()))),"OLD",IF(AND(E6694&lt;&gt;"",E6694&lt;&gt;"!!!"),"NEW","")))</f>
        <v> </v>
      </c>
      <c r="G6694" s="24" t="str">
        <f>IF(OR(E6694="",E6694="!!!"),"",IF(OR(J6694=0,AND(J6694=1,K6694=1),AND(J6694=1,I6694="SBJ"),AND(J6694=1,I6694=0)),"?IN_FOCUS",IF(J6694&lt;=2,"?ACTIVATED",IF(J6694&lt;&gt;"","?FAMILIAR",IF(F6694="NEW",IF(ISNA(VLOOKUP(E6694,#REF!,1,FALSE())),"?TYPE_IDENTIFIABLE","?REFERENTIAL"),"_")))))</f>
        <v> </v>
      </c>
      <c r="H6694" s="25" t="str">
        <f>IF(J6694&lt;&gt;1,"",IF(I6694="SBJ","CB","?"))</f>
        <v> </v>
      </c>
      <c r="I6694" s="26" t="str">
        <f>IF(OR(E6694="",E6694="!!!",F6694="NEW"),"",INDEX(B6693:B$2,-1+SUMPRODUCT(MAX(ROW(E6693:E$2)*(E6694=E6693:E$2)))))</f>
        <v> </v>
      </c>
      <c r="J6694" s="26" t="str">
        <f>IF(OR(E6694="",E6694="!!!",F6694="NEW"),"",COUNTBLANK(OFFSET(A$1,,,SUMPRODUCT(MAX(ROW(E$2:E6694)*(E6694=E$2:E6694)))))-COUNTBLANK(OFFSET(A$1,,,SUMPRODUCT(MAX(ROW(E$1:E6693)*(E2=E$1:E6693))))))</f>
        <v> </v>
      </c>
      <c r="K6694" s="26" t="str">
        <f>IF(OR(E6694="",E6694="!!!",F6694="NEW"),"",INDEX(J$1:J6693,SUMPRODUCT(MAX(ROW(E$1:E6693)*(E6694=E$1:E6693)))))</f>
        <v> </v>
      </c>
      <c r="L6694" s="27"/>
    </row>
    <row r="6695" spans="1:12">
      <c r="A6695" s="20" t="s">
        <v>2599</v>
      </c>
      <c r="E6695" s="22">
        <f>IF(D6695="?OLD","!!!","")</f>
        <v/>
      </c>
      <c r="F6695" s="23" t="str">
        <f>IF(OR(E6695="",E6695="!!!"),"",IF(NOT(ISNA(VLOOKUP(E6695,E$1:E6694,1,FALSE()))),"OLD",IF(AND(E6695&lt;&gt;"",E6695&lt;&gt;"!!!"),"NEW","")))</f>
        <v> </v>
      </c>
      <c r="G6695" s="24" t="str">
        <f>IF(OR(E6695="",E6695="!!!"),"",IF(OR(J6695=0,AND(J6695=1,K6695=1),AND(J6695=1,I6695="SBJ"),AND(J6695=1,I6695=0)),"?IN_FOCUS",IF(J6695&lt;=2,"?ACTIVATED",IF(J6695&lt;&gt;"","?FAMILIAR",IF(F6695="NEW",IF(ISNA(VLOOKUP(E6695,#REF!,1,FALSE())),"?TYPE_IDENTIFIABLE","?REFERENTIAL"),"_")))))</f>
        <v> </v>
      </c>
      <c r="H6695" s="25" t="str">
        <f>IF(J6695&lt;&gt;1,"",IF(I6695="SBJ","CB","?"))</f>
        <v> </v>
      </c>
      <c r="I6695" s="26" t="str">
        <f>IF(OR(E6695="",E6695="!!!",F6695="NEW"),"",INDEX(B6694:B$2,-1+SUMPRODUCT(MAX(ROW(E6694:E$2)*(E6695=E6694:E$2)))))</f>
        <v> </v>
      </c>
      <c r="J6695" s="26" t="str">
        <f>IF(OR(E6695="",E6695="!!!",F6695="NEW"),"",COUNTBLANK(OFFSET(A$1,,,SUMPRODUCT(MAX(ROW(E$2:E6695)*(E6695=E$2:E6695)))))-COUNTBLANK(OFFSET(A$1,,,SUMPRODUCT(MAX(ROW(E$1:E6694)*(E2=E$1:E6694))))))</f>
        <v> </v>
      </c>
      <c r="K6695" s="26" t="str">
        <f>IF(OR(E6695="",E6695="!!!",F6695="NEW"),"",INDEX(J$1:J6694,SUMPRODUCT(MAX(ROW(E$1:E6694)*(E6695=E$1:E6694)))))</f>
        <v> </v>
      </c>
      <c r="L6695" s="27"/>
    </row>
    <row r="6696" spans="1:12">
      <c r="A6696" s="20" t="s">
        <v>93</v>
      </c>
      <c r="E6696" s="22">
        <f>IF(D6696="?OLD","!!!","")</f>
        <v/>
      </c>
      <c r="F6696" s="23" t="str">
        <f>IF(OR(E6696="",E6696="!!!"),"",IF(NOT(ISNA(VLOOKUP(E6696,E$1:E6695,1,FALSE()))),"OLD",IF(AND(E6696&lt;&gt;"",E6696&lt;&gt;"!!!"),"NEW","")))</f>
        <v> </v>
      </c>
      <c r="G6696" s="24" t="str">
        <f>IF(OR(E6696="",E6696="!!!"),"",IF(OR(J6696=0,AND(J6696=1,K6696=1),AND(J6696=1,I6696="SBJ"),AND(J6696=1,I6696=0)),"?IN_FOCUS",IF(J6696&lt;=2,"?ACTIVATED",IF(J6696&lt;&gt;"","?FAMILIAR",IF(F6696="NEW",IF(ISNA(VLOOKUP(E6696,#REF!,1,FALSE())),"?TYPE_IDENTIFIABLE","?REFERENTIAL"),"_")))))</f>
        <v> </v>
      </c>
      <c r="H6696" s="25" t="str">
        <f>IF(J6696&lt;&gt;1,"",IF(I6696="SBJ","CB","?"))</f>
        <v> </v>
      </c>
      <c r="I6696" s="26" t="str">
        <f>IF(OR(E6696="",E6696="!!!",F6696="NEW"),"",INDEX(B6695:B$2,-1+SUMPRODUCT(MAX(ROW(E6695:E$2)*(E6696=E6695:E$2)))))</f>
        <v> </v>
      </c>
      <c r="J6696" s="26" t="str">
        <f>IF(OR(E6696="",E6696="!!!",F6696="NEW"),"",COUNTBLANK(OFFSET(A$1,,,SUMPRODUCT(MAX(ROW(E$2:E6696)*(E6696=E$2:E6696)))))-COUNTBLANK(OFFSET(A$1,,,SUMPRODUCT(MAX(ROW(E$1:E6695)*(E2=E$1:E6695))))))</f>
        <v> </v>
      </c>
      <c r="K6696" s="26" t="str">
        <f>IF(OR(E6696="",E6696="!!!",F6696="NEW"),"",INDEX(J$1:J6695,SUMPRODUCT(MAX(ROW(E$1:E6695)*(E6696=E$1:E6695)))))</f>
        <v> </v>
      </c>
      <c r="L6696" s="27"/>
    </row>
    <row r="6697" spans="1:12">
      <c r="A6697" s="20" t="s">
        <v>1712</v>
      </c>
      <c r="E6697" s="22">
        <f>IF(D6697="?OLD","!!!","")</f>
        <v/>
      </c>
      <c r="F6697" s="23" t="str">
        <f>IF(OR(E6697="",E6697="!!!"),"",IF(NOT(ISNA(VLOOKUP(E6697,E$1:E6696,1,FALSE()))),"OLD",IF(AND(E6697&lt;&gt;"",E6697&lt;&gt;"!!!"),"NEW","")))</f>
        <v> </v>
      </c>
      <c r="G6697" s="24" t="str">
        <f>IF(OR(E6697="",E6697="!!!"),"",IF(OR(J6697=0,AND(J6697=1,K6697=1),AND(J6697=1,I6697="SBJ"),AND(J6697=1,I6697=0)),"?IN_FOCUS",IF(J6697&lt;=2,"?ACTIVATED",IF(J6697&lt;&gt;"","?FAMILIAR",IF(F6697="NEW",IF(ISNA(VLOOKUP(E6697,#REF!,1,FALSE())),"?TYPE_IDENTIFIABLE","?REFERENTIAL"),"_")))))</f>
        <v> </v>
      </c>
      <c r="H6697" s="25" t="str">
        <f>IF(J6697&lt;&gt;1,"",IF(I6697="SBJ","CB","?"))</f>
        <v> </v>
      </c>
      <c r="I6697" s="26" t="str">
        <f>IF(OR(E6697="",E6697="!!!",F6697="NEW"),"",INDEX(B6696:B$2,-1+SUMPRODUCT(MAX(ROW(E6696:E$2)*(E6697=E6696:E$2)))))</f>
        <v> </v>
      </c>
      <c r="J6697" s="26" t="str">
        <f>IF(OR(E6697="",E6697="!!!",F6697="NEW"),"",COUNTBLANK(OFFSET(A$1,,,SUMPRODUCT(MAX(ROW(E$2:E6697)*(E6697=E$2:E6697)))))-COUNTBLANK(OFFSET(A$1,,,SUMPRODUCT(MAX(ROW(E$1:E6696)*(E2=E$1:E6696))))))</f>
        <v> </v>
      </c>
      <c r="K6697" s="26" t="str">
        <f>IF(OR(E6697="",E6697="!!!",F6697="NEW"),"",INDEX(J$1:J6696,SUMPRODUCT(MAX(ROW(E$1:E6696)*(E6697=E$1:E6696)))))</f>
        <v> </v>
      </c>
      <c r="L6697" s="27"/>
    </row>
    <row r="6698" spans="1:12">
      <c r="A6698" s="20" t="s">
        <v>1000</v>
      </c>
      <c r="E6698" s="22">
        <f>IF(D6698="?OLD","!!!","")</f>
        <v/>
      </c>
      <c r="F6698" s="23" t="str">
        <f>IF(OR(E6698="",E6698="!!!"),"",IF(NOT(ISNA(VLOOKUP(E6698,E$1:E6697,1,FALSE()))),"OLD",IF(AND(E6698&lt;&gt;"",E6698&lt;&gt;"!!!"),"NEW","")))</f>
        <v> </v>
      </c>
      <c r="G6698" s="24" t="str">
        <f>IF(OR(E6698="",E6698="!!!"),"",IF(OR(J6698=0,AND(J6698=1,K6698=1),AND(J6698=1,I6698="SBJ"),AND(J6698=1,I6698=0)),"?IN_FOCUS",IF(J6698&lt;=2,"?ACTIVATED",IF(J6698&lt;&gt;"","?FAMILIAR",IF(F6698="NEW",IF(ISNA(VLOOKUP(E6698,#REF!,1,FALSE())),"?TYPE_IDENTIFIABLE","?REFERENTIAL"),"_")))))</f>
        <v> </v>
      </c>
      <c r="H6698" s="25" t="str">
        <f>IF(J6698&lt;&gt;1,"",IF(I6698="SBJ","CB","?"))</f>
        <v> </v>
      </c>
      <c r="I6698" s="26" t="str">
        <f>IF(OR(E6698="",E6698="!!!",F6698="NEW"),"",INDEX(B6697:B$2,-1+SUMPRODUCT(MAX(ROW(E6697:E$2)*(E6698=E6697:E$2)))))</f>
        <v> </v>
      </c>
      <c r="J6698" s="26" t="str">
        <f>IF(OR(E6698="",E6698="!!!",F6698="NEW"),"",COUNTBLANK(OFFSET(A$1,,,SUMPRODUCT(MAX(ROW(E$2:E6698)*(E6698=E$2:E6698)))))-COUNTBLANK(OFFSET(A$1,,,SUMPRODUCT(MAX(ROW(E$1:E6697)*(E2=E$1:E6697))))))</f>
        <v> </v>
      </c>
      <c r="K6698" s="26" t="str">
        <f>IF(OR(E6698="",E6698="!!!",F6698="NEW"),"",INDEX(J$1:J6697,SUMPRODUCT(MAX(ROW(E$1:E6697)*(E6698=E$1:E6697)))))</f>
        <v> </v>
      </c>
      <c r="L6698" s="27"/>
    </row>
    <row r="6699" spans="1:12">
      <c r="A6699" s="20" t="s">
        <v>1154</v>
      </c>
      <c r="B6699" s="21" t="s">
        <v>1035</v>
      </c>
      <c r="C6699" s="21" t="s">
        <v>977</v>
      </c>
      <c r="D6699" s="21" t="s">
        <v>978</v>
      </c>
      <c r="E6699" s="22">
        <f>IF(D6699="?OLD","!!!","")</f>
        <v/>
      </c>
      <c r="F6699" s="23" t="str">
        <f>IF(OR(E6699="",E6699="!!!"),"",IF(NOT(ISNA(VLOOKUP(E6699,E$1:E6698,1,FALSE()))),"OLD",IF(AND(E6699&lt;&gt;"",E6699&lt;&gt;"!!!"),"NEW","")))</f>
        <v> </v>
      </c>
      <c r="G6699" s="24" t="str">
        <f>IF(OR(E6699="",E6699="!!!"),"",IF(OR(J6699=0,AND(J6699=1,K6699=1),AND(J6699=1,I6699="SBJ"),AND(J6699=1,I6699=0)),"?IN_FOCUS",IF(J6699&lt;=2,"?ACTIVATED",IF(J6699&lt;&gt;"","?FAMILIAR",IF(F6699="NEW",IF(ISNA(VLOOKUP(E6699,#REF!,1,FALSE())),"?TYPE_IDENTIFIABLE","?REFERENTIAL"),"_")))))</f>
        <v> </v>
      </c>
      <c r="H6699" s="25" t="str">
        <f>IF(J6699&lt;&gt;1,"",IF(I6699="SBJ","CB","?"))</f>
        <v> </v>
      </c>
      <c r="I6699" s="26" t="str">
        <f>IF(OR(E6699="",E6699="!!!",F6699="NEW"),"",INDEX(B6698:B$2,-1+SUMPRODUCT(MAX(ROW(E6698:E$2)*(E6699=E6698:E$2)))))</f>
        <v> </v>
      </c>
      <c r="J6699" s="26" t="str">
        <f>IF(OR(E6699="",E6699="!!!",F6699="NEW"),"",COUNTBLANK(OFFSET(A$1,,,SUMPRODUCT(MAX(ROW(E$2:E6699)*(E6699=E$2:E6699)))))-COUNTBLANK(OFFSET(A$1,,,SUMPRODUCT(MAX(ROW(E$1:E6698)*(E2=E$1:E6698))))))</f>
        <v> </v>
      </c>
      <c r="K6699" s="26" t="str">
        <f>IF(OR(E6699="",E6699="!!!",F6699="NEW"),"",INDEX(J$1:J6698,SUMPRODUCT(MAX(ROW(E$1:E6698)*(E6699=E$1:E6698)))))</f>
        <v> </v>
      </c>
      <c r="L6699" s="27"/>
    </row>
    <row r="6700" spans="1:12">
      <c r="A6700" s="20" t="s">
        <v>979</v>
      </c>
      <c r="E6700" s="22">
        <f>IF(D6700="?OLD","!!!","")</f>
        <v/>
      </c>
      <c r="F6700" s="23" t="str">
        <f>IF(OR(E6700="",E6700="!!!"),"",IF(NOT(ISNA(VLOOKUP(E6700,E$1:E6699,1,FALSE()))),"OLD",IF(AND(E6700&lt;&gt;"",E6700&lt;&gt;"!!!"),"NEW","")))</f>
        <v> </v>
      </c>
      <c r="G6700" s="24" t="str">
        <f>IF(OR(E6700="",E6700="!!!"),"",IF(OR(J6700=0,AND(J6700=1,K6700=1),AND(J6700=1,I6700="SBJ"),AND(J6700=1,I6700=0)),"?IN_FOCUS",IF(J6700&lt;=2,"?ACTIVATED",IF(J6700&lt;&gt;"","?FAMILIAR",IF(F6700="NEW",IF(ISNA(VLOOKUP(E6700,#REF!,1,FALSE())),"?TYPE_IDENTIFIABLE","?REFERENTIAL"),"_")))))</f>
        <v> </v>
      </c>
      <c r="H6700" s="25" t="str">
        <f>IF(J6700&lt;&gt;1,"",IF(I6700="SBJ","CB","?"))</f>
        <v> </v>
      </c>
      <c r="I6700" s="26" t="str">
        <f>IF(OR(E6700="",E6700="!!!",F6700="NEW"),"",INDEX(B6699:B$2,-1+SUMPRODUCT(MAX(ROW(E6699:E$2)*(E6700=E6699:E$2)))))</f>
        <v> </v>
      </c>
      <c r="J6700" s="26" t="str">
        <f>IF(OR(E6700="",E6700="!!!",F6700="NEW"),"",COUNTBLANK(OFFSET(A$1,,,SUMPRODUCT(MAX(ROW(E$2:E6700)*(E6700=E$2:E6700)))))-COUNTBLANK(OFFSET(A$1,,,SUMPRODUCT(MAX(ROW(E$1:E6699)*(E2=E$1:E6699))))))</f>
        <v> </v>
      </c>
      <c r="K6700" s="26" t="str">
        <f>IF(OR(E6700="",E6700="!!!",F6700="NEW"),"",INDEX(J$1:J6699,SUMPRODUCT(MAX(ROW(E$1:E6699)*(E6700=E$1:E6699)))))</f>
        <v> </v>
      </c>
      <c r="L6700" s="27"/>
    </row>
    <row r="6701" spans="1:12">
      <c r="A6701" s="20" t="s">
        <v>2600</v>
      </c>
      <c r="B6701" s="21" t="s">
        <v>1036</v>
      </c>
      <c r="C6701" s="21" t="s">
        <v>1057</v>
      </c>
      <c r="E6701" s="22">
        <f>IF(D6701="?OLD","!!!","")</f>
        <v/>
      </c>
      <c r="F6701" s="23" t="str">
        <f>IF(OR(E6701="",E6701="!!!"),"",IF(NOT(ISNA(VLOOKUP(E6701,E$1:E6700,1,FALSE()))),"OLD",IF(AND(E6701&lt;&gt;"",E6701&lt;&gt;"!!!"),"NEW","")))</f>
        <v> </v>
      </c>
      <c r="G6701" s="24" t="str">
        <f>IF(OR(E6701="",E6701="!!!"),"",IF(OR(J6701=0,AND(J6701=1,K6701=1),AND(J6701=1,I6701="SBJ"),AND(J6701=1,I6701=0)),"?IN_FOCUS",IF(J6701&lt;=2,"?ACTIVATED",IF(J6701&lt;&gt;"","?FAMILIAR",IF(F6701="NEW",IF(ISNA(VLOOKUP(E6701,#REF!,1,FALSE())),"?TYPE_IDENTIFIABLE","?REFERENTIAL"),"_")))))</f>
        <v> </v>
      </c>
      <c r="H6701" s="25" t="str">
        <f>IF(J6701&lt;&gt;1,"",IF(I6701="SBJ","CB","?"))</f>
        <v> </v>
      </c>
      <c r="I6701" s="26" t="str">
        <f>IF(OR(E6701="",E6701="!!!",F6701="NEW"),"",INDEX(B6700:B$2,-1+SUMPRODUCT(MAX(ROW(E6700:E$2)*(E6701=E6700:E$2)))))</f>
        <v> </v>
      </c>
      <c r="J6701" s="26" t="str">
        <f>IF(OR(E6701="",E6701="!!!",F6701="NEW"),"",COUNTBLANK(OFFSET(A$1,,,SUMPRODUCT(MAX(ROW(E$2:E6701)*(E6701=E$2:E6701)))))-COUNTBLANK(OFFSET(A$1,,,SUMPRODUCT(MAX(ROW(E$1:E6700)*(E2=E$1:E6700))))))</f>
        <v> </v>
      </c>
      <c r="K6701" s="26" t="str">
        <f>IF(OR(E6701="",E6701="!!!",F6701="NEW"),"",INDEX(J$1:J6700,SUMPRODUCT(MAX(ROW(E$1:E6700)*(E6701=E$1:E6700)))))</f>
        <v> </v>
      </c>
      <c r="L6701" s="27"/>
    </row>
    <row r="6702" spans="1:12">
      <c r="A6702" s="20" t="s">
        <v>1081</v>
      </c>
      <c r="E6702" s="22">
        <f>IF(D6702="?OLD","!!!","")</f>
        <v/>
      </c>
      <c r="F6702" s="23" t="str">
        <f>IF(OR(E6702="",E6702="!!!"),"",IF(NOT(ISNA(VLOOKUP(E6702,E$1:E6701,1,FALSE()))),"OLD",IF(AND(E6702&lt;&gt;"",E6702&lt;&gt;"!!!"),"NEW","")))</f>
        <v> </v>
      </c>
      <c r="G6702" s="24" t="str">
        <f>IF(OR(E6702="",E6702="!!!"),"",IF(OR(J6702=0,AND(J6702=1,K6702=1),AND(J6702=1,I6702="SBJ"),AND(J6702=1,I6702=0)),"?IN_FOCUS",IF(J6702&lt;=2,"?ACTIVATED",IF(J6702&lt;&gt;"","?FAMILIAR",IF(F6702="NEW",IF(ISNA(VLOOKUP(E6702,#REF!,1,FALSE())),"?TYPE_IDENTIFIABLE","?REFERENTIAL"),"_")))))</f>
        <v> </v>
      </c>
      <c r="H6702" s="25" t="str">
        <f>IF(J6702&lt;&gt;1,"",IF(I6702="SBJ","CB","?"))</f>
        <v> </v>
      </c>
      <c r="I6702" s="26" t="str">
        <f>IF(OR(E6702="",E6702="!!!",F6702="NEW"),"",INDEX(B6701:B$2,-1+SUMPRODUCT(MAX(ROW(E6701:E$2)*(E6702=E6701:E$2)))))</f>
        <v> </v>
      </c>
      <c r="J6702" s="26" t="str">
        <f>IF(OR(E6702="",E6702="!!!",F6702="NEW"),"",COUNTBLANK(OFFSET(A$1,,,SUMPRODUCT(MAX(ROW(E$2:E6702)*(E6702=E$2:E6702)))))-COUNTBLANK(OFFSET(A$1,,,SUMPRODUCT(MAX(ROW(E$1:E6701)*(E2=E$1:E6701))))))</f>
        <v> </v>
      </c>
      <c r="K6702" s="26" t="str">
        <f>IF(OR(E6702="",E6702="!!!",F6702="NEW"),"",INDEX(J$1:J6701,SUMPRODUCT(MAX(ROW(E$1:E6701)*(E6702=E$1:E6701)))))</f>
        <v> </v>
      </c>
      <c r="L6702" s="27"/>
    </row>
    <row r="6703" spans="1:12">
      <c r="A6703" s="20" t="s">
        <v>93</v>
      </c>
      <c r="E6703" s="22">
        <f>IF(D6703="?OLD","!!!","")</f>
        <v/>
      </c>
      <c r="F6703" s="23" t="str">
        <f>IF(OR(E6703="",E6703="!!!"),"",IF(NOT(ISNA(VLOOKUP(E6703,E$1:E6702,1,FALSE()))),"OLD",IF(AND(E6703&lt;&gt;"",E6703&lt;&gt;"!!!"),"NEW","")))</f>
        <v> </v>
      </c>
      <c r="G6703" s="24" t="str">
        <f>IF(OR(E6703="",E6703="!!!"),"",IF(OR(J6703=0,AND(J6703=1,K6703=1),AND(J6703=1,I6703="SBJ"),AND(J6703=1,I6703=0)),"?IN_FOCUS",IF(J6703&lt;=2,"?ACTIVATED",IF(J6703&lt;&gt;"","?FAMILIAR",IF(F6703="NEW",IF(ISNA(VLOOKUP(E6703,#REF!,1,FALSE())),"?TYPE_IDENTIFIABLE","?REFERENTIAL"),"_")))))</f>
        <v> </v>
      </c>
      <c r="H6703" s="25" t="str">
        <f>IF(J6703&lt;&gt;1,"",IF(I6703="SBJ","CB","?"))</f>
        <v> </v>
      </c>
      <c r="I6703" s="26" t="str">
        <f>IF(OR(E6703="",E6703="!!!",F6703="NEW"),"",INDEX(B6702:B$2,-1+SUMPRODUCT(MAX(ROW(E6702:E$2)*(E6703=E6702:E$2)))))</f>
        <v> </v>
      </c>
      <c r="J6703" s="26" t="str">
        <f>IF(OR(E6703="",E6703="!!!",F6703="NEW"),"",COUNTBLANK(OFFSET(A$1,,,SUMPRODUCT(MAX(ROW(E$2:E6703)*(E6703=E$2:E6703)))))-COUNTBLANK(OFFSET(A$1,,,SUMPRODUCT(MAX(ROW(E$1:E6702)*(E2=E$1:E6702))))))</f>
        <v> </v>
      </c>
      <c r="K6703" s="26" t="str">
        <f>IF(OR(E6703="",E6703="!!!",F6703="NEW"),"",INDEX(J$1:J6702,SUMPRODUCT(MAX(ROW(E$1:E6702)*(E6703=E$1:E6702)))))</f>
        <v> </v>
      </c>
      <c r="L6703" s="27"/>
    </row>
    <row r="6704" spans="1:12">
      <c r="A6704" s="20" t="s">
        <v>1059</v>
      </c>
      <c r="E6704" s="22">
        <f>IF(D6704="?OLD","!!!","")</f>
        <v/>
      </c>
      <c r="F6704" s="23" t="str">
        <f>IF(OR(E6704="",E6704="!!!"),"",IF(NOT(ISNA(VLOOKUP(E6704,E$1:E6703,1,FALSE()))),"OLD",IF(AND(E6704&lt;&gt;"",E6704&lt;&gt;"!!!"),"NEW","")))</f>
        <v> </v>
      </c>
      <c r="G6704" s="24" t="str">
        <f>IF(OR(E6704="",E6704="!!!"),"",IF(OR(J6704=0,AND(J6704=1,K6704=1),AND(J6704=1,I6704="SBJ"),AND(J6704=1,I6704=0)),"?IN_FOCUS",IF(J6704&lt;=2,"?ACTIVATED",IF(J6704&lt;&gt;"","?FAMILIAR",IF(F6704="NEW",IF(ISNA(VLOOKUP(E6704,#REF!,1,FALSE())),"?TYPE_IDENTIFIABLE","?REFERENTIAL"),"_")))))</f>
        <v> </v>
      </c>
      <c r="H6704" s="25" t="str">
        <f>IF(J6704&lt;&gt;1,"",IF(I6704="SBJ","CB","?"))</f>
        <v> </v>
      </c>
      <c r="I6704" s="26" t="str">
        <f>IF(OR(E6704="",E6704="!!!",F6704="NEW"),"",INDEX(B6703:B$2,-1+SUMPRODUCT(MAX(ROW(E6703:E$2)*(E6704=E6703:E$2)))))</f>
        <v> </v>
      </c>
      <c r="J6704" s="26" t="str">
        <f>IF(OR(E6704="",E6704="!!!",F6704="NEW"),"",COUNTBLANK(OFFSET(A$1,,,SUMPRODUCT(MAX(ROW(E$2:E6704)*(E6704=E$2:E6704)))))-COUNTBLANK(OFFSET(A$1,,,SUMPRODUCT(MAX(ROW(E$1:E6703)*(E2=E$1:E6703))))))</f>
        <v> </v>
      </c>
      <c r="K6704" s="26" t="str">
        <f>IF(OR(E6704="",E6704="!!!",F6704="NEW"),"",INDEX(J$1:J6703,SUMPRODUCT(MAX(ROW(E$1:E6703)*(E6704=E$1:E6703)))))</f>
        <v> </v>
      </c>
      <c r="L6704" s="27"/>
    </row>
    <row r="6705" spans="1:12">
      <c r="A6705" s="20" t="s">
        <v>1712</v>
      </c>
      <c r="E6705" s="22">
        <f>IF(D6705="?OLD","!!!","")</f>
        <v/>
      </c>
      <c r="F6705" s="23" t="str">
        <f>IF(OR(E6705="",E6705="!!!"),"",IF(NOT(ISNA(VLOOKUP(E6705,E$1:E6704,1,FALSE()))),"OLD",IF(AND(E6705&lt;&gt;"",E6705&lt;&gt;"!!!"),"NEW","")))</f>
        <v> </v>
      </c>
      <c r="G6705" s="24" t="str">
        <f>IF(OR(E6705="",E6705="!!!"),"",IF(OR(J6705=0,AND(J6705=1,K6705=1),AND(J6705=1,I6705="SBJ"),AND(J6705=1,I6705=0)),"?IN_FOCUS",IF(J6705&lt;=2,"?ACTIVATED",IF(J6705&lt;&gt;"","?FAMILIAR",IF(F6705="NEW",IF(ISNA(VLOOKUP(E6705,#REF!,1,FALSE())),"?TYPE_IDENTIFIABLE","?REFERENTIAL"),"_")))))</f>
        <v> </v>
      </c>
      <c r="H6705" s="25" t="str">
        <f>IF(J6705&lt;&gt;1,"",IF(I6705="SBJ","CB","?"))</f>
        <v> </v>
      </c>
      <c r="I6705" s="26" t="str">
        <f>IF(OR(E6705="",E6705="!!!",F6705="NEW"),"",INDEX(B6704:B$2,-1+SUMPRODUCT(MAX(ROW(E6704:E$2)*(E6705=E6704:E$2)))))</f>
        <v> </v>
      </c>
      <c r="J6705" s="26" t="str">
        <f>IF(OR(E6705="",E6705="!!!",F6705="NEW"),"",COUNTBLANK(OFFSET(A$1,,,SUMPRODUCT(MAX(ROW(E$2:E6705)*(E6705=E$2:E6705)))))-COUNTBLANK(OFFSET(A$1,,,SUMPRODUCT(MAX(ROW(E$1:E6704)*(E2=E$1:E6704))))))</f>
        <v> </v>
      </c>
      <c r="K6705" s="26" t="str">
        <f>IF(OR(E6705="",E6705="!!!",F6705="NEW"),"",INDEX(J$1:J6704,SUMPRODUCT(MAX(ROW(E$1:E6704)*(E6705=E$1:E6704)))))</f>
        <v> </v>
      </c>
      <c r="L6705" s="27"/>
    </row>
    <row r="6706" spans="1:12">
      <c r="A6706" s="20" t="s">
        <v>1002</v>
      </c>
      <c r="E6706" s="22">
        <f>IF(D6706="?OLD","!!!","")</f>
        <v/>
      </c>
      <c r="F6706" s="23" t="str">
        <f>IF(OR(E6706="",E6706="!!!"),"",IF(NOT(ISNA(VLOOKUP(E6706,E$1:E6705,1,FALSE()))),"OLD",IF(AND(E6706&lt;&gt;"",E6706&lt;&gt;"!!!"),"NEW","")))</f>
        <v> </v>
      </c>
      <c r="G6706" s="24" t="str">
        <f>IF(OR(E6706="",E6706="!!!"),"",IF(OR(J6706=0,AND(J6706=1,K6706=1),AND(J6706=1,I6706="SBJ"),AND(J6706=1,I6706=0)),"?IN_FOCUS",IF(J6706&lt;=2,"?ACTIVATED",IF(J6706&lt;&gt;"","?FAMILIAR",IF(F6706="NEW",IF(ISNA(VLOOKUP(E6706,#REF!,1,FALSE())),"?TYPE_IDENTIFIABLE","?REFERENTIAL"),"_")))))</f>
        <v> </v>
      </c>
      <c r="H6706" s="25" t="str">
        <f>IF(J6706&lt;&gt;1,"",IF(I6706="SBJ","CB","?"))</f>
        <v> </v>
      </c>
      <c r="I6706" s="26" t="str">
        <f>IF(OR(E6706="",E6706="!!!",F6706="NEW"),"",INDEX(B6705:B$2,-1+SUMPRODUCT(MAX(ROW(E6705:E$2)*(E6706=E6705:E$2)))))</f>
        <v> </v>
      </c>
      <c r="J6706" s="26" t="str">
        <f>IF(OR(E6706="",E6706="!!!",F6706="NEW"),"",COUNTBLANK(OFFSET(A$1,,,SUMPRODUCT(MAX(ROW(E$2:E6706)*(E6706=E$2:E6706)))))-COUNTBLANK(OFFSET(A$1,,,SUMPRODUCT(MAX(ROW(E$1:E6705)*(E2=E$1:E6705))))))</f>
        <v> </v>
      </c>
      <c r="K6706" s="26" t="str">
        <f>IF(OR(E6706="",E6706="!!!",F6706="NEW"),"",INDEX(J$1:J6705,SUMPRODUCT(MAX(ROW(E$1:E6705)*(E6706=E$1:E6705)))))</f>
        <v> </v>
      </c>
      <c r="L6706" s="27"/>
    </row>
    <row r="6707" spans="1:12">
      <c r="A6707" s="20" t="s">
        <v>1154</v>
      </c>
      <c r="B6707" s="21" t="s">
        <v>1095</v>
      </c>
      <c r="C6707" s="21" t="s">
        <v>977</v>
      </c>
      <c r="D6707" s="21" t="s">
        <v>978</v>
      </c>
      <c r="E6707" s="22">
        <f>IF(D6707="?OLD","!!!","")</f>
        <v/>
      </c>
      <c r="F6707" s="23" t="str">
        <f>IF(OR(E6707="",E6707="!!!"),"",IF(NOT(ISNA(VLOOKUP(E6707,E$1:E6706,1,FALSE()))),"OLD",IF(AND(E6707&lt;&gt;"",E6707&lt;&gt;"!!!"),"NEW","")))</f>
        <v> </v>
      </c>
      <c r="G6707" s="24" t="str">
        <f>IF(OR(E6707="",E6707="!!!"),"",IF(OR(J6707=0,AND(J6707=1,K6707=1),AND(J6707=1,I6707="SBJ"),AND(J6707=1,I6707=0)),"?IN_FOCUS",IF(J6707&lt;=2,"?ACTIVATED",IF(J6707&lt;&gt;"","?FAMILIAR",IF(F6707="NEW",IF(ISNA(VLOOKUP(E6707,#REF!,1,FALSE())),"?TYPE_IDENTIFIABLE","?REFERENTIAL"),"_")))))</f>
        <v> </v>
      </c>
      <c r="H6707" s="25" t="str">
        <f>IF(J6707&lt;&gt;1,"",IF(I6707="SBJ","CB","?"))</f>
        <v> </v>
      </c>
      <c r="I6707" s="26" t="str">
        <f>IF(OR(E6707="",E6707="!!!",F6707="NEW"),"",INDEX(B6706:B$2,-1+SUMPRODUCT(MAX(ROW(E6706:E$2)*(E6707=E6706:E$2)))))</f>
        <v> </v>
      </c>
      <c r="J6707" s="26" t="str">
        <f>IF(OR(E6707="",E6707="!!!",F6707="NEW"),"",COUNTBLANK(OFFSET(A$1,,,SUMPRODUCT(MAX(ROW(E$2:E6707)*(E6707=E$2:E6707)))))-COUNTBLANK(OFFSET(A$1,,,SUMPRODUCT(MAX(ROW(E$1:E6706)*(E2=E$1:E6706))))))</f>
        <v> </v>
      </c>
      <c r="K6707" s="26" t="str">
        <f>IF(OR(E6707="",E6707="!!!",F6707="NEW"),"",INDEX(J$1:J6706,SUMPRODUCT(MAX(ROW(E$1:E6706)*(E6707=E$1:E6706)))))</f>
        <v> </v>
      </c>
      <c r="L6707" s="27"/>
    </row>
    <row r="6708" spans="1:12">
      <c r="A6708" s="20" t="s">
        <v>979</v>
      </c>
      <c r="E6708" s="22">
        <f>IF(D6708="?OLD","!!!","")</f>
        <v/>
      </c>
      <c r="F6708" s="23" t="str">
        <f>IF(OR(E6708="",E6708="!!!"),"",IF(NOT(ISNA(VLOOKUP(E6708,E$1:E6707,1,FALSE()))),"OLD",IF(AND(E6708&lt;&gt;"",E6708&lt;&gt;"!!!"),"NEW","")))</f>
        <v> </v>
      </c>
      <c r="G6708" s="24" t="str">
        <f>IF(OR(E6708="",E6708="!!!"),"",IF(OR(J6708=0,AND(J6708=1,K6708=1),AND(J6708=1,I6708="SBJ"),AND(J6708=1,I6708=0)),"?IN_FOCUS",IF(J6708&lt;=2,"?ACTIVATED",IF(J6708&lt;&gt;"","?FAMILIAR",IF(F6708="NEW",IF(ISNA(VLOOKUP(E6708,#REF!,1,FALSE())),"?TYPE_IDENTIFIABLE","?REFERENTIAL"),"_")))))</f>
        <v> </v>
      </c>
      <c r="H6708" s="25" t="str">
        <f>IF(J6708&lt;&gt;1,"",IF(I6708="SBJ","CB","?"))</f>
        <v> </v>
      </c>
      <c r="I6708" s="26" t="str">
        <f>IF(OR(E6708="",E6708="!!!",F6708="NEW"),"",INDEX(B6707:B$2,-1+SUMPRODUCT(MAX(ROW(E6707:E$2)*(E6708=E6707:E$2)))))</f>
        <v> </v>
      </c>
      <c r="J6708" s="26" t="str">
        <f>IF(OR(E6708="",E6708="!!!",F6708="NEW"),"",COUNTBLANK(OFFSET(A$1,,,SUMPRODUCT(MAX(ROW(E$2:E6708)*(E6708=E$2:E6708)))))-COUNTBLANK(OFFSET(A$1,,,SUMPRODUCT(MAX(ROW(E$1:E6707)*(E2=E$1:E6707))))))</f>
        <v> </v>
      </c>
      <c r="K6708" s="26" t="str">
        <f>IF(OR(E6708="",E6708="!!!",F6708="NEW"),"",INDEX(J$1:J6707,SUMPRODUCT(MAX(ROW(E$1:E6707)*(E6708=E$1:E6707)))))</f>
        <v> </v>
      </c>
      <c r="L6708" s="27"/>
    </row>
    <row r="6709" spans="1:12">
      <c r="A6709" s="20" t="s">
        <v>1138</v>
      </c>
      <c r="E6709" s="22">
        <f>IF(D6709="?OLD","!!!","")</f>
        <v/>
      </c>
      <c r="F6709" s="23" t="str">
        <f>IF(OR(E6709="",E6709="!!!"),"",IF(NOT(ISNA(VLOOKUP(E6709,E$1:E6708,1,FALSE()))),"OLD",IF(AND(E6709&lt;&gt;"",E6709&lt;&gt;"!!!"),"NEW","")))</f>
        <v> </v>
      </c>
      <c r="G6709" s="24" t="str">
        <f>IF(OR(E6709="",E6709="!!!"),"",IF(OR(J6709=0,AND(J6709=1,K6709=1),AND(J6709=1,I6709="SBJ"),AND(J6709=1,I6709=0)),"?IN_FOCUS",IF(J6709&lt;=2,"?ACTIVATED",IF(J6709&lt;&gt;"","?FAMILIAR",IF(F6709="NEW",IF(ISNA(VLOOKUP(E6709,#REF!,1,FALSE())),"?TYPE_IDENTIFIABLE","?REFERENTIAL"),"_")))))</f>
        <v> </v>
      </c>
      <c r="H6709" s="25" t="str">
        <f>IF(J6709&lt;&gt;1,"",IF(I6709="SBJ","CB","?"))</f>
        <v> </v>
      </c>
      <c r="I6709" s="26" t="str">
        <f>IF(OR(E6709="",E6709="!!!",F6709="NEW"),"",INDEX(B6708:B$2,-1+SUMPRODUCT(MAX(ROW(E6708:E$2)*(E6709=E6708:E$2)))))</f>
        <v> </v>
      </c>
      <c r="J6709" s="26" t="str">
        <f>IF(OR(E6709="",E6709="!!!",F6709="NEW"),"",COUNTBLANK(OFFSET(A$1,,,SUMPRODUCT(MAX(ROW(E$2:E6709)*(E6709=E$2:E6709)))))-COUNTBLANK(OFFSET(A$1,,,SUMPRODUCT(MAX(ROW(E$1:E6708)*(E2=E$1:E6708))))))</f>
        <v> </v>
      </c>
      <c r="K6709" s="26" t="str">
        <f>IF(OR(E6709="",E6709="!!!",F6709="NEW"),"",INDEX(J$1:J6708,SUMPRODUCT(MAX(ROW(E$1:E6708)*(E6709=E$1:E6708)))))</f>
        <v> </v>
      </c>
      <c r="L6709" s="27"/>
    </row>
    <row r="6710" spans="1:12">
      <c r="A6710" s="20" t="s">
        <v>609</v>
      </c>
      <c r="E6710" s="22">
        <f>IF(D6710="?OLD","!!!","")</f>
        <v/>
      </c>
      <c r="F6710" s="23" t="str">
        <f>IF(OR(E6710="",E6710="!!!"),"",IF(NOT(ISNA(VLOOKUP(E6710,E$1:E6709,1,FALSE()))),"OLD",IF(AND(E6710&lt;&gt;"",E6710&lt;&gt;"!!!"),"NEW","")))</f>
        <v> </v>
      </c>
      <c r="G6710" s="24" t="str">
        <f>IF(OR(E6710="",E6710="!!!"),"",IF(OR(J6710=0,AND(J6710=1,K6710=1),AND(J6710=1,I6710="SBJ"),AND(J6710=1,I6710=0)),"?IN_FOCUS",IF(J6710&lt;=2,"?ACTIVATED",IF(J6710&lt;&gt;"","?FAMILIAR",IF(F6710="NEW",IF(ISNA(VLOOKUP(E6710,#REF!,1,FALSE())),"?TYPE_IDENTIFIABLE","?REFERENTIAL"),"_")))))</f>
        <v> </v>
      </c>
      <c r="H6710" s="25" t="str">
        <f>IF(J6710&lt;&gt;1,"",IF(I6710="SBJ","CB","?"))</f>
        <v> </v>
      </c>
      <c r="I6710" s="26" t="str">
        <f>IF(OR(E6710="",E6710="!!!",F6710="NEW"),"",INDEX(B6709:B$2,-1+SUMPRODUCT(MAX(ROW(E6709:E$2)*(E6710=E6709:E$2)))))</f>
        <v> </v>
      </c>
      <c r="J6710" s="26" t="str">
        <f>IF(OR(E6710="",E6710="!!!",F6710="NEW"),"",COUNTBLANK(OFFSET(A$1,,,SUMPRODUCT(MAX(ROW(E$2:E6710)*(E6710=E$2:E6710)))))-COUNTBLANK(OFFSET(A$1,,,SUMPRODUCT(MAX(ROW(E$1:E6709)*(E2=E$1:E6709))))))</f>
        <v> </v>
      </c>
      <c r="K6710" s="26" t="str">
        <f>IF(OR(E6710="",E6710="!!!",F6710="NEW"),"",INDEX(J$1:J6709,SUMPRODUCT(MAX(ROW(E$1:E6709)*(E6710=E$1:E6709)))))</f>
        <v> </v>
      </c>
      <c r="L6710" s="27"/>
    </row>
    <row r="6711" spans="1:12">
      <c r="A6711" s="20" t="s">
        <v>2601</v>
      </c>
      <c r="B6711" s="21" t="s">
        <v>1052</v>
      </c>
      <c r="C6711" s="21" t="s">
        <v>983</v>
      </c>
      <c r="E6711" s="22">
        <f>IF(D6711="?OLD","!!!","")</f>
        <v/>
      </c>
      <c r="F6711" s="23" t="str">
        <f>IF(OR(E6711="",E6711="!!!"),"",IF(NOT(ISNA(VLOOKUP(E6711,E$1:E6710,1,FALSE()))),"OLD",IF(AND(E6711&lt;&gt;"",E6711&lt;&gt;"!!!"),"NEW","")))</f>
        <v> </v>
      </c>
      <c r="G6711" s="24" t="str">
        <f>IF(OR(E6711="",E6711="!!!"),"",IF(OR(J6711=0,AND(J6711=1,K6711=1),AND(J6711=1,I6711="SBJ"),AND(J6711=1,I6711=0)),"?IN_FOCUS",IF(J6711&lt;=2,"?ACTIVATED",IF(J6711&lt;&gt;"","?FAMILIAR",IF(F6711="NEW",IF(ISNA(VLOOKUP(E6711,#REF!,1,FALSE())),"?TYPE_IDENTIFIABLE","?REFERENTIAL"),"_")))))</f>
        <v> </v>
      </c>
      <c r="H6711" s="25" t="str">
        <f>IF(J6711&lt;&gt;1,"",IF(I6711="SBJ","CB","?"))</f>
        <v> </v>
      </c>
      <c r="I6711" s="26" t="str">
        <f>IF(OR(E6711="",E6711="!!!",F6711="NEW"),"",INDEX(B6710:B$2,-1+SUMPRODUCT(MAX(ROW(E6710:E$2)*(E6711=E6710:E$2)))))</f>
        <v> </v>
      </c>
      <c r="J6711" s="26" t="str">
        <f>IF(OR(E6711="",E6711="!!!",F6711="NEW"),"",COUNTBLANK(OFFSET(A$1,,,SUMPRODUCT(MAX(ROW(E$2:E6711)*(E6711=E$2:E6711)))))-COUNTBLANK(OFFSET(A$1,,,SUMPRODUCT(MAX(ROW(E$1:E6710)*(E2=E$1:E6710))))))</f>
        <v> </v>
      </c>
      <c r="K6711" s="26" t="str">
        <f>IF(OR(E6711="",E6711="!!!",F6711="NEW"),"",INDEX(J$1:J6710,SUMPRODUCT(MAX(ROW(E$1:E6710)*(E6711=E$1:E6710)))))</f>
        <v> </v>
      </c>
      <c r="L6711" s="27"/>
    </row>
    <row r="6712" spans="1:12">
      <c r="A6712" s="20" t="s">
        <v>1081</v>
      </c>
      <c r="E6712" s="22">
        <f>IF(D6712="?OLD","!!!","")</f>
        <v/>
      </c>
      <c r="F6712" s="23" t="str">
        <f>IF(OR(E6712="",E6712="!!!"),"",IF(NOT(ISNA(VLOOKUP(E6712,E$1:E6711,1,FALSE()))),"OLD",IF(AND(E6712&lt;&gt;"",E6712&lt;&gt;"!!!"),"NEW","")))</f>
        <v> </v>
      </c>
      <c r="G6712" s="24" t="str">
        <f>IF(OR(E6712="",E6712="!!!"),"",IF(OR(J6712=0,AND(J6712=1,K6712=1),AND(J6712=1,I6712="SBJ"),AND(J6712=1,I6712=0)),"?IN_FOCUS",IF(J6712&lt;=2,"?ACTIVATED",IF(J6712&lt;&gt;"","?FAMILIAR",IF(F6712="NEW",IF(ISNA(VLOOKUP(E6712,#REF!,1,FALSE())),"?TYPE_IDENTIFIABLE","?REFERENTIAL"),"_")))))</f>
        <v> </v>
      </c>
      <c r="H6712" s="25" t="str">
        <f>IF(J6712&lt;&gt;1,"",IF(I6712="SBJ","CB","?"))</f>
        <v> </v>
      </c>
      <c r="I6712" s="26" t="str">
        <f>IF(OR(E6712="",E6712="!!!",F6712="NEW"),"",INDEX(B6711:B$2,-1+SUMPRODUCT(MAX(ROW(E6711:E$2)*(E6712=E6711:E$2)))))</f>
        <v> </v>
      </c>
      <c r="J6712" s="26" t="str">
        <f>IF(OR(E6712="",E6712="!!!",F6712="NEW"),"",COUNTBLANK(OFFSET(A$1,,,SUMPRODUCT(MAX(ROW(E$2:E6712)*(E6712=E$2:E6712)))))-COUNTBLANK(OFFSET(A$1,,,SUMPRODUCT(MAX(ROW(E$1:E6711)*(E2=E$1:E6711))))))</f>
        <v> </v>
      </c>
      <c r="K6712" s="26" t="str">
        <f>IF(OR(E6712="",E6712="!!!",F6712="NEW"),"",INDEX(J$1:J6711,SUMPRODUCT(MAX(ROW(E$1:E6711)*(E6712=E$1:E6711)))))</f>
        <v> </v>
      </c>
      <c r="L6712" s="27"/>
    </row>
    <row r="6713" spans="1:12">
      <c r="A6713" s="20" t="s">
        <v>952</v>
      </c>
      <c r="E6713" s="22">
        <f>IF(D6713="?OLD","!!!","")</f>
        <v/>
      </c>
      <c r="F6713" s="23" t="str">
        <f>IF(OR(E6713="",E6713="!!!"),"",IF(NOT(ISNA(VLOOKUP(E6713,E$1:E6712,1,FALSE()))),"OLD",IF(AND(E6713&lt;&gt;"",E6713&lt;&gt;"!!!"),"NEW","")))</f>
        <v> </v>
      </c>
      <c r="G6713" s="24" t="str">
        <f>IF(OR(E6713="",E6713="!!!"),"",IF(OR(J6713=0,AND(J6713=1,K6713=1),AND(J6713=1,I6713="SBJ"),AND(J6713=1,I6713=0)),"?IN_FOCUS",IF(J6713&lt;=2,"?ACTIVATED",IF(J6713&lt;&gt;"","?FAMILIAR",IF(F6713="NEW",IF(ISNA(VLOOKUP(E6713,#REF!,1,FALSE())),"?TYPE_IDENTIFIABLE","?REFERENTIAL"),"_")))))</f>
        <v> </v>
      </c>
      <c r="H6713" s="25" t="str">
        <f>IF(J6713&lt;&gt;1,"",IF(I6713="SBJ","CB","?"))</f>
        <v> </v>
      </c>
      <c r="I6713" s="26" t="str">
        <f>IF(OR(E6713="",E6713="!!!",F6713="NEW"),"",INDEX(B6712:B$2,-1+SUMPRODUCT(MAX(ROW(E6712:E$2)*(E6713=E6712:E$2)))))</f>
        <v> </v>
      </c>
      <c r="J6713" s="26" t="str">
        <f>IF(OR(E6713="",E6713="!!!",F6713="NEW"),"",COUNTBLANK(OFFSET(A$1,,,SUMPRODUCT(MAX(ROW(E$2:E6713)*(E6713=E$2:E6713)))))-COUNTBLANK(OFFSET(A$1,,,SUMPRODUCT(MAX(ROW(E$1:E6712)*(E2=E$1:E6712))))))</f>
        <v> </v>
      </c>
      <c r="K6713" s="26" t="str">
        <f>IF(OR(E6713="",E6713="!!!",F6713="NEW"),"",INDEX(J$1:J6712,SUMPRODUCT(MAX(ROW(E$1:E6712)*(E6713=E$1:E6712)))))</f>
        <v> </v>
      </c>
      <c r="L6713" s="27"/>
    </row>
    <row r="6714" spans="1:12">
      <c r="A6714" s="20" t="s">
        <v>1092</v>
      </c>
      <c r="E6714" s="22">
        <f>IF(D6714="?OLD","!!!","")</f>
        <v/>
      </c>
      <c r="F6714" s="23" t="str">
        <f>IF(OR(E6714="",E6714="!!!"),"",IF(NOT(ISNA(VLOOKUP(E6714,E$1:E6713,1,FALSE()))),"OLD",IF(AND(E6714&lt;&gt;"",E6714&lt;&gt;"!!!"),"NEW","")))</f>
        <v> </v>
      </c>
      <c r="G6714" s="24" t="str">
        <f>IF(OR(E6714="",E6714="!!!"),"",IF(OR(J6714=0,AND(J6714=1,K6714=1),AND(J6714=1,I6714="SBJ"),AND(J6714=1,I6714=0)),"?IN_FOCUS",IF(J6714&lt;=2,"?ACTIVATED",IF(J6714&lt;&gt;"","?FAMILIAR",IF(F6714="NEW",IF(ISNA(VLOOKUP(E6714,#REF!,1,FALSE())),"?TYPE_IDENTIFIABLE","?REFERENTIAL"),"_")))))</f>
        <v> </v>
      </c>
      <c r="H6714" s="25" t="str">
        <f>IF(J6714&lt;&gt;1,"",IF(I6714="SBJ","CB","?"))</f>
        <v> </v>
      </c>
      <c r="I6714" s="26" t="str">
        <f>IF(OR(E6714="",E6714="!!!",F6714="NEW"),"",INDEX(B6713:B$2,-1+SUMPRODUCT(MAX(ROW(E6713:E$2)*(E6714=E6713:E$2)))))</f>
        <v> </v>
      </c>
      <c r="J6714" s="26" t="str">
        <f>IF(OR(E6714="",E6714="!!!",F6714="NEW"),"",COUNTBLANK(OFFSET(A$1,,,SUMPRODUCT(MAX(ROW(E$2:E6714)*(E6714=E$2:E6714)))))-COUNTBLANK(OFFSET(A$1,,,SUMPRODUCT(MAX(ROW(E$1:E6713)*(E2=E$1:E6713))))))</f>
        <v> </v>
      </c>
      <c r="K6714" s="26" t="str">
        <f>IF(OR(E6714="",E6714="!!!",F6714="NEW"),"",INDEX(J$1:J6713,SUMPRODUCT(MAX(ROW(E$1:E6713)*(E6714=E$1:E6713)))))</f>
        <v> </v>
      </c>
      <c r="L6714" s="27"/>
    </row>
    <row r="6715" spans="1:12">
      <c r="A6715" s="20" t="s">
        <v>1111</v>
      </c>
      <c r="B6715" s="21" t="s">
        <v>1036</v>
      </c>
      <c r="C6715" s="21" t="s">
        <v>995</v>
      </c>
      <c r="D6715" s="21" t="s">
        <v>978</v>
      </c>
      <c r="E6715" s="22">
        <f>IF(D6715="?OLD","!!!","")</f>
        <v/>
      </c>
      <c r="F6715" s="23" t="str">
        <f>IF(OR(E6715="",E6715="!!!"),"",IF(NOT(ISNA(VLOOKUP(E6715,E$1:E6714,1,FALSE()))),"OLD",IF(AND(E6715&lt;&gt;"",E6715&lt;&gt;"!!!"),"NEW","")))</f>
        <v> </v>
      </c>
      <c r="G6715" s="24" t="str">
        <f>IF(OR(E6715="",E6715="!!!"),"",IF(OR(J6715=0,AND(J6715=1,K6715=1),AND(J6715=1,I6715="SBJ"),AND(J6715=1,I6715=0)),"?IN_FOCUS",IF(J6715&lt;=2,"?ACTIVATED",IF(J6715&lt;&gt;"","?FAMILIAR",IF(F6715="NEW",IF(ISNA(VLOOKUP(E6715,#REF!,1,FALSE())),"?TYPE_IDENTIFIABLE","?REFERENTIAL"),"_")))))</f>
        <v> </v>
      </c>
      <c r="H6715" s="25" t="str">
        <f>IF(J6715&lt;&gt;1,"",IF(I6715="SBJ","CB","?"))</f>
        <v> </v>
      </c>
      <c r="I6715" s="26" t="str">
        <f>IF(OR(E6715="",E6715="!!!",F6715="NEW"),"",INDEX(B6714:B$2,-1+SUMPRODUCT(MAX(ROW(E6714:E$2)*(E6715=E6714:E$2)))))</f>
        <v> </v>
      </c>
      <c r="J6715" s="26" t="str">
        <f>IF(OR(E6715="",E6715="!!!",F6715="NEW"),"",COUNTBLANK(OFFSET(A$1,,,SUMPRODUCT(MAX(ROW(E$2:E6715)*(E6715=E$2:E6715)))))-COUNTBLANK(OFFSET(A$1,,,SUMPRODUCT(MAX(ROW(E$1:E6714)*(E2=E$1:E6714))))))</f>
        <v> </v>
      </c>
      <c r="K6715" s="26" t="str">
        <f>IF(OR(E6715="",E6715="!!!",F6715="NEW"),"",INDEX(J$1:J6714,SUMPRODUCT(MAX(ROW(E$1:E6714)*(E6715=E$1:E6714)))))</f>
        <v> </v>
      </c>
      <c r="L6715" s="27"/>
    </row>
    <row r="6716" spans="1:12">
      <c r="A6716" s="20"/>
    </row>
    <row r="6717" spans="1:12">
      <c r="A6717" s="20" t="s">
        <v>2602</v>
      </c>
    </row>
    <row r="6718" spans="1:12">
      <c r="A6718" s="20" t="s">
        <v>1182</v>
      </c>
      <c r="B6718" s="21" t="s">
        <v>976</v>
      </c>
      <c r="C6718" s="21" t="s">
        <v>977</v>
      </c>
      <c r="D6718" s="21" t="s">
        <v>978</v>
      </c>
      <c r="E6718" s="22">
        <f>IF(D6718="?OLD","!!!","")</f>
        <v/>
      </c>
      <c r="F6718" s="23" t="str">
        <f>IF(OR(E6718="",E6718="!!!"),"",IF(NOT(ISNA(VLOOKUP(E6718,E$1:E6717,1,FALSE()))),"OLD",IF(AND(E6718&lt;&gt;"",E6718&lt;&gt;"!!!"),"NEW","")))</f>
        <v> </v>
      </c>
      <c r="G6718" s="24" t="str">
        <f>IF(OR(E6718="",E6718="!!!"),"",IF(OR(J6718=0,AND(J6718=1,K6718=1),AND(J6718=1,I6718="SBJ"),AND(J6718=1,I6718=0)),"?IN_FOCUS",IF(J6718&lt;=2,"?ACTIVATED",IF(J6718&lt;&gt;"","?FAMILIAR",IF(F6718="NEW",IF(ISNA(VLOOKUP(E6718,#REF!,1,FALSE())),"?TYPE_IDENTIFIABLE","?REFERENTIAL"),"_")))))</f>
        <v> </v>
      </c>
      <c r="H6718" s="25" t="str">
        <f>IF(J6718&lt;&gt;1,"",IF(I6718="SBJ","CB","?"))</f>
        <v> </v>
      </c>
      <c r="I6718" s="26" t="str">
        <f>IF(OR(E6718="",E6718="!!!",F6718="NEW"),"",INDEX(B6717:B$2,-1+SUMPRODUCT(MAX(ROW(E6717:E$2)*(E6718=E6717:E$2)))))</f>
        <v> </v>
      </c>
      <c r="J6718" s="26" t="str">
        <f>IF(OR(E6718="",E6718="!!!",F6718="NEW"),"",COUNTBLANK(OFFSET(A$1,,,SUMPRODUCT(MAX(ROW(E$2:E6718)*(E6718=E$2:E6718)))))-COUNTBLANK(OFFSET(A$1,,,SUMPRODUCT(MAX(ROW(E$1:E6717)*(E2=E$1:E6717))))))</f>
        <v> </v>
      </c>
      <c r="K6718" s="26" t="str">
        <f>IF(OR(E6718="",E6718="!!!",F6718="NEW"),"",INDEX(J$1:J6717,SUMPRODUCT(MAX(ROW(E$1:E6717)*(E6718=E$1:E6717)))))</f>
        <v> </v>
      </c>
      <c r="L6718" s="27"/>
    </row>
    <row r="6719" spans="1:12">
      <c r="A6719" s="20" t="s">
        <v>1074</v>
      </c>
      <c r="B6719" s="21" t="s">
        <v>982</v>
      </c>
      <c r="C6719" s="21" t="s">
        <v>977</v>
      </c>
      <c r="D6719" s="21" t="s">
        <v>978</v>
      </c>
      <c r="E6719" s="22">
        <f>IF(D6719="?OLD","!!!","")</f>
        <v/>
      </c>
      <c r="F6719" s="23" t="str">
        <f>IF(OR(E6719="",E6719="!!!"),"",IF(NOT(ISNA(VLOOKUP(E6719,E$1:E6718,1,FALSE()))),"OLD",IF(AND(E6719&lt;&gt;"",E6719&lt;&gt;"!!!"),"NEW","")))</f>
        <v> </v>
      </c>
      <c r="G6719" s="24" t="str">
        <f>IF(OR(E6719="",E6719="!!!"),"",IF(OR(J6719=0,AND(J6719=1,K6719=1),AND(J6719=1,I6719="SBJ"),AND(J6719=1,I6719=0)),"?IN_FOCUS",IF(J6719&lt;=2,"?ACTIVATED",IF(J6719&lt;&gt;"","?FAMILIAR",IF(F6719="NEW",IF(ISNA(VLOOKUP(E6719,#REF!,1,FALSE())),"?TYPE_IDENTIFIABLE","?REFERENTIAL"),"_")))))</f>
        <v> </v>
      </c>
      <c r="H6719" s="25" t="str">
        <f>IF(J6719&lt;&gt;1,"",IF(I6719="SBJ","CB","?"))</f>
        <v> </v>
      </c>
      <c r="I6719" s="26" t="str">
        <f>IF(OR(E6719="",E6719="!!!",F6719="NEW"),"",INDEX(B6718:B$2,-1+SUMPRODUCT(MAX(ROW(E6718:E$2)*(E6719=E6718:E$2)))))</f>
        <v> </v>
      </c>
      <c r="J6719" s="26" t="str">
        <f>IF(OR(E6719="",E6719="!!!",F6719="NEW"),"",COUNTBLANK(OFFSET(A$1,,,SUMPRODUCT(MAX(ROW(E$2:E6719)*(E6719=E$2:E6719)))))-COUNTBLANK(OFFSET(A$1,,,SUMPRODUCT(MAX(ROW(E$1:E6718)*(E2=E$1:E6718))))))</f>
        <v> </v>
      </c>
      <c r="K6719" s="26" t="str">
        <f>IF(OR(E6719="",E6719="!!!",F6719="NEW"),"",INDEX(J$1:J6718,SUMPRODUCT(MAX(ROW(E$1:E6718)*(E6719=E$1:E6718)))))</f>
        <v> </v>
      </c>
      <c r="L6719" s="27"/>
    </row>
    <row r="6720" spans="1:12">
      <c r="A6720" s="20" t="s">
        <v>1755</v>
      </c>
      <c r="E6720" s="22">
        <f>IF(D6720="?OLD","!!!","")</f>
        <v/>
      </c>
      <c r="F6720" s="23" t="str">
        <f>IF(OR(E6720="",E6720="!!!"),"",IF(NOT(ISNA(VLOOKUP(E6720,E$1:E6719,1,FALSE()))),"OLD",IF(AND(E6720&lt;&gt;"",E6720&lt;&gt;"!!!"),"NEW","")))</f>
        <v> </v>
      </c>
      <c r="G6720" s="24" t="str">
        <f>IF(OR(E6720="",E6720="!!!"),"",IF(OR(J6720=0,AND(J6720=1,K6720=1),AND(J6720=1,I6720="SBJ"),AND(J6720=1,I6720=0)),"?IN_FOCUS",IF(J6720&lt;=2,"?ACTIVATED",IF(J6720&lt;&gt;"","?FAMILIAR",IF(F6720="NEW",IF(ISNA(VLOOKUP(E6720,#REF!,1,FALSE())),"?TYPE_IDENTIFIABLE","?REFERENTIAL"),"_")))))</f>
        <v> </v>
      </c>
      <c r="H6720" s="25" t="str">
        <f>IF(J6720&lt;&gt;1,"",IF(I6720="SBJ","CB","?"))</f>
        <v> </v>
      </c>
      <c r="I6720" s="26" t="str">
        <f>IF(OR(E6720="",E6720="!!!",F6720="NEW"),"",INDEX(B6719:B$2,-1+SUMPRODUCT(MAX(ROW(E6719:E$2)*(E6720=E6719:E$2)))))</f>
        <v> </v>
      </c>
      <c r="J6720" s="26" t="str">
        <f>IF(OR(E6720="",E6720="!!!",F6720="NEW"),"",COUNTBLANK(OFFSET(A$1,,,SUMPRODUCT(MAX(ROW(E$2:E6720)*(E6720=E$2:E6720)))))-COUNTBLANK(OFFSET(A$1,,,SUMPRODUCT(MAX(ROW(E$1:E6719)*(E2=E$1:E6719))))))</f>
        <v> </v>
      </c>
      <c r="K6720" s="26" t="str">
        <f>IF(OR(E6720="",E6720="!!!",F6720="NEW"),"",INDEX(J$1:J6719,SUMPRODUCT(MAX(ROW(E$1:E6719)*(E6720=E$1:E6719)))))</f>
        <v> </v>
      </c>
      <c r="L6720" s="27"/>
    </row>
    <row r="6721" spans="1:12">
      <c r="A6721" s="20" t="s">
        <v>1842</v>
      </c>
      <c r="E6721" s="22">
        <f>IF(D6721="?OLD","!!!","")</f>
        <v/>
      </c>
      <c r="F6721" s="23" t="str">
        <f>IF(OR(E6721="",E6721="!!!"),"",IF(NOT(ISNA(VLOOKUP(E6721,E$1:E6720,1,FALSE()))),"OLD",IF(AND(E6721&lt;&gt;"",E6721&lt;&gt;"!!!"),"NEW","")))</f>
        <v> </v>
      </c>
      <c r="G6721" s="24" t="str">
        <f>IF(OR(E6721="",E6721="!!!"),"",IF(OR(J6721=0,AND(J6721=1,K6721=1),AND(J6721=1,I6721="SBJ"),AND(J6721=1,I6721=0)),"?IN_FOCUS",IF(J6721&lt;=2,"?ACTIVATED",IF(J6721&lt;&gt;"","?FAMILIAR",IF(F6721="NEW",IF(ISNA(VLOOKUP(E6721,#REF!,1,FALSE())),"?TYPE_IDENTIFIABLE","?REFERENTIAL"),"_")))))</f>
        <v> </v>
      </c>
      <c r="H6721" s="25" t="str">
        <f>IF(J6721&lt;&gt;1,"",IF(I6721="SBJ","CB","?"))</f>
        <v> </v>
      </c>
      <c r="I6721" s="26" t="str">
        <f>IF(OR(E6721="",E6721="!!!",F6721="NEW"),"",INDEX(B6720:B$2,-1+SUMPRODUCT(MAX(ROW(E6720:E$2)*(E6721=E6720:E$2)))))</f>
        <v> </v>
      </c>
      <c r="J6721" s="26" t="str">
        <f>IF(OR(E6721="",E6721="!!!",F6721="NEW"),"",COUNTBLANK(OFFSET(A$1,,,SUMPRODUCT(MAX(ROW(E$2:E6721)*(E6721=E$2:E6721)))))-COUNTBLANK(OFFSET(A$1,,,SUMPRODUCT(MAX(ROW(E$1:E6720)*(E2=E$1:E6720))))))</f>
        <v> </v>
      </c>
      <c r="K6721" s="26" t="str">
        <f>IF(OR(E6721="",E6721="!!!",F6721="NEW"),"",INDEX(J$1:J6720,SUMPRODUCT(MAX(ROW(E$1:E6720)*(E6721=E$1:E6720)))))</f>
        <v> </v>
      </c>
      <c r="L6721" s="27"/>
    </row>
    <row r="6722" spans="1:12">
      <c r="A6722" s="20" t="s">
        <v>1468</v>
      </c>
      <c r="B6722" s="21" t="s">
        <v>1095</v>
      </c>
      <c r="C6722" s="21" t="s">
        <v>977</v>
      </c>
      <c r="D6722" s="21" t="s">
        <v>978</v>
      </c>
      <c r="E6722" s="22">
        <f>IF(D6722="?OLD","!!!","")</f>
        <v/>
      </c>
      <c r="F6722" s="23" t="str">
        <f>IF(OR(E6722="",E6722="!!!"),"",IF(NOT(ISNA(VLOOKUP(E6722,E$1:E6721,1,FALSE()))),"OLD",IF(AND(E6722&lt;&gt;"",E6722&lt;&gt;"!!!"),"NEW","")))</f>
        <v> </v>
      </c>
      <c r="G6722" s="24" t="str">
        <f>IF(OR(E6722="",E6722="!!!"),"",IF(OR(J6722=0,AND(J6722=1,K6722=1),AND(J6722=1,I6722="SBJ"),AND(J6722=1,I6722=0)),"?IN_FOCUS",IF(J6722&lt;=2,"?ACTIVATED",IF(J6722&lt;&gt;"","?FAMILIAR",IF(F6722="NEW",IF(ISNA(VLOOKUP(E6722,#REF!,1,FALSE())),"?TYPE_IDENTIFIABLE","?REFERENTIAL"),"_")))))</f>
        <v> </v>
      </c>
      <c r="H6722" s="25" t="str">
        <f>IF(J6722&lt;&gt;1,"",IF(I6722="SBJ","CB","?"))</f>
        <v> </v>
      </c>
      <c r="I6722" s="26" t="str">
        <f>IF(OR(E6722="",E6722="!!!",F6722="NEW"),"",INDEX(B6721:B$2,-1+SUMPRODUCT(MAX(ROW(E6721:E$2)*(E6722=E6721:E$2)))))</f>
        <v> </v>
      </c>
      <c r="J6722" s="26" t="str">
        <f>IF(OR(E6722="",E6722="!!!",F6722="NEW"),"",COUNTBLANK(OFFSET(A$1,,,SUMPRODUCT(MAX(ROW(E$2:E6722)*(E6722=E$2:E6722)))))-COUNTBLANK(OFFSET(A$1,,,SUMPRODUCT(MAX(ROW(E$1:E6721)*(E2=E$1:E6721))))))</f>
        <v> </v>
      </c>
      <c r="K6722" s="26" t="str">
        <f>IF(OR(E6722="",E6722="!!!",F6722="NEW"),"",INDEX(J$1:J6721,SUMPRODUCT(MAX(ROW(E$1:E6721)*(E6722=E$1:E6721)))))</f>
        <v> </v>
      </c>
      <c r="L6722" s="27"/>
    </row>
    <row r="6723" spans="1:12">
      <c r="A6723" s="20" t="s">
        <v>1135</v>
      </c>
      <c r="B6723" s="21" t="s">
        <v>1052</v>
      </c>
      <c r="C6723" s="21" t="s">
        <v>977</v>
      </c>
      <c r="D6723" s="21" t="s">
        <v>978</v>
      </c>
      <c r="E6723" s="22">
        <f>IF(D6723="?OLD","!!!","")</f>
        <v/>
      </c>
      <c r="F6723" s="23" t="str">
        <f>IF(OR(E6723="",E6723="!!!"),"",IF(NOT(ISNA(VLOOKUP(E6723,E$1:E6722,1,FALSE()))),"OLD",IF(AND(E6723&lt;&gt;"",E6723&lt;&gt;"!!!"),"NEW","")))</f>
        <v> </v>
      </c>
      <c r="G6723" s="24" t="str">
        <f>IF(OR(E6723="",E6723="!!!"),"",IF(OR(J6723=0,AND(J6723=1,K6723=1),AND(J6723=1,I6723="SBJ"),AND(J6723=1,I6723=0)),"?IN_FOCUS",IF(J6723&lt;=2,"?ACTIVATED",IF(J6723&lt;&gt;"","?FAMILIAR",IF(F6723="NEW",IF(ISNA(VLOOKUP(E6723,#REF!,1,FALSE())),"?TYPE_IDENTIFIABLE","?REFERENTIAL"),"_")))))</f>
        <v> </v>
      </c>
      <c r="H6723" s="25" t="str">
        <f>IF(J6723&lt;&gt;1,"",IF(I6723="SBJ","CB","?"))</f>
        <v> </v>
      </c>
      <c r="I6723" s="26" t="str">
        <f>IF(OR(E6723="",E6723="!!!",F6723="NEW"),"",INDEX(B6722:B$2,-1+SUMPRODUCT(MAX(ROW(E6722:E$2)*(E6723=E6722:E$2)))))</f>
        <v> </v>
      </c>
      <c r="J6723" s="26" t="str">
        <f>IF(OR(E6723="",E6723="!!!",F6723="NEW"),"",COUNTBLANK(OFFSET(A$1,,,SUMPRODUCT(MAX(ROW(E$2:E6723)*(E6723=E$2:E6723)))))-COUNTBLANK(OFFSET(A$1,,,SUMPRODUCT(MAX(ROW(E$1:E6722)*(E2=E$1:E6722))))))</f>
        <v> </v>
      </c>
      <c r="K6723" s="26" t="str">
        <f>IF(OR(E6723="",E6723="!!!",F6723="NEW"),"",INDEX(J$1:J6722,SUMPRODUCT(MAX(ROW(E$1:E6722)*(E6723=E$1:E6722)))))</f>
        <v> </v>
      </c>
      <c r="L6723" s="27"/>
    </row>
    <row r="6724" spans="1:12">
      <c r="A6724" s="20" t="s">
        <v>1323</v>
      </c>
      <c r="E6724" s="22">
        <f>IF(D6724="?OLD","!!!","")</f>
        <v/>
      </c>
      <c r="F6724" s="23" t="str">
        <f>IF(OR(E6724="",E6724="!!!"),"",IF(NOT(ISNA(VLOOKUP(E6724,E$1:E6723,1,FALSE()))),"OLD",IF(AND(E6724&lt;&gt;"",E6724&lt;&gt;"!!!"),"NEW","")))</f>
        <v> </v>
      </c>
      <c r="G6724" s="24" t="str">
        <f>IF(OR(E6724="",E6724="!!!"),"",IF(OR(J6724=0,AND(J6724=1,K6724=1),AND(J6724=1,I6724="SBJ"),AND(J6724=1,I6724=0)),"?IN_FOCUS",IF(J6724&lt;=2,"?ACTIVATED",IF(J6724&lt;&gt;"","?FAMILIAR",IF(F6724="NEW",IF(ISNA(VLOOKUP(E6724,#REF!,1,FALSE())),"?TYPE_IDENTIFIABLE","?REFERENTIAL"),"_")))))</f>
        <v> </v>
      </c>
      <c r="H6724" s="25" t="str">
        <f>IF(J6724&lt;&gt;1,"",IF(I6724="SBJ","CB","?"))</f>
        <v> </v>
      </c>
      <c r="I6724" s="26" t="str">
        <f>IF(OR(E6724="",E6724="!!!",F6724="NEW"),"",INDEX(B6723:B$2,-1+SUMPRODUCT(MAX(ROW(E6723:E$2)*(E6724=E6723:E$2)))))</f>
        <v> </v>
      </c>
      <c r="J6724" s="26" t="str">
        <f>IF(OR(E6724="",E6724="!!!",F6724="NEW"),"",COUNTBLANK(OFFSET(A$1,,,SUMPRODUCT(MAX(ROW(E$2:E6724)*(E6724=E$2:E6724)))))-COUNTBLANK(OFFSET(A$1,,,SUMPRODUCT(MAX(ROW(E$1:E6723)*(E2=E$1:E6723))))))</f>
        <v> </v>
      </c>
      <c r="K6724" s="26" t="str">
        <f>IF(OR(E6724="",E6724="!!!",F6724="NEW"),"",INDEX(J$1:J6723,SUMPRODUCT(MAX(ROW(E$1:E6723)*(E6724=E$1:E6723)))))</f>
        <v> </v>
      </c>
      <c r="L6724" s="27"/>
    </row>
    <row r="6725" spans="1:12">
      <c r="A6725" s="20" t="s">
        <v>2603</v>
      </c>
      <c r="E6725" s="22">
        <f>IF(D6725="?OLD","!!!","")</f>
        <v/>
      </c>
      <c r="F6725" s="23" t="str">
        <f>IF(OR(E6725="",E6725="!!!"),"",IF(NOT(ISNA(VLOOKUP(E6725,E$1:E6724,1,FALSE()))),"OLD",IF(AND(E6725&lt;&gt;"",E6725&lt;&gt;"!!!"),"NEW","")))</f>
        <v> </v>
      </c>
      <c r="G6725" s="24" t="str">
        <f>IF(OR(E6725="",E6725="!!!"),"",IF(OR(J6725=0,AND(J6725=1,K6725=1),AND(J6725=1,I6725="SBJ"),AND(J6725=1,I6725=0)),"?IN_FOCUS",IF(J6725&lt;=2,"?ACTIVATED",IF(J6725&lt;&gt;"","?FAMILIAR",IF(F6725="NEW",IF(ISNA(VLOOKUP(E6725,#REF!,1,FALSE())),"?TYPE_IDENTIFIABLE","?REFERENTIAL"),"_")))))</f>
        <v> </v>
      </c>
      <c r="H6725" s="25" t="str">
        <f>IF(J6725&lt;&gt;1,"",IF(I6725="SBJ","CB","?"))</f>
        <v> </v>
      </c>
      <c r="I6725" s="26" t="str">
        <f>IF(OR(E6725="",E6725="!!!",F6725="NEW"),"",INDEX(B6724:B$2,-1+SUMPRODUCT(MAX(ROW(E6724:E$2)*(E6725=E6724:E$2)))))</f>
        <v> </v>
      </c>
      <c r="J6725" s="26" t="str">
        <f>IF(OR(E6725="",E6725="!!!",F6725="NEW"),"",COUNTBLANK(OFFSET(A$1,,,SUMPRODUCT(MAX(ROW(E$2:E6725)*(E6725=E$2:E6725)))))-COUNTBLANK(OFFSET(A$1,,,SUMPRODUCT(MAX(ROW(E$1:E6724)*(E2=E$1:E6724))))))</f>
        <v> </v>
      </c>
      <c r="K6725" s="26" t="str">
        <f>IF(OR(E6725="",E6725="!!!",F6725="NEW"),"",INDEX(J$1:J6724,SUMPRODUCT(MAX(ROW(E$1:E6724)*(E6725=E$1:E6724)))))</f>
        <v> </v>
      </c>
      <c r="L6725" s="27"/>
    </row>
    <row r="6726" spans="1:12">
      <c r="A6726" s="20" t="s">
        <v>996</v>
      </c>
      <c r="E6726" s="22">
        <f>IF(D6726="?OLD","!!!","")</f>
        <v/>
      </c>
      <c r="F6726" s="23" t="str">
        <f>IF(OR(E6726="",E6726="!!!"),"",IF(NOT(ISNA(VLOOKUP(E6726,E$1:E6725,1,FALSE()))),"OLD",IF(AND(E6726&lt;&gt;"",E6726&lt;&gt;"!!!"),"NEW","")))</f>
        <v> </v>
      </c>
      <c r="G6726" s="24" t="str">
        <f>IF(OR(E6726="",E6726="!!!"),"",IF(OR(J6726=0,AND(J6726=1,K6726=1),AND(J6726=1,I6726="SBJ"),AND(J6726=1,I6726=0)),"?IN_FOCUS",IF(J6726&lt;=2,"?ACTIVATED",IF(J6726&lt;&gt;"","?FAMILIAR",IF(F6726="NEW",IF(ISNA(VLOOKUP(E6726,#REF!,1,FALSE())),"?TYPE_IDENTIFIABLE","?REFERENTIAL"),"_")))))</f>
        <v> </v>
      </c>
      <c r="H6726" s="25" t="str">
        <f>IF(J6726&lt;&gt;1,"",IF(I6726="SBJ","CB","?"))</f>
        <v> </v>
      </c>
      <c r="I6726" s="26" t="str">
        <f>IF(OR(E6726="",E6726="!!!",F6726="NEW"),"",INDEX(B6725:B$2,-1+SUMPRODUCT(MAX(ROW(E6725:E$2)*(E6726=E6725:E$2)))))</f>
        <v> </v>
      </c>
      <c r="J6726" s="26" t="str">
        <f>IF(OR(E6726="",E6726="!!!",F6726="NEW"),"",COUNTBLANK(OFFSET(A$1,,,SUMPRODUCT(MAX(ROW(E$2:E6726)*(E6726=E$2:E6726)))))-COUNTBLANK(OFFSET(A$1,,,SUMPRODUCT(MAX(ROW(E$1:E6725)*(E2=E$1:E6725))))))</f>
        <v> </v>
      </c>
      <c r="K6726" s="26" t="str">
        <f>IF(OR(E6726="",E6726="!!!",F6726="NEW"),"",INDEX(J$1:J6725,SUMPRODUCT(MAX(ROW(E$1:E6725)*(E6726=E$1:E6725)))))</f>
        <v> </v>
      </c>
      <c r="L6726" s="27"/>
    </row>
    <row r="6727" spans="1:12">
      <c r="A6727" s="20" t="s">
        <v>54</v>
      </c>
      <c r="E6727" s="22">
        <f>IF(D6727="?OLD","!!!","")</f>
        <v/>
      </c>
      <c r="F6727" s="23" t="str">
        <f>IF(OR(E6727="",E6727="!!!"),"",IF(NOT(ISNA(VLOOKUP(E6727,E$1:E6726,1,FALSE()))),"OLD",IF(AND(E6727&lt;&gt;"",E6727&lt;&gt;"!!!"),"NEW","")))</f>
        <v> </v>
      </c>
      <c r="G6727" s="24" t="str">
        <f>IF(OR(E6727="",E6727="!!!"),"",IF(OR(J6727=0,AND(J6727=1,K6727=1),AND(J6727=1,I6727="SBJ"),AND(J6727=1,I6727=0)),"?IN_FOCUS",IF(J6727&lt;=2,"?ACTIVATED",IF(J6727&lt;&gt;"","?FAMILIAR",IF(F6727="NEW",IF(ISNA(VLOOKUP(E6727,#REF!,1,FALSE())),"?TYPE_IDENTIFIABLE","?REFERENTIAL"),"_")))))</f>
        <v> </v>
      </c>
      <c r="H6727" s="25" t="str">
        <f>IF(J6727&lt;&gt;1,"",IF(I6727="SBJ","CB","?"))</f>
        <v> </v>
      </c>
      <c r="I6727" s="26" t="str">
        <f>IF(OR(E6727="",E6727="!!!",F6727="NEW"),"",INDEX(B6726:B$2,-1+SUMPRODUCT(MAX(ROW(E6726:E$2)*(E6727=E6726:E$2)))))</f>
        <v> </v>
      </c>
      <c r="J6727" s="26" t="str">
        <f>IF(OR(E6727="",E6727="!!!",F6727="NEW"),"",COUNTBLANK(OFFSET(A$1,,,SUMPRODUCT(MAX(ROW(E$2:E6727)*(E6727=E$2:E6727)))))-COUNTBLANK(OFFSET(A$1,,,SUMPRODUCT(MAX(ROW(E$1:E6726)*(E2=E$1:E6726))))))</f>
        <v> </v>
      </c>
      <c r="K6727" s="26" t="str">
        <f>IF(OR(E6727="",E6727="!!!",F6727="NEW"),"",INDEX(J$1:J6726,SUMPRODUCT(MAX(ROW(E$1:E6726)*(E6727=E$1:E6726)))))</f>
        <v> </v>
      </c>
      <c r="L6727" s="27"/>
    </row>
    <row r="6728" spans="1:12">
      <c r="A6728" s="20" t="s">
        <v>996</v>
      </c>
      <c r="E6728" s="22">
        <f>IF(D6728="?OLD","!!!","")</f>
        <v/>
      </c>
      <c r="F6728" s="23" t="str">
        <f>IF(OR(E6728="",E6728="!!!"),"",IF(NOT(ISNA(VLOOKUP(E6728,E$1:E6727,1,FALSE()))),"OLD",IF(AND(E6728&lt;&gt;"",E6728&lt;&gt;"!!!"),"NEW","")))</f>
        <v> </v>
      </c>
      <c r="G6728" s="24" t="str">
        <f>IF(OR(E6728="",E6728="!!!"),"",IF(OR(J6728=0,AND(J6728=1,K6728=1),AND(J6728=1,I6728="SBJ"),AND(J6728=1,I6728=0)),"?IN_FOCUS",IF(J6728&lt;=2,"?ACTIVATED",IF(J6728&lt;&gt;"","?FAMILIAR",IF(F6728="NEW",IF(ISNA(VLOOKUP(E6728,#REF!,1,FALSE())),"?TYPE_IDENTIFIABLE","?REFERENTIAL"),"_")))))</f>
        <v> </v>
      </c>
      <c r="H6728" s="25" t="str">
        <f>IF(J6728&lt;&gt;1,"",IF(I6728="SBJ","CB","?"))</f>
        <v> </v>
      </c>
      <c r="I6728" s="26" t="str">
        <f>IF(OR(E6728="",E6728="!!!",F6728="NEW"),"",INDEX(B6727:B$2,-1+SUMPRODUCT(MAX(ROW(E6727:E$2)*(E6728=E6727:E$2)))))</f>
        <v> </v>
      </c>
      <c r="J6728" s="26" t="str">
        <f>IF(OR(E6728="",E6728="!!!",F6728="NEW"),"",COUNTBLANK(OFFSET(A$1,,,SUMPRODUCT(MAX(ROW(E$2:E6728)*(E6728=E$2:E6728)))))-COUNTBLANK(OFFSET(A$1,,,SUMPRODUCT(MAX(ROW(E$1:E6727)*(E2=E$1:E6727))))))</f>
        <v> </v>
      </c>
      <c r="K6728" s="26" t="str">
        <f>IF(OR(E6728="",E6728="!!!",F6728="NEW"),"",INDEX(J$1:J6727,SUMPRODUCT(MAX(ROW(E$1:E6727)*(E6728=E$1:E6727)))))</f>
        <v> </v>
      </c>
      <c r="L6728" s="27"/>
    </row>
    <row r="6729" spans="1:12">
      <c r="A6729" s="20" t="s">
        <v>1092</v>
      </c>
      <c r="E6729" s="22">
        <f>IF(D6729="?OLD","!!!","")</f>
        <v/>
      </c>
      <c r="F6729" s="23" t="str">
        <f>IF(OR(E6729="",E6729="!!!"),"",IF(NOT(ISNA(VLOOKUP(E6729,E$1:E6728,1,FALSE()))),"OLD",IF(AND(E6729&lt;&gt;"",E6729&lt;&gt;"!!!"),"NEW","")))</f>
        <v> </v>
      </c>
      <c r="G6729" s="24" t="str">
        <f>IF(OR(E6729="",E6729="!!!"),"",IF(OR(J6729=0,AND(J6729=1,K6729=1),AND(J6729=1,I6729="SBJ"),AND(J6729=1,I6729=0)),"?IN_FOCUS",IF(J6729&lt;=2,"?ACTIVATED",IF(J6729&lt;&gt;"","?FAMILIAR",IF(F6729="NEW",IF(ISNA(VLOOKUP(E6729,#REF!,1,FALSE())),"?TYPE_IDENTIFIABLE","?REFERENTIAL"),"_")))))</f>
        <v> </v>
      </c>
      <c r="H6729" s="25" t="str">
        <f>IF(J6729&lt;&gt;1,"",IF(I6729="SBJ","CB","?"))</f>
        <v> </v>
      </c>
      <c r="I6729" s="26" t="str">
        <f>IF(OR(E6729="",E6729="!!!",F6729="NEW"),"",INDEX(B6728:B$2,-1+SUMPRODUCT(MAX(ROW(E6728:E$2)*(E6729=E6728:E$2)))))</f>
        <v> </v>
      </c>
      <c r="J6729" s="26" t="str">
        <f>IF(OR(E6729="",E6729="!!!",F6729="NEW"),"",COUNTBLANK(OFFSET(A$1,,,SUMPRODUCT(MAX(ROW(E$2:E6729)*(E6729=E$2:E6729)))))-COUNTBLANK(OFFSET(A$1,,,SUMPRODUCT(MAX(ROW(E$1:E6728)*(E2=E$1:E6728))))))</f>
        <v> </v>
      </c>
      <c r="K6729" s="26" t="str">
        <f>IF(OR(E6729="",E6729="!!!",F6729="NEW"),"",INDEX(J$1:J6728,SUMPRODUCT(MAX(ROW(E$1:E6728)*(E6729=E$1:E6728)))))</f>
        <v> </v>
      </c>
      <c r="L6729" s="27"/>
    </row>
    <row r="6730" spans="1:12">
      <c r="A6730" s="20" t="s">
        <v>2415</v>
      </c>
      <c r="B6730" s="21" t="s">
        <v>1101</v>
      </c>
      <c r="C6730" s="21" t="s">
        <v>1057</v>
      </c>
      <c r="E6730" s="22">
        <f>IF(D6730="?OLD","!!!","")</f>
        <v/>
      </c>
      <c r="F6730" s="23" t="str">
        <f>IF(OR(E6730="",E6730="!!!"),"",IF(NOT(ISNA(VLOOKUP(E6730,E$1:E6729,1,FALSE()))),"OLD",IF(AND(E6730&lt;&gt;"",E6730&lt;&gt;"!!!"),"NEW","")))</f>
        <v> </v>
      </c>
      <c r="G6730" s="24" t="str">
        <f>IF(OR(E6730="",E6730="!!!"),"",IF(OR(J6730=0,AND(J6730=1,K6730=1),AND(J6730=1,I6730="SBJ"),AND(J6730=1,I6730=0)),"?IN_FOCUS",IF(J6730&lt;=2,"?ACTIVATED",IF(J6730&lt;&gt;"","?FAMILIAR",IF(F6730="NEW",IF(ISNA(VLOOKUP(E6730,#REF!,1,FALSE())),"?TYPE_IDENTIFIABLE","?REFERENTIAL"),"_")))))</f>
        <v> </v>
      </c>
      <c r="H6730" s="25" t="str">
        <f>IF(J6730&lt;&gt;1,"",IF(I6730="SBJ","CB","?"))</f>
        <v> </v>
      </c>
      <c r="I6730" s="26" t="str">
        <f>IF(OR(E6730="",E6730="!!!",F6730="NEW"),"",INDEX(B6729:B$2,-1+SUMPRODUCT(MAX(ROW(E6729:E$2)*(E6730=E6729:E$2)))))</f>
        <v> </v>
      </c>
      <c r="J6730" s="26" t="str">
        <f>IF(OR(E6730="",E6730="!!!",F6730="NEW"),"",COUNTBLANK(OFFSET(A$1,,,SUMPRODUCT(MAX(ROW(E$2:E6730)*(E6730=E$2:E6730)))))-COUNTBLANK(OFFSET(A$1,,,SUMPRODUCT(MAX(ROW(E$1:E6729)*(E2=E$1:E6729))))))</f>
        <v> </v>
      </c>
      <c r="K6730" s="26" t="str">
        <f>IF(OR(E6730="",E6730="!!!",F6730="NEW"),"",INDEX(J$1:J6729,SUMPRODUCT(MAX(ROW(E$1:E6729)*(E6730=E$1:E6729)))))</f>
        <v> </v>
      </c>
      <c r="L6730" s="27"/>
    </row>
    <row r="6731" spans="1:12">
      <c r="A6731" s="20" t="s">
        <v>1000</v>
      </c>
      <c r="E6731" s="22">
        <f>IF(D6731="?OLD","!!!","")</f>
        <v/>
      </c>
      <c r="F6731" s="23" t="str">
        <f>IF(OR(E6731="",E6731="!!!"),"",IF(NOT(ISNA(VLOOKUP(E6731,E$1:E6730,1,FALSE()))),"OLD",IF(AND(E6731&lt;&gt;"",E6731&lt;&gt;"!!!"),"NEW","")))</f>
        <v> </v>
      </c>
      <c r="G6731" s="24" t="str">
        <f>IF(OR(E6731="",E6731="!!!"),"",IF(OR(J6731=0,AND(J6731=1,K6731=1),AND(J6731=1,I6731="SBJ"),AND(J6731=1,I6731=0)),"?IN_FOCUS",IF(J6731&lt;=2,"?ACTIVATED",IF(J6731&lt;&gt;"","?FAMILIAR",IF(F6731="NEW",IF(ISNA(VLOOKUP(E6731,#REF!,1,FALSE())),"?TYPE_IDENTIFIABLE","?REFERENTIAL"),"_")))))</f>
        <v> </v>
      </c>
      <c r="H6731" s="25" t="str">
        <f>IF(J6731&lt;&gt;1,"",IF(I6731="SBJ","CB","?"))</f>
        <v> </v>
      </c>
      <c r="I6731" s="26" t="str">
        <f>IF(OR(E6731="",E6731="!!!",F6731="NEW"),"",INDEX(B6730:B$2,-1+SUMPRODUCT(MAX(ROW(E6730:E$2)*(E6731=E6730:E$2)))))</f>
        <v> </v>
      </c>
      <c r="J6731" s="26" t="str">
        <f>IF(OR(E6731="",E6731="!!!",F6731="NEW"),"",COUNTBLANK(OFFSET(A$1,,,SUMPRODUCT(MAX(ROW(E$2:E6731)*(E6731=E$2:E6731)))))-COUNTBLANK(OFFSET(A$1,,,SUMPRODUCT(MAX(ROW(E$1:E6730)*(E2=E$1:E6730))))))</f>
        <v> </v>
      </c>
      <c r="K6731" s="26" t="str">
        <f>IF(OR(E6731="",E6731="!!!",F6731="NEW"),"",INDEX(J$1:J6730,SUMPRODUCT(MAX(ROW(E$1:E6730)*(E6731=E$1:E6730)))))</f>
        <v> </v>
      </c>
      <c r="L6731" s="27"/>
    </row>
    <row r="6732" spans="1:12">
      <c r="A6732" s="20" t="s">
        <v>996</v>
      </c>
      <c r="E6732" s="22">
        <f>IF(D6732="?OLD","!!!","")</f>
        <v/>
      </c>
      <c r="F6732" s="23" t="str">
        <f>IF(OR(E6732="",E6732="!!!"),"",IF(NOT(ISNA(VLOOKUP(E6732,E$1:E6731,1,FALSE()))),"OLD",IF(AND(E6732&lt;&gt;"",E6732&lt;&gt;"!!!"),"NEW","")))</f>
        <v> </v>
      </c>
      <c r="G6732" s="24" t="str">
        <f>IF(OR(E6732="",E6732="!!!"),"",IF(OR(J6732=0,AND(J6732=1,K6732=1),AND(J6732=1,I6732="SBJ"),AND(J6732=1,I6732=0)),"?IN_FOCUS",IF(J6732&lt;=2,"?ACTIVATED",IF(J6732&lt;&gt;"","?FAMILIAR",IF(F6732="NEW",IF(ISNA(VLOOKUP(E6732,#REF!,1,FALSE())),"?TYPE_IDENTIFIABLE","?REFERENTIAL"),"_")))))</f>
        <v> </v>
      </c>
      <c r="H6732" s="25" t="str">
        <f>IF(J6732&lt;&gt;1,"",IF(I6732="SBJ","CB","?"))</f>
        <v> </v>
      </c>
      <c r="I6732" s="26" t="str">
        <f>IF(OR(E6732="",E6732="!!!",F6732="NEW"),"",INDEX(B6731:B$2,-1+SUMPRODUCT(MAX(ROW(E6731:E$2)*(E6732=E6731:E$2)))))</f>
        <v> </v>
      </c>
      <c r="J6732" s="26" t="str">
        <f>IF(OR(E6732="",E6732="!!!",F6732="NEW"),"",COUNTBLANK(OFFSET(A$1,,,SUMPRODUCT(MAX(ROW(E$2:E6732)*(E6732=E$2:E6732)))))-COUNTBLANK(OFFSET(A$1,,,SUMPRODUCT(MAX(ROW(E$1:E6731)*(E2=E$1:E6731))))))</f>
        <v> </v>
      </c>
      <c r="K6732" s="26" t="str">
        <f>IF(OR(E6732="",E6732="!!!",F6732="NEW"),"",INDEX(J$1:J6731,SUMPRODUCT(MAX(ROW(E$1:E6731)*(E6732=E$1:E6731)))))</f>
        <v> </v>
      </c>
      <c r="L6732" s="27"/>
    </row>
    <row r="6733" spans="1:12">
      <c r="A6733" s="20" t="s">
        <v>1135</v>
      </c>
      <c r="B6733" s="21" t="s">
        <v>1146</v>
      </c>
      <c r="C6733" s="21" t="s">
        <v>977</v>
      </c>
      <c r="D6733" s="21" t="s">
        <v>978</v>
      </c>
      <c r="E6733" s="22">
        <f>IF(D6733="?OLD","!!!","")</f>
        <v/>
      </c>
      <c r="F6733" s="23" t="str">
        <f>IF(OR(E6733="",E6733="!!!"),"",IF(NOT(ISNA(VLOOKUP(E6733,E$1:E6732,1,FALSE()))),"OLD",IF(AND(E6733&lt;&gt;"",E6733&lt;&gt;"!!!"),"NEW","")))</f>
        <v> </v>
      </c>
      <c r="G6733" s="24" t="str">
        <f>IF(OR(E6733="",E6733="!!!"),"",IF(OR(J6733=0,AND(J6733=1,K6733=1),AND(J6733=1,I6733="SBJ"),AND(J6733=1,I6733=0)),"?IN_FOCUS",IF(J6733&lt;=2,"?ACTIVATED",IF(J6733&lt;&gt;"","?FAMILIAR",IF(F6733="NEW",IF(ISNA(VLOOKUP(E6733,#REF!,1,FALSE())),"?TYPE_IDENTIFIABLE","?REFERENTIAL"),"_")))))</f>
        <v> </v>
      </c>
      <c r="H6733" s="25" t="str">
        <f>IF(J6733&lt;&gt;1,"",IF(I6733="SBJ","CB","?"))</f>
        <v> </v>
      </c>
      <c r="I6733" s="26" t="str">
        <f>IF(OR(E6733="",E6733="!!!",F6733="NEW"),"",INDEX(B6732:B$2,-1+SUMPRODUCT(MAX(ROW(E6732:E$2)*(E6733=E6732:E$2)))))</f>
        <v> </v>
      </c>
      <c r="J6733" s="26" t="str">
        <f>IF(OR(E6733="",E6733="!!!",F6733="NEW"),"",COUNTBLANK(OFFSET(A$1,,,SUMPRODUCT(MAX(ROW(E$2:E6733)*(E6733=E$2:E6733)))))-COUNTBLANK(OFFSET(A$1,,,SUMPRODUCT(MAX(ROW(E$1:E6732)*(E2=E$1:E6732))))))</f>
        <v> </v>
      </c>
      <c r="K6733" s="26" t="str">
        <f>IF(OR(E6733="",E6733="!!!",F6733="NEW"),"",INDEX(J$1:J6732,SUMPRODUCT(MAX(ROW(E$1:E6732)*(E6733=E$1:E6732)))))</f>
        <v> </v>
      </c>
      <c r="L6733" s="27"/>
    </row>
    <row r="6734" spans="1:12">
      <c r="A6734" s="20" t="s">
        <v>1294</v>
      </c>
      <c r="B6734" s="21" t="s">
        <v>1146</v>
      </c>
      <c r="C6734" s="21" t="s">
        <v>1020</v>
      </c>
      <c r="D6734" s="21" t="s">
        <v>978</v>
      </c>
      <c r="E6734" s="22">
        <f>IF(D6734="?OLD","!!!","")</f>
        <v/>
      </c>
      <c r="F6734" s="23" t="str">
        <f>IF(OR(E6734="",E6734="!!!"),"",IF(NOT(ISNA(VLOOKUP(E6734,E$1:E6733,1,FALSE()))),"OLD",IF(AND(E6734&lt;&gt;"",E6734&lt;&gt;"!!!"),"NEW","")))</f>
        <v> </v>
      </c>
      <c r="G6734" s="24" t="str">
        <f>IF(OR(E6734="",E6734="!!!"),"",IF(OR(J6734=0,AND(J6734=1,K6734=1),AND(J6734=1,I6734="SBJ"),AND(J6734=1,I6734=0)),"?IN_FOCUS",IF(J6734&lt;=2,"?ACTIVATED",IF(J6734&lt;&gt;"","?FAMILIAR",IF(F6734="NEW",IF(ISNA(VLOOKUP(E6734,#REF!,1,FALSE())),"?TYPE_IDENTIFIABLE","?REFERENTIAL"),"_")))))</f>
        <v> </v>
      </c>
      <c r="H6734" s="25" t="str">
        <f>IF(J6734&lt;&gt;1,"",IF(I6734="SBJ","CB","?"))</f>
        <v> </v>
      </c>
      <c r="I6734" s="26" t="str">
        <f>IF(OR(E6734="",E6734="!!!",F6734="NEW"),"",INDEX(B6733:B$2,-1+SUMPRODUCT(MAX(ROW(E6733:E$2)*(E6734=E6733:E$2)))))</f>
        <v> </v>
      </c>
      <c r="J6734" s="26" t="str">
        <f>IF(OR(E6734="",E6734="!!!",F6734="NEW"),"",COUNTBLANK(OFFSET(A$1,,,SUMPRODUCT(MAX(ROW(E$2:E6734)*(E6734=E$2:E6734)))))-COUNTBLANK(OFFSET(A$1,,,SUMPRODUCT(MAX(ROW(E$1:E6733)*(E2=E$1:E6733))))))</f>
        <v> </v>
      </c>
      <c r="K6734" s="26" t="str">
        <f>IF(OR(E6734="",E6734="!!!",F6734="NEW"),"",INDEX(J$1:J6733,SUMPRODUCT(MAX(ROW(E$1:E6733)*(E6734=E$1:E6733)))))</f>
        <v> </v>
      </c>
      <c r="L6734" s="27"/>
    </row>
    <row r="6735" spans="1:12">
      <c r="A6735" s="20" t="s">
        <v>2604</v>
      </c>
      <c r="E6735" s="22">
        <f>IF(D6735="?OLD","!!!","")</f>
        <v/>
      </c>
      <c r="F6735" s="23" t="str">
        <f>IF(OR(E6735="",E6735="!!!"),"",IF(NOT(ISNA(VLOOKUP(E6735,E$1:E6734,1,FALSE()))),"OLD",IF(AND(E6735&lt;&gt;"",E6735&lt;&gt;"!!!"),"NEW","")))</f>
        <v> </v>
      </c>
      <c r="G6735" s="24" t="str">
        <f>IF(OR(E6735="",E6735="!!!"),"",IF(OR(J6735=0,AND(J6735=1,K6735=1),AND(J6735=1,I6735="SBJ"),AND(J6735=1,I6735=0)),"?IN_FOCUS",IF(J6735&lt;=2,"?ACTIVATED",IF(J6735&lt;&gt;"","?FAMILIAR",IF(F6735="NEW",IF(ISNA(VLOOKUP(E6735,#REF!,1,FALSE())),"?TYPE_IDENTIFIABLE","?REFERENTIAL"),"_")))))</f>
        <v> </v>
      </c>
      <c r="H6735" s="25" t="str">
        <f>IF(J6735&lt;&gt;1,"",IF(I6735="SBJ","CB","?"))</f>
        <v> </v>
      </c>
      <c r="I6735" s="26" t="str">
        <f>IF(OR(E6735="",E6735="!!!",F6735="NEW"),"",INDEX(B6734:B$2,-1+SUMPRODUCT(MAX(ROW(E6734:E$2)*(E6735=E6734:E$2)))))</f>
        <v> </v>
      </c>
      <c r="J6735" s="26" t="str">
        <f>IF(OR(E6735="",E6735="!!!",F6735="NEW"),"",COUNTBLANK(OFFSET(A$1,,,SUMPRODUCT(MAX(ROW(E$2:E6735)*(E6735=E$2:E6735)))))-COUNTBLANK(OFFSET(A$1,,,SUMPRODUCT(MAX(ROW(E$1:E6734)*(E2=E$1:E6734))))))</f>
        <v> </v>
      </c>
      <c r="K6735" s="26" t="str">
        <f>IF(OR(E6735="",E6735="!!!",F6735="NEW"),"",INDEX(J$1:J6734,SUMPRODUCT(MAX(ROW(E$1:E6734)*(E6735=E$1:E6734)))))</f>
        <v> </v>
      </c>
      <c r="L6735" s="27"/>
    </row>
    <row r="6736" spans="1:12">
      <c r="A6736" s="20" t="s">
        <v>1022</v>
      </c>
      <c r="E6736" s="22">
        <f>IF(D6736="?OLD","!!!","")</f>
        <v/>
      </c>
      <c r="F6736" s="23" t="str">
        <f>IF(OR(E6736="",E6736="!!!"),"",IF(NOT(ISNA(VLOOKUP(E6736,E$1:E6735,1,FALSE()))),"OLD",IF(AND(E6736&lt;&gt;"",E6736&lt;&gt;"!!!"),"NEW","")))</f>
        <v> </v>
      </c>
      <c r="G6736" s="24" t="str">
        <f>IF(OR(E6736="",E6736="!!!"),"",IF(OR(J6736=0,AND(J6736=1,K6736=1),AND(J6736=1,I6736="SBJ"),AND(J6736=1,I6736=0)),"?IN_FOCUS",IF(J6736&lt;=2,"?ACTIVATED",IF(J6736&lt;&gt;"","?FAMILIAR",IF(F6736="NEW",IF(ISNA(VLOOKUP(E6736,#REF!,1,FALSE())),"?TYPE_IDENTIFIABLE","?REFERENTIAL"),"_")))))</f>
        <v> </v>
      </c>
      <c r="H6736" s="25" t="str">
        <f>IF(J6736&lt;&gt;1,"",IF(I6736="SBJ","CB","?"))</f>
        <v> </v>
      </c>
      <c r="I6736" s="26" t="str">
        <f>IF(OR(E6736="",E6736="!!!",F6736="NEW"),"",INDEX(B6735:B$2,-1+SUMPRODUCT(MAX(ROW(E6735:E$2)*(E6736=E6735:E$2)))))</f>
        <v> </v>
      </c>
      <c r="J6736" s="26" t="str">
        <f>IF(OR(E6736="",E6736="!!!",F6736="NEW"),"",COUNTBLANK(OFFSET(A$1,,,SUMPRODUCT(MAX(ROW(E$2:E6736)*(E6736=E$2:E6736)))))-COUNTBLANK(OFFSET(A$1,,,SUMPRODUCT(MAX(ROW(E$1:E6735)*(E2=E$1:E6735))))))</f>
        <v> </v>
      </c>
      <c r="K6736" s="26" t="str">
        <f>IF(OR(E6736="",E6736="!!!",F6736="NEW"),"",INDEX(J$1:J6735,SUMPRODUCT(MAX(ROW(E$1:E6735)*(E6736=E$1:E6735)))))</f>
        <v> </v>
      </c>
      <c r="L6736" s="27"/>
    </row>
    <row r="6737" spans="1:12">
      <c r="A6737" s="20"/>
    </row>
    <row r="6738" spans="1:12">
      <c r="A6738" s="20" t="s">
        <v>2605</v>
      </c>
    </row>
    <row r="6739" spans="1:12">
      <c r="A6739" s="20" t="s">
        <v>2160</v>
      </c>
      <c r="E6739" s="22">
        <f>IF(D6739="?OLD","!!!","")</f>
        <v/>
      </c>
      <c r="F6739" s="23" t="str">
        <f>IF(OR(E6739="",E6739="!!!"),"",IF(NOT(ISNA(VLOOKUP(E6739,E$1:E6738,1,FALSE()))),"OLD",IF(AND(E6739&lt;&gt;"",E6739&lt;&gt;"!!!"),"NEW","")))</f>
        <v> </v>
      </c>
      <c r="G6739" s="24" t="str">
        <f>IF(OR(E6739="",E6739="!!!"),"",IF(OR(J6739=0,AND(J6739=1,K6739=1),AND(J6739=1,I6739="SBJ"),AND(J6739=1,I6739=0)),"?IN_FOCUS",IF(J6739&lt;=2,"?ACTIVATED",IF(J6739&lt;&gt;"","?FAMILIAR",IF(F6739="NEW",IF(ISNA(VLOOKUP(E6739,#REF!,1,FALSE())),"?TYPE_IDENTIFIABLE","?REFERENTIAL"),"_")))))</f>
        <v> </v>
      </c>
      <c r="H6739" s="25" t="str">
        <f>IF(J6739&lt;&gt;1,"",IF(I6739="SBJ","CB","?"))</f>
        <v> </v>
      </c>
      <c r="I6739" s="26" t="str">
        <f>IF(OR(E6739="",E6739="!!!",F6739="NEW"),"",INDEX(B6738:B$2,-1+SUMPRODUCT(MAX(ROW(E6738:E$2)*(E6739=E6738:E$2)))))</f>
        <v> </v>
      </c>
      <c r="J6739" s="26" t="str">
        <f>IF(OR(E6739="",E6739="!!!",F6739="NEW"),"",COUNTBLANK(OFFSET(A$1,,,SUMPRODUCT(MAX(ROW(E$2:E6739)*(E6739=E$2:E6739)))))-COUNTBLANK(OFFSET(A$1,,,SUMPRODUCT(MAX(ROW(E$1:E6738)*(E2=E$1:E6738))))))</f>
        <v> </v>
      </c>
      <c r="K6739" s="26" t="str">
        <f>IF(OR(E6739="",E6739="!!!",F6739="NEW"),"",INDEX(J$1:J6738,SUMPRODUCT(MAX(ROW(E$1:E6738)*(E6739=E$1:E6738)))))</f>
        <v> </v>
      </c>
      <c r="L6739" s="27"/>
    </row>
    <row r="6740" spans="1:12">
      <c r="A6740" s="20" t="s">
        <v>1038</v>
      </c>
      <c r="E6740" s="22">
        <f>IF(D6740="?OLD","!!!","")</f>
        <v/>
      </c>
      <c r="F6740" s="23" t="str">
        <f>IF(OR(E6740="",E6740="!!!"),"",IF(NOT(ISNA(VLOOKUP(E6740,E$1:E6739,1,FALSE()))),"OLD",IF(AND(E6740&lt;&gt;"",E6740&lt;&gt;"!!!"),"NEW","")))</f>
        <v> </v>
      </c>
      <c r="G6740" s="24" t="str">
        <f>IF(OR(E6740="",E6740="!!!"),"",IF(OR(J6740=0,AND(J6740=1,K6740=1),AND(J6740=1,I6740="SBJ"),AND(J6740=1,I6740=0)),"?IN_FOCUS",IF(J6740&lt;=2,"?ACTIVATED",IF(J6740&lt;&gt;"","?FAMILIAR",IF(F6740="NEW",IF(ISNA(VLOOKUP(E6740,#REF!,1,FALSE())),"?TYPE_IDENTIFIABLE","?REFERENTIAL"),"_")))))</f>
        <v> </v>
      </c>
      <c r="H6740" s="25" t="str">
        <f>IF(J6740&lt;&gt;1,"",IF(I6740="SBJ","CB","?"))</f>
        <v> </v>
      </c>
      <c r="I6740" s="26" t="str">
        <f>IF(OR(E6740="",E6740="!!!",F6740="NEW"),"",INDEX(B6739:B$2,-1+SUMPRODUCT(MAX(ROW(E6739:E$2)*(E6740=E6739:E$2)))))</f>
        <v> </v>
      </c>
      <c r="J6740" s="26" t="str">
        <f>IF(OR(E6740="",E6740="!!!",F6740="NEW"),"",COUNTBLANK(OFFSET(A$1,,,SUMPRODUCT(MAX(ROW(E$2:E6740)*(E6740=E$2:E6740)))))-COUNTBLANK(OFFSET(A$1,,,SUMPRODUCT(MAX(ROW(E$1:E6739)*(E2=E$1:E6739))))))</f>
        <v> </v>
      </c>
      <c r="K6740" s="26" t="str">
        <f>IF(OR(E6740="",E6740="!!!",F6740="NEW"),"",INDEX(J$1:J6739,SUMPRODUCT(MAX(ROW(E$1:E6739)*(E6740=E$1:E6739)))))</f>
        <v> </v>
      </c>
      <c r="L6740" s="27"/>
    </row>
    <row r="6741" spans="1:12">
      <c r="A6741" s="20" t="s">
        <v>1102</v>
      </c>
      <c r="E6741" s="22">
        <f>IF(D6741="?OLD","!!!","")</f>
        <v/>
      </c>
      <c r="F6741" s="23" t="str">
        <f>IF(OR(E6741="",E6741="!!!"),"",IF(NOT(ISNA(VLOOKUP(E6741,E$1:E6740,1,FALSE()))),"OLD",IF(AND(E6741&lt;&gt;"",E6741&lt;&gt;"!!!"),"NEW","")))</f>
        <v> </v>
      </c>
      <c r="G6741" s="24" t="str">
        <f>IF(OR(E6741="",E6741="!!!"),"",IF(OR(J6741=0,AND(J6741=1,K6741=1),AND(J6741=1,I6741="SBJ"),AND(J6741=1,I6741=0)),"?IN_FOCUS",IF(J6741&lt;=2,"?ACTIVATED",IF(J6741&lt;&gt;"","?FAMILIAR",IF(F6741="NEW",IF(ISNA(VLOOKUP(E6741,#REF!,1,FALSE())),"?TYPE_IDENTIFIABLE","?REFERENTIAL"),"_")))))</f>
        <v> </v>
      </c>
      <c r="H6741" s="25" t="str">
        <f>IF(J6741&lt;&gt;1,"",IF(I6741="SBJ","CB","?"))</f>
        <v> </v>
      </c>
      <c r="I6741" s="26" t="str">
        <f>IF(OR(E6741="",E6741="!!!",F6741="NEW"),"",INDEX(B6740:B$2,-1+SUMPRODUCT(MAX(ROW(E6740:E$2)*(E6741=E6740:E$2)))))</f>
        <v> </v>
      </c>
      <c r="J6741" s="26" t="str">
        <f>IF(OR(E6741="",E6741="!!!",F6741="NEW"),"",COUNTBLANK(OFFSET(A$1,,,SUMPRODUCT(MAX(ROW(E$2:E6741)*(E6741=E$2:E6741)))))-COUNTBLANK(OFFSET(A$1,,,SUMPRODUCT(MAX(ROW(E$1:E6740)*(E2=E$1:E6740))))))</f>
        <v> </v>
      </c>
      <c r="K6741" s="26" t="str">
        <f>IF(OR(E6741="",E6741="!!!",F6741="NEW"),"",INDEX(J$1:J6740,SUMPRODUCT(MAX(ROW(E$1:E6740)*(E6741=E$1:E6740)))))</f>
        <v> </v>
      </c>
      <c r="L6741" s="27"/>
    </row>
    <row r="6742" spans="1:12">
      <c r="A6742" s="20" t="s">
        <v>1344</v>
      </c>
      <c r="B6742" s="21" t="s">
        <v>986</v>
      </c>
      <c r="C6742" s="21" t="s">
        <v>1104</v>
      </c>
      <c r="E6742" s="22">
        <f>IF(D6742="?OLD","!!!","")</f>
        <v/>
      </c>
      <c r="F6742" s="23" t="str">
        <f>IF(OR(E6742="",E6742="!!!"),"",IF(NOT(ISNA(VLOOKUP(E6742,E$1:E6741,1,FALSE()))),"OLD",IF(AND(E6742&lt;&gt;"",E6742&lt;&gt;"!!!"),"NEW","")))</f>
        <v> </v>
      </c>
      <c r="G6742" s="24" t="str">
        <f>IF(OR(E6742="",E6742="!!!"),"",IF(OR(J6742=0,AND(J6742=1,K6742=1),AND(J6742=1,I6742="SBJ"),AND(J6742=1,I6742=0)),"?IN_FOCUS",IF(J6742&lt;=2,"?ACTIVATED",IF(J6742&lt;&gt;"","?FAMILIAR",IF(F6742="NEW",IF(ISNA(VLOOKUP(E6742,#REF!,1,FALSE())),"?TYPE_IDENTIFIABLE","?REFERENTIAL"),"_")))))</f>
        <v> </v>
      </c>
      <c r="H6742" s="25" t="str">
        <f>IF(J6742&lt;&gt;1,"",IF(I6742="SBJ","CB","?"))</f>
        <v> </v>
      </c>
      <c r="I6742" s="26" t="str">
        <f>IF(OR(E6742="",E6742="!!!",F6742="NEW"),"",INDEX(B6741:B$2,-1+SUMPRODUCT(MAX(ROW(E6741:E$2)*(E6742=E6741:E$2)))))</f>
        <v> </v>
      </c>
      <c r="J6742" s="26" t="str">
        <f>IF(OR(E6742="",E6742="!!!",F6742="NEW"),"",COUNTBLANK(OFFSET(A$1,,,SUMPRODUCT(MAX(ROW(E$2:E6742)*(E6742=E$2:E6742)))))-COUNTBLANK(OFFSET(A$1,,,SUMPRODUCT(MAX(ROW(E$1:E6741)*(E2=E$1:E6741))))))</f>
        <v> </v>
      </c>
      <c r="K6742" s="26" t="str">
        <f>IF(OR(E6742="",E6742="!!!",F6742="NEW"),"",INDEX(J$1:J6741,SUMPRODUCT(MAX(ROW(E$1:E6741)*(E6742=E$1:E6741)))))</f>
        <v> </v>
      </c>
      <c r="L6742" s="27"/>
    </row>
    <row r="6743" spans="1:12">
      <c r="A6743" s="20" t="s">
        <v>1047</v>
      </c>
      <c r="B6743" s="21" t="s">
        <v>1095</v>
      </c>
      <c r="C6743" s="21" t="s">
        <v>977</v>
      </c>
      <c r="D6743" s="21" t="s">
        <v>978</v>
      </c>
      <c r="E6743" s="22">
        <f>IF(D6743="?OLD","!!!","")</f>
        <v/>
      </c>
      <c r="F6743" s="23" t="str">
        <f>IF(OR(E6743="",E6743="!!!"),"",IF(NOT(ISNA(VLOOKUP(E6743,E$1:E6742,1,FALSE()))),"OLD",IF(AND(E6743&lt;&gt;"",E6743&lt;&gt;"!!!"),"NEW","")))</f>
        <v> </v>
      </c>
      <c r="G6743" s="24" t="str">
        <f>IF(OR(E6743="",E6743="!!!"),"",IF(OR(J6743=0,AND(J6743=1,K6743=1),AND(J6743=1,I6743="SBJ"),AND(J6743=1,I6743=0)),"?IN_FOCUS",IF(J6743&lt;=2,"?ACTIVATED",IF(J6743&lt;&gt;"","?FAMILIAR",IF(F6743="NEW",IF(ISNA(VLOOKUP(E6743,#REF!,1,FALSE())),"?TYPE_IDENTIFIABLE","?REFERENTIAL"),"_")))))</f>
        <v> </v>
      </c>
      <c r="H6743" s="25" t="str">
        <f>IF(J6743&lt;&gt;1,"",IF(I6743="SBJ","CB","?"))</f>
        <v> </v>
      </c>
      <c r="I6743" s="26" t="str">
        <f>IF(OR(E6743="",E6743="!!!",F6743="NEW"),"",INDEX(B6742:B$2,-1+SUMPRODUCT(MAX(ROW(E6742:E$2)*(E6743=E6742:E$2)))))</f>
        <v> </v>
      </c>
      <c r="J6743" s="26" t="str">
        <f>IF(OR(E6743="",E6743="!!!",F6743="NEW"),"",COUNTBLANK(OFFSET(A$1,,,SUMPRODUCT(MAX(ROW(E$2:E6743)*(E6743=E$2:E6743)))))-COUNTBLANK(OFFSET(A$1,,,SUMPRODUCT(MAX(ROW(E$1:E6742)*(E2=E$1:E6742))))))</f>
        <v> </v>
      </c>
      <c r="K6743" s="26" t="str">
        <f>IF(OR(E6743="",E6743="!!!",F6743="NEW"),"",INDEX(J$1:J6742,SUMPRODUCT(MAX(ROW(E$1:E6742)*(E6743=E$1:E6742)))))</f>
        <v> </v>
      </c>
      <c r="L6743" s="27"/>
    </row>
    <row r="6744" spans="1:12">
      <c r="A6744" s="20" t="s">
        <v>2606</v>
      </c>
      <c r="E6744" s="22">
        <f>IF(D6744="?OLD","!!!","")</f>
        <v/>
      </c>
      <c r="F6744" s="23" t="str">
        <f>IF(OR(E6744="",E6744="!!!"),"",IF(NOT(ISNA(VLOOKUP(E6744,E$1:E6743,1,FALSE()))),"OLD",IF(AND(E6744&lt;&gt;"",E6744&lt;&gt;"!!!"),"NEW","")))</f>
        <v> </v>
      </c>
      <c r="G6744" s="24" t="str">
        <f>IF(OR(E6744="",E6744="!!!"),"",IF(OR(J6744=0,AND(J6744=1,K6744=1),AND(J6744=1,I6744="SBJ"),AND(J6744=1,I6744=0)),"?IN_FOCUS",IF(J6744&lt;=2,"?ACTIVATED",IF(J6744&lt;&gt;"","?FAMILIAR",IF(F6744="NEW",IF(ISNA(VLOOKUP(E6744,#REF!,1,FALSE())),"?TYPE_IDENTIFIABLE","?REFERENTIAL"),"_")))))</f>
        <v> </v>
      </c>
      <c r="H6744" s="25" t="str">
        <f>IF(J6744&lt;&gt;1,"",IF(I6744="SBJ","CB","?"))</f>
        <v> </v>
      </c>
      <c r="I6744" s="26" t="str">
        <f>IF(OR(E6744="",E6744="!!!",F6744="NEW"),"",INDEX(B6743:B$2,-1+SUMPRODUCT(MAX(ROW(E6743:E$2)*(E6744=E6743:E$2)))))</f>
        <v> </v>
      </c>
      <c r="J6744" s="26" t="str">
        <f>IF(OR(E6744="",E6744="!!!",F6744="NEW"),"",COUNTBLANK(OFFSET(A$1,,,SUMPRODUCT(MAX(ROW(E$2:E6744)*(E6744=E$2:E6744)))))-COUNTBLANK(OFFSET(A$1,,,SUMPRODUCT(MAX(ROW(E$1:E6743)*(E2=E$1:E6743))))))</f>
        <v> </v>
      </c>
      <c r="K6744" s="26" t="str">
        <f>IF(OR(E6744="",E6744="!!!",F6744="NEW"),"",INDEX(J$1:J6743,SUMPRODUCT(MAX(ROW(E$1:E6743)*(E6744=E$1:E6743)))))</f>
        <v> </v>
      </c>
      <c r="L6744" s="27"/>
    </row>
    <row r="6745" spans="1:12">
      <c r="A6745" s="20" t="s">
        <v>2607</v>
      </c>
      <c r="E6745" s="22">
        <f>IF(D6745="?OLD","!!!","")</f>
        <v/>
      </c>
      <c r="F6745" s="23" t="str">
        <f>IF(OR(E6745="",E6745="!!!"),"",IF(NOT(ISNA(VLOOKUP(E6745,E$1:E6744,1,FALSE()))),"OLD",IF(AND(E6745&lt;&gt;"",E6745&lt;&gt;"!!!"),"NEW","")))</f>
        <v> </v>
      </c>
      <c r="G6745" s="24" t="str">
        <f>IF(OR(E6745="",E6745="!!!"),"",IF(OR(J6745=0,AND(J6745=1,K6745=1),AND(J6745=1,I6745="SBJ"),AND(J6745=1,I6745=0)),"?IN_FOCUS",IF(J6745&lt;=2,"?ACTIVATED",IF(J6745&lt;&gt;"","?FAMILIAR",IF(F6745="NEW",IF(ISNA(VLOOKUP(E6745,#REF!,1,FALSE())),"?TYPE_IDENTIFIABLE","?REFERENTIAL"),"_")))))</f>
        <v> </v>
      </c>
      <c r="H6745" s="25" t="str">
        <f>IF(J6745&lt;&gt;1,"",IF(I6745="SBJ","CB","?"))</f>
        <v> </v>
      </c>
      <c r="I6745" s="26" t="str">
        <f>IF(OR(E6745="",E6745="!!!",F6745="NEW"),"",INDEX(B6744:B$2,-1+SUMPRODUCT(MAX(ROW(E6744:E$2)*(E6745=E6744:E$2)))))</f>
        <v> </v>
      </c>
      <c r="J6745" s="26" t="str">
        <f>IF(OR(E6745="",E6745="!!!",F6745="NEW"),"",COUNTBLANK(OFFSET(A$1,,,SUMPRODUCT(MAX(ROW(E$2:E6745)*(E6745=E$2:E6745)))))-COUNTBLANK(OFFSET(A$1,,,SUMPRODUCT(MAX(ROW(E$1:E6744)*(E2=E$1:E6744))))))</f>
        <v> </v>
      </c>
      <c r="K6745" s="26" t="str">
        <f>IF(OR(E6745="",E6745="!!!",F6745="NEW"),"",INDEX(J$1:J6744,SUMPRODUCT(MAX(ROW(E$1:E6744)*(E6745=E$1:E6744)))))</f>
        <v> </v>
      </c>
      <c r="L6745" s="27"/>
    </row>
    <row r="6746" spans="1:12">
      <c r="A6746" s="20" t="s">
        <v>2608</v>
      </c>
      <c r="E6746" s="22">
        <f>IF(D6746="?OLD","!!!","")</f>
        <v/>
      </c>
      <c r="F6746" s="23" t="str">
        <f>IF(OR(E6746="",E6746="!!!"),"",IF(NOT(ISNA(VLOOKUP(E6746,E$1:E6745,1,FALSE()))),"OLD",IF(AND(E6746&lt;&gt;"",E6746&lt;&gt;"!!!"),"NEW","")))</f>
        <v> </v>
      </c>
      <c r="G6746" s="24" t="str">
        <f>IF(OR(E6746="",E6746="!!!"),"",IF(OR(J6746=0,AND(J6746=1,K6746=1),AND(J6746=1,I6746="SBJ"),AND(J6746=1,I6746=0)),"?IN_FOCUS",IF(J6746&lt;=2,"?ACTIVATED",IF(J6746&lt;&gt;"","?FAMILIAR",IF(F6746="NEW",IF(ISNA(VLOOKUP(E6746,#REF!,1,FALSE())),"?TYPE_IDENTIFIABLE","?REFERENTIAL"),"_")))))</f>
        <v> </v>
      </c>
      <c r="H6746" s="25" t="str">
        <f>IF(J6746&lt;&gt;1,"",IF(I6746="SBJ","CB","?"))</f>
        <v> </v>
      </c>
      <c r="I6746" s="26" t="str">
        <f>IF(OR(E6746="",E6746="!!!",F6746="NEW"),"",INDEX(B6745:B$2,-1+SUMPRODUCT(MAX(ROW(E6745:E$2)*(E6746=E6745:E$2)))))</f>
        <v> </v>
      </c>
      <c r="J6746" s="26" t="str">
        <f>IF(OR(E6746="",E6746="!!!",F6746="NEW"),"",COUNTBLANK(OFFSET(A$1,,,SUMPRODUCT(MAX(ROW(E$2:E6746)*(E6746=E$2:E6746)))))-COUNTBLANK(OFFSET(A$1,,,SUMPRODUCT(MAX(ROW(E$1:E6745)*(E2=E$1:E6745))))))</f>
        <v> </v>
      </c>
      <c r="K6746" s="26" t="str">
        <f>IF(OR(E6746="",E6746="!!!",F6746="NEW"),"",INDEX(J$1:J6745,SUMPRODUCT(MAX(ROW(E$1:E6745)*(E6746=E$1:E6745)))))</f>
        <v> </v>
      </c>
      <c r="L6746" s="27"/>
    </row>
    <row r="6747" spans="1:12">
      <c r="A6747" s="20" t="s">
        <v>1002</v>
      </c>
      <c r="E6747" s="22">
        <f>IF(D6747="?OLD","!!!","")</f>
        <v/>
      </c>
      <c r="F6747" s="23" t="str">
        <f>IF(OR(E6747="",E6747="!!!"),"",IF(NOT(ISNA(VLOOKUP(E6747,E$1:E6746,1,FALSE()))),"OLD",IF(AND(E6747&lt;&gt;"",E6747&lt;&gt;"!!!"),"NEW","")))</f>
        <v> </v>
      </c>
      <c r="G6747" s="24" t="str">
        <f>IF(OR(E6747="",E6747="!!!"),"",IF(OR(J6747=0,AND(J6747=1,K6747=1),AND(J6747=1,I6747="SBJ"),AND(J6747=1,I6747=0)),"?IN_FOCUS",IF(J6747&lt;=2,"?ACTIVATED",IF(J6747&lt;&gt;"","?FAMILIAR",IF(F6747="NEW",IF(ISNA(VLOOKUP(E6747,#REF!,1,FALSE())),"?TYPE_IDENTIFIABLE","?REFERENTIAL"),"_")))))</f>
        <v> </v>
      </c>
      <c r="H6747" s="25" t="str">
        <f>IF(J6747&lt;&gt;1,"",IF(I6747="SBJ","CB","?"))</f>
        <v> </v>
      </c>
      <c r="I6747" s="26" t="str">
        <f>IF(OR(E6747="",E6747="!!!",F6747="NEW"),"",INDEX(B6746:B$2,-1+SUMPRODUCT(MAX(ROW(E6746:E$2)*(E6747=E6746:E$2)))))</f>
        <v> </v>
      </c>
      <c r="J6747" s="26" t="str">
        <f>IF(OR(E6747="",E6747="!!!",F6747="NEW"),"",COUNTBLANK(OFFSET(A$1,,,SUMPRODUCT(MAX(ROW(E$2:E6747)*(E6747=E$2:E6747)))))-COUNTBLANK(OFFSET(A$1,,,SUMPRODUCT(MAX(ROW(E$1:E6746)*(E2=E$1:E6746))))))</f>
        <v> </v>
      </c>
      <c r="K6747" s="26" t="str">
        <f>IF(OR(E6747="",E6747="!!!",F6747="NEW"),"",INDEX(J$1:J6746,SUMPRODUCT(MAX(ROW(E$1:E6746)*(E6747=E$1:E6746)))))</f>
        <v> </v>
      </c>
      <c r="L6747" s="27"/>
    </row>
    <row r="6748" spans="1:12">
      <c r="A6748" s="20" t="s">
        <v>2607</v>
      </c>
      <c r="E6748" s="22">
        <f>IF(D6748="?OLD","!!!","")</f>
        <v/>
      </c>
      <c r="F6748" s="23" t="str">
        <f>IF(OR(E6748="",E6748="!!!"),"",IF(NOT(ISNA(VLOOKUP(E6748,E$1:E6747,1,FALSE()))),"OLD",IF(AND(E6748&lt;&gt;"",E6748&lt;&gt;"!!!"),"NEW","")))</f>
        <v> </v>
      </c>
      <c r="G6748" s="24" t="str">
        <f>IF(OR(E6748="",E6748="!!!"),"",IF(OR(J6748=0,AND(J6748=1,K6748=1),AND(J6748=1,I6748="SBJ"),AND(J6748=1,I6748=0)),"?IN_FOCUS",IF(J6748&lt;=2,"?ACTIVATED",IF(J6748&lt;&gt;"","?FAMILIAR",IF(F6748="NEW",IF(ISNA(VLOOKUP(E6748,#REF!,1,FALSE())),"?TYPE_IDENTIFIABLE","?REFERENTIAL"),"_")))))</f>
        <v> </v>
      </c>
      <c r="H6748" s="25" t="str">
        <f>IF(J6748&lt;&gt;1,"",IF(I6748="SBJ","CB","?"))</f>
        <v> </v>
      </c>
      <c r="I6748" s="26" t="str">
        <f>IF(OR(E6748="",E6748="!!!",F6748="NEW"),"",INDEX(B6747:B$2,-1+SUMPRODUCT(MAX(ROW(E6747:E$2)*(E6748=E6747:E$2)))))</f>
        <v> </v>
      </c>
      <c r="J6748" s="26" t="str">
        <f>IF(OR(E6748="",E6748="!!!",F6748="NEW"),"",COUNTBLANK(OFFSET(A$1,,,SUMPRODUCT(MAX(ROW(E$2:E6748)*(E6748=E$2:E6748)))))-COUNTBLANK(OFFSET(A$1,,,SUMPRODUCT(MAX(ROW(E$1:E6747)*(E2=E$1:E6747))))))</f>
        <v> </v>
      </c>
      <c r="K6748" s="26" t="str">
        <f>IF(OR(E6748="",E6748="!!!",F6748="NEW"),"",INDEX(J$1:J6747,SUMPRODUCT(MAX(ROW(E$1:E6747)*(E6748=E$1:E6747)))))</f>
        <v> </v>
      </c>
      <c r="L6748" s="27"/>
    </row>
    <row r="6749" spans="1:12">
      <c r="A6749" s="20" t="s">
        <v>2399</v>
      </c>
      <c r="E6749" s="22">
        <f>IF(D6749="?OLD","!!!","")</f>
        <v/>
      </c>
      <c r="F6749" s="23" t="str">
        <f>IF(OR(E6749="",E6749="!!!"),"",IF(NOT(ISNA(VLOOKUP(E6749,E$1:E6748,1,FALSE()))),"OLD",IF(AND(E6749&lt;&gt;"",E6749&lt;&gt;"!!!"),"NEW","")))</f>
        <v> </v>
      </c>
      <c r="G6749" s="24" t="str">
        <f>IF(OR(E6749="",E6749="!!!"),"",IF(OR(J6749=0,AND(J6749=1,K6749=1),AND(J6749=1,I6749="SBJ"),AND(J6749=1,I6749=0)),"?IN_FOCUS",IF(J6749&lt;=2,"?ACTIVATED",IF(J6749&lt;&gt;"","?FAMILIAR",IF(F6749="NEW",IF(ISNA(VLOOKUP(E6749,#REF!,1,FALSE())),"?TYPE_IDENTIFIABLE","?REFERENTIAL"),"_")))))</f>
        <v> </v>
      </c>
      <c r="H6749" s="25" t="str">
        <f>IF(J6749&lt;&gt;1,"",IF(I6749="SBJ","CB","?"))</f>
        <v> </v>
      </c>
      <c r="I6749" s="26" t="str">
        <f>IF(OR(E6749="",E6749="!!!",F6749="NEW"),"",INDEX(B6748:B$2,-1+SUMPRODUCT(MAX(ROW(E6748:E$2)*(E6749=E6748:E$2)))))</f>
        <v> </v>
      </c>
      <c r="J6749" s="26" t="str">
        <f>IF(OR(E6749="",E6749="!!!",F6749="NEW"),"",COUNTBLANK(OFFSET(A$1,,,SUMPRODUCT(MAX(ROW(E$2:E6749)*(E6749=E$2:E6749)))))-COUNTBLANK(OFFSET(A$1,,,SUMPRODUCT(MAX(ROW(E$1:E6748)*(E2=E$1:E6748))))))</f>
        <v> </v>
      </c>
      <c r="K6749" s="26" t="str">
        <f>IF(OR(E6749="",E6749="!!!",F6749="NEW"),"",INDEX(J$1:J6748,SUMPRODUCT(MAX(ROW(E$1:E6748)*(E6749=E$1:E6748)))))</f>
        <v> </v>
      </c>
      <c r="L6749" s="27"/>
    </row>
    <row r="6750" spans="1:12">
      <c r="A6750" s="20" t="s">
        <v>1004</v>
      </c>
      <c r="E6750" s="22">
        <f>IF(D6750="?OLD","!!!","")</f>
        <v/>
      </c>
      <c r="F6750" s="23" t="str">
        <f>IF(OR(E6750="",E6750="!!!"),"",IF(NOT(ISNA(VLOOKUP(E6750,E$1:E6749,1,FALSE()))),"OLD",IF(AND(E6750&lt;&gt;"",E6750&lt;&gt;"!!!"),"NEW","")))</f>
        <v> </v>
      </c>
      <c r="G6750" s="24" t="str">
        <f>IF(OR(E6750="",E6750="!!!"),"",IF(OR(J6750=0,AND(J6750=1,K6750=1),AND(J6750=1,I6750="SBJ"),AND(J6750=1,I6750=0)),"?IN_FOCUS",IF(J6750&lt;=2,"?ACTIVATED",IF(J6750&lt;&gt;"","?FAMILIAR",IF(F6750="NEW",IF(ISNA(VLOOKUP(E6750,#REF!,1,FALSE())),"?TYPE_IDENTIFIABLE","?REFERENTIAL"),"_")))))</f>
        <v> </v>
      </c>
      <c r="H6750" s="25" t="str">
        <f>IF(J6750&lt;&gt;1,"",IF(I6750="SBJ","CB","?"))</f>
        <v> </v>
      </c>
      <c r="I6750" s="26" t="str">
        <f>IF(OR(E6750="",E6750="!!!",F6750="NEW"),"",INDEX(B6749:B$2,-1+SUMPRODUCT(MAX(ROW(E6749:E$2)*(E6750=E6749:E$2)))))</f>
        <v> </v>
      </c>
      <c r="J6750" s="26" t="str">
        <f>IF(OR(E6750="",E6750="!!!",F6750="NEW"),"",COUNTBLANK(OFFSET(A$1,,,SUMPRODUCT(MAX(ROW(E$2:E6750)*(E6750=E$2:E6750)))))-COUNTBLANK(OFFSET(A$1,,,SUMPRODUCT(MAX(ROW(E$1:E6749)*(E2=E$1:E6749))))))</f>
        <v> </v>
      </c>
      <c r="K6750" s="26" t="str">
        <f>IF(OR(E6750="",E6750="!!!",F6750="NEW"),"",INDEX(J$1:J6749,SUMPRODUCT(MAX(ROW(E$1:E6749)*(E6750=E$1:E6749)))))</f>
        <v> </v>
      </c>
      <c r="L6750" s="27"/>
    </row>
    <row r="6751" spans="1:12">
      <c r="A6751" s="20" t="s">
        <v>1074</v>
      </c>
      <c r="E6751" s="22">
        <f>IF(D6751="?OLD","!!!","")</f>
        <v/>
      </c>
      <c r="F6751" s="23" t="str">
        <f>IF(OR(E6751="",E6751="!!!"),"",IF(NOT(ISNA(VLOOKUP(E6751,E$1:E6750,1,FALSE()))),"OLD",IF(AND(E6751&lt;&gt;"",E6751&lt;&gt;"!!!"),"NEW","")))</f>
        <v> </v>
      </c>
      <c r="G6751" s="24" t="str">
        <f>IF(OR(E6751="",E6751="!!!"),"",IF(OR(J6751=0,AND(J6751=1,K6751=1),AND(J6751=1,I6751="SBJ"),AND(J6751=1,I6751=0)),"?IN_FOCUS",IF(J6751&lt;=2,"?ACTIVATED",IF(J6751&lt;&gt;"","?FAMILIAR",IF(F6751="NEW",IF(ISNA(VLOOKUP(E6751,#REF!,1,FALSE())),"?TYPE_IDENTIFIABLE","?REFERENTIAL"),"_")))))</f>
        <v> </v>
      </c>
      <c r="H6751" s="25" t="str">
        <f>IF(J6751&lt;&gt;1,"",IF(I6751="SBJ","CB","?"))</f>
        <v> </v>
      </c>
      <c r="I6751" s="26" t="str">
        <f>IF(OR(E6751="",E6751="!!!",F6751="NEW"),"",INDEX(B6750:B$2,-1+SUMPRODUCT(MAX(ROW(E6750:E$2)*(E6751=E6750:E$2)))))</f>
        <v> </v>
      </c>
      <c r="J6751" s="26" t="str">
        <f>IF(OR(E6751="",E6751="!!!",F6751="NEW"),"",COUNTBLANK(OFFSET(A$1,,,SUMPRODUCT(MAX(ROW(E$2:E6751)*(E6751=E$2:E6751)))))-COUNTBLANK(OFFSET(A$1,,,SUMPRODUCT(MAX(ROW(E$1:E6750)*(E2=E$1:E6750))))))</f>
        <v> </v>
      </c>
      <c r="K6751" s="26" t="str">
        <f>IF(OR(E6751="",E6751="!!!",F6751="NEW"),"",INDEX(J$1:J6750,SUMPRODUCT(MAX(ROW(E$1:E6750)*(E6751=E$1:E6750)))))</f>
        <v> </v>
      </c>
      <c r="L6751" s="27"/>
    </row>
    <row r="6752" spans="1:12">
      <c r="A6752" s="20" t="s">
        <v>2609</v>
      </c>
      <c r="B6752" s="21" t="s">
        <v>1052</v>
      </c>
      <c r="C6752" s="21" t="s">
        <v>995</v>
      </c>
      <c r="D6752" s="21" t="s">
        <v>978</v>
      </c>
      <c r="E6752" s="22">
        <f>IF(D6752="?OLD","!!!","")</f>
        <v/>
      </c>
      <c r="F6752" s="23" t="str">
        <f>IF(OR(E6752="",E6752="!!!"),"",IF(NOT(ISNA(VLOOKUP(E6752,E$1:E6751,1,FALSE()))),"OLD",IF(AND(E6752&lt;&gt;"",E6752&lt;&gt;"!!!"),"NEW","")))</f>
        <v> </v>
      </c>
      <c r="G6752" s="24" t="str">
        <f>IF(OR(E6752="",E6752="!!!"),"",IF(OR(J6752=0,AND(J6752=1,K6752=1),AND(J6752=1,I6752="SBJ"),AND(J6752=1,I6752=0)),"?IN_FOCUS",IF(J6752&lt;=2,"?ACTIVATED",IF(J6752&lt;&gt;"","?FAMILIAR",IF(F6752="NEW",IF(ISNA(VLOOKUP(E6752,#REF!,1,FALSE())),"?TYPE_IDENTIFIABLE","?REFERENTIAL"),"_")))))</f>
        <v> </v>
      </c>
      <c r="H6752" s="25" t="str">
        <f>IF(J6752&lt;&gt;1,"",IF(I6752="SBJ","CB","?"))</f>
        <v> </v>
      </c>
      <c r="I6752" s="26" t="str">
        <f>IF(OR(E6752="",E6752="!!!",F6752="NEW"),"",INDEX(B6751:B$2,-1+SUMPRODUCT(MAX(ROW(E6751:E$2)*(E6752=E6751:E$2)))))</f>
        <v> </v>
      </c>
      <c r="J6752" s="26" t="str">
        <f>IF(OR(E6752="",E6752="!!!",F6752="NEW"),"",COUNTBLANK(OFFSET(A$1,,,SUMPRODUCT(MAX(ROW(E$2:E6752)*(E6752=E$2:E6752)))))-COUNTBLANK(OFFSET(A$1,,,SUMPRODUCT(MAX(ROW(E$1:E6751)*(E2=E$1:E6751))))))</f>
        <v> </v>
      </c>
      <c r="K6752" s="26" t="str">
        <f>IF(OR(E6752="",E6752="!!!",F6752="NEW"),"",INDEX(J$1:J6751,SUMPRODUCT(MAX(ROW(E$1:E6751)*(E6752=E$1:E6751)))))</f>
        <v> </v>
      </c>
      <c r="L6752" s="27"/>
    </row>
    <row r="6753" spans="1:12">
      <c r="A6753" s="20" t="s">
        <v>996</v>
      </c>
      <c r="E6753" s="22">
        <f>IF(D6753="?OLD","!!!","")</f>
        <v/>
      </c>
      <c r="F6753" s="23" t="str">
        <f>IF(OR(E6753="",E6753="!!!"),"",IF(NOT(ISNA(VLOOKUP(E6753,E$1:E6752,1,FALSE()))),"OLD",IF(AND(E6753&lt;&gt;"",E6753&lt;&gt;"!!!"),"NEW","")))</f>
        <v> </v>
      </c>
      <c r="G6753" s="24" t="str">
        <f>IF(OR(E6753="",E6753="!!!"),"",IF(OR(J6753=0,AND(J6753=1,K6753=1),AND(J6753=1,I6753="SBJ"),AND(J6753=1,I6753=0)),"?IN_FOCUS",IF(J6753&lt;=2,"?ACTIVATED",IF(J6753&lt;&gt;"","?FAMILIAR",IF(F6753="NEW",IF(ISNA(VLOOKUP(E6753,#REF!,1,FALSE())),"?TYPE_IDENTIFIABLE","?REFERENTIAL"),"_")))))</f>
        <v> </v>
      </c>
      <c r="H6753" s="25" t="str">
        <f>IF(J6753&lt;&gt;1,"",IF(I6753="SBJ","CB","?"))</f>
        <v> </v>
      </c>
      <c r="I6753" s="26" t="str">
        <f>IF(OR(E6753="",E6753="!!!",F6753="NEW"),"",INDEX(B6752:B$2,-1+SUMPRODUCT(MAX(ROW(E6752:E$2)*(E6753=E6752:E$2)))))</f>
        <v> </v>
      </c>
      <c r="J6753" s="26" t="str">
        <f>IF(OR(E6753="",E6753="!!!",F6753="NEW"),"",COUNTBLANK(OFFSET(A$1,,,SUMPRODUCT(MAX(ROW(E$2:E6753)*(E6753=E$2:E6753)))))-COUNTBLANK(OFFSET(A$1,,,SUMPRODUCT(MAX(ROW(E$1:E6752)*(E2=E$1:E6752))))))</f>
        <v> </v>
      </c>
      <c r="K6753" s="26" t="str">
        <f>IF(OR(E6753="",E6753="!!!",F6753="NEW"),"",INDEX(J$1:J6752,SUMPRODUCT(MAX(ROW(E$1:E6752)*(E6753=E$1:E6752)))))</f>
        <v> </v>
      </c>
      <c r="L6753" s="27"/>
    </row>
    <row r="6754" spans="1:12">
      <c r="A6754" s="20" t="s">
        <v>1092</v>
      </c>
      <c r="E6754" s="22">
        <f>IF(D6754="?OLD","!!!","")</f>
        <v/>
      </c>
      <c r="F6754" s="23" t="str">
        <f>IF(OR(E6754="",E6754="!!!"),"",IF(NOT(ISNA(VLOOKUP(E6754,E$1:E6753,1,FALSE()))),"OLD",IF(AND(E6754&lt;&gt;"",E6754&lt;&gt;"!!!"),"NEW","")))</f>
        <v> </v>
      </c>
      <c r="G6754" s="24" t="str">
        <f>IF(OR(E6754="",E6754="!!!"),"",IF(OR(J6754=0,AND(J6754=1,K6754=1),AND(J6754=1,I6754="SBJ"),AND(J6754=1,I6754=0)),"?IN_FOCUS",IF(J6754&lt;=2,"?ACTIVATED",IF(J6754&lt;&gt;"","?FAMILIAR",IF(F6754="NEW",IF(ISNA(VLOOKUP(E6754,#REF!,1,FALSE())),"?TYPE_IDENTIFIABLE","?REFERENTIAL"),"_")))))</f>
        <v> </v>
      </c>
      <c r="H6754" s="25" t="str">
        <f>IF(J6754&lt;&gt;1,"",IF(I6754="SBJ","CB","?"))</f>
        <v> </v>
      </c>
      <c r="I6754" s="26" t="str">
        <f>IF(OR(E6754="",E6754="!!!",F6754="NEW"),"",INDEX(B6753:B$2,-1+SUMPRODUCT(MAX(ROW(E6753:E$2)*(E6754=E6753:E$2)))))</f>
        <v> </v>
      </c>
      <c r="J6754" s="26" t="str">
        <f>IF(OR(E6754="",E6754="!!!",F6754="NEW"),"",COUNTBLANK(OFFSET(A$1,,,SUMPRODUCT(MAX(ROW(E$2:E6754)*(E6754=E$2:E6754)))))-COUNTBLANK(OFFSET(A$1,,,SUMPRODUCT(MAX(ROW(E$1:E6753)*(E2=E$1:E6753))))))</f>
        <v> </v>
      </c>
      <c r="K6754" s="26" t="str">
        <f>IF(OR(E6754="",E6754="!!!",F6754="NEW"),"",INDEX(J$1:J6753,SUMPRODUCT(MAX(ROW(E$1:E6753)*(E6754=E$1:E6753)))))</f>
        <v> </v>
      </c>
      <c r="L6754" s="27"/>
    </row>
    <row r="6755" spans="1:12">
      <c r="A6755" s="20" t="s">
        <v>1015</v>
      </c>
      <c r="B6755" s="21" t="s">
        <v>1054</v>
      </c>
      <c r="C6755" s="21" t="s">
        <v>995</v>
      </c>
      <c r="D6755" s="21" t="s">
        <v>978</v>
      </c>
      <c r="E6755" s="22">
        <f>IF(D6755="?OLD","!!!","")</f>
        <v/>
      </c>
      <c r="F6755" s="23" t="str">
        <f>IF(OR(E6755="",E6755="!!!"),"",IF(NOT(ISNA(VLOOKUP(E6755,E$1:E6754,1,FALSE()))),"OLD",IF(AND(E6755&lt;&gt;"",E6755&lt;&gt;"!!!"),"NEW","")))</f>
        <v> </v>
      </c>
      <c r="G6755" s="24" t="str">
        <f>IF(OR(E6755="",E6755="!!!"),"",IF(OR(J6755=0,AND(J6755=1,K6755=1),AND(J6755=1,I6755="SBJ"),AND(J6755=1,I6755=0)),"?IN_FOCUS",IF(J6755&lt;=2,"?ACTIVATED",IF(J6755&lt;&gt;"","?FAMILIAR",IF(F6755="NEW",IF(ISNA(VLOOKUP(E6755,#REF!,1,FALSE())),"?TYPE_IDENTIFIABLE","?REFERENTIAL"),"_")))))</f>
        <v> </v>
      </c>
      <c r="H6755" s="25" t="str">
        <f>IF(J6755&lt;&gt;1,"",IF(I6755="SBJ","CB","?"))</f>
        <v> </v>
      </c>
      <c r="I6755" s="26" t="str">
        <f>IF(OR(E6755="",E6755="!!!",F6755="NEW"),"",INDEX(B6754:B$2,-1+SUMPRODUCT(MAX(ROW(E6754:E$2)*(E6755=E6754:E$2)))))</f>
        <v> </v>
      </c>
      <c r="J6755" s="26" t="str">
        <f>IF(OR(E6755="",E6755="!!!",F6755="NEW"),"",COUNTBLANK(OFFSET(A$1,,,SUMPRODUCT(MAX(ROW(E$2:E6755)*(E6755=E$2:E6755)))))-COUNTBLANK(OFFSET(A$1,,,SUMPRODUCT(MAX(ROW(E$1:E6754)*(E2=E$1:E6754))))))</f>
        <v> </v>
      </c>
      <c r="K6755" s="26" t="str">
        <f>IF(OR(E6755="",E6755="!!!",F6755="NEW"),"",INDEX(J$1:J6754,SUMPRODUCT(MAX(ROW(E$1:E6754)*(E6755=E$1:E6754)))))</f>
        <v> </v>
      </c>
      <c r="L6755" s="27"/>
    </row>
    <row r="6756" spans="1:12">
      <c r="A6756" s="20" t="s">
        <v>996</v>
      </c>
      <c r="E6756" s="22">
        <f>IF(D6756="?OLD","!!!","")</f>
        <v/>
      </c>
      <c r="F6756" s="23" t="str">
        <f>IF(OR(E6756="",E6756="!!!"),"",IF(NOT(ISNA(VLOOKUP(E6756,E$1:E6755,1,FALSE()))),"OLD",IF(AND(E6756&lt;&gt;"",E6756&lt;&gt;"!!!"),"NEW","")))</f>
        <v> </v>
      </c>
      <c r="G6756" s="24" t="str">
        <f>IF(OR(E6756="",E6756="!!!"),"",IF(OR(J6756=0,AND(J6756=1,K6756=1),AND(J6756=1,I6756="SBJ"),AND(J6756=1,I6756=0)),"?IN_FOCUS",IF(J6756&lt;=2,"?ACTIVATED",IF(J6756&lt;&gt;"","?FAMILIAR",IF(F6756="NEW",IF(ISNA(VLOOKUP(E6756,#REF!,1,FALSE())),"?TYPE_IDENTIFIABLE","?REFERENTIAL"),"_")))))</f>
        <v> </v>
      </c>
      <c r="H6756" s="25" t="str">
        <f>IF(J6756&lt;&gt;1,"",IF(I6756="SBJ","CB","?"))</f>
        <v> </v>
      </c>
      <c r="I6756" s="26" t="str">
        <f>IF(OR(E6756="",E6756="!!!",F6756="NEW"),"",INDEX(B6755:B$2,-1+SUMPRODUCT(MAX(ROW(E6755:E$2)*(E6756=E6755:E$2)))))</f>
        <v> </v>
      </c>
      <c r="J6756" s="26" t="str">
        <f>IF(OR(E6756="",E6756="!!!",F6756="NEW"),"",COUNTBLANK(OFFSET(A$1,,,SUMPRODUCT(MAX(ROW(E$2:E6756)*(E6756=E$2:E6756)))))-COUNTBLANK(OFFSET(A$1,,,SUMPRODUCT(MAX(ROW(E$1:E6755)*(E2=E$1:E6755))))))</f>
        <v> </v>
      </c>
      <c r="K6756" s="26" t="str">
        <f>IF(OR(E6756="",E6756="!!!",F6756="NEW"),"",INDEX(J$1:J6755,SUMPRODUCT(MAX(ROW(E$1:E6755)*(E6756=E$1:E6755)))))</f>
        <v> </v>
      </c>
      <c r="L6756" s="27"/>
    </row>
    <row r="6757" spans="1:12">
      <c r="A6757" s="20" t="s">
        <v>997</v>
      </c>
      <c r="E6757" s="22">
        <f>IF(D6757="?OLD","!!!","")</f>
        <v/>
      </c>
      <c r="F6757" s="23" t="str">
        <f>IF(OR(E6757="",E6757="!!!"),"",IF(NOT(ISNA(VLOOKUP(E6757,E$1:E6756,1,FALSE()))),"OLD",IF(AND(E6757&lt;&gt;"",E6757&lt;&gt;"!!!"),"NEW","")))</f>
        <v> </v>
      </c>
      <c r="G6757" s="24" t="str">
        <f>IF(OR(E6757="",E6757="!!!"),"",IF(OR(J6757=0,AND(J6757=1,K6757=1),AND(J6757=1,I6757="SBJ"),AND(J6757=1,I6757=0)),"?IN_FOCUS",IF(J6757&lt;=2,"?ACTIVATED",IF(J6757&lt;&gt;"","?FAMILIAR",IF(F6757="NEW",IF(ISNA(VLOOKUP(E6757,#REF!,1,FALSE())),"?TYPE_IDENTIFIABLE","?REFERENTIAL"),"_")))))</f>
        <v> </v>
      </c>
      <c r="H6757" s="25" t="str">
        <f>IF(J6757&lt;&gt;1,"",IF(I6757="SBJ","CB","?"))</f>
        <v> </v>
      </c>
      <c r="I6757" s="26" t="str">
        <f>IF(OR(E6757="",E6757="!!!",F6757="NEW"),"",INDEX(B6756:B$2,-1+SUMPRODUCT(MAX(ROW(E6756:E$2)*(E6757=E6756:E$2)))))</f>
        <v> </v>
      </c>
      <c r="J6757" s="26" t="str">
        <f>IF(OR(E6757="",E6757="!!!",F6757="NEW"),"",COUNTBLANK(OFFSET(A$1,,,SUMPRODUCT(MAX(ROW(E$2:E6757)*(E6757=E$2:E6757)))))-COUNTBLANK(OFFSET(A$1,,,SUMPRODUCT(MAX(ROW(E$1:E6756)*(E2=E$1:E6756))))))</f>
        <v> </v>
      </c>
      <c r="K6757" s="26" t="str">
        <f>IF(OR(E6757="",E6757="!!!",F6757="NEW"),"",INDEX(J$1:J6756,SUMPRODUCT(MAX(ROW(E$1:E6756)*(E6757=E$1:E6756)))))</f>
        <v> </v>
      </c>
      <c r="L6757" s="27"/>
    </row>
    <row r="6758" spans="1:12">
      <c r="A6758" s="20" t="s">
        <v>1199</v>
      </c>
      <c r="B6758" s="21" t="s">
        <v>1007</v>
      </c>
      <c r="C6758" s="21" t="s">
        <v>995</v>
      </c>
      <c r="D6758" s="21" t="s">
        <v>978</v>
      </c>
      <c r="E6758" s="22">
        <f>IF(D6758="?OLD","!!!","")</f>
        <v/>
      </c>
      <c r="F6758" s="23" t="str">
        <f>IF(OR(E6758="",E6758="!!!"),"",IF(NOT(ISNA(VLOOKUP(E6758,E$1:E6757,1,FALSE()))),"OLD",IF(AND(E6758&lt;&gt;"",E6758&lt;&gt;"!!!"),"NEW","")))</f>
        <v> </v>
      </c>
      <c r="G6758" s="24" t="str">
        <f>IF(OR(E6758="",E6758="!!!"),"",IF(OR(J6758=0,AND(J6758=1,K6758=1),AND(J6758=1,I6758="SBJ"),AND(J6758=1,I6758=0)),"?IN_FOCUS",IF(J6758&lt;=2,"?ACTIVATED",IF(J6758&lt;&gt;"","?FAMILIAR",IF(F6758="NEW",IF(ISNA(VLOOKUP(E6758,#REF!,1,FALSE())),"?TYPE_IDENTIFIABLE","?REFERENTIAL"),"_")))))</f>
        <v> </v>
      </c>
      <c r="H6758" s="25" t="str">
        <f>IF(J6758&lt;&gt;1,"",IF(I6758="SBJ","CB","?"))</f>
        <v> </v>
      </c>
      <c r="I6758" s="26" t="str">
        <f>IF(OR(E6758="",E6758="!!!",F6758="NEW"),"",INDEX(B6757:B$2,-1+SUMPRODUCT(MAX(ROW(E6757:E$2)*(E6758=E6757:E$2)))))</f>
        <v> </v>
      </c>
      <c r="J6758" s="26" t="str">
        <f>IF(OR(E6758="",E6758="!!!",F6758="NEW"),"",COUNTBLANK(OFFSET(A$1,,,SUMPRODUCT(MAX(ROW(E$2:E6758)*(E6758=E$2:E6758)))))-COUNTBLANK(OFFSET(A$1,,,SUMPRODUCT(MAX(ROW(E$1:E6757)*(E2=E$1:E6757))))))</f>
        <v> </v>
      </c>
      <c r="K6758" s="26" t="str">
        <f>IF(OR(E6758="",E6758="!!!",F6758="NEW"),"",INDEX(J$1:J6757,SUMPRODUCT(MAX(ROW(E$1:E6757)*(E6758=E$1:E6757)))))</f>
        <v> </v>
      </c>
      <c r="L6758" s="27"/>
    </row>
    <row r="6759" spans="1:12">
      <c r="A6759" s="20" t="s">
        <v>1002</v>
      </c>
      <c r="E6759" s="22">
        <f>IF(D6759="?OLD","!!!","")</f>
        <v/>
      </c>
      <c r="F6759" s="23" t="str">
        <f>IF(OR(E6759="",E6759="!!!"),"",IF(NOT(ISNA(VLOOKUP(E6759,E$1:E6758,1,FALSE()))),"OLD",IF(AND(E6759&lt;&gt;"",E6759&lt;&gt;"!!!"),"NEW","")))</f>
        <v> </v>
      </c>
      <c r="G6759" s="24" t="str">
        <f>IF(OR(E6759="",E6759="!!!"),"",IF(OR(J6759=0,AND(J6759=1,K6759=1),AND(J6759=1,I6759="SBJ"),AND(J6759=1,I6759=0)),"?IN_FOCUS",IF(J6759&lt;=2,"?ACTIVATED",IF(J6759&lt;&gt;"","?FAMILIAR",IF(F6759="NEW",IF(ISNA(VLOOKUP(E6759,#REF!,1,FALSE())),"?TYPE_IDENTIFIABLE","?REFERENTIAL"),"_")))))</f>
        <v> </v>
      </c>
      <c r="H6759" s="25" t="str">
        <f>IF(J6759&lt;&gt;1,"",IF(I6759="SBJ","CB","?"))</f>
        <v> </v>
      </c>
      <c r="I6759" s="26" t="str">
        <f>IF(OR(E6759="",E6759="!!!",F6759="NEW"),"",INDEX(B6758:B$2,-1+SUMPRODUCT(MAX(ROW(E6758:E$2)*(E6759=E6758:E$2)))))</f>
        <v> </v>
      </c>
      <c r="J6759" s="26" t="str">
        <f>IF(OR(E6759="",E6759="!!!",F6759="NEW"),"",COUNTBLANK(OFFSET(A$1,,,SUMPRODUCT(MAX(ROW(E$2:E6759)*(E6759=E$2:E6759)))))-COUNTBLANK(OFFSET(A$1,,,SUMPRODUCT(MAX(ROW(E$1:E6758)*(E2=E$1:E6758))))))</f>
        <v> </v>
      </c>
      <c r="K6759" s="26" t="str">
        <f>IF(OR(E6759="",E6759="!!!",F6759="NEW"),"",INDEX(J$1:J6758,SUMPRODUCT(MAX(ROW(E$1:E6758)*(E6759=E$1:E6758)))))</f>
        <v> </v>
      </c>
      <c r="L6759" s="27"/>
    </row>
    <row r="6760" spans="1:12">
      <c r="A6760" s="20" t="s">
        <v>1081</v>
      </c>
      <c r="E6760" s="22">
        <f>IF(D6760="?OLD","!!!","")</f>
        <v/>
      </c>
      <c r="F6760" s="23" t="str">
        <f>IF(OR(E6760="",E6760="!!!"),"",IF(NOT(ISNA(VLOOKUP(E6760,E$1:E6759,1,FALSE()))),"OLD",IF(AND(E6760&lt;&gt;"",E6760&lt;&gt;"!!!"),"NEW","")))</f>
        <v> </v>
      </c>
      <c r="G6760" s="24" t="str">
        <f>IF(OR(E6760="",E6760="!!!"),"",IF(OR(J6760=0,AND(J6760=1,K6760=1),AND(J6760=1,I6760="SBJ"),AND(J6760=1,I6760=0)),"?IN_FOCUS",IF(J6760&lt;=2,"?ACTIVATED",IF(J6760&lt;&gt;"","?FAMILIAR",IF(F6760="NEW",IF(ISNA(VLOOKUP(E6760,#REF!,1,FALSE())),"?TYPE_IDENTIFIABLE","?REFERENTIAL"),"_")))))</f>
        <v> </v>
      </c>
      <c r="H6760" s="25" t="str">
        <f>IF(J6760&lt;&gt;1,"",IF(I6760="SBJ","CB","?"))</f>
        <v> </v>
      </c>
      <c r="I6760" s="26" t="str">
        <f>IF(OR(E6760="",E6760="!!!",F6760="NEW"),"",INDEX(B6759:B$2,-1+SUMPRODUCT(MAX(ROW(E6759:E$2)*(E6760=E6759:E$2)))))</f>
        <v> </v>
      </c>
      <c r="J6760" s="26" t="str">
        <f>IF(OR(E6760="",E6760="!!!",F6760="NEW"),"",COUNTBLANK(OFFSET(A$1,,,SUMPRODUCT(MAX(ROW(E$2:E6760)*(E6760=E$2:E6760)))))-COUNTBLANK(OFFSET(A$1,,,SUMPRODUCT(MAX(ROW(E$1:E6759)*(E2=E$1:E6759))))))</f>
        <v> </v>
      </c>
      <c r="K6760" s="26" t="str">
        <f>IF(OR(E6760="",E6760="!!!",F6760="NEW"),"",INDEX(J$1:J6759,SUMPRODUCT(MAX(ROW(E$1:E6759)*(E6760=E$1:E6759)))))</f>
        <v> </v>
      </c>
      <c r="L6760" s="27"/>
    </row>
    <row r="6761" spans="1:12">
      <c r="A6761" s="20" t="s">
        <v>2610</v>
      </c>
      <c r="E6761" s="22">
        <f>IF(D6761="?OLD","!!!","")</f>
        <v/>
      </c>
      <c r="F6761" s="23" t="str">
        <f>IF(OR(E6761="",E6761="!!!"),"",IF(NOT(ISNA(VLOOKUP(E6761,E$1:E6760,1,FALSE()))),"OLD",IF(AND(E6761&lt;&gt;"",E6761&lt;&gt;"!!!"),"NEW","")))</f>
        <v> </v>
      </c>
      <c r="G6761" s="24" t="str">
        <f>IF(OR(E6761="",E6761="!!!"),"",IF(OR(J6761=0,AND(J6761=1,K6761=1),AND(J6761=1,I6761="SBJ"),AND(J6761=1,I6761=0)),"?IN_FOCUS",IF(J6761&lt;=2,"?ACTIVATED",IF(J6761&lt;&gt;"","?FAMILIAR",IF(F6761="NEW",IF(ISNA(VLOOKUP(E6761,#REF!,1,FALSE())),"?TYPE_IDENTIFIABLE","?REFERENTIAL"),"_")))))</f>
        <v> </v>
      </c>
      <c r="H6761" s="25" t="str">
        <f>IF(J6761&lt;&gt;1,"",IF(I6761="SBJ","CB","?"))</f>
        <v> </v>
      </c>
      <c r="I6761" s="26" t="str">
        <f>IF(OR(E6761="",E6761="!!!",F6761="NEW"),"",INDEX(B6760:B$2,-1+SUMPRODUCT(MAX(ROW(E6760:E$2)*(E6761=E6760:E$2)))))</f>
        <v> </v>
      </c>
      <c r="J6761" s="26" t="str">
        <f>IF(OR(E6761="",E6761="!!!",F6761="NEW"),"",COUNTBLANK(OFFSET(A$1,,,SUMPRODUCT(MAX(ROW(E$2:E6761)*(E6761=E$2:E6761)))))-COUNTBLANK(OFFSET(A$1,,,SUMPRODUCT(MAX(ROW(E$1:E6760)*(E2=E$1:E6760))))))</f>
        <v> </v>
      </c>
      <c r="K6761" s="26" t="str">
        <f>IF(OR(E6761="",E6761="!!!",F6761="NEW"),"",INDEX(J$1:J6760,SUMPRODUCT(MAX(ROW(E$1:E6760)*(E6761=E$1:E6760)))))</f>
        <v> </v>
      </c>
      <c r="L6761" s="27"/>
    </row>
    <row r="6762" spans="1:12">
      <c r="A6762" s="20" t="s">
        <v>1004</v>
      </c>
      <c r="E6762" s="22">
        <f>IF(D6762="?OLD","!!!","")</f>
        <v/>
      </c>
      <c r="F6762" s="23" t="str">
        <f>IF(OR(E6762="",E6762="!!!"),"",IF(NOT(ISNA(VLOOKUP(E6762,E$1:E6761,1,FALSE()))),"OLD",IF(AND(E6762&lt;&gt;"",E6762&lt;&gt;"!!!"),"NEW","")))</f>
        <v> </v>
      </c>
      <c r="G6762" s="24" t="str">
        <f>IF(OR(E6762="",E6762="!!!"),"",IF(OR(J6762=0,AND(J6762=1,K6762=1),AND(J6762=1,I6762="SBJ"),AND(J6762=1,I6762=0)),"?IN_FOCUS",IF(J6762&lt;=2,"?ACTIVATED",IF(J6762&lt;&gt;"","?FAMILIAR",IF(F6762="NEW",IF(ISNA(VLOOKUP(E6762,#REF!,1,FALSE())),"?TYPE_IDENTIFIABLE","?REFERENTIAL"),"_")))))</f>
        <v> </v>
      </c>
      <c r="H6762" s="25" t="str">
        <f>IF(J6762&lt;&gt;1,"",IF(I6762="SBJ","CB","?"))</f>
        <v> </v>
      </c>
      <c r="I6762" s="26" t="str">
        <f>IF(OR(E6762="",E6762="!!!",F6762="NEW"),"",INDEX(B6761:B$2,-1+SUMPRODUCT(MAX(ROW(E6761:E$2)*(E6762=E6761:E$2)))))</f>
        <v> </v>
      </c>
      <c r="J6762" s="26" t="str">
        <f>IF(OR(E6762="",E6762="!!!",F6762="NEW"),"",COUNTBLANK(OFFSET(A$1,,,SUMPRODUCT(MAX(ROW(E$2:E6762)*(E6762=E$2:E6762)))))-COUNTBLANK(OFFSET(A$1,,,SUMPRODUCT(MAX(ROW(E$1:E6761)*(E2=E$1:E6761))))))</f>
        <v> </v>
      </c>
      <c r="K6762" s="26" t="str">
        <f>IF(OR(E6762="",E6762="!!!",F6762="NEW"),"",INDEX(J$1:J6761,SUMPRODUCT(MAX(ROW(E$1:E6761)*(E6762=E$1:E6761)))))</f>
        <v> </v>
      </c>
      <c r="L6762" s="27"/>
    </row>
    <row r="6763" spans="1:12">
      <c r="A6763" s="20" t="s">
        <v>993</v>
      </c>
      <c r="E6763" s="22">
        <f>IF(D6763="?OLD","!!!","")</f>
        <v/>
      </c>
      <c r="F6763" s="23" t="str">
        <f>IF(OR(E6763="",E6763="!!!"),"",IF(NOT(ISNA(VLOOKUP(E6763,E$1:E6762,1,FALSE()))),"OLD",IF(AND(E6763&lt;&gt;"",E6763&lt;&gt;"!!!"),"NEW","")))</f>
        <v> </v>
      </c>
      <c r="G6763" s="24" t="str">
        <f>IF(OR(E6763="",E6763="!!!"),"",IF(OR(J6763=0,AND(J6763=1,K6763=1),AND(J6763=1,I6763="SBJ"),AND(J6763=1,I6763=0)),"?IN_FOCUS",IF(J6763&lt;=2,"?ACTIVATED",IF(J6763&lt;&gt;"","?FAMILIAR",IF(F6763="NEW",IF(ISNA(VLOOKUP(E6763,#REF!,1,FALSE())),"?TYPE_IDENTIFIABLE","?REFERENTIAL"),"_")))))</f>
        <v> </v>
      </c>
      <c r="H6763" s="25" t="str">
        <f>IF(J6763&lt;&gt;1,"",IF(I6763="SBJ","CB","?"))</f>
        <v> </v>
      </c>
      <c r="I6763" s="26" t="str">
        <f>IF(OR(E6763="",E6763="!!!",F6763="NEW"),"",INDEX(B6762:B$2,-1+SUMPRODUCT(MAX(ROW(E6762:E$2)*(E6763=E6762:E$2)))))</f>
        <v> </v>
      </c>
      <c r="J6763" s="26" t="str">
        <f>IF(OR(E6763="",E6763="!!!",F6763="NEW"),"",COUNTBLANK(OFFSET(A$1,,,SUMPRODUCT(MAX(ROW(E$2:E6763)*(E6763=E$2:E6763)))))-COUNTBLANK(OFFSET(A$1,,,SUMPRODUCT(MAX(ROW(E$1:E6762)*(E2=E$1:E6762))))))</f>
        <v> </v>
      </c>
      <c r="K6763" s="26" t="str">
        <f>IF(OR(E6763="",E6763="!!!",F6763="NEW"),"",INDEX(J$1:J6762,SUMPRODUCT(MAX(ROW(E$1:E6762)*(E6763=E$1:E6762)))))</f>
        <v> </v>
      </c>
      <c r="L6763" s="27"/>
    </row>
    <row r="6764" spans="1:12">
      <c r="A6764" s="20" t="s">
        <v>1568</v>
      </c>
      <c r="B6764" s="21" t="s">
        <v>1007</v>
      </c>
      <c r="C6764" s="21" t="s">
        <v>995</v>
      </c>
      <c r="D6764" s="21" t="s">
        <v>978</v>
      </c>
      <c r="E6764" s="22">
        <f>IF(D6764="?OLD","!!!","")</f>
        <v/>
      </c>
      <c r="F6764" s="23" t="str">
        <f>IF(OR(E6764="",E6764="!!!"),"",IF(NOT(ISNA(VLOOKUP(E6764,E$1:E6763,1,FALSE()))),"OLD",IF(AND(E6764&lt;&gt;"",E6764&lt;&gt;"!!!"),"NEW","")))</f>
        <v> </v>
      </c>
      <c r="G6764" s="24" t="str">
        <f>IF(OR(E6764="",E6764="!!!"),"",IF(OR(J6764=0,AND(J6764=1,K6764=1),AND(J6764=1,I6764="SBJ"),AND(J6764=1,I6764=0)),"?IN_FOCUS",IF(J6764&lt;=2,"?ACTIVATED",IF(J6764&lt;&gt;"","?FAMILIAR",IF(F6764="NEW",IF(ISNA(VLOOKUP(E6764,#REF!,1,FALSE())),"?TYPE_IDENTIFIABLE","?REFERENTIAL"),"_")))))</f>
        <v> </v>
      </c>
      <c r="H6764" s="25" t="str">
        <f>IF(J6764&lt;&gt;1,"",IF(I6764="SBJ","CB","?"))</f>
        <v> </v>
      </c>
      <c r="I6764" s="26" t="str">
        <f>IF(OR(E6764="",E6764="!!!",F6764="NEW"),"",INDEX(B6763:B$2,-1+SUMPRODUCT(MAX(ROW(E6763:E$2)*(E6764=E6763:E$2)))))</f>
        <v> </v>
      </c>
      <c r="J6764" s="26" t="str">
        <f>IF(OR(E6764="",E6764="!!!",F6764="NEW"),"",COUNTBLANK(OFFSET(A$1,,,SUMPRODUCT(MAX(ROW(E$2:E6764)*(E6764=E$2:E6764)))))-COUNTBLANK(OFFSET(A$1,,,SUMPRODUCT(MAX(ROW(E$1:E6763)*(E2=E$1:E6763))))))</f>
        <v> </v>
      </c>
      <c r="K6764" s="26" t="str">
        <f>IF(OR(E6764="",E6764="!!!",F6764="NEW"),"",INDEX(J$1:J6763,SUMPRODUCT(MAX(ROW(E$1:E6763)*(E6764=E$1:E6763)))))</f>
        <v> </v>
      </c>
      <c r="L6764" s="27"/>
    </row>
    <row r="6765" spans="1:12">
      <c r="A6765" s="20" t="s">
        <v>996</v>
      </c>
      <c r="E6765" s="22">
        <f>IF(D6765="?OLD","!!!","")</f>
        <v/>
      </c>
      <c r="F6765" s="23" t="str">
        <f>IF(OR(E6765="",E6765="!!!"),"",IF(NOT(ISNA(VLOOKUP(E6765,E$1:E6764,1,FALSE()))),"OLD",IF(AND(E6765&lt;&gt;"",E6765&lt;&gt;"!!!"),"NEW","")))</f>
        <v> </v>
      </c>
      <c r="G6765" s="24" t="str">
        <f>IF(OR(E6765="",E6765="!!!"),"",IF(OR(J6765=0,AND(J6765=1,K6765=1),AND(J6765=1,I6765="SBJ"),AND(J6765=1,I6765=0)),"?IN_FOCUS",IF(J6765&lt;=2,"?ACTIVATED",IF(J6765&lt;&gt;"","?FAMILIAR",IF(F6765="NEW",IF(ISNA(VLOOKUP(E6765,#REF!,1,FALSE())),"?TYPE_IDENTIFIABLE","?REFERENTIAL"),"_")))))</f>
        <v> </v>
      </c>
      <c r="H6765" s="25" t="str">
        <f>IF(J6765&lt;&gt;1,"",IF(I6765="SBJ","CB","?"))</f>
        <v> </v>
      </c>
      <c r="I6765" s="26" t="str">
        <f>IF(OR(E6765="",E6765="!!!",F6765="NEW"),"",INDEX(B6764:B$2,-1+SUMPRODUCT(MAX(ROW(E6764:E$2)*(E6765=E6764:E$2)))))</f>
        <v> </v>
      </c>
      <c r="J6765" s="26" t="str">
        <f>IF(OR(E6765="",E6765="!!!",F6765="NEW"),"",COUNTBLANK(OFFSET(A$1,,,SUMPRODUCT(MAX(ROW(E$2:E6765)*(E6765=E$2:E6765)))))-COUNTBLANK(OFFSET(A$1,,,SUMPRODUCT(MAX(ROW(E$1:E6764)*(E2=E$1:E6764))))))</f>
        <v> </v>
      </c>
      <c r="K6765" s="26" t="str">
        <f>IF(OR(E6765="",E6765="!!!",F6765="NEW"),"",INDEX(J$1:J6764,SUMPRODUCT(MAX(ROW(E$1:E6764)*(E6765=E$1:E6764)))))</f>
        <v> </v>
      </c>
      <c r="L6765" s="27"/>
    </row>
    <row r="6766" spans="1:12">
      <c r="A6766" s="20" t="s">
        <v>1333</v>
      </c>
      <c r="E6766" s="22">
        <f>IF(D6766="?OLD","!!!","")</f>
        <v/>
      </c>
      <c r="F6766" s="23" t="str">
        <f>IF(OR(E6766="",E6766="!!!"),"",IF(NOT(ISNA(VLOOKUP(E6766,E$1:E6765,1,FALSE()))),"OLD",IF(AND(E6766&lt;&gt;"",E6766&lt;&gt;"!!!"),"NEW","")))</f>
        <v> </v>
      </c>
      <c r="G6766" s="24" t="str">
        <f>IF(OR(E6766="",E6766="!!!"),"",IF(OR(J6766=0,AND(J6766=1,K6766=1),AND(J6766=1,I6766="SBJ"),AND(J6766=1,I6766=0)),"?IN_FOCUS",IF(J6766&lt;=2,"?ACTIVATED",IF(J6766&lt;&gt;"","?FAMILIAR",IF(F6766="NEW",IF(ISNA(VLOOKUP(E6766,#REF!,1,FALSE())),"?TYPE_IDENTIFIABLE","?REFERENTIAL"),"_")))))</f>
        <v> </v>
      </c>
      <c r="H6766" s="25" t="str">
        <f>IF(J6766&lt;&gt;1,"",IF(I6766="SBJ","CB","?"))</f>
        <v> </v>
      </c>
      <c r="I6766" s="26" t="str">
        <f>IF(OR(E6766="",E6766="!!!",F6766="NEW"),"",INDEX(B6765:B$2,-1+SUMPRODUCT(MAX(ROW(E6765:E$2)*(E6766=E6765:E$2)))))</f>
        <v> </v>
      </c>
      <c r="J6766" s="26" t="str">
        <f>IF(OR(E6766="",E6766="!!!",F6766="NEW"),"",COUNTBLANK(OFFSET(A$1,,,SUMPRODUCT(MAX(ROW(E$2:E6766)*(E6766=E$2:E6766)))))-COUNTBLANK(OFFSET(A$1,,,SUMPRODUCT(MAX(ROW(E$1:E6765)*(E2=E$1:E6765))))))</f>
        <v> </v>
      </c>
      <c r="K6766" s="26" t="str">
        <f>IF(OR(E6766="",E6766="!!!",F6766="NEW"),"",INDEX(J$1:J6765,SUMPRODUCT(MAX(ROW(E$1:E6765)*(E6766=E$1:E6765)))))</f>
        <v> </v>
      </c>
      <c r="L6766" s="27"/>
    </row>
    <row r="6767" spans="1:12">
      <c r="A6767" s="20" t="s">
        <v>1002</v>
      </c>
      <c r="E6767" s="22">
        <f>IF(D6767="?OLD","!!!","")</f>
        <v/>
      </c>
      <c r="F6767" s="23" t="str">
        <f>IF(OR(E6767="",E6767="!!!"),"",IF(NOT(ISNA(VLOOKUP(E6767,E$1:E6766,1,FALSE()))),"OLD",IF(AND(E6767&lt;&gt;"",E6767&lt;&gt;"!!!"),"NEW","")))</f>
        <v> </v>
      </c>
      <c r="G6767" s="24" t="str">
        <f>IF(OR(E6767="",E6767="!!!"),"",IF(OR(J6767=0,AND(J6767=1,K6767=1),AND(J6767=1,I6767="SBJ"),AND(J6767=1,I6767=0)),"?IN_FOCUS",IF(J6767&lt;=2,"?ACTIVATED",IF(J6767&lt;&gt;"","?FAMILIAR",IF(F6767="NEW",IF(ISNA(VLOOKUP(E6767,#REF!,1,FALSE())),"?TYPE_IDENTIFIABLE","?REFERENTIAL"),"_")))))</f>
        <v> </v>
      </c>
      <c r="H6767" s="25" t="str">
        <f>IF(J6767&lt;&gt;1,"",IF(I6767="SBJ","CB","?"))</f>
        <v> </v>
      </c>
      <c r="I6767" s="26" t="str">
        <f>IF(OR(E6767="",E6767="!!!",F6767="NEW"),"",INDEX(B6766:B$2,-1+SUMPRODUCT(MAX(ROW(E6766:E$2)*(E6767=E6766:E$2)))))</f>
        <v> </v>
      </c>
      <c r="J6767" s="26" t="str">
        <f>IF(OR(E6767="",E6767="!!!",F6767="NEW"),"",COUNTBLANK(OFFSET(A$1,,,SUMPRODUCT(MAX(ROW(E$2:E6767)*(E6767=E$2:E6767)))))-COUNTBLANK(OFFSET(A$1,,,SUMPRODUCT(MAX(ROW(E$1:E6766)*(E2=E$1:E6766))))))</f>
        <v> </v>
      </c>
      <c r="K6767" s="26" t="str">
        <f>IF(OR(E6767="",E6767="!!!",F6767="NEW"),"",INDEX(J$1:J6766,SUMPRODUCT(MAX(ROW(E$1:E6766)*(E6767=E$1:E6766)))))</f>
        <v> </v>
      </c>
      <c r="L6767" s="27"/>
    </row>
    <row r="6768" spans="1:12">
      <c r="A6768" s="20" t="s">
        <v>992</v>
      </c>
      <c r="E6768" s="22">
        <f>IF(D6768="?OLD","!!!","")</f>
        <v/>
      </c>
      <c r="F6768" s="23" t="str">
        <f>IF(OR(E6768="",E6768="!!!"),"",IF(NOT(ISNA(VLOOKUP(E6768,E$1:E6767,1,FALSE()))),"OLD",IF(AND(E6768&lt;&gt;"",E6768&lt;&gt;"!!!"),"NEW","")))</f>
        <v> </v>
      </c>
      <c r="G6768" s="24" t="str">
        <f>IF(OR(E6768="",E6768="!!!"),"",IF(OR(J6768=0,AND(J6768=1,K6768=1),AND(J6768=1,I6768="SBJ"),AND(J6768=1,I6768=0)),"?IN_FOCUS",IF(J6768&lt;=2,"?ACTIVATED",IF(J6768&lt;&gt;"","?FAMILIAR",IF(F6768="NEW",IF(ISNA(VLOOKUP(E6768,#REF!,1,FALSE())),"?TYPE_IDENTIFIABLE","?REFERENTIAL"),"_")))))</f>
        <v> </v>
      </c>
      <c r="H6768" s="25" t="str">
        <f>IF(J6768&lt;&gt;1,"",IF(I6768="SBJ","CB","?"))</f>
        <v> </v>
      </c>
      <c r="I6768" s="26" t="str">
        <f>IF(OR(E6768="",E6768="!!!",F6768="NEW"),"",INDEX(B6767:B$2,-1+SUMPRODUCT(MAX(ROW(E6767:E$2)*(E6768=E6767:E$2)))))</f>
        <v> </v>
      </c>
      <c r="J6768" s="26" t="str">
        <f>IF(OR(E6768="",E6768="!!!",F6768="NEW"),"",COUNTBLANK(OFFSET(A$1,,,SUMPRODUCT(MAX(ROW(E$2:E6768)*(E6768=E$2:E6768)))))-COUNTBLANK(OFFSET(A$1,,,SUMPRODUCT(MAX(ROW(E$1:E6767)*(E2=E$1:E6767))))))</f>
        <v> </v>
      </c>
      <c r="K6768" s="26" t="str">
        <f>IF(OR(E6768="",E6768="!!!",F6768="NEW"),"",INDEX(J$1:J6767,SUMPRODUCT(MAX(ROW(E$1:E6767)*(E6768=E$1:E6767)))))</f>
        <v> </v>
      </c>
      <c r="L6768" s="27"/>
    </row>
    <row r="6769" spans="1:12">
      <c r="A6769" s="20" t="s">
        <v>1877</v>
      </c>
      <c r="B6769" s="21" t="s">
        <v>986</v>
      </c>
      <c r="C6769" s="21" t="s">
        <v>1008</v>
      </c>
      <c r="D6769" s="21" t="s">
        <v>978</v>
      </c>
      <c r="E6769" s="22">
        <f>IF(D6769="?OLD","!!!","")</f>
        <v/>
      </c>
      <c r="F6769" s="23" t="str">
        <f>IF(OR(E6769="",E6769="!!!"),"",IF(NOT(ISNA(VLOOKUP(E6769,E$1:E6768,1,FALSE()))),"OLD",IF(AND(E6769&lt;&gt;"",E6769&lt;&gt;"!!!"),"NEW","")))</f>
        <v> </v>
      </c>
      <c r="G6769" s="24" t="str">
        <f>IF(OR(E6769="",E6769="!!!"),"",IF(OR(J6769=0,AND(J6769=1,K6769=1),AND(J6769=1,I6769="SBJ"),AND(J6769=1,I6769=0)),"?IN_FOCUS",IF(J6769&lt;=2,"?ACTIVATED",IF(J6769&lt;&gt;"","?FAMILIAR",IF(F6769="NEW",IF(ISNA(VLOOKUP(E6769,#REF!,1,FALSE())),"?TYPE_IDENTIFIABLE","?REFERENTIAL"),"_")))))</f>
        <v> </v>
      </c>
      <c r="H6769" s="25" t="str">
        <f>IF(J6769&lt;&gt;1,"",IF(I6769="SBJ","CB","?"))</f>
        <v> </v>
      </c>
      <c r="I6769" s="26" t="str">
        <f>IF(OR(E6769="",E6769="!!!",F6769="NEW"),"",INDEX(B6768:B$2,-1+SUMPRODUCT(MAX(ROW(E6768:E$2)*(E6769=E6768:E$2)))))</f>
        <v> </v>
      </c>
      <c r="J6769" s="26" t="str">
        <f>IF(OR(E6769="",E6769="!!!",F6769="NEW"),"",COUNTBLANK(OFFSET(A$1,,,SUMPRODUCT(MAX(ROW(E$2:E6769)*(E6769=E$2:E6769)))))-COUNTBLANK(OFFSET(A$1,,,SUMPRODUCT(MAX(ROW(E$1:E6768)*(E2=E$1:E6768))))))</f>
        <v> </v>
      </c>
      <c r="K6769" s="26" t="str">
        <f>IF(OR(E6769="",E6769="!!!",F6769="NEW"),"",INDEX(J$1:J6768,SUMPRODUCT(MAX(ROW(E$1:E6768)*(E6769=E$1:E6768)))))</f>
        <v> </v>
      </c>
      <c r="L6769" s="27"/>
    </row>
    <row r="6770" spans="1:12">
      <c r="A6770" s="20" t="s">
        <v>1002</v>
      </c>
      <c r="E6770" s="22">
        <f>IF(D6770="?OLD","!!!","")</f>
        <v/>
      </c>
      <c r="F6770" s="23" t="str">
        <f>IF(OR(E6770="",E6770="!!!"),"",IF(NOT(ISNA(VLOOKUP(E6770,E$1:E6769,1,FALSE()))),"OLD",IF(AND(E6770&lt;&gt;"",E6770&lt;&gt;"!!!"),"NEW","")))</f>
        <v> </v>
      </c>
      <c r="G6770" s="24" t="str">
        <f>IF(OR(E6770="",E6770="!!!"),"",IF(OR(J6770=0,AND(J6770=1,K6770=1),AND(J6770=1,I6770="SBJ"),AND(J6770=1,I6770=0)),"?IN_FOCUS",IF(J6770&lt;=2,"?ACTIVATED",IF(J6770&lt;&gt;"","?FAMILIAR",IF(F6770="NEW",IF(ISNA(VLOOKUP(E6770,#REF!,1,FALSE())),"?TYPE_IDENTIFIABLE","?REFERENTIAL"),"_")))))</f>
        <v> </v>
      </c>
      <c r="H6770" s="25" t="str">
        <f>IF(J6770&lt;&gt;1,"",IF(I6770="SBJ","CB","?"))</f>
        <v> </v>
      </c>
      <c r="I6770" s="26" t="str">
        <f>IF(OR(E6770="",E6770="!!!",F6770="NEW"),"",INDEX(B6769:B$2,-1+SUMPRODUCT(MAX(ROW(E6769:E$2)*(E6770=E6769:E$2)))))</f>
        <v> </v>
      </c>
      <c r="J6770" s="26" t="str">
        <f>IF(OR(E6770="",E6770="!!!",F6770="NEW"),"",COUNTBLANK(OFFSET(A$1,,,SUMPRODUCT(MAX(ROW(E$2:E6770)*(E6770=E$2:E6770)))))-COUNTBLANK(OFFSET(A$1,,,SUMPRODUCT(MAX(ROW(E$1:E6769)*(E2=E$1:E6769))))))</f>
        <v> </v>
      </c>
      <c r="K6770" s="26" t="str">
        <f>IF(OR(E6770="",E6770="!!!",F6770="NEW"),"",INDEX(J$1:J6769,SUMPRODUCT(MAX(ROW(E$1:E6769)*(E6770=E$1:E6769)))))</f>
        <v> </v>
      </c>
      <c r="L6770" s="27"/>
    </row>
    <row r="6771" spans="1:12">
      <c r="A6771" s="20" t="s">
        <v>1047</v>
      </c>
      <c r="B6771" s="21" t="s">
        <v>976</v>
      </c>
      <c r="C6771" s="21" t="s">
        <v>977</v>
      </c>
      <c r="D6771" s="21" t="s">
        <v>978</v>
      </c>
      <c r="E6771" s="22">
        <f>IF(D6771="?OLD","!!!","")</f>
        <v/>
      </c>
      <c r="F6771" s="23" t="str">
        <f>IF(OR(E6771="",E6771="!!!"),"",IF(NOT(ISNA(VLOOKUP(E6771,E$1:E6770,1,FALSE()))),"OLD",IF(AND(E6771&lt;&gt;"",E6771&lt;&gt;"!!!"),"NEW","")))</f>
        <v> </v>
      </c>
      <c r="G6771" s="24" t="str">
        <f>IF(OR(E6771="",E6771="!!!"),"",IF(OR(J6771=0,AND(J6771=1,K6771=1),AND(J6771=1,I6771="SBJ"),AND(J6771=1,I6771=0)),"?IN_FOCUS",IF(J6771&lt;=2,"?ACTIVATED",IF(J6771&lt;&gt;"","?FAMILIAR",IF(F6771="NEW",IF(ISNA(VLOOKUP(E6771,#REF!,1,FALSE())),"?TYPE_IDENTIFIABLE","?REFERENTIAL"),"_")))))</f>
        <v> </v>
      </c>
      <c r="H6771" s="25" t="str">
        <f>IF(J6771&lt;&gt;1,"",IF(I6771="SBJ","CB","?"))</f>
        <v> </v>
      </c>
      <c r="I6771" s="26" t="str">
        <f>IF(OR(E6771="",E6771="!!!",F6771="NEW"),"",INDEX(B6770:B$2,-1+SUMPRODUCT(MAX(ROW(E6770:E$2)*(E6771=E6770:E$2)))))</f>
        <v> </v>
      </c>
      <c r="J6771" s="26" t="str">
        <f>IF(OR(E6771="",E6771="!!!",F6771="NEW"),"",COUNTBLANK(OFFSET(A$1,,,SUMPRODUCT(MAX(ROW(E$2:E6771)*(E6771=E$2:E6771)))))-COUNTBLANK(OFFSET(A$1,,,SUMPRODUCT(MAX(ROW(E$1:E6770)*(E2=E$1:E6770))))))</f>
        <v> </v>
      </c>
      <c r="K6771" s="26" t="str">
        <f>IF(OR(E6771="",E6771="!!!",F6771="NEW"),"",INDEX(J$1:J6770,SUMPRODUCT(MAX(ROW(E$1:E6770)*(E6771=E$1:E6770)))))</f>
        <v> </v>
      </c>
      <c r="L6771" s="27"/>
    </row>
    <row r="6772" spans="1:12">
      <c r="A6772" s="20" t="s">
        <v>2313</v>
      </c>
      <c r="E6772" s="22">
        <f>IF(D6772="?OLD","!!!","")</f>
        <v/>
      </c>
      <c r="F6772" s="23" t="str">
        <f>IF(OR(E6772="",E6772="!!!"),"",IF(NOT(ISNA(VLOOKUP(E6772,E$1:E6771,1,FALSE()))),"OLD",IF(AND(E6772&lt;&gt;"",E6772&lt;&gt;"!!!"),"NEW","")))</f>
        <v> </v>
      </c>
      <c r="G6772" s="24" t="str">
        <f>IF(OR(E6772="",E6772="!!!"),"",IF(OR(J6772=0,AND(J6772=1,K6772=1),AND(J6772=1,I6772="SBJ"),AND(J6772=1,I6772=0)),"?IN_FOCUS",IF(J6772&lt;=2,"?ACTIVATED",IF(J6772&lt;&gt;"","?FAMILIAR",IF(F6772="NEW",IF(ISNA(VLOOKUP(E6772,#REF!,1,FALSE())),"?TYPE_IDENTIFIABLE","?REFERENTIAL"),"_")))))</f>
        <v> </v>
      </c>
      <c r="H6772" s="25" t="str">
        <f>IF(J6772&lt;&gt;1,"",IF(I6772="SBJ","CB","?"))</f>
        <v> </v>
      </c>
      <c r="I6772" s="26" t="str">
        <f>IF(OR(E6772="",E6772="!!!",F6772="NEW"),"",INDEX(B6771:B$2,-1+SUMPRODUCT(MAX(ROW(E6771:E$2)*(E6772=E6771:E$2)))))</f>
        <v> </v>
      </c>
      <c r="J6772" s="26" t="str">
        <f>IF(OR(E6772="",E6772="!!!",F6772="NEW"),"",COUNTBLANK(OFFSET(A$1,,,SUMPRODUCT(MAX(ROW(E$2:E6772)*(E6772=E$2:E6772)))))-COUNTBLANK(OFFSET(A$1,,,SUMPRODUCT(MAX(ROW(E$1:E6771)*(E2=E$1:E6771))))))</f>
        <v> </v>
      </c>
      <c r="K6772" s="26" t="str">
        <f>IF(OR(E6772="",E6772="!!!",F6772="NEW"),"",INDEX(J$1:J6771,SUMPRODUCT(MAX(ROW(E$1:E6771)*(E6772=E$1:E6771)))))</f>
        <v> </v>
      </c>
      <c r="L6772" s="27"/>
    </row>
    <row r="6773" spans="1:12">
      <c r="A6773" s="20" t="s">
        <v>1002</v>
      </c>
      <c r="E6773" s="22">
        <f>IF(D6773="?OLD","!!!","")</f>
        <v/>
      </c>
      <c r="F6773" s="23" t="str">
        <f>IF(OR(E6773="",E6773="!!!"),"",IF(NOT(ISNA(VLOOKUP(E6773,E$1:E6772,1,FALSE()))),"OLD",IF(AND(E6773&lt;&gt;"",E6773&lt;&gt;"!!!"),"NEW","")))</f>
        <v> </v>
      </c>
      <c r="G6773" s="24" t="str">
        <f>IF(OR(E6773="",E6773="!!!"),"",IF(OR(J6773=0,AND(J6773=1,K6773=1),AND(J6773=1,I6773="SBJ"),AND(J6773=1,I6773=0)),"?IN_FOCUS",IF(J6773&lt;=2,"?ACTIVATED",IF(J6773&lt;&gt;"","?FAMILIAR",IF(F6773="NEW",IF(ISNA(VLOOKUP(E6773,#REF!,1,FALSE())),"?TYPE_IDENTIFIABLE","?REFERENTIAL"),"_")))))</f>
        <v> </v>
      </c>
      <c r="H6773" s="25" t="str">
        <f>IF(J6773&lt;&gt;1,"",IF(I6773="SBJ","CB","?"))</f>
        <v> </v>
      </c>
      <c r="I6773" s="26" t="str">
        <f>IF(OR(E6773="",E6773="!!!",F6773="NEW"),"",INDEX(B6772:B$2,-1+SUMPRODUCT(MAX(ROW(E6772:E$2)*(E6773=E6772:E$2)))))</f>
        <v> </v>
      </c>
      <c r="J6773" s="26" t="str">
        <f>IF(OR(E6773="",E6773="!!!",F6773="NEW"),"",COUNTBLANK(OFFSET(A$1,,,SUMPRODUCT(MAX(ROW(E$2:E6773)*(E6773=E$2:E6773)))))-COUNTBLANK(OFFSET(A$1,,,SUMPRODUCT(MAX(ROW(E$1:E6772)*(E2=E$1:E6772))))))</f>
        <v> </v>
      </c>
      <c r="K6773" s="26" t="str">
        <f>IF(OR(E6773="",E6773="!!!",F6773="NEW"),"",INDEX(J$1:J6772,SUMPRODUCT(MAX(ROW(E$1:E6772)*(E6773=E$1:E6772)))))</f>
        <v> </v>
      </c>
      <c r="L6773" s="27"/>
    </row>
    <row r="6774" spans="1:12">
      <c r="A6774" s="20" t="s">
        <v>1625</v>
      </c>
      <c r="E6774" s="22">
        <f>IF(D6774="?OLD","!!!","")</f>
        <v/>
      </c>
      <c r="F6774" s="23" t="str">
        <f>IF(OR(E6774="",E6774="!!!"),"",IF(NOT(ISNA(VLOOKUP(E6774,E$1:E6773,1,FALSE()))),"OLD",IF(AND(E6774&lt;&gt;"",E6774&lt;&gt;"!!!"),"NEW","")))</f>
        <v> </v>
      </c>
      <c r="G6774" s="24" t="str">
        <f>IF(OR(E6774="",E6774="!!!"),"",IF(OR(J6774=0,AND(J6774=1,K6774=1),AND(J6774=1,I6774="SBJ"),AND(J6774=1,I6774=0)),"?IN_FOCUS",IF(J6774&lt;=2,"?ACTIVATED",IF(J6774&lt;&gt;"","?FAMILIAR",IF(F6774="NEW",IF(ISNA(VLOOKUP(E6774,#REF!,1,FALSE())),"?TYPE_IDENTIFIABLE","?REFERENTIAL"),"_")))))</f>
        <v> </v>
      </c>
      <c r="H6774" s="25" t="str">
        <f>IF(J6774&lt;&gt;1,"",IF(I6774="SBJ","CB","?"))</f>
        <v> </v>
      </c>
      <c r="I6774" s="26" t="str">
        <f>IF(OR(E6774="",E6774="!!!",F6774="NEW"),"",INDEX(B6773:B$2,-1+SUMPRODUCT(MAX(ROW(E6773:E$2)*(E6774=E6773:E$2)))))</f>
        <v> </v>
      </c>
      <c r="J6774" s="26" t="str">
        <f>IF(OR(E6774="",E6774="!!!",F6774="NEW"),"",COUNTBLANK(OFFSET(A$1,,,SUMPRODUCT(MAX(ROW(E$2:E6774)*(E6774=E$2:E6774)))))-COUNTBLANK(OFFSET(A$1,,,SUMPRODUCT(MAX(ROW(E$1:E6773)*(E2=E$1:E6773))))))</f>
        <v> </v>
      </c>
      <c r="K6774" s="26" t="str">
        <f>IF(OR(E6774="",E6774="!!!",F6774="NEW"),"",INDEX(J$1:J6773,SUMPRODUCT(MAX(ROW(E$1:E6773)*(E6774=E$1:E6773)))))</f>
        <v> </v>
      </c>
      <c r="L6774" s="27"/>
    </row>
    <row r="6775" spans="1:12">
      <c r="A6775" s="20" t="s">
        <v>1050</v>
      </c>
      <c r="E6775" s="22">
        <f>IF(D6775="?OLD","!!!","")</f>
        <v/>
      </c>
      <c r="F6775" s="23" t="str">
        <f>IF(OR(E6775="",E6775="!!!"),"",IF(NOT(ISNA(VLOOKUP(E6775,E$1:E6774,1,FALSE()))),"OLD",IF(AND(E6775&lt;&gt;"",E6775&lt;&gt;"!!!"),"NEW","")))</f>
        <v> </v>
      </c>
      <c r="G6775" s="24" t="str">
        <f>IF(OR(E6775="",E6775="!!!"),"",IF(OR(J6775=0,AND(J6775=1,K6775=1),AND(J6775=1,I6775="SBJ"),AND(J6775=1,I6775=0)),"?IN_FOCUS",IF(J6775&lt;=2,"?ACTIVATED",IF(J6775&lt;&gt;"","?FAMILIAR",IF(F6775="NEW",IF(ISNA(VLOOKUP(E6775,#REF!,1,FALSE())),"?TYPE_IDENTIFIABLE","?REFERENTIAL"),"_")))))</f>
        <v> </v>
      </c>
      <c r="H6775" s="25" t="str">
        <f>IF(J6775&lt;&gt;1,"",IF(I6775="SBJ","CB","?"))</f>
        <v> </v>
      </c>
      <c r="I6775" s="26" t="str">
        <f>IF(OR(E6775="",E6775="!!!",F6775="NEW"),"",INDEX(B6774:B$2,-1+SUMPRODUCT(MAX(ROW(E6774:E$2)*(E6775=E6774:E$2)))))</f>
        <v> </v>
      </c>
      <c r="J6775" s="26" t="str">
        <f>IF(OR(E6775="",E6775="!!!",F6775="NEW"),"",COUNTBLANK(OFFSET(A$1,,,SUMPRODUCT(MAX(ROW(E$2:E6775)*(E6775=E$2:E6775)))))-COUNTBLANK(OFFSET(A$1,,,SUMPRODUCT(MAX(ROW(E$1:E6774)*(E2=E$1:E6774))))))</f>
        <v> </v>
      </c>
      <c r="K6775" s="26" t="str">
        <f>IF(OR(E6775="",E6775="!!!",F6775="NEW"),"",INDEX(J$1:J6774,SUMPRODUCT(MAX(ROW(E$1:E6774)*(E6775=E$1:E6774)))))</f>
        <v> </v>
      </c>
      <c r="L6775" s="27"/>
    </row>
    <row r="6776" spans="1:12">
      <c r="A6776" s="20" t="s">
        <v>2611</v>
      </c>
      <c r="B6776" s="21" t="s">
        <v>1052</v>
      </c>
      <c r="C6776" s="21" t="s">
        <v>983</v>
      </c>
      <c r="E6776" s="22">
        <f>IF(D6776="?OLD","!!!","")</f>
        <v/>
      </c>
      <c r="F6776" s="23" t="str">
        <f>IF(OR(E6776="",E6776="!!!"),"",IF(NOT(ISNA(VLOOKUP(E6776,E$1:E6775,1,FALSE()))),"OLD",IF(AND(E6776&lt;&gt;"",E6776&lt;&gt;"!!!"),"NEW","")))</f>
        <v> </v>
      </c>
      <c r="G6776" s="24" t="str">
        <f>IF(OR(E6776="",E6776="!!!"),"",IF(OR(J6776=0,AND(J6776=1,K6776=1),AND(J6776=1,I6776="SBJ"),AND(J6776=1,I6776=0)),"?IN_FOCUS",IF(J6776&lt;=2,"?ACTIVATED",IF(J6776&lt;&gt;"","?FAMILIAR",IF(F6776="NEW",IF(ISNA(VLOOKUP(E6776,#REF!,1,FALSE())),"?TYPE_IDENTIFIABLE","?REFERENTIAL"),"_")))))</f>
        <v> </v>
      </c>
      <c r="H6776" s="25" t="str">
        <f>IF(J6776&lt;&gt;1,"",IF(I6776="SBJ","CB","?"))</f>
        <v> </v>
      </c>
      <c r="I6776" s="26" t="str">
        <f>IF(OR(E6776="",E6776="!!!",F6776="NEW"),"",INDEX(B6775:B$2,-1+SUMPRODUCT(MAX(ROW(E6775:E$2)*(E6776=E6775:E$2)))))</f>
        <v> </v>
      </c>
      <c r="J6776" s="26" t="str">
        <f>IF(OR(E6776="",E6776="!!!",F6776="NEW"),"",COUNTBLANK(OFFSET(A$1,,,SUMPRODUCT(MAX(ROW(E$2:E6776)*(E6776=E$2:E6776)))))-COUNTBLANK(OFFSET(A$1,,,SUMPRODUCT(MAX(ROW(E$1:E6775)*(E2=E$1:E6775))))))</f>
        <v> </v>
      </c>
      <c r="K6776" s="26" t="str">
        <f>IF(OR(E6776="",E6776="!!!",F6776="NEW"),"",INDEX(J$1:J6775,SUMPRODUCT(MAX(ROW(E$1:E6775)*(E6776=E$1:E6775)))))</f>
        <v> </v>
      </c>
      <c r="L6776" s="27"/>
    </row>
    <row r="6777" spans="1:12">
      <c r="A6777" s="20" t="s">
        <v>1482</v>
      </c>
      <c r="E6777" s="22">
        <f>IF(D6777="?OLD","!!!","")</f>
        <v/>
      </c>
      <c r="F6777" s="23" t="str">
        <f>IF(OR(E6777="",E6777="!!!"),"",IF(NOT(ISNA(VLOOKUP(E6777,E$1:E6776,1,FALSE()))),"OLD",IF(AND(E6777&lt;&gt;"",E6777&lt;&gt;"!!!"),"NEW","")))</f>
        <v> </v>
      </c>
      <c r="G6777" s="24" t="str">
        <f>IF(OR(E6777="",E6777="!!!"),"",IF(OR(J6777=0,AND(J6777=1,K6777=1),AND(J6777=1,I6777="SBJ"),AND(J6777=1,I6777=0)),"?IN_FOCUS",IF(J6777&lt;=2,"?ACTIVATED",IF(J6777&lt;&gt;"","?FAMILIAR",IF(F6777="NEW",IF(ISNA(VLOOKUP(E6777,#REF!,1,FALSE())),"?TYPE_IDENTIFIABLE","?REFERENTIAL"),"_")))))</f>
        <v> </v>
      </c>
      <c r="H6777" s="25" t="str">
        <f>IF(J6777&lt;&gt;1,"",IF(I6777="SBJ","CB","?"))</f>
        <v> </v>
      </c>
      <c r="I6777" s="26" t="str">
        <f>IF(OR(E6777="",E6777="!!!",F6777="NEW"),"",INDEX(B6776:B$2,-1+SUMPRODUCT(MAX(ROW(E6776:E$2)*(E6777=E6776:E$2)))))</f>
        <v> </v>
      </c>
      <c r="J6777" s="26" t="str">
        <f>IF(OR(E6777="",E6777="!!!",F6777="NEW"),"",COUNTBLANK(OFFSET(A$1,,,SUMPRODUCT(MAX(ROW(E$2:E6777)*(E6777=E$2:E6777)))))-COUNTBLANK(OFFSET(A$1,,,SUMPRODUCT(MAX(ROW(E$1:E6776)*(E2=E$1:E6776))))))</f>
        <v> </v>
      </c>
      <c r="K6777" s="26" t="str">
        <f>IF(OR(E6777="",E6777="!!!",F6777="NEW"),"",INDEX(J$1:J6776,SUMPRODUCT(MAX(ROW(E$1:E6776)*(E6777=E$1:E6776)))))</f>
        <v> </v>
      </c>
      <c r="L6777" s="27"/>
    </row>
    <row r="6778" spans="1:12">
      <c r="A6778" s="20" t="s">
        <v>2612</v>
      </c>
      <c r="E6778" s="22">
        <f>IF(D6778="?OLD","!!!","")</f>
        <v/>
      </c>
      <c r="F6778" s="23" t="str">
        <f>IF(OR(E6778="",E6778="!!!"),"",IF(NOT(ISNA(VLOOKUP(E6778,E$1:E6777,1,FALSE()))),"OLD",IF(AND(E6778&lt;&gt;"",E6778&lt;&gt;"!!!"),"NEW","")))</f>
        <v> </v>
      </c>
      <c r="G6778" s="24" t="str">
        <f>IF(OR(E6778="",E6778="!!!"),"",IF(OR(J6778=0,AND(J6778=1,K6778=1),AND(J6778=1,I6778="SBJ"),AND(J6778=1,I6778=0)),"?IN_FOCUS",IF(J6778&lt;=2,"?ACTIVATED",IF(J6778&lt;&gt;"","?FAMILIAR",IF(F6778="NEW",IF(ISNA(VLOOKUP(E6778,#REF!,1,FALSE())),"?TYPE_IDENTIFIABLE","?REFERENTIAL"),"_")))))</f>
        <v> </v>
      </c>
      <c r="H6778" s="25" t="str">
        <f>IF(J6778&lt;&gt;1,"",IF(I6778="SBJ","CB","?"))</f>
        <v> </v>
      </c>
      <c r="I6778" s="26" t="str">
        <f>IF(OR(E6778="",E6778="!!!",F6778="NEW"),"",INDEX(B6777:B$2,-1+SUMPRODUCT(MAX(ROW(E6777:E$2)*(E6778=E6777:E$2)))))</f>
        <v> </v>
      </c>
      <c r="J6778" s="26" t="str">
        <f>IF(OR(E6778="",E6778="!!!",F6778="NEW"),"",COUNTBLANK(OFFSET(A$1,,,SUMPRODUCT(MAX(ROW(E$2:E6778)*(E6778=E$2:E6778)))))-COUNTBLANK(OFFSET(A$1,,,SUMPRODUCT(MAX(ROW(E$1:E6777)*(E2=E$1:E6777))))))</f>
        <v> </v>
      </c>
      <c r="K6778" s="26" t="str">
        <f>IF(OR(E6778="",E6778="!!!",F6778="NEW"),"",INDEX(J$1:J6777,SUMPRODUCT(MAX(ROW(E$1:E6777)*(E6778=E$1:E6777)))))</f>
        <v> </v>
      </c>
      <c r="L6778" s="27"/>
    </row>
    <row r="6779" spans="1:12">
      <c r="A6779" s="20" t="s">
        <v>1022</v>
      </c>
      <c r="E6779" s="22">
        <f>IF(D6779="?OLD","!!!","")</f>
        <v/>
      </c>
      <c r="F6779" s="23" t="str">
        <f>IF(OR(E6779="",E6779="!!!"),"",IF(NOT(ISNA(VLOOKUP(E6779,E$1:E6778,1,FALSE()))),"OLD",IF(AND(E6779&lt;&gt;"",E6779&lt;&gt;"!!!"),"NEW","")))</f>
        <v> </v>
      </c>
      <c r="G6779" s="24" t="str">
        <f>IF(OR(E6779="",E6779="!!!"),"",IF(OR(J6779=0,AND(J6779=1,K6779=1),AND(J6779=1,I6779="SBJ"),AND(J6779=1,I6779=0)),"?IN_FOCUS",IF(J6779&lt;=2,"?ACTIVATED",IF(J6779&lt;&gt;"","?FAMILIAR",IF(F6779="NEW",IF(ISNA(VLOOKUP(E6779,#REF!,1,FALSE())),"?TYPE_IDENTIFIABLE","?REFERENTIAL"),"_")))))</f>
        <v> </v>
      </c>
      <c r="H6779" s="25" t="str">
        <f>IF(J6779&lt;&gt;1,"",IF(I6779="SBJ","CB","?"))</f>
        <v> </v>
      </c>
      <c r="I6779" s="26" t="str">
        <f>IF(OR(E6779="",E6779="!!!",F6779="NEW"),"",INDEX(B6778:B$2,-1+SUMPRODUCT(MAX(ROW(E6778:E$2)*(E6779=E6778:E$2)))))</f>
        <v> </v>
      </c>
      <c r="J6779" s="26" t="str">
        <f>IF(OR(E6779="",E6779="!!!",F6779="NEW"),"",COUNTBLANK(OFFSET(A$1,,,SUMPRODUCT(MAX(ROW(E$2:E6779)*(E6779=E$2:E6779)))))-COUNTBLANK(OFFSET(A$1,,,SUMPRODUCT(MAX(ROW(E$1:E6778)*(E2=E$1:E6778))))))</f>
        <v> </v>
      </c>
      <c r="K6779" s="26" t="str">
        <f>IF(OR(E6779="",E6779="!!!",F6779="NEW"),"",INDEX(J$1:J6778,SUMPRODUCT(MAX(ROW(E$1:E6778)*(E6779=E$1:E6778)))))</f>
        <v> </v>
      </c>
      <c r="L6779" s="27"/>
    </row>
    <row r="6780" spans="1:12">
      <c r="A6780" s="20"/>
    </row>
    <row r="6781" spans="1:12">
      <c r="A6781" s="20" t="s">
        <v>2613</v>
      </c>
    </row>
    <row r="6782" spans="1:12">
      <c r="A6782" s="20" t="s">
        <v>2614</v>
      </c>
      <c r="E6782" s="22">
        <f>IF(D6782="?OLD","!!!","")</f>
        <v/>
      </c>
      <c r="F6782" s="23" t="str">
        <f>IF(OR(E6782="",E6782="!!!"),"",IF(NOT(ISNA(VLOOKUP(E6782,E$1:E6781,1,FALSE()))),"OLD",IF(AND(E6782&lt;&gt;"",E6782&lt;&gt;"!!!"),"NEW","")))</f>
        <v> </v>
      </c>
      <c r="G6782" s="24" t="str">
        <f>IF(OR(E6782="",E6782="!!!"),"",IF(OR(J6782=0,AND(J6782=1,K6782=1),AND(J6782=1,I6782="SBJ"),AND(J6782=1,I6782=0)),"?IN_FOCUS",IF(J6782&lt;=2,"?ACTIVATED",IF(J6782&lt;&gt;"","?FAMILIAR",IF(F6782="NEW",IF(ISNA(VLOOKUP(E6782,#REF!,1,FALSE())),"?TYPE_IDENTIFIABLE","?REFERENTIAL"),"_")))))</f>
        <v> </v>
      </c>
      <c r="H6782" s="25" t="str">
        <f>IF(J6782&lt;&gt;1,"",IF(I6782="SBJ","CB","?"))</f>
        <v> </v>
      </c>
      <c r="I6782" s="26" t="str">
        <f>IF(OR(E6782="",E6782="!!!",F6782="NEW"),"",INDEX(B6781:B$2,-1+SUMPRODUCT(MAX(ROW(E6781:E$2)*(E6782=E6781:E$2)))))</f>
        <v> </v>
      </c>
      <c r="J6782" s="26" t="str">
        <f>IF(OR(E6782="",E6782="!!!",F6782="NEW"),"",COUNTBLANK(OFFSET(A$1,,,SUMPRODUCT(MAX(ROW(E$2:E6782)*(E6782=E$2:E6782)))))-COUNTBLANK(OFFSET(A$1,,,SUMPRODUCT(MAX(ROW(E$1:E6781)*(E2=E$1:E6781))))))</f>
        <v> </v>
      </c>
      <c r="K6782" s="26" t="str">
        <f>IF(OR(E6782="",E6782="!!!",F6782="NEW"),"",INDEX(J$1:J6781,SUMPRODUCT(MAX(ROW(E$1:E6781)*(E6782=E$1:E6781)))))</f>
        <v> </v>
      </c>
      <c r="L6782" s="27"/>
    </row>
    <row r="6783" spans="1:12">
      <c r="A6783" s="20" t="s">
        <v>1022</v>
      </c>
      <c r="E6783" s="22">
        <f>IF(D6783="?OLD","!!!","")</f>
        <v/>
      </c>
      <c r="F6783" s="23" t="str">
        <f>IF(OR(E6783="",E6783="!!!"),"",IF(NOT(ISNA(VLOOKUP(E6783,E$1:E6782,1,FALSE()))),"OLD",IF(AND(E6783&lt;&gt;"",E6783&lt;&gt;"!!!"),"NEW","")))</f>
        <v> </v>
      </c>
      <c r="G6783" s="24" t="str">
        <f>IF(OR(E6783="",E6783="!!!"),"",IF(OR(J6783=0,AND(J6783=1,K6783=1),AND(J6783=1,I6783="SBJ"),AND(J6783=1,I6783=0)),"?IN_FOCUS",IF(J6783&lt;=2,"?ACTIVATED",IF(J6783&lt;&gt;"","?FAMILIAR",IF(F6783="NEW",IF(ISNA(VLOOKUP(E6783,#REF!,1,FALSE())),"?TYPE_IDENTIFIABLE","?REFERENTIAL"),"_")))))</f>
        <v> </v>
      </c>
      <c r="H6783" s="25" t="str">
        <f>IF(J6783&lt;&gt;1,"",IF(I6783="SBJ","CB","?"))</f>
        <v> </v>
      </c>
      <c r="I6783" s="26" t="str">
        <f>IF(OR(E6783="",E6783="!!!",F6783="NEW"),"",INDEX(B6782:B$2,-1+SUMPRODUCT(MAX(ROW(E6782:E$2)*(E6783=E6782:E$2)))))</f>
        <v> </v>
      </c>
      <c r="J6783" s="26" t="str">
        <f>IF(OR(E6783="",E6783="!!!",F6783="NEW"),"",COUNTBLANK(OFFSET(A$1,,,SUMPRODUCT(MAX(ROW(E$2:E6783)*(E6783=E$2:E6783)))))-COUNTBLANK(OFFSET(A$1,,,SUMPRODUCT(MAX(ROW(E$1:E6782)*(E2=E$1:E6782))))))</f>
        <v> </v>
      </c>
      <c r="K6783" s="26" t="str">
        <f>IF(OR(E6783="",E6783="!!!",F6783="NEW"),"",INDEX(J$1:J6782,SUMPRODUCT(MAX(ROW(E$1:E6782)*(E6783=E$1:E6782)))))</f>
        <v> </v>
      </c>
      <c r="L6783" s="27"/>
    </row>
    <row r="6784" spans="1:12">
      <c r="A678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2024-12-05T18:01:09Z</dcterms:created>
  <dcterms:modified xsi:type="dcterms:W3CDTF">2024-12-05T18:01:09Z</dcterms:modified>
</cp:coreProperties>
</file>